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3.xml" ContentType="application/vnd.openxmlformats-officedocument.spreadsheetml.externalLink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energycoid.sharepoint.com/sites/StrategyPlanning/Shared Documents/General/2. Process excellence/2026/6. Drilling Cost Analysis/"/>
    </mc:Choice>
  </mc:AlternateContent>
  <xr:revisionPtr revIDLastSave="13" documentId="8_{1B0B0C5F-A2F2-4D5B-9120-BD2831987046}" xr6:coauthVersionLast="47" xr6:coauthVersionMax="47" xr10:uidLastSave="{7256D02E-B641-4D23-81ED-72F3F26109B3}"/>
  <bookViews>
    <workbookView xWindow="-108" yWindow="-108" windowWidth="29016" windowHeight="15696" xr2:uid="{259253C2-BA39-4F37-A90C-0545019EEB7C}"/>
  </bookViews>
  <sheets>
    <sheet name="WBS_Dictionary" sheetId="1" r:id="rId1"/>
    <sheet name="WBS.structure" sheetId="2" r:id="rId2"/>
  </sheets>
  <externalReferences>
    <externalReference r:id="rId3"/>
    <externalReference r:id="rId4"/>
    <externalReference r:id="rId5"/>
  </externalReferences>
  <definedNames>
    <definedName name="__123Graph_A" hidden="1">'[1]R-1'!#REF!</definedName>
    <definedName name="__123Graph_B" hidden="1">'[1]R-1'!#REF!</definedName>
    <definedName name="__123Graph_C" hidden="1">'[1]R-1'!#REF!</definedName>
    <definedName name="__123Graph_D" hidden="1">'[1]R-1'!#REF!</definedName>
    <definedName name="__123Graph_E" hidden="1">'[1]R-1'!#REF!</definedName>
    <definedName name="__123Graph_F" hidden="1">'[1]R-1'!#REF!</definedName>
    <definedName name="_Fill" hidden="1">#REF!</definedName>
    <definedName name="_xlnm._FilterDatabase" localSheetId="1" hidden="1">WBS.structure!$A$1:$T$2426</definedName>
    <definedName name="_Key1" hidden="1">#REF!</definedName>
    <definedName name="_Order1" hidden="1">255</definedName>
    <definedName name="_Table1_Out" hidden="1">#REF!</definedName>
    <definedName name="AS2DocOpenMode" hidden="1">"AS2DocumentBrowse"</definedName>
    <definedName name="Asset_Code">[2]Code_Dictionary!$B$12:$B$14</definedName>
    <definedName name="ccr" hidden="1">'[3]R-1'!$AM$36:$AM$45</definedName>
    <definedName name="DATA1" localSheetId="1">WBS.structure!$A$2:$A$525</definedName>
    <definedName name="DATA10" localSheetId="1">WBS.structure!$J$2:$J$525</definedName>
    <definedName name="DATA11" localSheetId="1">WBS.structure!$K$2:$K$525</definedName>
    <definedName name="DATA12" localSheetId="1">WBS.structure!$L$2:$L$525</definedName>
    <definedName name="DATA13" localSheetId="1">WBS.structure!$M$2:$M$525</definedName>
    <definedName name="DATA14" localSheetId="1">WBS.structure!$N$2:$N$525</definedName>
    <definedName name="DATA15" localSheetId="1">WBS.structure!$O$2:$O$525</definedName>
    <definedName name="DATA16" localSheetId="1">WBS.structure!$P$2:$P$525</definedName>
    <definedName name="DATA17" localSheetId="1">WBS.structure!$Q$2:$Q$525</definedName>
    <definedName name="DATA18" localSheetId="1">WBS.structure!$R$2:$R$525</definedName>
    <definedName name="DATA19" localSheetId="1">WBS.structure!$S$2:$S$525</definedName>
    <definedName name="DATA2" localSheetId="1">WBS.structure!$B$2:$B$525</definedName>
    <definedName name="DATA20" localSheetId="1">WBS.structure!#REF!</definedName>
    <definedName name="DATA21" localSheetId="1">WBS.structure!$T$2:$T$525</definedName>
    <definedName name="DATA3" localSheetId="1">WBS.structure!$C$2:$C$525</definedName>
    <definedName name="DATA4" localSheetId="1">WBS.structure!$D$2:$D$525</definedName>
    <definedName name="DATA5" localSheetId="1">WBS.structure!$E$2:$E$525</definedName>
    <definedName name="DATA6" localSheetId="1">WBS.structure!$F$2:$F$525</definedName>
    <definedName name="DATA7" localSheetId="1">WBS.structure!$G$2:$G$525</definedName>
    <definedName name="DATA8" localSheetId="1">WBS.structure!$H$2:$H$525</definedName>
    <definedName name="DATA9" localSheetId="1">WBS.structure!$I$2:$I$525</definedName>
    <definedName name="EV__LASTREFTIME__" hidden="1">39492.5277777778</definedName>
    <definedName name="fghg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g" hidden="1">{#N/A,#N/A,FALSE,"Parameters";#N/A,#N/A,FALSE,"Costs";"ef",#N/A,FALSE,"Effort";"ps",#N/A,FALSE,"1-P&amp;S";"vt",#N/A,FALSE,"2-V&amp;T";"re",#N/A,FALSE,"3-RED.";"co",#N/A,FALSE,"4-CONF.";"td",#N/A,FALSE,"5-T&amp;D"}</definedName>
    <definedName name="L0_list">[2]Code_Dictionary!$C$17:$C$20</definedName>
    <definedName name="L1_List">[2]Code_Dictionary!$D$17:$D$20</definedName>
    <definedName name="L2_Code">[2]Code_Dictionary!$B$30:$B$33</definedName>
    <definedName name="L3_AFE_code">[2]Code_Dictionary!$F$49:$F$145</definedName>
    <definedName name="L3_asset_code">[2]Code_Dictionary!$E$49:$E$145</definedName>
    <definedName name="L3_Code">[2]Code_Dictionary!$C$49:$C$145</definedName>
    <definedName name="L3_Code_Desc">[2]Code_Dictionary!$H$49:$H$145</definedName>
    <definedName name="L3_WBS_list">[2]Code_Dictionary!$G$49:$G$145</definedName>
    <definedName name="Level_WBS_code">WBS.structure!$B$1:$B$2426</definedName>
    <definedName name="q" hidden="1">'[1]R-1'!#REF!</definedName>
    <definedName name="SAPBEXrevision" hidden="1">3</definedName>
    <definedName name="SAPBEXsysID" hidden="1">"PBW"</definedName>
    <definedName name="SAPBEXwbID" hidden="1">"3WU8T254Z15RWUEPGC705AQ1M"</definedName>
    <definedName name="SDAF" hidden="1">{#N/A,#N/A,FALSE,"QTR-1";#N/A,#N/A,FALSE,"1Q-INCL";#N/A,#N/A,FALSE,"1Q-EXCL"}</definedName>
    <definedName name="SERVICE_ITEMS">[2]Code_Dictionary!$C$1265:$C$1287</definedName>
    <definedName name="tes" hidden="1">'[1]R-1'!#REF!</definedName>
    <definedName name="tes_f" hidden="1">'[1]R-1'!#REF!</definedName>
    <definedName name="TEST1" localSheetId="1">WBS.structure!$A$2:$T$525</definedName>
    <definedName name="TESTHKEY" localSheetId="1">WBS.structure!$D$1:$T$1</definedName>
    <definedName name="TESTKEYS" localSheetId="1">WBS.structure!$A$2:$C$525</definedName>
    <definedName name="TESTVKEY" localSheetId="1">WBS.structure!$A$1:$C$1</definedName>
    <definedName name="WBS_ACT_USD">WBS.structure!$N$2:$N$2426</definedName>
    <definedName name="WBS_BUD_USD">WBS.structure!$F$2:$F$2426</definedName>
    <definedName name="WBS_Desc">WBS.structure!$C$2:$C$2426</definedName>
    <definedName name="WBS_ID">WBS.structure!$D$2:$D$2426</definedName>
    <definedName name="wrn.11in._.Wellhead._.Cost._.Sheets." hidden="1">{#N/A,#N/A,TRUE,"11"", 9-5'8 Csg";#N/A,#N/A,TRUE,"11"", 7"" Csg";#N/A,#N/A,TRUE,"11"", 2-7'8 Tbg"}</definedName>
    <definedName name="wrn.9in._.Twin._.Splitter._.Cost._.Sheets." hidden="1">{#N/A,#N/A,TRUE,"9"" Twin, 26"" Csg";#N/A,#N/A,TRUE,"9"" Twin, 9-5'8 Csg";#N/A,#N/A,TRUE,"9"" Twin, 7"" Csg";#N/A,#N/A,TRUE,"9"" Twin, 2-7'8 Tbg"}</definedName>
    <definedName name="wrn.All._.Cost._.Sheets." hidden="1">{#N/A,#N/A,TRUE,"11"", 9-5'8 Csg";#N/A,#N/A,TRUE,"11"", 7"" Csg";#N/A,#N/A,TRUE,"11"", 2-7'8 Tbg";#N/A,#N/A,TRUE,"9"" Twin, 26"" Csg";#N/A,#N/A,TRUE,"9"" Twin, 9-5'8 Csg";#N/A,#N/A,TRUE,"9"" Twin, 7"" Csg";#N/A,#N/A,TRUE,"9"" Twin, 2-7'8 Tbg"}</definedName>
    <definedName name="wrn.ALL._.SHEETS." hidden="1">{#N/A,#N/A,FALSE,"Info";#N/A,#N/A,FALSE,"Cost 1";#N/A,#N/A,FALSE,"Cost 2";#N/A,#N/A,FALSE,"Cost 3";#N/A,#N/A,FALSE,"Bits";#N/A,#N/A,FALSE,"Drilling";#N/A,#N/A,FALSE,"Casing";#N/A,#N/A,FALSE,"Completion";#N/A,#N/A,FALSE,"Tubing";#N/A,#N/A,FALSE,"Wellhead";#N/A,#N/A,FALSE,"Equip";#N/A,#N/A,FALSE,"Misc";#N/A,#N/A,FALSE,"Stock";#N/A,#N/A,FALSE,"Supplies"}</definedName>
    <definedName name="wrn.ASSLIN." hidden="1">{#N/A,#N/A,FALSE,"R-1";#N/A,#N/A,FALSE,"R-2";#N/A,#N/A,FALSE,"R-2A";0,#N/A,FALSE,"R-3";#N/A,#N/A,FALSE,"R-4";#N/A,#N/A,FALSE,"R-4A";#N/A,#N/A,FALSE,"R-8";#N/A,#N/A,FALSE,"R-8A";#N/A,#N/A,FALSE,"R-11";#N/A,#N/A,FALSE,"R-11A";#N/A,#N/A,FALSE,"R-14";#N/A,#N/A,FALSE,"R-15";#N/A,#N/A,FALSE,"R-16.1"}</definedName>
    <definedName name="wrn.estimate." hidden="1">{#N/A,#N/A,FALSE,"Parameters";#N/A,#N/A,FALSE,"Costs";"ef",#N/A,FALSE,"Effort";"ps",#N/A,FALSE,"1-P&amp;S";"vt",#N/A,FALSE,"2-V&amp;T";"re",#N/A,FALSE,"3-RED.";"co",#N/A,FALSE,"4-CONF.";"td",#N/A,FALSE,"5-T&amp;D"}</definedName>
    <definedName name="wrn.Gelam." hidden="1">{#N/A,#N/A,FALSE,"Sch-1";#N/A,#N/A,FALSE,"Sch-1 (Cond)";#N/A,#N/A,FALSE,"Sch-1 (Gas)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 (Cond)";#N/A,#N/A,FALSE,"Sch-16 (Gas)";#N/A,#N/A,FALSE,"Sch-17";#N/A,#N/A,FALSE,"Sch-17 (2)"}</definedName>
    <definedName name="wrn.GRGLIN." hidden="1">{#N/A,#N/A,FALSE,"R-1";#N/A,#N/A,FALSE,"R-1 (Oil)";#N/A,#N/A,FALSE,"R-1 (Gas)";#N/A,#N/A,FALSE,"R-2";#N/A,#N/A,FALSE,"R-2A";#N/A,#N/A,FALSE,"R-3";#N/A,#N/A,FALSE,"R-4";#N/A,#N/A,FALSE,"R-4 (Oil)";#N/A,#N/A,FALSE,"R-4 (Gas)";#N/A,#N/A,FALSE,"R-4A";#N/A,#N/A,FALSE,"R-8";#N/A,#N/A,FALSE,"R-8A";#N/A,#N/A,FALSE,"R-11";#N/A,#N/A,FALSE,"R-11A";#N/A,#N/A,FALSE,"R-14 (Oil)";#N/A,#N/A,FALSE,"R-14 (Gas)";#N/A,#N/A,FALSE,"R-15";#N/A,#N/A,FALSE,"R-16.1";#N/A,#N/A,FALSE,"R-16.1.1 (Oil)";#N/A,#N/A,FALSE,"R-16.2";#N/A,#N/A,FALSE,"R-16.2.1 (Gas)"}</definedName>
    <definedName name="wrn.Grissik_Ex." hidden="1">{#N/A,#N/A,FALSE,"Sch-1";#N/A,#N/A,FALSE,"Sch-1 (Oil)";#N/A,#N/A,FALSE,"Sch-1 (Gas)";#N/A,#N/A,FALSE,"Sch-2";#N/A,#N/A,FALSE,"Sch-3";#N/A,#N/A,FALSE,"Sch-3 (Oil)";#N/A,#N/A,FALSE,"Sch-3 (Gas)";#N/A,#N/A,FALSE,"Sch-3A";#N/A,#N/A,FALSE,"Sch-3A (Oil)";#N/A,#N/A,FALSE,"Sch-3A (Gas)";#N/A,#N/A,FALSE,"Sch-4";#N/A,#N/A,FALSE,"Sch-4 (Oil)";#N/A,#N/A,FALSE,"Sch-4 (Gas)";#N/A,#N/A,FALSE,"Sch-4A";#N/A,#N/A,FALSE,"Sch-4A (Oil)";#N/A,#N/A,FALSE,"Sch-4A (Gas)";#N/A,#N/A,FALSE,"Sch-5";#N/A,#N/A,FALSE,"Sch-5 (Oil)";#N/A,#N/A,FALSE,"Sch-5 (Gas)";#N/A,#N/A,FALSE,"Sch-6";#N/A,#N/A,FALSE,"Sch-6 (Oil)";#N/A,#N/A,FALSE,"Sch-6 (Gas)";#N/A,#N/A,FALSE,"Sch-7";#N/A,#N/A,FALSE,"Sch-8";#N/A,#N/A,FALSE,"Sch-8A";#N/A,#N/A,FALSE,"Sch-9";#N/A,#N/A,FALSE,"Sch-9 (Oil)";#N/A,#N/A,FALSE,"Sch-9 (Gas)";#N/A,#N/A,FALSE,"Sch-10";#N/A,#N/A,FALSE,"Sch-10 (Oil)";#N/A,#N/A,FALSE,"Sch-10 (Gas)";#N/A,#N/A,FALSE,"Sch-11";#N/A,#N/A,FALSE,"Sch-11A";#N/A,#N/A,FALSE,"Sch-12";#N/A,#N/A,FALSE,"Sch-13";#N/A,#N/A,FALSE,"Sch-14 (Oil)";#N/A,#N/A,FALSE,"Sch-14 (Gas)";#N/A,#N/A,FALSE,"Sch-15";#N/A,#N/A,FALSE,"Sch-16 (Oil)";#N/A,#N/A,FALSE,"Sch-16 (Gas)";#N/A,#N/A,FALSE,"Sch-17";#N/A,#N/A,FALSE,"Sch-17 (2)"}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Kakap." hidden="1">{#N/A,#N/A,FALSE,"Sch-1";#N/A,#N/A,FALSE,"Sch-1 (Oil)";#N/A,#N/A,FALSE,"Sch-1 (Gas)";#N/A,#N/A,FALSE,"Sch-2";#N/A,#N/A,FALSE,"Sch-3";#N/A,#N/A,FALSE,"Sch-3 (Oil)";#N/A,#N/A,FALSE,"Sch-3 (Gas)";#N/A,#N/A,FALSE,"Sch-3A";#N/A,#N/A,FALSE,"Sch-3A (Oil)";#N/A,#N/A,FALSE,"Sch-3A (Gas)";#N/A,#N/A,FALSE,"Sch-4";#N/A,#N/A,FALSE,"Sch-4 (Oil)";#N/A,#N/A,FALSE,"Sch-4 (Gas)";#N/A,#N/A,FALSE,"Sch-4A";#N/A,#N/A,FALSE,"Sch-4A (Oil)";#N/A,#N/A,FALSE,"Sch-4A (Gas)";#N/A,#N/A,FALSE,"Sch-5";#N/A,#N/A,FALSE,"Sch-5 (Oil)";#N/A,#N/A,FALSE,"Sch-5 (Gas)";#N/A,#N/A,FALSE,"Sch-6";#N/A,#N/A,FALSE,"Sch-6 (Oil)";#N/A,#N/A,FALSE,"Sch-6 (Gas)";#N/A,#N/A,FALSE,"Sch-7";#N/A,#N/A,FALSE,"Sch-8";#N/A,#N/A,FALSE,"Sch-8A";#N/A,#N/A,FALSE,"Sch-9";#N/A,#N/A,FALSE,"Sch-9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 (Oil)";#N/A,#N/A,FALSE,"Sch-14 (Gas)";#N/A,#N/A,FALSE,"Sch-15 ";#N/A,#N/A,FALSE,"Sch-16 (Oil)";#N/A,#N/A,FALSE,"Sch-16 (Gas)";#N/A,#N/A,FALSE,"Sch-16 Attch.";#N/A,#N/A,FALSE,"Sch-17";#N/A,#N/A,FALSE,"Sch-17 (2)"}</definedName>
    <definedName name="wrn.Ketapang.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";#N/A,#N/A,FALSE,"Sch-17A"}</definedName>
    <definedName name="wrn.Print._.Plots." hidden="1">{"Plot1",#N/A,FALSE,"Plots";"plot2",#N/A,FALSE,"Plots";"plot3",#N/A,FALSE,"Plots";"plot4",#N/A,FALSE,"Plots";"plot5",#N/A,FALSE,"Plots";"plot6",#N/A,FALSE,"Plots"}</definedName>
    <definedName name="wrn.QTR_1." hidden="1">{#N/A,#N/A,FALSE,"QTR-1";#N/A,#N/A,FALSE,"1Q-INCL";#N/A,#N/A,FALSE,"1Q-EXCL"}</definedName>
    <definedName name="wrn.QTR_2." hidden="1">{#N/A,#N/A,FALSE,"QTR-2";#N/A,#N/A,FALSE,"2Q-INCL";#N/A,#N/A,FALSE,"2Q-EXCL"}</definedName>
    <definedName name="wrn.QTR_3." hidden="1">{#N/A,#N/A,FALSE,"QTR-3";#N/A,#N/A,FALSE,"3Q-INCL";#N/A,#N/A,FALSE,"3Q-EXCL"}</definedName>
    <definedName name="wrn.QTR_4." hidden="1">{#N/A,#N/A,FALSE,"QTR-4";#N/A,#N/A,FALSE,"4Q-INCL";#N/A,#N/A,FALSE,"4Q-EXCL"}</definedName>
    <definedName name="wrn.Sebuku." hidden="1">{#N/A,#N/A,FALSE,"Sch-1";#N/A,#N/A,FALSE,"Sch-2";#N/A,#N/A,FALSE,"Sch-3";#N/A,#N/A,FALSE,"Sch-3A";#N/A,#N/A,FALSE,"Sch-4";#N/A,#N/A,FALSE,"Sch-4A";#N/A,#N/A,FALSE,"Sch-5";#N/A,#N/A,FALSE,"Sch-6";#N/A,#N/A,FALSE,"Sch-7";#N/A,#N/A,FALSE,"Sch-8";#N/A,#N/A,FALSE,"Sch-8A";#N/A,#N/A,FALSE,"Sch-9";#N/A,#N/A,FALSE,"Sch-10";#N/A,#N/A,FALSE,"Sch-11";#N/A,#N/A,FALSE,"Sch-11A";#N/A,#N/A,FALSE,"Sch-12";#N/A,#N/A,FALSE,"Sch-13";#N/A,#N/A,FALSE,"Sch-14";#N/A,#N/A,FALSE,"Sch-15";#N/A,#N/A,FALSE,"Sch-16";#N/A,#N/A,FALSE,"Sch-17";#N/A,#N/A,FALSE,"Sch-17 (2)"}</definedName>
    <definedName name="www" hidden="1">{"Plot1",#N/A,FALSE,"Plots";"plot2",#N/A,FALSE,"Plots";"plot3",#N/A,FALSE,"Plots";"plot4",#N/A,FALSE,"Plots";"plot5",#N/A,FALSE,"Plots";"plot6",#N/A,FALSE,"Plots"}</definedName>
    <definedName name="YUS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zas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65" i="1" l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A1223" i="1"/>
  <c r="C1216" i="1"/>
  <c r="C1217" i="1"/>
  <c r="C1218" i="1"/>
  <c r="C121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AE2426" i="2"/>
  <c r="AD2426" i="2"/>
  <c r="AC2426" i="2"/>
  <c r="AB2426" i="2"/>
  <c r="AA2426" i="2"/>
  <c r="Z2426" i="2"/>
  <c r="Y2426" i="2"/>
  <c r="X2426" i="2"/>
  <c r="W2426" i="2"/>
  <c r="V2426" i="2"/>
  <c r="AE2425" i="2"/>
  <c r="AD2425" i="2"/>
  <c r="AC2425" i="2"/>
  <c r="AB2425" i="2"/>
  <c r="AA2425" i="2"/>
  <c r="Z2425" i="2"/>
  <c r="Y2425" i="2"/>
  <c r="X2425" i="2"/>
  <c r="W2425" i="2"/>
  <c r="V2425" i="2"/>
  <c r="AE2424" i="2"/>
  <c r="AD2424" i="2"/>
  <c r="AC2424" i="2"/>
  <c r="AB2424" i="2"/>
  <c r="AA2424" i="2"/>
  <c r="Z2424" i="2"/>
  <c r="Y2424" i="2"/>
  <c r="X2424" i="2"/>
  <c r="W2424" i="2"/>
  <c r="V2424" i="2"/>
  <c r="AE2423" i="2"/>
  <c r="AD2423" i="2"/>
  <c r="AC2423" i="2"/>
  <c r="AB2423" i="2"/>
  <c r="AA2423" i="2"/>
  <c r="Z2423" i="2"/>
  <c r="Y2423" i="2"/>
  <c r="X2423" i="2"/>
  <c r="W2423" i="2"/>
  <c r="V2423" i="2"/>
  <c r="AE2422" i="2"/>
  <c r="AD2422" i="2"/>
  <c r="AC2422" i="2"/>
  <c r="AB2422" i="2"/>
  <c r="AA2422" i="2"/>
  <c r="Z2422" i="2"/>
  <c r="Y2422" i="2"/>
  <c r="X2422" i="2"/>
  <c r="W2422" i="2"/>
  <c r="V2422" i="2"/>
  <c r="AE2421" i="2"/>
  <c r="AD2421" i="2"/>
  <c r="AC2421" i="2"/>
  <c r="AB2421" i="2"/>
  <c r="AA2421" i="2"/>
  <c r="Z2421" i="2"/>
  <c r="Y2421" i="2"/>
  <c r="X2421" i="2"/>
  <c r="W2421" i="2"/>
  <c r="V2421" i="2"/>
  <c r="AE2420" i="2"/>
  <c r="AD2420" i="2"/>
  <c r="AC2420" i="2"/>
  <c r="AB2420" i="2"/>
  <c r="AA2420" i="2"/>
  <c r="Z2420" i="2"/>
  <c r="Y2420" i="2"/>
  <c r="X2420" i="2"/>
  <c r="W2420" i="2"/>
  <c r="V2420" i="2"/>
  <c r="AE2419" i="2"/>
  <c r="AD2419" i="2"/>
  <c r="AC2419" i="2"/>
  <c r="AB2419" i="2"/>
  <c r="AA2419" i="2"/>
  <c r="Z2419" i="2"/>
  <c r="Y2419" i="2"/>
  <c r="X2419" i="2"/>
  <c r="W2419" i="2"/>
  <c r="V2419" i="2"/>
  <c r="AE2418" i="2"/>
  <c r="AD2418" i="2"/>
  <c r="AC2418" i="2"/>
  <c r="AB2418" i="2"/>
  <c r="AA2418" i="2"/>
  <c r="Z2418" i="2"/>
  <c r="Y2418" i="2"/>
  <c r="X2418" i="2"/>
  <c r="W2418" i="2"/>
  <c r="V2418" i="2"/>
  <c r="AE2417" i="2"/>
  <c r="AD2417" i="2"/>
  <c r="AC2417" i="2"/>
  <c r="AB2417" i="2"/>
  <c r="AA2417" i="2"/>
  <c r="Z2417" i="2"/>
  <c r="Y2417" i="2"/>
  <c r="X2417" i="2"/>
  <c r="W2417" i="2"/>
  <c r="V2417" i="2"/>
  <c r="AE2416" i="2"/>
  <c r="AD2416" i="2"/>
  <c r="AC2416" i="2"/>
  <c r="AB2416" i="2"/>
  <c r="AA2416" i="2"/>
  <c r="Z2416" i="2"/>
  <c r="Y2416" i="2"/>
  <c r="X2416" i="2"/>
  <c r="W2416" i="2"/>
  <c r="V2416" i="2"/>
  <c r="AE2415" i="2"/>
  <c r="AD2415" i="2"/>
  <c r="AC2415" i="2"/>
  <c r="AB2415" i="2"/>
  <c r="AA2415" i="2"/>
  <c r="Z2415" i="2"/>
  <c r="Y2415" i="2"/>
  <c r="X2415" i="2"/>
  <c r="W2415" i="2"/>
  <c r="V2415" i="2"/>
  <c r="AE2414" i="2"/>
  <c r="AD2414" i="2"/>
  <c r="AC2414" i="2"/>
  <c r="AB2414" i="2"/>
  <c r="AA2414" i="2"/>
  <c r="Z2414" i="2"/>
  <c r="Y2414" i="2"/>
  <c r="X2414" i="2"/>
  <c r="W2414" i="2"/>
  <c r="V2414" i="2"/>
  <c r="AE2413" i="2"/>
  <c r="AD2413" i="2"/>
  <c r="AC2413" i="2"/>
  <c r="AB2413" i="2"/>
  <c r="AA2413" i="2"/>
  <c r="Z2413" i="2"/>
  <c r="Y2413" i="2"/>
  <c r="X2413" i="2"/>
  <c r="W2413" i="2"/>
  <c r="V2413" i="2"/>
  <c r="AE2412" i="2"/>
  <c r="AD2412" i="2"/>
  <c r="AC2412" i="2"/>
  <c r="AB2412" i="2"/>
  <c r="AA2412" i="2"/>
  <c r="Z2412" i="2"/>
  <c r="Y2412" i="2"/>
  <c r="X2412" i="2"/>
  <c r="W2412" i="2"/>
  <c r="V2412" i="2"/>
  <c r="AE2411" i="2"/>
  <c r="AD2411" i="2"/>
  <c r="AC2411" i="2"/>
  <c r="AB2411" i="2"/>
  <c r="AA2411" i="2"/>
  <c r="Z2411" i="2"/>
  <c r="Y2411" i="2"/>
  <c r="X2411" i="2"/>
  <c r="W2411" i="2"/>
  <c r="V2411" i="2"/>
  <c r="AE2410" i="2"/>
  <c r="AD2410" i="2"/>
  <c r="AC2410" i="2"/>
  <c r="AB2410" i="2"/>
  <c r="AA2410" i="2"/>
  <c r="Z2410" i="2"/>
  <c r="Y2410" i="2"/>
  <c r="X2410" i="2"/>
  <c r="W2410" i="2"/>
  <c r="V2410" i="2"/>
  <c r="AE2409" i="2"/>
  <c r="AD2409" i="2"/>
  <c r="AC2409" i="2"/>
  <c r="AB2409" i="2"/>
  <c r="AA2409" i="2"/>
  <c r="Z2409" i="2"/>
  <c r="Y2409" i="2"/>
  <c r="X2409" i="2"/>
  <c r="W2409" i="2"/>
  <c r="V2409" i="2"/>
  <c r="AE2408" i="2"/>
  <c r="AD2408" i="2"/>
  <c r="AC2408" i="2"/>
  <c r="AB2408" i="2"/>
  <c r="AA2408" i="2"/>
  <c r="Z2408" i="2"/>
  <c r="Y2408" i="2"/>
  <c r="X2408" i="2"/>
  <c r="W2408" i="2"/>
  <c r="V2408" i="2"/>
  <c r="AE2407" i="2"/>
  <c r="AD2407" i="2"/>
  <c r="AC2407" i="2"/>
  <c r="AB2407" i="2"/>
  <c r="AA2407" i="2"/>
  <c r="Z2407" i="2"/>
  <c r="Y2407" i="2"/>
  <c r="X2407" i="2"/>
  <c r="W2407" i="2"/>
  <c r="V2407" i="2"/>
  <c r="AE2406" i="2"/>
  <c r="AD2406" i="2"/>
  <c r="AC2406" i="2"/>
  <c r="AB2406" i="2"/>
  <c r="AA2406" i="2"/>
  <c r="Z2406" i="2"/>
  <c r="Y2406" i="2"/>
  <c r="X2406" i="2"/>
  <c r="W2406" i="2"/>
  <c r="V2406" i="2"/>
  <c r="AE2405" i="2"/>
  <c r="AD2405" i="2"/>
  <c r="AC2405" i="2"/>
  <c r="AB2405" i="2"/>
  <c r="AA2405" i="2"/>
  <c r="Z2405" i="2"/>
  <c r="Y2405" i="2"/>
  <c r="X2405" i="2"/>
  <c r="W2405" i="2"/>
  <c r="V2405" i="2"/>
  <c r="AE2404" i="2"/>
  <c r="AD2404" i="2"/>
  <c r="AC2404" i="2"/>
  <c r="AB2404" i="2"/>
  <c r="AA2404" i="2"/>
  <c r="Z2404" i="2"/>
  <c r="Y2404" i="2"/>
  <c r="X2404" i="2"/>
  <c r="W2404" i="2"/>
  <c r="V2404" i="2"/>
  <c r="AE2403" i="2"/>
  <c r="AD2403" i="2"/>
  <c r="AC2403" i="2"/>
  <c r="AB2403" i="2"/>
  <c r="AA2403" i="2"/>
  <c r="Z2403" i="2"/>
  <c r="Y2403" i="2"/>
  <c r="X2403" i="2"/>
  <c r="W2403" i="2"/>
  <c r="V2403" i="2"/>
  <c r="AE2402" i="2"/>
  <c r="AD2402" i="2"/>
  <c r="AC2402" i="2"/>
  <c r="AB2402" i="2"/>
  <c r="AA2402" i="2"/>
  <c r="Z2402" i="2"/>
  <c r="Y2402" i="2"/>
  <c r="X2402" i="2"/>
  <c r="W2402" i="2"/>
  <c r="V2402" i="2"/>
  <c r="AE2401" i="2"/>
  <c r="AD2401" i="2"/>
  <c r="AC2401" i="2"/>
  <c r="AB2401" i="2"/>
  <c r="AA2401" i="2"/>
  <c r="Z2401" i="2"/>
  <c r="Y2401" i="2"/>
  <c r="X2401" i="2"/>
  <c r="W2401" i="2"/>
  <c r="V2401" i="2"/>
  <c r="AE2400" i="2"/>
  <c r="AD2400" i="2"/>
  <c r="AC2400" i="2"/>
  <c r="AB2400" i="2"/>
  <c r="AA2400" i="2"/>
  <c r="Z2400" i="2"/>
  <c r="Y2400" i="2"/>
  <c r="X2400" i="2"/>
  <c r="W2400" i="2"/>
  <c r="V2400" i="2"/>
  <c r="AE2399" i="2"/>
  <c r="AD2399" i="2"/>
  <c r="AC2399" i="2"/>
  <c r="AB2399" i="2"/>
  <c r="AA2399" i="2"/>
  <c r="Z2399" i="2"/>
  <c r="Y2399" i="2"/>
  <c r="X2399" i="2"/>
  <c r="W2399" i="2"/>
  <c r="V2399" i="2"/>
  <c r="AE2398" i="2"/>
  <c r="AD2398" i="2"/>
  <c r="AC2398" i="2"/>
  <c r="AB2398" i="2"/>
  <c r="AA2398" i="2"/>
  <c r="Z2398" i="2"/>
  <c r="Y2398" i="2"/>
  <c r="X2398" i="2"/>
  <c r="W2398" i="2"/>
  <c r="V2398" i="2"/>
  <c r="AE2397" i="2"/>
  <c r="AD2397" i="2"/>
  <c r="AC2397" i="2"/>
  <c r="AB2397" i="2"/>
  <c r="AA2397" i="2"/>
  <c r="Z2397" i="2"/>
  <c r="Y2397" i="2"/>
  <c r="X2397" i="2"/>
  <c r="W2397" i="2"/>
  <c r="V2397" i="2"/>
  <c r="AE2396" i="2"/>
  <c r="AD2396" i="2"/>
  <c r="AC2396" i="2"/>
  <c r="AB2396" i="2"/>
  <c r="AA2396" i="2"/>
  <c r="Z2396" i="2"/>
  <c r="Y2396" i="2"/>
  <c r="X2396" i="2"/>
  <c r="W2396" i="2"/>
  <c r="V2396" i="2"/>
  <c r="AE2395" i="2"/>
  <c r="AD2395" i="2"/>
  <c r="AC2395" i="2"/>
  <c r="AB2395" i="2"/>
  <c r="AA2395" i="2"/>
  <c r="Z2395" i="2"/>
  <c r="Y2395" i="2"/>
  <c r="X2395" i="2"/>
  <c r="W2395" i="2"/>
  <c r="V2395" i="2"/>
  <c r="AE2394" i="2"/>
  <c r="AD2394" i="2"/>
  <c r="AC2394" i="2"/>
  <c r="AB2394" i="2"/>
  <c r="AA2394" i="2"/>
  <c r="Z2394" i="2"/>
  <c r="Y2394" i="2"/>
  <c r="X2394" i="2"/>
  <c r="W2394" i="2"/>
  <c r="V2394" i="2"/>
  <c r="AE2393" i="2"/>
  <c r="AD2393" i="2"/>
  <c r="AC2393" i="2"/>
  <c r="AB2393" i="2"/>
  <c r="AA2393" i="2"/>
  <c r="Z2393" i="2"/>
  <c r="Y2393" i="2"/>
  <c r="X2393" i="2"/>
  <c r="W2393" i="2"/>
  <c r="V2393" i="2"/>
  <c r="AE2392" i="2"/>
  <c r="AD2392" i="2"/>
  <c r="AC2392" i="2"/>
  <c r="AB2392" i="2"/>
  <c r="AA2392" i="2"/>
  <c r="Z2392" i="2"/>
  <c r="Y2392" i="2"/>
  <c r="X2392" i="2"/>
  <c r="W2392" i="2"/>
  <c r="V2392" i="2"/>
  <c r="AE2391" i="2"/>
  <c r="AD2391" i="2"/>
  <c r="AC2391" i="2"/>
  <c r="AB2391" i="2"/>
  <c r="AA2391" i="2"/>
  <c r="Z2391" i="2"/>
  <c r="Y2391" i="2"/>
  <c r="X2391" i="2"/>
  <c r="W2391" i="2"/>
  <c r="V2391" i="2"/>
  <c r="AE2390" i="2"/>
  <c r="AD2390" i="2"/>
  <c r="AC2390" i="2"/>
  <c r="AB2390" i="2"/>
  <c r="AA2390" i="2"/>
  <c r="Z2390" i="2"/>
  <c r="Y2390" i="2"/>
  <c r="X2390" i="2"/>
  <c r="W2390" i="2"/>
  <c r="V2390" i="2"/>
  <c r="AE2389" i="2"/>
  <c r="AD2389" i="2"/>
  <c r="AC2389" i="2"/>
  <c r="AB2389" i="2"/>
  <c r="AA2389" i="2"/>
  <c r="Z2389" i="2"/>
  <c r="Y2389" i="2"/>
  <c r="X2389" i="2"/>
  <c r="W2389" i="2"/>
  <c r="V2389" i="2"/>
  <c r="AE2388" i="2"/>
  <c r="AD2388" i="2"/>
  <c r="AC2388" i="2"/>
  <c r="AB2388" i="2"/>
  <c r="AA2388" i="2"/>
  <c r="Z2388" i="2"/>
  <c r="Y2388" i="2"/>
  <c r="X2388" i="2"/>
  <c r="W2388" i="2"/>
  <c r="V2388" i="2"/>
  <c r="AE2387" i="2"/>
  <c r="AD2387" i="2"/>
  <c r="AC2387" i="2"/>
  <c r="AB2387" i="2"/>
  <c r="AA2387" i="2"/>
  <c r="Z2387" i="2"/>
  <c r="Y2387" i="2"/>
  <c r="X2387" i="2"/>
  <c r="W2387" i="2"/>
  <c r="V2387" i="2"/>
  <c r="AE2386" i="2"/>
  <c r="AD2386" i="2"/>
  <c r="AC2386" i="2"/>
  <c r="AB2386" i="2"/>
  <c r="AA2386" i="2"/>
  <c r="Z2386" i="2"/>
  <c r="Y2386" i="2"/>
  <c r="X2386" i="2"/>
  <c r="W2386" i="2"/>
  <c r="V2386" i="2"/>
  <c r="AE2385" i="2"/>
  <c r="AD2385" i="2"/>
  <c r="AC2385" i="2"/>
  <c r="AB2385" i="2"/>
  <c r="AA2385" i="2"/>
  <c r="Z2385" i="2"/>
  <c r="Y2385" i="2"/>
  <c r="X2385" i="2"/>
  <c r="W2385" i="2"/>
  <c r="V2385" i="2"/>
  <c r="AE2384" i="2"/>
  <c r="AD2384" i="2"/>
  <c r="AC2384" i="2"/>
  <c r="AB2384" i="2"/>
  <c r="AA2384" i="2"/>
  <c r="Z2384" i="2"/>
  <c r="Y2384" i="2"/>
  <c r="X2384" i="2"/>
  <c r="W2384" i="2"/>
  <c r="V2384" i="2"/>
  <c r="AE2383" i="2"/>
  <c r="AD2383" i="2"/>
  <c r="AC2383" i="2"/>
  <c r="AB2383" i="2"/>
  <c r="AA2383" i="2"/>
  <c r="Z2383" i="2"/>
  <c r="Y2383" i="2"/>
  <c r="X2383" i="2"/>
  <c r="W2383" i="2"/>
  <c r="V2383" i="2"/>
  <c r="AE2382" i="2"/>
  <c r="AD2382" i="2"/>
  <c r="AC2382" i="2"/>
  <c r="AB2382" i="2"/>
  <c r="AA2382" i="2"/>
  <c r="Z2382" i="2"/>
  <c r="Y2382" i="2"/>
  <c r="X2382" i="2"/>
  <c r="W2382" i="2"/>
  <c r="V2382" i="2"/>
  <c r="AE2381" i="2"/>
  <c r="AD2381" i="2"/>
  <c r="AC2381" i="2"/>
  <c r="AB2381" i="2"/>
  <c r="AA2381" i="2"/>
  <c r="Z2381" i="2"/>
  <c r="Y2381" i="2"/>
  <c r="X2381" i="2"/>
  <c r="W2381" i="2"/>
  <c r="V2381" i="2"/>
  <c r="AE2380" i="2"/>
  <c r="AD2380" i="2"/>
  <c r="AC2380" i="2"/>
  <c r="AB2380" i="2"/>
  <c r="AA2380" i="2"/>
  <c r="Z2380" i="2"/>
  <c r="Y2380" i="2"/>
  <c r="X2380" i="2"/>
  <c r="W2380" i="2"/>
  <c r="V2380" i="2"/>
  <c r="AE2379" i="2"/>
  <c r="AD2379" i="2"/>
  <c r="AC2379" i="2"/>
  <c r="AB2379" i="2"/>
  <c r="AA2379" i="2"/>
  <c r="Z2379" i="2"/>
  <c r="Y2379" i="2"/>
  <c r="X2379" i="2"/>
  <c r="W2379" i="2"/>
  <c r="V2379" i="2"/>
  <c r="AE2378" i="2"/>
  <c r="AD2378" i="2"/>
  <c r="AC2378" i="2"/>
  <c r="AB2378" i="2"/>
  <c r="AA2378" i="2"/>
  <c r="Z2378" i="2"/>
  <c r="Y2378" i="2"/>
  <c r="X2378" i="2"/>
  <c r="W2378" i="2"/>
  <c r="V2378" i="2"/>
  <c r="AE2377" i="2"/>
  <c r="AD2377" i="2"/>
  <c r="AC2377" i="2"/>
  <c r="AB2377" i="2"/>
  <c r="AA2377" i="2"/>
  <c r="Z2377" i="2"/>
  <c r="Y2377" i="2"/>
  <c r="X2377" i="2"/>
  <c r="W2377" i="2"/>
  <c r="V2377" i="2"/>
  <c r="AE2376" i="2"/>
  <c r="AD2376" i="2"/>
  <c r="AC2376" i="2"/>
  <c r="AB2376" i="2"/>
  <c r="AA2376" i="2"/>
  <c r="Z2376" i="2"/>
  <c r="Y2376" i="2"/>
  <c r="X2376" i="2"/>
  <c r="W2376" i="2"/>
  <c r="V2376" i="2"/>
  <c r="AE2375" i="2"/>
  <c r="AD2375" i="2"/>
  <c r="AC2375" i="2"/>
  <c r="AB2375" i="2"/>
  <c r="AA2375" i="2"/>
  <c r="Z2375" i="2"/>
  <c r="Y2375" i="2"/>
  <c r="X2375" i="2"/>
  <c r="W2375" i="2"/>
  <c r="V2375" i="2"/>
  <c r="AE2374" i="2"/>
  <c r="AD2374" i="2"/>
  <c r="AC2374" i="2"/>
  <c r="AB2374" i="2"/>
  <c r="AA2374" i="2"/>
  <c r="Z2374" i="2"/>
  <c r="Y2374" i="2"/>
  <c r="X2374" i="2"/>
  <c r="W2374" i="2"/>
  <c r="V2374" i="2"/>
  <c r="AE2373" i="2"/>
  <c r="AD2373" i="2"/>
  <c r="AC2373" i="2"/>
  <c r="AB2373" i="2"/>
  <c r="AA2373" i="2"/>
  <c r="Z2373" i="2"/>
  <c r="Y2373" i="2"/>
  <c r="X2373" i="2"/>
  <c r="W2373" i="2"/>
  <c r="V2373" i="2"/>
  <c r="AE2372" i="2"/>
  <c r="AD2372" i="2"/>
  <c r="AC2372" i="2"/>
  <c r="AB2372" i="2"/>
  <c r="AA2372" i="2"/>
  <c r="Z2372" i="2"/>
  <c r="Y2372" i="2"/>
  <c r="X2372" i="2"/>
  <c r="W2372" i="2"/>
  <c r="V2372" i="2"/>
  <c r="AE2371" i="2"/>
  <c r="AD2371" i="2"/>
  <c r="AC2371" i="2"/>
  <c r="AB2371" i="2"/>
  <c r="AA2371" i="2"/>
  <c r="Z2371" i="2"/>
  <c r="Y2371" i="2"/>
  <c r="X2371" i="2"/>
  <c r="W2371" i="2"/>
  <c r="V2371" i="2"/>
  <c r="AE2370" i="2"/>
  <c r="AD2370" i="2"/>
  <c r="AC2370" i="2"/>
  <c r="AB2370" i="2"/>
  <c r="AA2370" i="2"/>
  <c r="Z2370" i="2"/>
  <c r="Y2370" i="2"/>
  <c r="X2370" i="2"/>
  <c r="W2370" i="2"/>
  <c r="V2370" i="2"/>
  <c r="AE2369" i="2"/>
  <c r="AD2369" i="2"/>
  <c r="AC2369" i="2"/>
  <c r="AB2369" i="2"/>
  <c r="AA2369" i="2"/>
  <c r="Z2369" i="2"/>
  <c r="Y2369" i="2"/>
  <c r="X2369" i="2"/>
  <c r="W2369" i="2"/>
  <c r="V2369" i="2"/>
  <c r="AE2368" i="2"/>
  <c r="AD2368" i="2"/>
  <c r="AC2368" i="2"/>
  <c r="AB2368" i="2"/>
  <c r="AA2368" i="2"/>
  <c r="Z2368" i="2"/>
  <c r="Y2368" i="2"/>
  <c r="X2368" i="2"/>
  <c r="W2368" i="2"/>
  <c r="V2368" i="2"/>
  <c r="AE2367" i="2"/>
  <c r="AD2367" i="2"/>
  <c r="AC2367" i="2"/>
  <c r="AB2367" i="2"/>
  <c r="AA2367" i="2"/>
  <c r="Z2367" i="2"/>
  <c r="Y2367" i="2"/>
  <c r="X2367" i="2"/>
  <c r="W2367" i="2"/>
  <c r="V2367" i="2"/>
  <c r="AE2366" i="2"/>
  <c r="AD2366" i="2"/>
  <c r="AC2366" i="2"/>
  <c r="AB2366" i="2"/>
  <c r="AA2366" i="2"/>
  <c r="Z2366" i="2"/>
  <c r="Y2366" i="2"/>
  <c r="X2366" i="2"/>
  <c r="W2366" i="2"/>
  <c r="V2366" i="2"/>
  <c r="AE2365" i="2"/>
  <c r="AD2365" i="2"/>
  <c r="AC2365" i="2"/>
  <c r="AB2365" i="2"/>
  <c r="AA2365" i="2"/>
  <c r="Z2365" i="2"/>
  <c r="Y2365" i="2"/>
  <c r="X2365" i="2"/>
  <c r="W2365" i="2"/>
  <c r="V2365" i="2"/>
  <c r="AE2364" i="2"/>
  <c r="AD2364" i="2"/>
  <c r="AC2364" i="2"/>
  <c r="AB2364" i="2"/>
  <c r="AA2364" i="2"/>
  <c r="Z2364" i="2"/>
  <c r="Y2364" i="2"/>
  <c r="X2364" i="2"/>
  <c r="W2364" i="2"/>
  <c r="V2364" i="2"/>
  <c r="AE2363" i="2"/>
  <c r="AD2363" i="2"/>
  <c r="AC2363" i="2"/>
  <c r="AB2363" i="2"/>
  <c r="AA2363" i="2"/>
  <c r="Z2363" i="2"/>
  <c r="Y2363" i="2"/>
  <c r="X2363" i="2"/>
  <c r="W2363" i="2"/>
  <c r="V2363" i="2"/>
  <c r="AE2362" i="2"/>
  <c r="AD2362" i="2"/>
  <c r="AC2362" i="2"/>
  <c r="AB2362" i="2"/>
  <c r="AA2362" i="2"/>
  <c r="Z2362" i="2"/>
  <c r="Y2362" i="2"/>
  <c r="X2362" i="2"/>
  <c r="W2362" i="2"/>
  <c r="V2362" i="2"/>
  <c r="AE2361" i="2"/>
  <c r="AD2361" i="2"/>
  <c r="AC2361" i="2"/>
  <c r="AB2361" i="2"/>
  <c r="AA2361" i="2"/>
  <c r="Z2361" i="2"/>
  <c r="Y2361" i="2"/>
  <c r="X2361" i="2"/>
  <c r="W2361" i="2"/>
  <c r="V2361" i="2"/>
  <c r="AE2360" i="2"/>
  <c r="AD2360" i="2"/>
  <c r="AC2360" i="2"/>
  <c r="AB2360" i="2"/>
  <c r="AA2360" i="2"/>
  <c r="Z2360" i="2"/>
  <c r="Y2360" i="2"/>
  <c r="X2360" i="2"/>
  <c r="W2360" i="2"/>
  <c r="V2360" i="2"/>
  <c r="AE2359" i="2"/>
  <c r="AD2359" i="2"/>
  <c r="AC2359" i="2"/>
  <c r="AB2359" i="2"/>
  <c r="AA2359" i="2"/>
  <c r="Z2359" i="2"/>
  <c r="Y2359" i="2"/>
  <c r="X2359" i="2"/>
  <c r="W2359" i="2"/>
  <c r="V2359" i="2"/>
  <c r="AE2358" i="2"/>
  <c r="AD2358" i="2"/>
  <c r="AC2358" i="2"/>
  <c r="AB2358" i="2"/>
  <c r="AA2358" i="2"/>
  <c r="Z2358" i="2"/>
  <c r="Y2358" i="2"/>
  <c r="X2358" i="2"/>
  <c r="W2358" i="2"/>
  <c r="V2358" i="2"/>
  <c r="AE2357" i="2"/>
  <c r="AD2357" i="2"/>
  <c r="AC2357" i="2"/>
  <c r="AB2357" i="2"/>
  <c r="AA2357" i="2"/>
  <c r="Z2357" i="2"/>
  <c r="Y2357" i="2"/>
  <c r="X2357" i="2"/>
  <c r="W2357" i="2"/>
  <c r="V2357" i="2"/>
  <c r="AE2356" i="2"/>
  <c r="AD2356" i="2"/>
  <c r="AC2356" i="2"/>
  <c r="AB2356" i="2"/>
  <c r="AA2356" i="2"/>
  <c r="Z2356" i="2"/>
  <c r="Y2356" i="2"/>
  <c r="X2356" i="2"/>
  <c r="W2356" i="2"/>
  <c r="V2356" i="2"/>
  <c r="AE2355" i="2"/>
  <c r="AD2355" i="2"/>
  <c r="AC2355" i="2"/>
  <c r="AB2355" i="2"/>
  <c r="AA2355" i="2"/>
  <c r="Z2355" i="2"/>
  <c r="Y2355" i="2"/>
  <c r="X2355" i="2"/>
  <c r="W2355" i="2"/>
  <c r="V2355" i="2"/>
  <c r="AE2354" i="2"/>
  <c r="AD2354" i="2"/>
  <c r="AC2354" i="2"/>
  <c r="AB2354" i="2"/>
  <c r="AA2354" i="2"/>
  <c r="Z2354" i="2"/>
  <c r="Y2354" i="2"/>
  <c r="X2354" i="2"/>
  <c r="W2354" i="2"/>
  <c r="V2354" i="2"/>
  <c r="AE2353" i="2"/>
  <c r="AD2353" i="2"/>
  <c r="AC2353" i="2"/>
  <c r="AB2353" i="2"/>
  <c r="AA2353" i="2"/>
  <c r="Z2353" i="2"/>
  <c r="Y2353" i="2"/>
  <c r="X2353" i="2"/>
  <c r="W2353" i="2"/>
  <c r="V2353" i="2"/>
  <c r="AE2352" i="2"/>
  <c r="AD2352" i="2"/>
  <c r="AC2352" i="2"/>
  <c r="AB2352" i="2"/>
  <c r="AA2352" i="2"/>
  <c r="Z2352" i="2"/>
  <c r="Y2352" i="2"/>
  <c r="X2352" i="2"/>
  <c r="W2352" i="2"/>
  <c r="V2352" i="2"/>
  <c r="AE2351" i="2"/>
  <c r="AD2351" i="2"/>
  <c r="AC2351" i="2"/>
  <c r="AB2351" i="2"/>
  <c r="AA2351" i="2"/>
  <c r="Z2351" i="2"/>
  <c r="Y2351" i="2"/>
  <c r="X2351" i="2"/>
  <c r="W2351" i="2"/>
  <c r="V2351" i="2"/>
  <c r="AE2350" i="2"/>
  <c r="AD2350" i="2"/>
  <c r="AC2350" i="2"/>
  <c r="AB2350" i="2"/>
  <c r="AA2350" i="2"/>
  <c r="Z2350" i="2"/>
  <c r="Y2350" i="2"/>
  <c r="X2350" i="2"/>
  <c r="W2350" i="2"/>
  <c r="V2350" i="2"/>
  <c r="AE2349" i="2"/>
  <c r="AD2349" i="2"/>
  <c r="AC2349" i="2"/>
  <c r="AB2349" i="2"/>
  <c r="AA2349" i="2"/>
  <c r="Z2349" i="2"/>
  <c r="Y2349" i="2"/>
  <c r="X2349" i="2"/>
  <c r="W2349" i="2"/>
  <c r="V2349" i="2"/>
  <c r="AE2348" i="2"/>
  <c r="AD2348" i="2"/>
  <c r="AC2348" i="2"/>
  <c r="AB2348" i="2"/>
  <c r="AA2348" i="2"/>
  <c r="Z2348" i="2"/>
  <c r="Y2348" i="2"/>
  <c r="X2348" i="2"/>
  <c r="W2348" i="2"/>
  <c r="V2348" i="2"/>
  <c r="AE2347" i="2"/>
  <c r="AD2347" i="2"/>
  <c r="AC2347" i="2"/>
  <c r="AB2347" i="2"/>
  <c r="AA2347" i="2"/>
  <c r="Z2347" i="2"/>
  <c r="Y2347" i="2"/>
  <c r="X2347" i="2"/>
  <c r="W2347" i="2"/>
  <c r="V2347" i="2"/>
  <c r="AE2346" i="2"/>
  <c r="AD2346" i="2"/>
  <c r="AC2346" i="2"/>
  <c r="AB2346" i="2"/>
  <c r="AA2346" i="2"/>
  <c r="Z2346" i="2"/>
  <c r="Y2346" i="2"/>
  <c r="X2346" i="2"/>
  <c r="W2346" i="2"/>
  <c r="V2346" i="2"/>
  <c r="AE2345" i="2"/>
  <c r="AD2345" i="2"/>
  <c r="AC2345" i="2"/>
  <c r="AB2345" i="2"/>
  <c r="AA2345" i="2"/>
  <c r="Z2345" i="2"/>
  <c r="Y2345" i="2"/>
  <c r="X2345" i="2"/>
  <c r="W2345" i="2"/>
  <c r="V2345" i="2"/>
  <c r="AE2344" i="2"/>
  <c r="AD2344" i="2"/>
  <c r="AC2344" i="2"/>
  <c r="AB2344" i="2"/>
  <c r="AA2344" i="2"/>
  <c r="Z2344" i="2"/>
  <c r="Y2344" i="2"/>
  <c r="X2344" i="2"/>
  <c r="W2344" i="2"/>
  <c r="V2344" i="2"/>
  <c r="AE2343" i="2"/>
  <c r="AD2343" i="2"/>
  <c r="AC2343" i="2"/>
  <c r="AB2343" i="2"/>
  <c r="AA2343" i="2"/>
  <c r="Z2343" i="2"/>
  <c r="Y2343" i="2"/>
  <c r="X2343" i="2"/>
  <c r="W2343" i="2"/>
  <c r="V2343" i="2"/>
  <c r="AE2342" i="2"/>
  <c r="AD2342" i="2"/>
  <c r="AC2342" i="2"/>
  <c r="AB2342" i="2"/>
  <c r="AA2342" i="2"/>
  <c r="Z2342" i="2"/>
  <c r="Y2342" i="2"/>
  <c r="X2342" i="2"/>
  <c r="W2342" i="2"/>
  <c r="V2342" i="2"/>
  <c r="AE2341" i="2"/>
  <c r="AD2341" i="2"/>
  <c r="AC2341" i="2"/>
  <c r="AB2341" i="2"/>
  <c r="AA2341" i="2"/>
  <c r="Z2341" i="2"/>
  <c r="Y2341" i="2"/>
  <c r="X2341" i="2"/>
  <c r="W2341" i="2"/>
  <c r="V2341" i="2"/>
  <c r="AE2340" i="2"/>
  <c r="AD2340" i="2"/>
  <c r="AC2340" i="2"/>
  <c r="AB2340" i="2"/>
  <c r="AA2340" i="2"/>
  <c r="Z2340" i="2"/>
  <c r="Y2340" i="2"/>
  <c r="X2340" i="2"/>
  <c r="W2340" i="2"/>
  <c r="V2340" i="2"/>
  <c r="AE2339" i="2"/>
  <c r="AD2339" i="2"/>
  <c r="AC2339" i="2"/>
  <c r="AB2339" i="2"/>
  <c r="AA2339" i="2"/>
  <c r="Z2339" i="2"/>
  <c r="Y2339" i="2"/>
  <c r="X2339" i="2"/>
  <c r="W2339" i="2"/>
  <c r="V2339" i="2"/>
  <c r="AE2338" i="2"/>
  <c r="AD2338" i="2"/>
  <c r="AC2338" i="2"/>
  <c r="AB2338" i="2"/>
  <c r="AA2338" i="2"/>
  <c r="Z2338" i="2"/>
  <c r="Y2338" i="2"/>
  <c r="X2338" i="2"/>
  <c r="W2338" i="2"/>
  <c r="V2338" i="2"/>
  <c r="AE2337" i="2"/>
  <c r="AD2337" i="2"/>
  <c r="AC2337" i="2"/>
  <c r="AB2337" i="2"/>
  <c r="AA2337" i="2"/>
  <c r="Z2337" i="2"/>
  <c r="Y2337" i="2"/>
  <c r="X2337" i="2"/>
  <c r="W2337" i="2"/>
  <c r="V2337" i="2"/>
  <c r="AE2336" i="2"/>
  <c r="AD2336" i="2"/>
  <c r="AC2336" i="2"/>
  <c r="AB2336" i="2"/>
  <c r="AA2336" i="2"/>
  <c r="Z2336" i="2"/>
  <c r="Y2336" i="2"/>
  <c r="X2336" i="2"/>
  <c r="W2336" i="2"/>
  <c r="V2336" i="2"/>
  <c r="AE2335" i="2"/>
  <c r="AD2335" i="2"/>
  <c r="AC2335" i="2"/>
  <c r="AB2335" i="2"/>
  <c r="AA2335" i="2"/>
  <c r="Z2335" i="2"/>
  <c r="Y2335" i="2"/>
  <c r="X2335" i="2"/>
  <c r="W2335" i="2"/>
  <c r="V2335" i="2"/>
  <c r="AE2334" i="2"/>
  <c r="AD2334" i="2"/>
  <c r="AC2334" i="2"/>
  <c r="AB2334" i="2"/>
  <c r="AA2334" i="2"/>
  <c r="Z2334" i="2"/>
  <c r="Y2334" i="2"/>
  <c r="X2334" i="2"/>
  <c r="W2334" i="2"/>
  <c r="V2334" i="2"/>
  <c r="AE2333" i="2"/>
  <c r="AD2333" i="2"/>
  <c r="AC2333" i="2"/>
  <c r="AB2333" i="2"/>
  <c r="AA2333" i="2"/>
  <c r="Z2333" i="2"/>
  <c r="Y2333" i="2"/>
  <c r="X2333" i="2"/>
  <c r="W2333" i="2"/>
  <c r="V2333" i="2"/>
  <c r="AE2332" i="2"/>
  <c r="AD2332" i="2"/>
  <c r="AC2332" i="2"/>
  <c r="AB2332" i="2"/>
  <c r="AA2332" i="2"/>
  <c r="Z2332" i="2"/>
  <c r="Y2332" i="2"/>
  <c r="X2332" i="2"/>
  <c r="W2332" i="2"/>
  <c r="V2332" i="2"/>
  <c r="AE2331" i="2"/>
  <c r="AD2331" i="2"/>
  <c r="AC2331" i="2"/>
  <c r="AB2331" i="2"/>
  <c r="AA2331" i="2"/>
  <c r="Z2331" i="2"/>
  <c r="Y2331" i="2"/>
  <c r="X2331" i="2"/>
  <c r="W2331" i="2"/>
  <c r="V2331" i="2"/>
  <c r="AE2330" i="2"/>
  <c r="AD2330" i="2"/>
  <c r="AC2330" i="2"/>
  <c r="AB2330" i="2"/>
  <c r="AA2330" i="2"/>
  <c r="Z2330" i="2"/>
  <c r="Y2330" i="2"/>
  <c r="X2330" i="2"/>
  <c r="W2330" i="2"/>
  <c r="V2330" i="2"/>
  <c r="AE2329" i="2"/>
  <c r="AD2329" i="2"/>
  <c r="AC2329" i="2"/>
  <c r="AB2329" i="2"/>
  <c r="AA2329" i="2"/>
  <c r="Z2329" i="2"/>
  <c r="Y2329" i="2"/>
  <c r="X2329" i="2"/>
  <c r="W2329" i="2"/>
  <c r="V2329" i="2"/>
  <c r="AE2328" i="2"/>
  <c r="AD2328" i="2"/>
  <c r="AC2328" i="2"/>
  <c r="AB2328" i="2"/>
  <c r="AA2328" i="2"/>
  <c r="Z2328" i="2"/>
  <c r="Y2328" i="2"/>
  <c r="X2328" i="2"/>
  <c r="W2328" i="2"/>
  <c r="V2328" i="2"/>
  <c r="AE2327" i="2"/>
  <c r="AD2327" i="2"/>
  <c r="AC2327" i="2"/>
  <c r="AB2327" i="2"/>
  <c r="AA2327" i="2"/>
  <c r="Z2327" i="2"/>
  <c r="Y2327" i="2"/>
  <c r="X2327" i="2"/>
  <c r="W2327" i="2"/>
  <c r="V2327" i="2"/>
  <c r="AE2326" i="2"/>
  <c r="AD2326" i="2"/>
  <c r="AC2326" i="2"/>
  <c r="AB2326" i="2"/>
  <c r="AA2326" i="2"/>
  <c r="Z2326" i="2"/>
  <c r="Y2326" i="2"/>
  <c r="X2326" i="2"/>
  <c r="W2326" i="2"/>
  <c r="V2326" i="2"/>
  <c r="AE2325" i="2"/>
  <c r="AD2325" i="2"/>
  <c r="AC2325" i="2"/>
  <c r="AB2325" i="2"/>
  <c r="AA2325" i="2"/>
  <c r="Z2325" i="2"/>
  <c r="Y2325" i="2"/>
  <c r="X2325" i="2"/>
  <c r="W2325" i="2"/>
  <c r="V2325" i="2"/>
  <c r="AE2324" i="2"/>
  <c r="AD2324" i="2"/>
  <c r="AC2324" i="2"/>
  <c r="AB2324" i="2"/>
  <c r="AA2324" i="2"/>
  <c r="Z2324" i="2"/>
  <c r="Y2324" i="2"/>
  <c r="X2324" i="2"/>
  <c r="W2324" i="2"/>
  <c r="V2324" i="2"/>
  <c r="AE2323" i="2"/>
  <c r="AD2323" i="2"/>
  <c r="AC2323" i="2"/>
  <c r="AB2323" i="2"/>
  <c r="AA2323" i="2"/>
  <c r="Z2323" i="2"/>
  <c r="Y2323" i="2"/>
  <c r="X2323" i="2"/>
  <c r="W2323" i="2"/>
  <c r="V2323" i="2"/>
  <c r="AE2322" i="2"/>
  <c r="AD2322" i="2"/>
  <c r="AC2322" i="2"/>
  <c r="AB2322" i="2"/>
  <c r="AA2322" i="2"/>
  <c r="Z2322" i="2"/>
  <c r="Y2322" i="2"/>
  <c r="X2322" i="2"/>
  <c r="W2322" i="2"/>
  <c r="V2322" i="2"/>
  <c r="AE2321" i="2"/>
  <c r="AD2321" i="2"/>
  <c r="AC2321" i="2"/>
  <c r="AB2321" i="2"/>
  <c r="AA2321" i="2"/>
  <c r="Z2321" i="2"/>
  <c r="Y2321" i="2"/>
  <c r="X2321" i="2"/>
  <c r="W2321" i="2"/>
  <c r="V2321" i="2"/>
  <c r="AE2320" i="2"/>
  <c r="AD2320" i="2"/>
  <c r="AC2320" i="2"/>
  <c r="AB2320" i="2"/>
  <c r="AA2320" i="2"/>
  <c r="Z2320" i="2"/>
  <c r="Y2320" i="2"/>
  <c r="X2320" i="2"/>
  <c r="W2320" i="2"/>
  <c r="V2320" i="2"/>
  <c r="AE2319" i="2"/>
  <c r="AD2319" i="2"/>
  <c r="AC2319" i="2"/>
  <c r="AB2319" i="2"/>
  <c r="AA2319" i="2"/>
  <c r="Z2319" i="2"/>
  <c r="Y2319" i="2"/>
  <c r="X2319" i="2"/>
  <c r="W2319" i="2"/>
  <c r="V2319" i="2"/>
  <c r="AE2318" i="2"/>
  <c r="AD2318" i="2"/>
  <c r="AC2318" i="2"/>
  <c r="AB2318" i="2"/>
  <c r="AA2318" i="2"/>
  <c r="Z2318" i="2"/>
  <c r="Y2318" i="2"/>
  <c r="X2318" i="2"/>
  <c r="W2318" i="2"/>
  <c r="V2318" i="2"/>
  <c r="AE2317" i="2"/>
  <c r="AD2317" i="2"/>
  <c r="AC2317" i="2"/>
  <c r="AB2317" i="2"/>
  <c r="AA2317" i="2"/>
  <c r="Z2317" i="2"/>
  <c r="Y2317" i="2"/>
  <c r="X2317" i="2"/>
  <c r="W2317" i="2"/>
  <c r="V2317" i="2"/>
  <c r="AE2316" i="2"/>
  <c r="AD2316" i="2"/>
  <c r="AC2316" i="2"/>
  <c r="AB2316" i="2"/>
  <c r="AA2316" i="2"/>
  <c r="Z2316" i="2"/>
  <c r="Y2316" i="2"/>
  <c r="X2316" i="2"/>
  <c r="W2316" i="2"/>
  <c r="V2316" i="2"/>
  <c r="AE2315" i="2"/>
  <c r="AD2315" i="2"/>
  <c r="AC2315" i="2"/>
  <c r="AB2315" i="2"/>
  <c r="AA2315" i="2"/>
  <c r="Z2315" i="2"/>
  <c r="Y2315" i="2"/>
  <c r="X2315" i="2"/>
  <c r="W2315" i="2"/>
  <c r="V2315" i="2"/>
  <c r="AE2314" i="2"/>
  <c r="AD2314" i="2"/>
  <c r="AC2314" i="2"/>
  <c r="AB2314" i="2"/>
  <c r="AA2314" i="2"/>
  <c r="Z2314" i="2"/>
  <c r="Y2314" i="2"/>
  <c r="X2314" i="2"/>
  <c r="W2314" i="2"/>
  <c r="V2314" i="2"/>
  <c r="AE2313" i="2"/>
  <c r="AD2313" i="2"/>
  <c r="AC2313" i="2"/>
  <c r="AB2313" i="2"/>
  <c r="AA2313" i="2"/>
  <c r="Z2313" i="2"/>
  <c r="Y2313" i="2"/>
  <c r="X2313" i="2"/>
  <c r="W2313" i="2"/>
  <c r="V2313" i="2"/>
  <c r="AE2312" i="2"/>
  <c r="AD2312" i="2"/>
  <c r="AC2312" i="2"/>
  <c r="AB2312" i="2"/>
  <c r="AA2312" i="2"/>
  <c r="Z2312" i="2"/>
  <c r="Y2312" i="2"/>
  <c r="X2312" i="2"/>
  <c r="W2312" i="2"/>
  <c r="V2312" i="2"/>
  <c r="AE2311" i="2"/>
  <c r="AD2311" i="2"/>
  <c r="AC2311" i="2"/>
  <c r="AB2311" i="2"/>
  <c r="AA2311" i="2"/>
  <c r="Z2311" i="2"/>
  <c r="Y2311" i="2"/>
  <c r="X2311" i="2"/>
  <c r="W2311" i="2"/>
  <c r="V2311" i="2"/>
  <c r="AE2310" i="2"/>
  <c r="AD2310" i="2"/>
  <c r="AC2310" i="2"/>
  <c r="AB2310" i="2"/>
  <c r="AA2310" i="2"/>
  <c r="Z2310" i="2"/>
  <c r="Y2310" i="2"/>
  <c r="X2310" i="2"/>
  <c r="W2310" i="2"/>
  <c r="V2310" i="2"/>
  <c r="AE2309" i="2"/>
  <c r="AD2309" i="2"/>
  <c r="AC2309" i="2"/>
  <c r="AB2309" i="2"/>
  <c r="AA2309" i="2"/>
  <c r="Z2309" i="2"/>
  <c r="Y2309" i="2"/>
  <c r="X2309" i="2"/>
  <c r="W2309" i="2"/>
  <c r="V2309" i="2"/>
  <c r="AE2308" i="2"/>
  <c r="AD2308" i="2"/>
  <c r="AC2308" i="2"/>
  <c r="AB2308" i="2"/>
  <c r="AA2308" i="2"/>
  <c r="Z2308" i="2"/>
  <c r="Y2308" i="2"/>
  <c r="X2308" i="2"/>
  <c r="W2308" i="2"/>
  <c r="V2308" i="2"/>
  <c r="AE2307" i="2"/>
  <c r="AD2307" i="2"/>
  <c r="AC2307" i="2"/>
  <c r="AB2307" i="2"/>
  <c r="AA2307" i="2"/>
  <c r="Z2307" i="2"/>
  <c r="Y2307" i="2"/>
  <c r="X2307" i="2"/>
  <c r="W2307" i="2"/>
  <c r="V2307" i="2"/>
  <c r="AE2306" i="2"/>
  <c r="AD2306" i="2"/>
  <c r="AC2306" i="2"/>
  <c r="AB2306" i="2"/>
  <c r="AA2306" i="2"/>
  <c r="Z2306" i="2"/>
  <c r="Y2306" i="2"/>
  <c r="X2306" i="2"/>
  <c r="W2306" i="2"/>
  <c r="V2306" i="2"/>
  <c r="AE2305" i="2"/>
  <c r="AD2305" i="2"/>
  <c r="AC2305" i="2"/>
  <c r="AB2305" i="2"/>
  <c r="AA2305" i="2"/>
  <c r="Z2305" i="2"/>
  <c r="Y2305" i="2"/>
  <c r="X2305" i="2"/>
  <c r="W2305" i="2"/>
  <c r="V2305" i="2"/>
  <c r="AE2304" i="2"/>
  <c r="AD2304" i="2"/>
  <c r="AC2304" i="2"/>
  <c r="AB2304" i="2"/>
  <c r="AA2304" i="2"/>
  <c r="Z2304" i="2"/>
  <c r="Y2304" i="2"/>
  <c r="X2304" i="2"/>
  <c r="W2304" i="2"/>
  <c r="V2304" i="2"/>
  <c r="AE2303" i="2"/>
  <c r="AD2303" i="2"/>
  <c r="AC2303" i="2"/>
  <c r="AB2303" i="2"/>
  <c r="AA2303" i="2"/>
  <c r="Z2303" i="2"/>
  <c r="Y2303" i="2"/>
  <c r="X2303" i="2"/>
  <c r="W2303" i="2"/>
  <c r="V2303" i="2"/>
  <c r="AE2302" i="2"/>
  <c r="AD2302" i="2"/>
  <c r="AC2302" i="2"/>
  <c r="AB2302" i="2"/>
  <c r="AA2302" i="2"/>
  <c r="Z2302" i="2"/>
  <c r="Y2302" i="2"/>
  <c r="X2302" i="2"/>
  <c r="W2302" i="2"/>
  <c r="V2302" i="2"/>
  <c r="AE2301" i="2"/>
  <c r="AD2301" i="2"/>
  <c r="AC2301" i="2"/>
  <c r="AB2301" i="2"/>
  <c r="AA2301" i="2"/>
  <c r="Z2301" i="2"/>
  <c r="Y2301" i="2"/>
  <c r="X2301" i="2"/>
  <c r="W2301" i="2"/>
  <c r="V2301" i="2"/>
  <c r="AE2300" i="2"/>
  <c r="AD2300" i="2"/>
  <c r="AC2300" i="2"/>
  <c r="AB2300" i="2"/>
  <c r="AA2300" i="2"/>
  <c r="Z2300" i="2"/>
  <c r="Y2300" i="2"/>
  <c r="X2300" i="2"/>
  <c r="W2300" i="2"/>
  <c r="V2300" i="2"/>
  <c r="AE2299" i="2"/>
  <c r="AD2299" i="2"/>
  <c r="AC2299" i="2"/>
  <c r="AB2299" i="2"/>
  <c r="AA2299" i="2"/>
  <c r="Z2299" i="2"/>
  <c r="Y2299" i="2"/>
  <c r="X2299" i="2"/>
  <c r="W2299" i="2"/>
  <c r="V2299" i="2"/>
  <c r="AE2298" i="2"/>
  <c r="AD2298" i="2"/>
  <c r="AC2298" i="2"/>
  <c r="AB2298" i="2"/>
  <c r="AA2298" i="2"/>
  <c r="Z2298" i="2"/>
  <c r="Y2298" i="2"/>
  <c r="X2298" i="2"/>
  <c r="W2298" i="2"/>
  <c r="V2298" i="2"/>
  <c r="AE2297" i="2"/>
  <c r="AD2297" i="2"/>
  <c r="AC2297" i="2"/>
  <c r="AB2297" i="2"/>
  <c r="AA2297" i="2"/>
  <c r="Z2297" i="2"/>
  <c r="Y2297" i="2"/>
  <c r="X2297" i="2"/>
  <c r="W2297" i="2"/>
  <c r="V2297" i="2"/>
  <c r="AE2296" i="2"/>
  <c r="AD2296" i="2"/>
  <c r="AC2296" i="2"/>
  <c r="AB2296" i="2"/>
  <c r="AA2296" i="2"/>
  <c r="Z2296" i="2"/>
  <c r="Y2296" i="2"/>
  <c r="X2296" i="2"/>
  <c r="W2296" i="2"/>
  <c r="V2296" i="2"/>
  <c r="AE2295" i="2"/>
  <c r="AD2295" i="2"/>
  <c r="AC2295" i="2"/>
  <c r="AB2295" i="2"/>
  <c r="AA2295" i="2"/>
  <c r="Z2295" i="2"/>
  <c r="Y2295" i="2"/>
  <c r="X2295" i="2"/>
  <c r="W2295" i="2"/>
  <c r="V2295" i="2"/>
  <c r="AE2294" i="2"/>
  <c r="AD2294" i="2"/>
  <c r="AC2294" i="2"/>
  <c r="AB2294" i="2"/>
  <c r="AA2294" i="2"/>
  <c r="Z2294" i="2"/>
  <c r="Y2294" i="2"/>
  <c r="X2294" i="2"/>
  <c r="W2294" i="2"/>
  <c r="V2294" i="2"/>
  <c r="AE2293" i="2"/>
  <c r="AD2293" i="2"/>
  <c r="AC2293" i="2"/>
  <c r="AB2293" i="2"/>
  <c r="AA2293" i="2"/>
  <c r="Z2293" i="2"/>
  <c r="Y2293" i="2"/>
  <c r="X2293" i="2"/>
  <c r="W2293" i="2"/>
  <c r="V2293" i="2"/>
  <c r="AE2292" i="2"/>
  <c r="AD2292" i="2"/>
  <c r="AC2292" i="2"/>
  <c r="AB2292" i="2"/>
  <c r="AA2292" i="2"/>
  <c r="Z2292" i="2"/>
  <c r="Y2292" i="2"/>
  <c r="X2292" i="2"/>
  <c r="W2292" i="2"/>
  <c r="V2292" i="2"/>
  <c r="AE2291" i="2"/>
  <c r="AD2291" i="2"/>
  <c r="AC2291" i="2"/>
  <c r="AB2291" i="2"/>
  <c r="AA2291" i="2"/>
  <c r="Z2291" i="2"/>
  <c r="Y2291" i="2"/>
  <c r="X2291" i="2"/>
  <c r="W2291" i="2"/>
  <c r="V2291" i="2"/>
  <c r="AE2290" i="2"/>
  <c r="AD2290" i="2"/>
  <c r="AC2290" i="2"/>
  <c r="AB2290" i="2"/>
  <c r="AA2290" i="2"/>
  <c r="Z2290" i="2"/>
  <c r="Y2290" i="2"/>
  <c r="X2290" i="2"/>
  <c r="W2290" i="2"/>
  <c r="V2290" i="2"/>
  <c r="AE2289" i="2"/>
  <c r="AD2289" i="2"/>
  <c r="AC2289" i="2"/>
  <c r="AB2289" i="2"/>
  <c r="AA2289" i="2"/>
  <c r="Z2289" i="2"/>
  <c r="Y2289" i="2"/>
  <c r="X2289" i="2"/>
  <c r="W2289" i="2"/>
  <c r="V2289" i="2"/>
  <c r="AE2288" i="2"/>
  <c r="AD2288" i="2"/>
  <c r="AC2288" i="2"/>
  <c r="AB2288" i="2"/>
  <c r="AA2288" i="2"/>
  <c r="Z2288" i="2"/>
  <c r="Y2288" i="2"/>
  <c r="X2288" i="2"/>
  <c r="W2288" i="2"/>
  <c r="V2288" i="2"/>
  <c r="AE2287" i="2"/>
  <c r="AD2287" i="2"/>
  <c r="AC2287" i="2"/>
  <c r="AB2287" i="2"/>
  <c r="AA2287" i="2"/>
  <c r="Z2287" i="2"/>
  <c r="Y2287" i="2"/>
  <c r="X2287" i="2"/>
  <c r="W2287" i="2"/>
  <c r="V2287" i="2"/>
  <c r="AE2286" i="2"/>
  <c r="AD2286" i="2"/>
  <c r="AC2286" i="2"/>
  <c r="AB2286" i="2"/>
  <c r="AA2286" i="2"/>
  <c r="Z2286" i="2"/>
  <c r="Y2286" i="2"/>
  <c r="X2286" i="2"/>
  <c r="W2286" i="2"/>
  <c r="V2286" i="2"/>
  <c r="AE2285" i="2"/>
  <c r="AD2285" i="2"/>
  <c r="AC2285" i="2"/>
  <c r="AB2285" i="2"/>
  <c r="AA2285" i="2"/>
  <c r="Z2285" i="2"/>
  <c r="Y2285" i="2"/>
  <c r="X2285" i="2"/>
  <c r="W2285" i="2"/>
  <c r="V2285" i="2"/>
  <c r="AE2284" i="2"/>
  <c r="AD2284" i="2"/>
  <c r="AC2284" i="2"/>
  <c r="AB2284" i="2"/>
  <c r="AA2284" i="2"/>
  <c r="Z2284" i="2"/>
  <c r="Y2284" i="2"/>
  <c r="X2284" i="2"/>
  <c r="W2284" i="2"/>
  <c r="V2284" i="2"/>
  <c r="AE2283" i="2"/>
  <c r="AD2283" i="2"/>
  <c r="AC2283" i="2"/>
  <c r="AB2283" i="2"/>
  <c r="AA2283" i="2"/>
  <c r="Z2283" i="2"/>
  <c r="Y2283" i="2"/>
  <c r="X2283" i="2"/>
  <c r="W2283" i="2"/>
  <c r="V2283" i="2"/>
  <c r="AE2282" i="2"/>
  <c r="AD2282" i="2"/>
  <c r="AC2282" i="2"/>
  <c r="AB2282" i="2"/>
  <c r="AA2282" i="2"/>
  <c r="Z2282" i="2"/>
  <c r="Y2282" i="2"/>
  <c r="X2282" i="2"/>
  <c r="W2282" i="2"/>
  <c r="V2282" i="2"/>
  <c r="AE2281" i="2"/>
  <c r="AD2281" i="2"/>
  <c r="AC2281" i="2"/>
  <c r="AB2281" i="2"/>
  <c r="AA2281" i="2"/>
  <c r="Z2281" i="2"/>
  <c r="Y2281" i="2"/>
  <c r="X2281" i="2"/>
  <c r="W2281" i="2"/>
  <c r="V2281" i="2"/>
  <c r="AE2280" i="2"/>
  <c r="AD2280" i="2"/>
  <c r="AC2280" i="2"/>
  <c r="AB2280" i="2"/>
  <c r="AA2280" i="2"/>
  <c r="Z2280" i="2"/>
  <c r="Y2280" i="2"/>
  <c r="X2280" i="2"/>
  <c r="W2280" i="2"/>
  <c r="V2280" i="2"/>
  <c r="AE2279" i="2"/>
  <c r="AD2279" i="2"/>
  <c r="AC2279" i="2"/>
  <c r="AB2279" i="2"/>
  <c r="AA2279" i="2"/>
  <c r="Z2279" i="2"/>
  <c r="Y2279" i="2"/>
  <c r="X2279" i="2"/>
  <c r="W2279" i="2"/>
  <c r="V2279" i="2"/>
  <c r="AE2278" i="2"/>
  <c r="AD2278" i="2"/>
  <c r="AC2278" i="2"/>
  <c r="AB2278" i="2"/>
  <c r="AA2278" i="2"/>
  <c r="Z2278" i="2"/>
  <c r="Y2278" i="2"/>
  <c r="X2278" i="2"/>
  <c r="W2278" i="2"/>
  <c r="V2278" i="2"/>
  <c r="AE2277" i="2"/>
  <c r="AD2277" i="2"/>
  <c r="AC2277" i="2"/>
  <c r="AB2277" i="2"/>
  <c r="AA2277" i="2"/>
  <c r="Z2277" i="2"/>
  <c r="Y2277" i="2"/>
  <c r="X2277" i="2"/>
  <c r="W2277" i="2"/>
  <c r="V2277" i="2"/>
  <c r="AE2276" i="2"/>
  <c r="AD2276" i="2"/>
  <c r="AC2276" i="2"/>
  <c r="AB2276" i="2"/>
  <c r="AA2276" i="2"/>
  <c r="Z2276" i="2"/>
  <c r="Y2276" i="2"/>
  <c r="X2276" i="2"/>
  <c r="W2276" i="2"/>
  <c r="V2276" i="2"/>
  <c r="AE2275" i="2"/>
  <c r="AD2275" i="2"/>
  <c r="AC2275" i="2"/>
  <c r="AB2275" i="2"/>
  <c r="AA2275" i="2"/>
  <c r="Z2275" i="2"/>
  <c r="Y2275" i="2"/>
  <c r="X2275" i="2"/>
  <c r="W2275" i="2"/>
  <c r="V2275" i="2"/>
  <c r="AE2274" i="2"/>
  <c r="AD2274" i="2"/>
  <c r="AC2274" i="2"/>
  <c r="AB2274" i="2"/>
  <c r="AA2274" i="2"/>
  <c r="Z2274" i="2"/>
  <c r="Y2274" i="2"/>
  <c r="X2274" i="2"/>
  <c r="W2274" i="2"/>
  <c r="V2274" i="2"/>
  <c r="AE2273" i="2"/>
  <c r="AD2273" i="2"/>
  <c r="AC2273" i="2"/>
  <c r="AB2273" i="2"/>
  <c r="AA2273" i="2"/>
  <c r="Z2273" i="2"/>
  <c r="Y2273" i="2"/>
  <c r="X2273" i="2"/>
  <c r="W2273" i="2"/>
  <c r="V2273" i="2"/>
  <c r="AE2272" i="2"/>
  <c r="AD2272" i="2"/>
  <c r="AC2272" i="2"/>
  <c r="AB2272" i="2"/>
  <c r="AA2272" i="2"/>
  <c r="Z2272" i="2"/>
  <c r="Y2272" i="2"/>
  <c r="X2272" i="2"/>
  <c r="W2272" i="2"/>
  <c r="V2272" i="2"/>
  <c r="AE2271" i="2"/>
  <c r="AD2271" i="2"/>
  <c r="AC2271" i="2"/>
  <c r="AB2271" i="2"/>
  <c r="AA2271" i="2"/>
  <c r="Z2271" i="2"/>
  <c r="Y2271" i="2"/>
  <c r="X2271" i="2"/>
  <c r="W2271" i="2"/>
  <c r="V2271" i="2"/>
  <c r="AE2270" i="2"/>
  <c r="AD2270" i="2"/>
  <c r="AC2270" i="2"/>
  <c r="AB2270" i="2"/>
  <c r="AA2270" i="2"/>
  <c r="Z2270" i="2"/>
  <c r="Y2270" i="2"/>
  <c r="X2270" i="2"/>
  <c r="W2270" i="2"/>
  <c r="V2270" i="2"/>
  <c r="AE2269" i="2"/>
  <c r="AD2269" i="2"/>
  <c r="AC2269" i="2"/>
  <c r="AB2269" i="2"/>
  <c r="AA2269" i="2"/>
  <c r="Z2269" i="2"/>
  <c r="Y2269" i="2"/>
  <c r="X2269" i="2"/>
  <c r="W2269" i="2"/>
  <c r="V2269" i="2"/>
  <c r="AE2268" i="2"/>
  <c r="AD2268" i="2"/>
  <c r="AC2268" i="2"/>
  <c r="AB2268" i="2"/>
  <c r="AA2268" i="2"/>
  <c r="Z2268" i="2"/>
  <c r="Y2268" i="2"/>
  <c r="X2268" i="2"/>
  <c r="W2268" i="2"/>
  <c r="V2268" i="2"/>
  <c r="AE2267" i="2"/>
  <c r="AD2267" i="2"/>
  <c r="AC2267" i="2"/>
  <c r="AB2267" i="2"/>
  <c r="AA2267" i="2"/>
  <c r="Z2267" i="2"/>
  <c r="Y2267" i="2"/>
  <c r="X2267" i="2"/>
  <c r="W2267" i="2"/>
  <c r="V2267" i="2"/>
  <c r="AE2266" i="2"/>
  <c r="AD2266" i="2"/>
  <c r="AC2266" i="2"/>
  <c r="AB2266" i="2"/>
  <c r="AA2266" i="2"/>
  <c r="Z2266" i="2"/>
  <c r="Y2266" i="2"/>
  <c r="X2266" i="2"/>
  <c r="W2266" i="2"/>
  <c r="V2266" i="2"/>
  <c r="AE2265" i="2"/>
  <c r="AD2265" i="2"/>
  <c r="AC2265" i="2"/>
  <c r="AB2265" i="2"/>
  <c r="AA2265" i="2"/>
  <c r="Z2265" i="2"/>
  <c r="Y2265" i="2"/>
  <c r="X2265" i="2"/>
  <c r="W2265" i="2"/>
  <c r="V2265" i="2"/>
  <c r="AE2264" i="2"/>
  <c r="AD2264" i="2"/>
  <c r="AC2264" i="2"/>
  <c r="AB2264" i="2"/>
  <c r="AA2264" i="2"/>
  <c r="Z2264" i="2"/>
  <c r="Y2264" i="2"/>
  <c r="X2264" i="2"/>
  <c r="W2264" i="2"/>
  <c r="V2264" i="2"/>
  <c r="AE2263" i="2"/>
  <c r="AD2263" i="2"/>
  <c r="AC2263" i="2"/>
  <c r="AB2263" i="2"/>
  <c r="AA2263" i="2"/>
  <c r="Z2263" i="2"/>
  <c r="Y2263" i="2"/>
  <c r="X2263" i="2"/>
  <c r="W2263" i="2"/>
  <c r="V2263" i="2"/>
  <c r="AE2262" i="2"/>
  <c r="AD2262" i="2"/>
  <c r="AC2262" i="2"/>
  <c r="AB2262" i="2"/>
  <c r="AA2262" i="2"/>
  <c r="Z2262" i="2"/>
  <c r="Y2262" i="2"/>
  <c r="X2262" i="2"/>
  <c r="W2262" i="2"/>
  <c r="V2262" i="2"/>
  <c r="AE2261" i="2"/>
  <c r="AD2261" i="2"/>
  <c r="AC2261" i="2"/>
  <c r="AB2261" i="2"/>
  <c r="AA2261" i="2"/>
  <c r="Z2261" i="2"/>
  <c r="Y2261" i="2"/>
  <c r="X2261" i="2"/>
  <c r="W2261" i="2"/>
  <c r="V2261" i="2"/>
  <c r="AE2260" i="2"/>
  <c r="AD2260" i="2"/>
  <c r="AC2260" i="2"/>
  <c r="AB2260" i="2"/>
  <c r="AA2260" i="2"/>
  <c r="Z2260" i="2"/>
  <c r="Y2260" i="2"/>
  <c r="X2260" i="2"/>
  <c r="W2260" i="2"/>
  <c r="V2260" i="2"/>
  <c r="AE2259" i="2"/>
  <c r="AD2259" i="2"/>
  <c r="AC2259" i="2"/>
  <c r="AB2259" i="2"/>
  <c r="AA2259" i="2"/>
  <c r="Z2259" i="2"/>
  <c r="Y2259" i="2"/>
  <c r="X2259" i="2"/>
  <c r="W2259" i="2"/>
  <c r="V2259" i="2"/>
  <c r="AE2258" i="2"/>
  <c r="AD2258" i="2"/>
  <c r="AC2258" i="2"/>
  <c r="AB2258" i="2"/>
  <c r="AA2258" i="2"/>
  <c r="Z2258" i="2"/>
  <c r="Y2258" i="2"/>
  <c r="X2258" i="2"/>
  <c r="W2258" i="2"/>
  <c r="V2258" i="2"/>
  <c r="AE2257" i="2"/>
  <c r="AD2257" i="2"/>
  <c r="AC2257" i="2"/>
  <c r="AB2257" i="2"/>
  <c r="AA2257" i="2"/>
  <c r="Z2257" i="2"/>
  <c r="Y2257" i="2"/>
  <c r="X2257" i="2"/>
  <c r="W2257" i="2"/>
  <c r="V2257" i="2"/>
  <c r="AE2256" i="2"/>
  <c r="AD2256" i="2"/>
  <c r="AC2256" i="2"/>
  <c r="AB2256" i="2"/>
  <c r="AA2256" i="2"/>
  <c r="Z2256" i="2"/>
  <c r="Y2256" i="2"/>
  <c r="X2256" i="2"/>
  <c r="W2256" i="2"/>
  <c r="V2256" i="2"/>
  <c r="AE2255" i="2"/>
  <c r="AD2255" i="2"/>
  <c r="AC2255" i="2"/>
  <c r="AB2255" i="2"/>
  <c r="AA2255" i="2"/>
  <c r="Z2255" i="2"/>
  <c r="Y2255" i="2"/>
  <c r="X2255" i="2"/>
  <c r="W2255" i="2"/>
  <c r="V2255" i="2"/>
  <c r="AE2254" i="2"/>
  <c r="AD2254" i="2"/>
  <c r="AC2254" i="2"/>
  <c r="AB2254" i="2"/>
  <c r="AA2254" i="2"/>
  <c r="Z2254" i="2"/>
  <c r="Y2254" i="2"/>
  <c r="X2254" i="2"/>
  <c r="W2254" i="2"/>
  <c r="V2254" i="2"/>
  <c r="AE2253" i="2"/>
  <c r="AD2253" i="2"/>
  <c r="AC2253" i="2"/>
  <c r="AB2253" i="2"/>
  <c r="AA2253" i="2"/>
  <c r="Z2253" i="2"/>
  <c r="Y2253" i="2"/>
  <c r="X2253" i="2"/>
  <c r="W2253" i="2"/>
  <c r="V2253" i="2"/>
  <c r="AE2252" i="2"/>
  <c r="AD2252" i="2"/>
  <c r="AC2252" i="2"/>
  <c r="AB2252" i="2"/>
  <c r="AA2252" i="2"/>
  <c r="Z2252" i="2"/>
  <c r="Y2252" i="2"/>
  <c r="X2252" i="2"/>
  <c r="W2252" i="2"/>
  <c r="V2252" i="2"/>
  <c r="AE2251" i="2"/>
  <c r="AD2251" i="2"/>
  <c r="AC2251" i="2"/>
  <c r="AB2251" i="2"/>
  <c r="AA2251" i="2"/>
  <c r="Z2251" i="2"/>
  <c r="Y2251" i="2"/>
  <c r="X2251" i="2"/>
  <c r="W2251" i="2"/>
  <c r="V2251" i="2"/>
  <c r="AE2250" i="2"/>
  <c r="AD2250" i="2"/>
  <c r="AC2250" i="2"/>
  <c r="AB2250" i="2"/>
  <c r="AA2250" i="2"/>
  <c r="Z2250" i="2"/>
  <c r="Y2250" i="2"/>
  <c r="X2250" i="2"/>
  <c r="W2250" i="2"/>
  <c r="V2250" i="2"/>
  <c r="AE2249" i="2"/>
  <c r="AD2249" i="2"/>
  <c r="AC2249" i="2"/>
  <c r="AB2249" i="2"/>
  <c r="AA2249" i="2"/>
  <c r="Z2249" i="2"/>
  <c r="Y2249" i="2"/>
  <c r="X2249" i="2"/>
  <c r="W2249" i="2"/>
  <c r="V2249" i="2"/>
  <c r="AE2248" i="2"/>
  <c r="AD2248" i="2"/>
  <c r="AC2248" i="2"/>
  <c r="AB2248" i="2"/>
  <c r="AA2248" i="2"/>
  <c r="Z2248" i="2"/>
  <c r="Y2248" i="2"/>
  <c r="X2248" i="2"/>
  <c r="W2248" i="2"/>
  <c r="V2248" i="2"/>
  <c r="AE2247" i="2"/>
  <c r="AD2247" i="2"/>
  <c r="AC2247" i="2"/>
  <c r="AB2247" i="2"/>
  <c r="AA2247" i="2"/>
  <c r="Z2247" i="2"/>
  <c r="Y2247" i="2"/>
  <c r="X2247" i="2"/>
  <c r="W2247" i="2"/>
  <c r="V2247" i="2"/>
  <c r="AE2246" i="2"/>
  <c r="AD2246" i="2"/>
  <c r="AC2246" i="2"/>
  <c r="AB2246" i="2"/>
  <c r="AA2246" i="2"/>
  <c r="Z2246" i="2"/>
  <c r="Y2246" i="2"/>
  <c r="X2246" i="2"/>
  <c r="W2246" i="2"/>
  <c r="V2246" i="2"/>
  <c r="AE2245" i="2"/>
  <c r="AD2245" i="2"/>
  <c r="AC2245" i="2"/>
  <c r="AB2245" i="2"/>
  <c r="AA2245" i="2"/>
  <c r="Z2245" i="2"/>
  <c r="Y2245" i="2"/>
  <c r="X2245" i="2"/>
  <c r="W2245" i="2"/>
  <c r="V2245" i="2"/>
  <c r="AE2244" i="2"/>
  <c r="AD2244" i="2"/>
  <c r="AC2244" i="2"/>
  <c r="AB2244" i="2"/>
  <c r="AA2244" i="2"/>
  <c r="Z2244" i="2"/>
  <c r="Y2244" i="2"/>
  <c r="X2244" i="2"/>
  <c r="W2244" i="2"/>
  <c r="V2244" i="2"/>
  <c r="AE2243" i="2"/>
  <c r="AD2243" i="2"/>
  <c r="AC2243" i="2"/>
  <c r="AB2243" i="2"/>
  <c r="AA2243" i="2"/>
  <c r="Z2243" i="2"/>
  <c r="Y2243" i="2"/>
  <c r="X2243" i="2"/>
  <c r="W2243" i="2"/>
  <c r="V2243" i="2"/>
  <c r="AE2242" i="2"/>
  <c r="AD2242" i="2"/>
  <c r="AC2242" i="2"/>
  <c r="AB2242" i="2"/>
  <c r="AA2242" i="2"/>
  <c r="Z2242" i="2"/>
  <c r="Y2242" i="2"/>
  <c r="X2242" i="2"/>
  <c r="W2242" i="2"/>
  <c r="V2242" i="2"/>
  <c r="AE2241" i="2"/>
  <c r="AD2241" i="2"/>
  <c r="AC2241" i="2"/>
  <c r="AB2241" i="2"/>
  <c r="AA2241" i="2"/>
  <c r="Z2241" i="2"/>
  <c r="Y2241" i="2"/>
  <c r="X2241" i="2"/>
  <c r="W2241" i="2"/>
  <c r="V2241" i="2"/>
  <c r="AE2240" i="2"/>
  <c r="AD2240" i="2"/>
  <c r="AC2240" i="2"/>
  <c r="AB2240" i="2"/>
  <c r="AA2240" i="2"/>
  <c r="Z2240" i="2"/>
  <c r="Y2240" i="2"/>
  <c r="X2240" i="2"/>
  <c r="W2240" i="2"/>
  <c r="V2240" i="2"/>
  <c r="AE2239" i="2"/>
  <c r="AD2239" i="2"/>
  <c r="AC2239" i="2"/>
  <c r="AB2239" i="2"/>
  <c r="AA2239" i="2"/>
  <c r="Z2239" i="2"/>
  <c r="Y2239" i="2"/>
  <c r="X2239" i="2"/>
  <c r="W2239" i="2"/>
  <c r="V2239" i="2"/>
  <c r="AE2238" i="2"/>
  <c r="AD2238" i="2"/>
  <c r="AC2238" i="2"/>
  <c r="AB2238" i="2"/>
  <c r="AA2238" i="2"/>
  <c r="Z2238" i="2"/>
  <c r="Y2238" i="2"/>
  <c r="X2238" i="2"/>
  <c r="W2238" i="2"/>
  <c r="V2238" i="2"/>
  <c r="AE2237" i="2"/>
  <c r="AD2237" i="2"/>
  <c r="AC2237" i="2"/>
  <c r="AB2237" i="2"/>
  <c r="AA2237" i="2"/>
  <c r="Z2237" i="2"/>
  <c r="Y2237" i="2"/>
  <c r="X2237" i="2"/>
  <c r="W2237" i="2"/>
  <c r="V2237" i="2"/>
  <c r="AE2236" i="2"/>
  <c r="AD2236" i="2"/>
  <c r="AC2236" i="2"/>
  <c r="AB2236" i="2"/>
  <c r="AA2236" i="2"/>
  <c r="Z2236" i="2"/>
  <c r="Y2236" i="2"/>
  <c r="X2236" i="2"/>
  <c r="W2236" i="2"/>
  <c r="V2236" i="2"/>
  <c r="AE2235" i="2"/>
  <c r="AD2235" i="2"/>
  <c r="AC2235" i="2"/>
  <c r="AB2235" i="2"/>
  <c r="AA2235" i="2"/>
  <c r="Z2235" i="2"/>
  <c r="Y2235" i="2"/>
  <c r="X2235" i="2"/>
  <c r="W2235" i="2"/>
  <c r="V2235" i="2"/>
  <c r="AE2234" i="2"/>
  <c r="AD2234" i="2"/>
  <c r="AC2234" i="2"/>
  <c r="AB2234" i="2"/>
  <c r="AA2234" i="2"/>
  <c r="Z2234" i="2"/>
  <c r="Y2234" i="2"/>
  <c r="X2234" i="2"/>
  <c r="W2234" i="2"/>
  <c r="V2234" i="2"/>
  <c r="AE2233" i="2"/>
  <c r="AD2233" i="2"/>
  <c r="AC2233" i="2"/>
  <c r="AB2233" i="2"/>
  <c r="AA2233" i="2"/>
  <c r="Z2233" i="2"/>
  <c r="Y2233" i="2"/>
  <c r="X2233" i="2"/>
  <c r="W2233" i="2"/>
  <c r="V2233" i="2"/>
  <c r="AE2232" i="2"/>
  <c r="AD2232" i="2"/>
  <c r="AC2232" i="2"/>
  <c r="AB2232" i="2"/>
  <c r="AA2232" i="2"/>
  <c r="Z2232" i="2"/>
  <c r="Y2232" i="2"/>
  <c r="X2232" i="2"/>
  <c r="W2232" i="2"/>
  <c r="V2232" i="2"/>
  <c r="AE2231" i="2"/>
  <c r="AD2231" i="2"/>
  <c r="AC2231" i="2"/>
  <c r="AB2231" i="2"/>
  <c r="AA2231" i="2"/>
  <c r="Z2231" i="2"/>
  <c r="Y2231" i="2"/>
  <c r="X2231" i="2"/>
  <c r="W2231" i="2"/>
  <c r="V2231" i="2"/>
  <c r="AE2230" i="2"/>
  <c r="AD2230" i="2"/>
  <c r="AC2230" i="2"/>
  <c r="AB2230" i="2"/>
  <c r="AA2230" i="2"/>
  <c r="Z2230" i="2"/>
  <c r="Y2230" i="2"/>
  <c r="X2230" i="2"/>
  <c r="W2230" i="2"/>
  <c r="V2230" i="2"/>
  <c r="AE2229" i="2"/>
  <c r="AD2229" i="2"/>
  <c r="AC2229" i="2"/>
  <c r="AB2229" i="2"/>
  <c r="AA2229" i="2"/>
  <c r="Z2229" i="2"/>
  <c r="Y2229" i="2"/>
  <c r="X2229" i="2"/>
  <c r="W2229" i="2"/>
  <c r="V2229" i="2"/>
  <c r="AE2228" i="2"/>
  <c r="AD2228" i="2"/>
  <c r="AC2228" i="2"/>
  <c r="AB2228" i="2"/>
  <c r="AA2228" i="2"/>
  <c r="Z2228" i="2"/>
  <c r="Y2228" i="2"/>
  <c r="X2228" i="2"/>
  <c r="W2228" i="2"/>
  <c r="V2228" i="2"/>
  <c r="AE2227" i="2"/>
  <c r="AD2227" i="2"/>
  <c r="AC2227" i="2"/>
  <c r="AB2227" i="2"/>
  <c r="AA2227" i="2"/>
  <c r="Z2227" i="2"/>
  <c r="Y2227" i="2"/>
  <c r="X2227" i="2"/>
  <c r="W2227" i="2"/>
  <c r="V2227" i="2"/>
  <c r="AE2226" i="2"/>
  <c r="AD2226" i="2"/>
  <c r="AC2226" i="2"/>
  <c r="AB2226" i="2"/>
  <c r="AA2226" i="2"/>
  <c r="Z2226" i="2"/>
  <c r="Y2226" i="2"/>
  <c r="X2226" i="2"/>
  <c r="W2226" i="2"/>
  <c r="V2226" i="2"/>
  <c r="AE2225" i="2"/>
  <c r="AD2225" i="2"/>
  <c r="AC2225" i="2"/>
  <c r="AB2225" i="2"/>
  <c r="AA2225" i="2"/>
  <c r="Z2225" i="2"/>
  <c r="Y2225" i="2"/>
  <c r="X2225" i="2"/>
  <c r="W2225" i="2"/>
  <c r="V2225" i="2"/>
  <c r="AE2224" i="2"/>
  <c r="AD2224" i="2"/>
  <c r="AC2224" i="2"/>
  <c r="AB2224" i="2"/>
  <c r="AA2224" i="2"/>
  <c r="Z2224" i="2"/>
  <c r="Y2224" i="2"/>
  <c r="X2224" i="2"/>
  <c r="W2224" i="2"/>
  <c r="V2224" i="2"/>
  <c r="AE2223" i="2"/>
  <c r="AD2223" i="2"/>
  <c r="AC2223" i="2"/>
  <c r="AB2223" i="2"/>
  <c r="AA2223" i="2"/>
  <c r="Z2223" i="2"/>
  <c r="Y2223" i="2"/>
  <c r="X2223" i="2"/>
  <c r="W2223" i="2"/>
  <c r="V2223" i="2"/>
  <c r="AE2222" i="2"/>
  <c r="AD2222" i="2"/>
  <c r="AC2222" i="2"/>
  <c r="AB2222" i="2"/>
  <c r="AA2222" i="2"/>
  <c r="Z2222" i="2"/>
  <c r="Y2222" i="2"/>
  <c r="X2222" i="2"/>
  <c r="W2222" i="2"/>
  <c r="V2222" i="2"/>
  <c r="AE2221" i="2"/>
  <c r="AD2221" i="2"/>
  <c r="AC2221" i="2"/>
  <c r="AB2221" i="2"/>
  <c r="AA2221" i="2"/>
  <c r="Z2221" i="2"/>
  <c r="Y2221" i="2"/>
  <c r="X2221" i="2"/>
  <c r="W2221" i="2"/>
  <c r="V2221" i="2"/>
  <c r="AE2220" i="2"/>
  <c r="AD2220" i="2"/>
  <c r="AC2220" i="2"/>
  <c r="AB2220" i="2"/>
  <c r="AA2220" i="2"/>
  <c r="Z2220" i="2"/>
  <c r="Y2220" i="2"/>
  <c r="X2220" i="2"/>
  <c r="W2220" i="2"/>
  <c r="V2220" i="2"/>
  <c r="AE2219" i="2"/>
  <c r="AD2219" i="2"/>
  <c r="AC2219" i="2"/>
  <c r="AB2219" i="2"/>
  <c r="AA2219" i="2"/>
  <c r="Z2219" i="2"/>
  <c r="Y2219" i="2"/>
  <c r="X2219" i="2"/>
  <c r="W2219" i="2"/>
  <c r="V2219" i="2"/>
  <c r="AE2218" i="2"/>
  <c r="AD2218" i="2"/>
  <c r="AC2218" i="2"/>
  <c r="AB2218" i="2"/>
  <c r="AA2218" i="2"/>
  <c r="Z2218" i="2"/>
  <c r="Y2218" i="2"/>
  <c r="X2218" i="2"/>
  <c r="W2218" i="2"/>
  <c r="V2218" i="2"/>
  <c r="AE2217" i="2"/>
  <c r="AD2217" i="2"/>
  <c r="AC2217" i="2"/>
  <c r="AB2217" i="2"/>
  <c r="AA2217" i="2"/>
  <c r="Z2217" i="2"/>
  <c r="Y2217" i="2"/>
  <c r="X2217" i="2"/>
  <c r="W2217" i="2"/>
  <c r="V2217" i="2"/>
  <c r="AE2216" i="2"/>
  <c r="AD2216" i="2"/>
  <c r="AC2216" i="2"/>
  <c r="AB2216" i="2"/>
  <c r="AA2216" i="2"/>
  <c r="Z2216" i="2"/>
  <c r="Y2216" i="2"/>
  <c r="X2216" i="2"/>
  <c r="W2216" i="2"/>
  <c r="V2216" i="2"/>
  <c r="AE2215" i="2"/>
  <c r="AD2215" i="2"/>
  <c r="AC2215" i="2"/>
  <c r="AB2215" i="2"/>
  <c r="AA2215" i="2"/>
  <c r="Z2215" i="2"/>
  <c r="Y2215" i="2"/>
  <c r="X2215" i="2"/>
  <c r="W2215" i="2"/>
  <c r="V2215" i="2"/>
  <c r="AE2214" i="2"/>
  <c r="AD2214" i="2"/>
  <c r="AC2214" i="2"/>
  <c r="AB2214" i="2"/>
  <c r="AA2214" i="2"/>
  <c r="Z2214" i="2"/>
  <c r="Y2214" i="2"/>
  <c r="X2214" i="2"/>
  <c r="W2214" i="2"/>
  <c r="V2214" i="2"/>
  <c r="AE2213" i="2"/>
  <c r="AD2213" i="2"/>
  <c r="AC2213" i="2"/>
  <c r="AB2213" i="2"/>
  <c r="AA2213" i="2"/>
  <c r="Z2213" i="2"/>
  <c r="Y2213" i="2"/>
  <c r="X2213" i="2"/>
  <c r="W2213" i="2"/>
  <c r="V2213" i="2"/>
  <c r="AE2212" i="2"/>
  <c r="AD2212" i="2"/>
  <c r="AC2212" i="2"/>
  <c r="AB2212" i="2"/>
  <c r="AA2212" i="2"/>
  <c r="Z2212" i="2"/>
  <c r="Y2212" i="2"/>
  <c r="X2212" i="2"/>
  <c r="W2212" i="2"/>
  <c r="V2212" i="2"/>
  <c r="AE2211" i="2"/>
  <c r="AD2211" i="2"/>
  <c r="AC2211" i="2"/>
  <c r="AB2211" i="2"/>
  <c r="AA2211" i="2"/>
  <c r="Z2211" i="2"/>
  <c r="Y2211" i="2"/>
  <c r="X2211" i="2"/>
  <c r="W2211" i="2"/>
  <c r="V2211" i="2"/>
  <c r="AE2210" i="2"/>
  <c r="AD2210" i="2"/>
  <c r="AC2210" i="2"/>
  <c r="AB2210" i="2"/>
  <c r="AA2210" i="2"/>
  <c r="Z2210" i="2"/>
  <c r="Y2210" i="2"/>
  <c r="X2210" i="2"/>
  <c r="W2210" i="2"/>
  <c r="V2210" i="2"/>
  <c r="AE2209" i="2"/>
  <c r="AD2209" i="2"/>
  <c r="AC2209" i="2"/>
  <c r="AB2209" i="2"/>
  <c r="AA2209" i="2"/>
  <c r="Z2209" i="2"/>
  <c r="Y2209" i="2"/>
  <c r="X2209" i="2"/>
  <c r="W2209" i="2"/>
  <c r="V2209" i="2"/>
  <c r="AE2208" i="2"/>
  <c r="AD2208" i="2"/>
  <c r="AC2208" i="2"/>
  <c r="AB2208" i="2"/>
  <c r="AA2208" i="2"/>
  <c r="Z2208" i="2"/>
  <c r="Y2208" i="2"/>
  <c r="X2208" i="2"/>
  <c r="W2208" i="2"/>
  <c r="V2208" i="2"/>
  <c r="AE2207" i="2"/>
  <c r="AD2207" i="2"/>
  <c r="AC2207" i="2"/>
  <c r="AB2207" i="2"/>
  <c r="AA2207" i="2"/>
  <c r="Z2207" i="2"/>
  <c r="Y2207" i="2"/>
  <c r="X2207" i="2"/>
  <c r="W2207" i="2"/>
  <c r="V2207" i="2"/>
  <c r="AE2206" i="2"/>
  <c r="AD2206" i="2"/>
  <c r="AC2206" i="2"/>
  <c r="AB2206" i="2"/>
  <c r="AA2206" i="2"/>
  <c r="Z2206" i="2"/>
  <c r="Y2206" i="2"/>
  <c r="X2206" i="2"/>
  <c r="W2206" i="2"/>
  <c r="V2206" i="2"/>
  <c r="AE2205" i="2"/>
  <c r="AD2205" i="2"/>
  <c r="AC2205" i="2"/>
  <c r="AB2205" i="2"/>
  <c r="AA2205" i="2"/>
  <c r="Z2205" i="2"/>
  <c r="Y2205" i="2"/>
  <c r="X2205" i="2"/>
  <c r="W2205" i="2"/>
  <c r="V2205" i="2"/>
  <c r="AE2204" i="2"/>
  <c r="AD2204" i="2"/>
  <c r="AC2204" i="2"/>
  <c r="AB2204" i="2"/>
  <c r="AA2204" i="2"/>
  <c r="Z2204" i="2"/>
  <c r="Y2204" i="2"/>
  <c r="X2204" i="2"/>
  <c r="W2204" i="2"/>
  <c r="V2204" i="2"/>
  <c r="AE2203" i="2"/>
  <c r="AD2203" i="2"/>
  <c r="AC2203" i="2"/>
  <c r="AB2203" i="2"/>
  <c r="AA2203" i="2"/>
  <c r="Z2203" i="2"/>
  <c r="Y2203" i="2"/>
  <c r="X2203" i="2"/>
  <c r="W2203" i="2"/>
  <c r="V2203" i="2"/>
  <c r="AE2202" i="2"/>
  <c r="AD2202" i="2"/>
  <c r="AC2202" i="2"/>
  <c r="AB2202" i="2"/>
  <c r="AA2202" i="2"/>
  <c r="Z2202" i="2"/>
  <c r="Y2202" i="2"/>
  <c r="X2202" i="2"/>
  <c r="W2202" i="2"/>
  <c r="V2202" i="2"/>
  <c r="AE2201" i="2"/>
  <c r="AD2201" i="2"/>
  <c r="AC2201" i="2"/>
  <c r="AB2201" i="2"/>
  <c r="AA2201" i="2"/>
  <c r="Z2201" i="2"/>
  <c r="Y2201" i="2"/>
  <c r="X2201" i="2"/>
  <c r="W2201" i="2"/>
  <c r="V2201" i="2"/>
  <c r="AE2200" i="2"/>
  <c r="AD2200" i="2"/>
  <c r="AC2200" i="2"/>
  <c r="AB2200" i="2"/>
  <c r="AA2200" i="2"/>
  <c r="Z2200" i="2"/>
  <c r="Y2200" i="2"/>
  <c r="X2200" i="2"/>
  <c r="W2200" i="2"/>
  <c r="V2200" i="2"/>
  <c r="AE2199" i="2"/>
  <c r="AD2199" i="2"/>
  <c r="AC2199" i="2"/>
  <c r="AB2199" i="2"/>
  <c r="AA2199" i="2"/>
  <c r="Z2199" i="2"/>
  <c r="Y2199" i="2"/>
  <c r="X2199" i="2"/>
  <c r="W2199" i="2"/>
  <c r="V2199" i="2"/>
  <c r="AE2198" i="2"/>
  <c r="AD2198" i="2"/>
  <c r="AC2198" i="2"/>
  <c r="AB2198" i="2"/>
  <c r="AA2198" i="2"/>
  <c r="Z2198" i="2"/>
  <c r="Y2198" i="2"/>
  <c r="X2198" i="2"/>
  <c r="W2198" i="2"/>
  <c r="V2198" i="2"/>
  <c r="AE2197" i="2"/>
  <c r="AD2197" i="2"/>
  <c r="AC2197" i="2"/>
  <c r="AB2197" i="2"/>
  <c r="AA2197" i="2"/>
  <c r="Z2197" i="2"/>
  <c r="Y2197" i="2"/>
  <c r="X2197" i="2"/>
  <c r="W2197" i="2"/>
  <c r="V2197" i="2"/>
  <c r="AE2196" i="2"/>
  <c r="AD2196" i="2"/>
  <c r="AC2196" i="2"/>
  <c r="AB2196" i="2"/>
  <c r="AA2196" i="2"/>
  <c r="Z2196" i="2"/>
  <c r="Y2196" i="2"/>
  <c r="X2196" i="2"/>
  <c r="W2196" i="2"/>
  <c r="V2196" i="2"/>
  <c r="AE2195" i="2"/>
  <c r="AD2195" i="2"/>
  <c r="AC2195" i="2"/>
  <c r="AB2195" i="2"/>
  <c r="AA2195" i="2"/>
  <c r="Z2195" i="2"/>
  <c r="Y2195" i="2"/>
  <c r="X2195" i="2"/>
  <c r="W2195" i="2"/>
  <c r="V2195" i="2"/>
  <c r="AE2194" i="2"/>
  <c r="AD2194" i="2"/>
  <c r="AC2194" i="2"/>
  <c r="AB2194" i="2"/>
  <c r="AA2194" i="2"/>
  <c r="Z2194" i="2"/>
  <c r="Y2194" i="2"/>
  <c r="X2194" i="2"/>
  <c r="W2194" i="2"/>
  <c r="V2194" i="2"/>
  <c r="AE2193" i="2"/>
  <c r="AD2193" i="2"/>
  <c r="AC2193" i="2"/>
  <c r="AB2193" i="2"/>
  <c r="AA2193" i="2"/>
  <c r="Z2193" i="2"/>
  <c r="Y2193" i="2"/>
  <c r="X2193" i="2"/>
  <c r="W2193" i="2"/>
  <c r="V2193" i="2"/>
  <c r="AE2192" i="2"/>
  <c r="AD2192" i="2"/>
  <c r="AC2192" i="2"/>
  <c r="AB2192" i="2"/>
  <c r="AA2192" i="2"/>
  <c r="Z2192" i="2"/>
  <c r="Y2192" i="2"/>
  <c r="X2192" i="2"/>
  <c r="W2192" i="2"/>
  <c r="V2192" i="2"/>
  <c r="AE2191" i="2"/>
  <c r="AD2191" i="2"/>
  <c r="AC2191" i="2"/>
  <c r="AB2191" i="2"/>
  <c r="AA2191" i="2"/>
  <c r="Z2191" i="2"/>
  <c r="Y2191" i="2"/>
  <c r="X2191" i="2"/>
  <c r="W2191" i="2"/>
  <c r="V2191" i="2"/>
  <c r="AE2190" i="2"/>
  <c r="AD2190" i="2"/>
  <c r="AC2190" i="2"/>
  <c r="AB2190" i="2"/>
  <c r="AA2190" i="2"/>
  <c r="Z2190" i="2"/>
  <c r="Y2190" i="2"/>
  <c r="X2190" i="2"/>
  <c r="W2190" i="2"/>
  <c r="V2190" i="2"/>
  <c r="AE2189" i="2"/>
  <c r="AD2189" i="2"/>
  <c r="AC2189" i="2"/>
  <c r="AB2189" i="2"/>
  <c r="AA2189" i="2"/>
  <c r="Z2189" i="2"/>
  <c r="Y2189" i="2"/>
  <c r="X2189" i="2"/>
  <c r="W2189" i="2"/>
  <c r="V2189" i="2"/>
  <c r="AE2188" i="2"/>
  <c r="AD2188" i="2"/>
  <c r="AC2188" i="2"/>
  <c r="AB2188" i="2"/>
  <c r="AA2188" i="2"/>
  <c r="Z2188" i="2"/>
  <c r="Y2188" i="2"/>
  <c r="X2188" i="2"/>
  <c r="W2188" i="2"/>
  <c r="V2188" i="2"/>
  <c r="AE2187" i="2"/>
  <c r="AD2187" i="2"/>
  <c r="AC2187" i="2"/>
  <c r="AB2187" i="2"/>
  <c r="AA2187" i="2"/>
  <c r="Z2187" i="2"/>
  <c r="Y2187" i="2"/>
  <c r="X2187" i="2"/>
  <c r="W2187" i="2"/>
  <c r="V2187" i="2"/>
  <c r="AE2186" i="2"/>
  <c r="AD2186" i="2"/>
  <c r="AC2186" i="2"/>
  <c r="AB2186" i="2"/>
  <c r="AA2186" i="2"/>
  <c r="Z2186" i="2"/>
  <c r="Y2186" i="2"/>
  <c r="X2186" i="2"/>
  <c r="W2186" i="2"/>
  <c r="V2186" i="2"/>
  <c r="AE2185" i="2"/>
  <c r="AD2185" i="2"/>
  <c r="AC2185" i="2"/>
  <c r="AB2185" i="2"/>
  <c r="AA2185" i="2"/>
  <c r="Z2185" i="2"/>
  <c r="Y2185" i="2"/>
  <c r="X2185" i="2"/>
  <c r="W2185" i="2"/>
  <c r="V2185" i="2"/>
  <c r="AE2184" i="2"/>
  <c r="AD2184" i="2"/>
  <c r="AC2184" i="2"/>
  <c r="AB2184" i="2"/>
  <c r="AA2184" i="2"/>
  <c r="Z2184" i="2"/>
  <c r="Y2184" i="2"/>
  <c r="X2184" i="2"/>
  <c r="W2184" i="2"/>
  <c r="V2184" i="2"/>
  <c r="AE2183" i="2"/>
  <c r="AD2183" i="2"/>
  <c r="AC2183" i="2"/>
  <c r="AB2183" i="2"/>
  <c r="AA2183" i="2"/>
  <c r="Z2183" i="2"/>
  <c r="Y2183" i="2"/>
  <c r="X2183" i="2"/>
  <c r="W2183" i="2"/>
  <c r="V2183" i="2"/>
  <c r="AE2182" i="2"/>
  <c r="AD2182" i="2"/>
  <c r="AC2182" i="2"/>
  <c r="AB2182" i="2"/>
  <c r="AA2182" i="2"/>
  <c r="Z2182" i="2"/>
  <c r="Y2182" i="2"/>
  <c r="X2182" i="2"/>
  <c r="W2182" i="2"/>
  <c r="V2182" i="2"/>
  <c r="AE2181" i="2"/>
  <c r="AD2181" i="2"/>
  <c r="AC2181" i="2"/>
  <c r="AB2181" i="2"/>
  <c r="AA2181" i="2"/>
  <c r="Z2181" i="2"/>
  <c r="Y2181" i="2"/>
  <c r="X2181" i="2"/>
  <c r="W2181" i="2"/>
  <c r="V2181" i="2"/>
  <c r="AE2180" i="2"/>
  <c r="AD2180" i="2"/>
  <c r="AC2180" i="2"/>
  <c r="AB2180" i="2"/>
  <c r="AA2180" i="2"/>
  <c r="Z2180" i="2"/>
  <c r="Y2180" i="2"/>
  <c r="X2180" i="2"/>
  <c r="W2180" i="2"/>
  <c r="V2180" i="2"/>
  <c r="AE2179" i="2"/>
  <c r="AD2179" i="2"/>
  <c r="AC2179" i="2"/>
  <c r="AB2179" i="2"/>
  <c r="AA2179" i="2"/>
  <c r="Z2179" i="2"/>
  <c r="Y2179" i="2"/>
  <c r="X2179" i="2"/>
  <c r="W2179" i="2"/>
  <c r="V2179" i="2"/>
  <c r="AE2178" i="2"/>
  <c r="AD2178" i="2"/>
  <c r="AC2178" i="2"/>
  <c r="AB2178" i="2"/>
  <c r="AA2178" i="2"/>
  <c r="Z2178" i="2"/>
  <c r="Y2178" i="2"/>
  <c r="X2178" i="2"/>
  <c r="W2178" i="2"/>
  <c r="V2178" i="2"/>
  <c r="AE2177" i="2"/>
  <c r="AD2177" i="2"/>
  <c r="AC2177" i="2"/>
  <c r="AB2177" i="2"/>
  <c r="AA2177" i="2"/>
  <c r="Z2177" i="2"/>
  <c r="Y2177" i="2"/>
  <c r="X2177" i="2"/>
  <c r="W2177" i="2"/>
  <c r="V2177" i="2"/>
  <c r="AE2176" i="2"/>
  <c r="AD2176" i="2"/>
  <c r="AC2176" i="2"/>
  <c r="AB2176" i="2"/>
  <c r="AA2176" i="2"/>
  <c r="Z2176" i="2"/>
  <c r="Y2176" i="2"/>
  <c r="X2176" i="2"/>
  <c r="W2176" i="2"/>
  <c r="V2176" i="2"/>
  <c r="AE2175" i="2"/>
  <c r="AD2175" i="2"/>
  <c r="AC2175" i="2"/>
  <c r="AB2175" i="2"/>
  <c r="AA2175" i="2"/>
  <c r="Z2175" i="2"/>
  <c r="Y2175" i="2"/>
  <c r="X2175" i="2"/>
  <c r="W2175" i="2"/>
  <c r="V2175" i="2"/>
  <c r="AE2174" i="2"/>
  <c r="AD2174" i="2"/>
  <c r="AC2174" i="2"/>
  <c r="AB2174" i="2"/>
  <c r="AA2174" i="2"/>
  <c r="Z2174" i="2"/>
  <c r="Y2174" i="2"/>
  <c r="X2174" i="2"/>
  <c r="W2174" i="2"/>
  <c r="V2174" i="2"/>
  <c r="AE2173" i="2"/>
  <c r="AD2173" i="2"/>
  <c r="AC2173" i="2"/>
  <c r="AB2173" i="2"/>
  <c r="AA2173" i="2"/>
  <c r="Z2173" i="2"/>
  <c r="Y2173" i="2"/>
  <c r="X2173" i="2"/>
  <c r="W2173" i="2"/>
  <c r="V2173" i="2"/>
  <c r="AE2172" i="2"/>
  <c r="AD2172" i="2"/>
  <c r="AC2172" i="2"/>
  <c r="AB2172" i="2"/>
  <c r="AA2172" i="2"/>
  <c r="Z2172" i="2"/>
  <c r="Y2172" i="2"/>
  <c r="X2172" i="2"/>
  <c r="W2172" i="2"/>
  <c r="V2172" i="2"/>
  <c r="AE2171" i="2"/>
  <c r="AD2171" i="2"/>
  <c r="AC2171" i="2"/>
  <c r="AB2171" i="2"/>
  <c r="AA2171" i="2"/>
  <c r="Z2171" i="2"/>
  <c r="Y2171" i="2"/>
  <c r="X2171" i="2"/>
  <c r="W2171" i="2"/>
  <c r="V2171" i="2"/>
  <c r="AE2170" i="2"/>
  <c r="AD2170" i="2"/>
  <c r="AC2170" i="2"/>
  <c r="AB2170" i="2"/>
  <c r="AA2170" i="2"/>
  <c r="Z2170" i="2"/>
  <c r="Y2170" i="2"/>
  <c r="X2170" i="2"/>
  <c r="W2170" i="2"/>
  <c r="V2170" i="2"/>
  <c r="AE2169" i="2"/>
  <c r="AD2169" i="2"/>
  <c r="AC2169" i="2"/>
  <c r="AB2169" i="2"/>
  <c r="AA2169" i="2"/>
  <c r="Z2169" i="2"/>
  <c r="Y2169" i="2"/>
  <c r="X2169" i="2"/>
  <c r="W2169" i="2"/>
  <c r="V2169" i="2"/>
  <c r="AE2168" i="2"/>
  <c r="AD2168" i="2"/>
  <c r="AC2168" i="2"/>
  <c r="AB2168" i="2"/>
  <c r="AA2168" i="2"/>
  <c r="Z2168" i="2"/>
  <c r="Y2168" i="2"/>
  <c r="X2168" i="2"/>
  <c r="W2168" i="2"/>
  <c r="V2168" i="2"/>
  <c r="AE2167" i="2"/>
  <c r="AD2167" i="2"/>
  <c r="AC2167" i="2"/>
  <c r="AB2167" i="2"/>
  <c r="AA2167" i="2"/>
  <c r="Z2167" i="2"/>
  <c r="Y2167" i="2"/>
  <c r="X2167" i="2"/>
  <c r="W2167" i="2"/>
  <c r="V2167" i="2"/>
  <c r="AE2166" i="2"/>
  <c r="AD2166" i="2"/>
  <c r="AC2166" i="2"/>
  <c r="AB2166" i="2"/>
  <c r="AA2166" i="2"/>
  <c r="Z2166" i="2"/>
  <c r="Y2166" i="2"/>
  <c r="X2166" i="2"/>
  <c r="W2166" i="2"/>
  <c r="V2166" i="2"/>
  <c r="AE2165" i="2"/>
  <c r="AD2165" i="2"/>
  <c r="AC2165" i="2"/>
  <c r="AB2165" i="2"/>
  <c r="AA2165" i="2"/>
  <c r="Z2165" i="2"/>
  <c r="Y2165" i="2"/>
  <c r="X2165" i="2"/>
  <c r="W2165" i="2"/>
  <c r="V2165" i="2"/>
  <c r="AE2164" i="2"/>
  <c r="AD2164" i="2"/>
  <c r="AC2164" i="2"/>
  <c r="AB2164" i="2"/>
  <c r="AA2164" i="2"/>
  <c r="Z2164" i="2"/>
  <c r="Y2164" i="2"/>
  <c r="X2164" i="2"/>
  <c r="W2164" i="2"/>
  <c r="V2164" i="2"/>
  <c r="AE2163" i="2"/>
  <c r="AD2163" i="2"/>
  <c r="AC2163" i="2"/>
  <c r="AB2163" i="2"/>
  <c r="AA2163" i="2"/>
  <c r="Z2163" i="2"/>
  <c r="Y2163" i="2"/>
  <c r="X2163" i="2"/>
  <c r="W2163" i="2"/>
  <c r="V2163" i="2"/>
  <c r="AE2162" i="2"/>
  <c r="AD2162" i="2"/>
  <c r="AC2162" i="2"/>
  <c r="AB2162" i="2"/>
  <c r="AA2162" i="2"/>
  <c r="Z2162" i="2"/>
  <c r="Y2162" i="2"/>
  <c r="X2162" i="2"/>
  <c r="W2162" i="2"/>
  <c r="V2162" i="2"/>
  <c r="AE2161" i="2"/>
  <c r="AD2161" i="2"/>
  <c r="AC2161" i="2"/>
  <c r="AB2161" i="2"/>
  <c r="AA2161" i="2"/>
  <c r="Z2161" i="2"/>
  <c r="Y2161" i="2"/>
  <c r="X2161" i="2"/>
  <c r="W2161" i="2"/>
  <c r="V2161" i="2"/>
  <c r="AE2160" i="2"/>
  <c r="AD2160" i="2"/>
  <c r="AC2160" i="2"/>
  <c r="AB2160" i="2"/>
  <c r="AA2160" i="2"/>
  <c r="Z2160" i="2"/>
  <c r="Y2160" i="2"/>
  <c r="X2160" i="2"/>
  <c r="W2160" i="2"/>
  <c r="V2160" i="2"/>
  <c r="AE2159" i="2"/>
  <c r="AD2159" i="2"/>
  <c r="AC2159" i="2"/>
  <c r="AB2159" i="2"/>
  <c r="AA2159" i="2"/>
  <c r="Z2159" i="2"/>
  <c r="Y2159" i="2"/>
  <c r="X2159" i="2"/>
  <c r="W2159" i="2"/>
  <c r="V2159" i="2"/>
  <c r="AE2158" i="2"/>
  <c r="AD2158" i="2"/>
  <c r="AC2158" i="2"/>
  <c r="AB2158" i="2"/>
  <c r="AA2158" i="2"/>
  <c r="Z2158" i="2"/>
  <c r="Y2158" i="2"/>
  <c r="X2158" i="2"/>
  <c r="W2158" i="2"/>
  <c r="V2158" i="2"/>
  <c r="AE2157" i="2"/>
  <c r="AD2157" i="2"/>
  <c r="AC2157" i="2"/>
  <c r="AB2157" i="2"/>
  <c r="AA2157" i="2"/>
  <c r="Z2157" i="2"/>
  <c r="Y2157" i="2"/>
  <c r="X2157" i="2"/>
  <c r="W2157" i="2"/>
  <c r="V2157" i="2"/>
  <c r="AE2156" i="2"/>
  <c r="AD2156" i="2"/>
  <c r="AC2156" i="2"/>
  <c r="AB2156" i="2"/>
  <c r="AA2156" i="2"/>
  <c r="Z2156" i="2"/>
  <c r="Y2156" i="2"/>
  <c r="X2156" i="2"/>
  <c r="W2156" i="2"/>
  <c r="V2156" i="2"/>
  <c r="AE2155" i="2"/>
  <c r="AD2155" i="2"/>
  <c r="AC2155" i="2"/>
  <c r="AB2155" i="2"/>
  <c r="AA2155" i="2"/>
  <c r="Z2155" i="2"/>
  <c r="Y2155" i="2"/>
  <c r="X2155" i="2"/>
  <c r="W2155" i="2"/>
  <c r="V2155" i="2"/>
  <c r="AE2154" i="2"/>
  <c r="AD2154" i="2"/>
  <c r="AC2154" i="2"/>
  <c r="AB2154" i="2"/>
  <c r="AA2154" i="2"/>
  <c r="Z2154" i="2"/>
  <c r="Y2154" i="2"/>
  <c r="X2154" i="2"/>
  <c r="W2154" i="2"/>
  <c r="V2154" i="2"/>
  <c r="AE2153" i="2"/>
  <c r="AD2153" i="2"/>
  <c r="AC2153" i="2"/>
  <c r="AB2153" i="2"/>
  <c r="AA2153" i="2"/>
  <c r="Z2153" i="2"/>
  <c r="Y2153" i="2"/>
  <c r="X2153" i="2"/>
  <c r="W2153" i="2"/>
  <c r="V2153" i="2"/>
  <c r="AE2152" i="2"/>
  <c r="AD2152" i="2"/>
  <c r="AC2152" i="2"/>
  <c r="AB2152" i="2"/>
  <c r="AA2152" i="2"/>
  <c r="Z2152" i="2"/>
  <c r="Y2152" i="2"/>
  <c r="X2152" i="2"/>
  <c r="W2152" i="2"/>
  <c r="V2152" i="2"/>
  <c r="AE2151" i="2"/>
  <c r="AD2151" i="2"/>
  <c r="AC2151" i="2"/>
  <c r="AB2151" i="2"/>
  <c r="AA2151" i="2"/>
  <c r="Z2151" i="2"/>
  <c r="Y2151" i="2"/>
  <c r="X2151" i="2"/>
  <c r="W2151" i="2"/>
  <c r="V2151" i="2"/>
  <c r="AE2150" i="2"/>
  <c r="AD2150" i="2"/>
  <c r="AC2150" i="2"/>
  <c r="AB2150" i="2"/>
  <c r="AA2150" i="2"/>
  <c r="Z2150" i="2"/>
  <c r="Y2150" i="2"/>
  <c r="X2150" i="2"/>
  <c r="W2150" i="2"/>
  <c r="V2150" i="2"/>
  <c r="AE2149" i="2"/>
  <c r="AD2149" i="2"/>
  <c r="AC2149" i="2"/>
  <c r="AB2149" i="2"/>
  <c r="AA2149" i="2"/>
  <c r="Z2149" i="2"/>
  <c r="Y2149" i="2"/>
  <c r="X2149" i="2"/>
  <c r="W2149" i="2"/>
  <c r="V2149" i="2"/>
  <c r="AE2148" i="2"/>
  <c r="AD2148" i="2"/>
  <c r="AC2148" i="2"/>
  <c r="AB2148" i="2"/>
  <c r="AA2148" i="2"/>
  <c r="Z2148" i="2"/>
  <c r="Y2148" i="2"/>
  <c r="X2148" i="2"/>
  <c r="W2148" i="2"/>
  <c r="V2148" i="2"/>
  <c r="AE2147" i="2"/>
  <c r="AD2147" i="2"/>
  <c r="AC2147" i="2"/>
  <c r="AB2147" i="2"/>
  <c r="AA2147" i="2"/>
  <c r="Z2147" i="2"/>
  <c r="Y2147" i="2"/>
  <c r="X2147" i="2"/>
  <c r="W2147" i="2"/>
  <c r="V2147" i="2"/>
  <c r="AE2146" i="2"/>
  <c r="AD2146" i="2"/>
  <c r="AC2146" i="2"/>
  <c r="AB2146" i="2"/>
  <c r="AA2146" i="2"/>
  <c r="Z2146" i="2"/>
  <c r="Y2146" i="2"/>
  <c r="X2146" i="2"/>
  <c r="W2146" i="2"/>
  <c r="V2146" i="2"/>
  <c r="AE2145" i="2"/>
  <c r="AD2145" i="2"/>
  <c r="AC2145" i="2"/>
  <c r="AB2145" i="2"/>
  <c r="AA2145" i="2"/>
  <c r="Z2145" i="2"/>
  <c r="Y2145" i="2"/>
  <c r="X2145" i="2"/>
  <c r="W2145" i="2"/>
  <c r="V2145" i="2"/>
  <c r="AE2144" i="2"/>
  <c r="AD2144" i="2"/>
  <c r="AC2144" i="2"/>
  <c r="AB2144" i="2"/>
  <c r="AA2144" i="2"/>
  <c r="Z2144" i="2"/>
  <c r="Y2144" i="2"/>
  <c r="X2144" i="2"/>
  <c r="W2144" i="2"/>
  <c r="V2144" i="2"/>
  <c r="AE2143" i="2"/>
  <c r="AD2143" i="2"/>
  <c r="AC2143" i="2"/>
  <c r="AB2143" i="2"/>
  <c r="AA2143" i="2"/>
  <c r="Z2143" i="2"/>
  <c r="Y2143" i="2"/>
  <c r="X2143" i="2"/>
  <c r="W2143" i="2"/>
  <c r="V2143" i="2"/>
  <c r="AE2142" i="2"/>
  <c r="AD2142" i="2"/>
  <c r="AC2142" i="2"/>
  <c r="AB2142" i="2"/>
  <c r="AA2142" i="2"/>
  <c r="Z2142" i="2"/>
  <c r="Y2142" i="2"/>
  <c r="X2142" i="2"/>
  <c r="W2142" i="2"/>
  <c r="V2142" i="2"/>
  <c r="AE2141" i="2"/>
  <c r="AD2141" i="2"/>
  <c r="AC2141" i="2"/>
  <c r="AB2141" i="2"/>
  <c r="AA2141" i="2"/>
  <c r="Z2141" i="2"/>
  <c r="Y2141" i="2"/>
  <c r="X2141" i="2"/>
  <c r="W2141" i="2"/>
  <c r="V2141" i="2"/>
  <c r="AE2140" i="2"/>
  <c r="AD2140" i="2"/>
  <c r="AC2140" i="2"/>
  <c r="AB2140" i="2"/>
  <c r="AA2140" i="2"/>
  <c r="Z2140" i="2"/>
  <c r="Y2140" i="2"/>
  <c r="X2140" i="2"/>
  <c r="W2140" i="2"/>
  <c r="V2140" i="2"/>
  <c r="AE2139" i="2"/>
  <c r="AD2139" i="2"/>
  <c r="AC2139" i="2"/>
  <c r="AB2139" i="2"/>
  <c r="AA2139" i="2"/>
  <c r="Z2139" i="2"/>
  <c r="Y2139" i="2"/>
  <c r="X2139" i="2"/>
  <c r="W2139" i="2"/>
  <c r="V2139" i="2"/>
  <c r="AE2138" i="2"/>
  <c r="AD2138" i="2"/>
  <c r="AC2138" i="2"/>
  <c r="AB2138" i="2"/>
  <c r="AA2138" i="2"/>
  <c r="Z2138" i="2"/>
  <c r="Y2138" i="2"/>
  <c r="X2138" i="2"/>
  <c r="W2138" i="2"/>
  <c r="V2138" i="2"/>
  <c r="AE2137" i="2"/>
  <c r="AD2137" i="2"/>
  <c r="AC2137" i="2"/>
  <c r="AB2137" i="2"/>
  <c r="AA2137" i="2"/>
  <c r="Z2137" i="2"/>
  <c r="Y2137" i="2"/>
  <c r="X2137" i="2"/>
  <c r="W2137" i="2"/>
  <c r="V2137" i="2"/>
  <c r="AE2136" i="2"/>
  <c r="AD2136" i="2"/>
  <c r="AC2136" i="2"/>
  <c r="AB2136" i="2"/>
  <c r="AA2136" i="2"/>
  <c r="Z2136" i="2"/>
  <c r="Y2136" i="2"/>
  <c r="X2136" i="2"/>
  <c r="W2136" i="2"/>
  <c r="V2136" i="2"/>
  <c r="AE2135" i="2"/>
  <c r="AD2135" i="2"/>
  <c r="AC2135" i="2"/>
  <c r="AB2135" i="2"/>
  <c r="AA2135" i="2"/>
  <c r="Z2135" i="2"/>
  <c r="Y2135" i="2"/>
  <c r="X2135" i="2"/>
  <c r="W2135" i="2"/>
  <c r="V2135" i="2"/>
  <c r="AE2134" i="2"/>
  <c r="AD2134" i="2"/>
  <c r="AC2134" i="2"/>
  <c r="AB2134" i="2"/>
  <c r="AA2134" i="2"/>
  <c r="Z2134" i="2"/>
  <c r="Y2134" i="2"/>
  <c r="X2134" i="2"/>
  <c r="W2134" i="2"/>
  <c r="V2134" i="2"/>
  <c r="AE2133" i="2"/>
  <c r="AD2133" i="2"/>
  <c r="AC2133" i="2"/>
  <c r="AB2133" i="2"/>
  <c r="AA2133" i="2"/>
  <c r="Z2133" i="2"/>
  <c r="Y2133" i="2"/>
  <c r="X2133" i="2"/>
  <c r="W2133" i="2"/>
  <c r="V2133" i="2"/>
  <c r="AE2132" i="2"/>
  <c r="AD2132" i="2"/>
  <c r="AC2132" i="2"/>
  <c r="AB2132" i="2"/>
  <c r="AA2132" i="2"/>
  <c r="Z2132" i="2"/>
  <c r="Y2132" i="2"/>
  <c r="X2132" i="2"/>
  <c r="W2132" i="2"/>
  <c r="V2132" i="2"/>
  <c r="AE2131" i="2"/>
  <c r="AD2131" i="2"/>
  <c r="AC2131" i="2"/>
  <c r="AB2131" i="2"/>
  <c r="AA2131" i="2"/>
  <c r="Z2131" i="2"/>
  <c r="Y2131" i="2"/>
  <c r="X2131" i="2"/>
  <c r="W2131" i="2"/>
  <c r="V2131" i="2"/>
  <c r="AE2130" i="2"/>
  <c r="AD2130" i="2"/>
  <c r="AC2130" i="2"/>
  <c r="AB2130" i="2"/>
  <c r="AA2130" i="2"/>
  <c r="Z2130" i="2"/>
  <c r="Y2130" i="2"/>
  <c r="X2130" i="2"/>
  <c r="W2130" i="2"/>
  <c r="V2130" i="2"/>
  <c r="AE2129" i="2"/>
  <c r="AD2129" i="2"/>
  <c r="AC2129" i="2"/>
  <c r="AB2129" i="2"/>
  <c r="AA2129" i="2"/>
  <c r="Z2129" i="2"/>
  <c r="Y2129" i="2"/>
  <c r="X2129" i="2"/>
  <c r="W2129" i="2"/>
  <c r="V2129" i="2"/>
  <c r="AE2128" i="2"/>
  <c r="AD2128" i="2"/>
  <c r="AC2128" i="2"/>
  <c r="AB2128" i="2"/>
  <c r="AA2128" i="2"/>
  <c r="Z2128" i="2"/>
  <c r="Y2128" i="2"/>
  <c r="X2128" i="2"/>
  <c r="W2128" i="2"/>
  <c r="V2128" i="2"/>
  <c r="AE2127" i="2"/>
  <c r="AD2127" i="2"/>
  <c r="AC2127" i="2"/>
  <c r="AB2127" i="2"/>
  <c r="AA2127" i="2"/>
  <c r="Z2127" i="2"/>
  <c r="Y2127" i="2"/>
  <c r="X2127" i="2"/>
  <c r="W2127" i="2"/>
  <c r="V2127" i="2"/>
  <c r="AE2126" i="2"/>
  <c r="AD2126" i="2"/>
  <c r="AC2126" i="2"/>
  <c r="AB2126" i="2"/>
  <c r="AA2126" i="2"/>
  <c r="Z2126" i="2"/>
  <c r="Y2126" i="2"/>
  <c r="X2126" i="2"/>
  <c r="W2126" i="2"/>
  <c r="V2126" i="2"/>
  <c r="AE2125" i="2"/>
  <c r="AD2125" i="2"/>
  <c r="AC2125" i="2"/>
  <c r="AB2125" i="2"/>
  <c r="AA2125" i="2"/>
  <c r="Z2125" i="2"/>
  <c r="Y2125" i="2"/>
  <c r="X2125" i="2"/>
  <c r="W2125" i="2"/>
  <c r="V2125" i="2"/>
  <c r="AE2124" i="2"/>
  <c r="AD2124" i="2"/>
  <c r="AC2124" i="2"/>
  <c r="AB2124" i="2"/>
  <c r="AA2124" i="2"/>
  <c r="Z2124" i="2"/>
  <c r="Y2124" i="2"/>
  <c r="X2124" i="2"/>
  <c r="W2124" i="2"/>
  <c r="V2124" i="2"/>
  <c r="AE2123" i="2"/>
  <c r="AD2123" i="2"/>
  <c r="AC2123" i="2"/>
  <c r="AB2123" i="2"/>
  <c r="AA2123" i="2"/>
  <c r="Z2123" i="2"/>
  <c r="Y2123" i="2"/>
  <c r="X2123" i="2"/>
  <c r="W2123" i="2"/>
  <c r="V2123" i="2"/>
  <c r="AE2122" i="2"/>
  <c r="AD2122" i="2"/>
  <c r="AC2122" i="2"/>
  <c r="AB2122" i="2"/>
  <c r="AA2122" i="2"/>
  <c r="Z2122" i="2"/>
  <c r="Y2122" i="2"/>
  <c r="X2122" i="2"/>
  <c r="W2122" i="2"/>
  <c r="V2122" i="2"/>
  <c r="AE2121" i="2"/>
  <c r="AD2121" i="2"/>
  <c r="AC2121" i="2"/>
  <c r="AB2121" i="2"/>
  <c r="AA2121" i="2"/>
  <c r="Z2121" i="2"/>
  <c r="Y2121" i="2"/>
  <c r="X2121" i="2"/>
  <c r="W2121" i="2"/>
  <c r="V2121" i="2"/>
  <c r="AE2120" i="2"/>
  <c r="AD2120" i="2"/>
  <c r="AC2120" i="2"/>
  <c r="AB2120" i="2"/>
  <c r="AA2120" i="2"/>
  <c r="Z2120" i="2"/>
  <c r="Y2120" i="2"/>
  <c r="X2120" i="2"/>
  <c r="W2120" i="2"/>
  <c r="V2120" i="2"/>
  <c r="AE2119" i="2"/>
  <c r="AD2119" i="2"/>
  <c r="AC2119" i="2"/>
  <c r="AB2119" i="2"/>
  <c r="AA2119" i="2"/>
  <c r="Z2119" i="2"/>
  <c r="Y2119" i="2"/>
  <c r="X2119" i="2"/>
  <c r="W2119" i="2"/>
  <c r="V2119" i="2"/>
  <c r="AE2118" i="2"/>
  <c r="AD2118" i="2"/>
  <c r="AC2118" i="2"/>
  <c r="AB2118" i="2"/>
  <c r="AA2118" i="2"/>
  <c r="Z2118" i="2"/>
  <c r="Y2118" i="2"/>
  <c r="X2118" i="2"/>
  <c r="W2118" i="2"/>
  <c r="V2118" i="2"/>
  <c r="AE2117" i="2"/>
  <c r="AD2117" i="2"/>
  <c r="AC2117" i="2"/>
  <c r="AB2117" i="2"/>
  <c r="AA2117" i="2"/>
  <c r="Z2117" i="2"/>
  <c r="Y2117" i="2"/>
  <c r="X2117" i="2"/>
  <c r="W2117" i="2"/>
  <c r="V2117" i="2"/>
  <c r="AE2116" i="2"/>
  <c r="AD2116" i="2"/>
  <c r="AC2116" i="2"/>
  <c r="AB2116" i="2"/>
  <c r="AA2116" i="2"/>
  <c r="Z2116" i="2"/>
  <c r="Y2116" i="2"/>
  <c r="X2116" i="2"/>
  <c r="W2116" i="2"/>
  <c r="V2116" i="2"/>
  <c r="AE2115" i="2"/>
  <c r="AD2115" i="2"/>
  <c r="AC2115" i="2"/>
  <c r="AB2115" i="2"/>
  <c r="AA2115" i="2"/>
  <c r="Z2115" i="2"/>
  <c r="Y2115" i="2"/>
  <c r="X2115" i="2"/>
  <c r="W2115" i="2"/>
  <c r="V2115" i="2"/>
  <c r="AE2114" i="2"/>
  <c r="AD2114" i="2"/>
  <c r="AC2114" i="2"/>
  <c r="AB2114" i="2"/>
  <c r="AA2114" i="2"/>
  <c r="Z2114" i="2"/>
  <c r="Y2114" i="2"/>
  <c r="X2114" i="2"/>
  <c r="W2114" i="2"/>
  <c r="V2114" i="2"/>
  <c r="AE2113" i="2"/>
  <c r="AD2113" i="2"/>
  <c r="AC2113" i="2"/>
  <c r="AB2113" i="2"/>
  <c r="AA2113" i="2"/>
  <c r="Z2113" i="2"/>
  <c r="Y2113" i="2"/>
  <c r="X2113" i="2"/>
  <c r="W2113" i="2"/>
  <c r="V2113" i="2"/>
  <c r="AE2112" i="2"/>
  <c r="AD2112" i="2"/>
  <c r="AC2112" i="2"/>
  <c r="AB2112" i="2"/>
  <c r="AA2112" i="2"/>
  <c r="Z2112" i="2"/>
  <c r="Y2112" i="2"/>
  <c r="X2112" i="2"/>
  <c r="W2112" i="2"/>
  <c r="V2112" i="2"/>
  <c r="AE2111" i="2"/>
  <c r="AD2111" i="2"/>
  <c r="AC2111" i="2"/>
  <c r="AB2111" i="2"/>
  <c r="AA2111" i="2"/>
  <c r="Z2111" i="2"/>
  <c r="Y2111" i="2"/>
  <c r="X2111" i="2"/>
  <c r="W2111" i="2"/>
  <c r="V2111" i="2"/>
  <c r="AE2110" i="2"/>
  <c r="AD2110" i="2"/>
  <c r="AC2110" i="2"/>
  <c r="AB2110" i="2"/>
  <c r="AA2110" i="2"/>
  <c r="Z2110" i="2"/>
  <c r="Y2110" i="2"/>
  <c r="X2110" i="2"/>
  <c r="W2110" i="2"/>
  <c r="V2110" i="2"/>
  <c r="AE2109" i="2"/>
  <c r="AD2109" i="2"/>
  <c r="AC2109" i="2"/>
  <c r="AB2109" i="2"/>
  <c r="AA2109" i="2"/>
  <c r="Z2109" i="2"/>
  <c r="Y2109" i="2"/>
  <c r="X2109" i="2"/>
  <c r="W2109" i="2"/>
  <c r="V2109" i="2"/>
  <c r="AE2108" i="2"/>
  <c r="AD2108" i="2"/>
  <c r="AC2108" i="2"/>
  <c r="AB2108" i="2"/>
  <c r="AA2108" i="2"/>
  <c r="Z2108" i="2"/>
  <c r="Y2108" i="2"/>
  <c r="X2108" i="2"/>
  <c r="W2108" i="2"/>
  <c r="V2108" i="2"/>
  <c r="AE2107" i="2"/>
  <c r="AD2107" i="2"/>
  <c r="AC2107" i="2"/>
  <c r="AB2107" i="2"/>
  <c r="AA2107" i="2"/>
  <c r="Z2107" i="2"/>
  <c r="Y2107" i="2"/>
  <c r="X2107" i="2"/>
  <c r="W2107" i="2"/>
  <c r="V2107" i="2"/>
  <c r="AE2106" i="2"/>
  <c r="AD2106" i="2"/>
  <c r="AC2106" i="2"/>
  <c r="AB2106" i="2"/>
  <c r="AA2106" i="2"/>
  <c r="Z2106" i="2"/>
  <c r="Y2106" i="2"/>
  <c r="X2106" i="2"/>
  <c r="W2106" i="2"/>
  <c r="V2106" i="2"/>
  <c r="AE2105" i="2"/>
  <c r="AD2105" i="2"/>
  <c r="AC2105" i="2"/>
  <c r="AB2105" i="2"/>
  <c r="AA2105" i="2"/>
  <c r="Z2105" i="2"/>
  <c r="Y2105" i="2"/>
  <c r="X2105" i="2"/>
  <c r="W2105" i="2"/>
  <c r="V2105" i="2"/>
  <c r="AE2104" i="2"/>
  <c r="AD2104" i="2"/>
  <c r="AC2104" i="2"/>
  <c r="AB2104" i="2"/>
  <c r="AA2104" i="2"/>
  <c r="Z2104" i="2"/>
  <c r="Y2104" i="2"/>
  <c r="X2104" i="2"/>
  <c r="W2104" i="2"/>
  <c r="V2104" i="2"/>
  <c r="AE2103" i="2"/>
  <c r="AD2103" i="2"/>
  <c r="AC2103" i="2"/>
  <c r="AB2103" i="2"/>
  <c r="AA2103" i="2"/>
  <c r="Z2103" i="2"/>
  <c r="Y2103" i="2"/>
  <c r="X2103" i="2"/>
  <c r="W2103" i="2"/>
  <c r="V2103" i="2"/>
  <c r="AE2102" i="2"/>
  <c r="AD2102" i="2"/>
  <c r="AC2102" i="2"/>
  <c r="AB2102" i="2"/>
  <c r="AA2102" i="2"/>
  <c r="Z2102" i="2"/>
  <c r="Y2102" i="2"/>
  <c r="X2102" i="2"/>
  <c r="W2102" i="2"/>
  <c r="V2102" i="2"/>
  <c r="AE2101" i="2"/>
  <c r="AD2101" i="2"/>
  <c r="AC2101" i="2"/>
  <c r="AB2101" i="2"/>
  <c r="AA2101" i="2"/>
  <c r="Z2101" i="2"/>
  <c r="Y2101" i="2"/>
  <c r="X2101" i="2"/>
  <c r="W2101" i="2"/>
  <c r="V2101" i="2"/>
  <c r="AE2100" i="2"/>
  <c r="AD2100" i="2"/>
  <c r="AC2100" i="2"/>
  <c r="AB2100" i="2"/>
  <c r="AA2100" i="2"/>
  <c r="Z2100" i="2"/>
  <c r="Y2100" i="2"/>
  <c r="X2100" i="2"/>
  <c r="W2100" i="2"/>
  <c r="V2100" i="2"/>
  <c r="AE2099" i="2"/>
  <c r="AD2099" i="2"/>
  <c r="AC2099" i="2"/>
  <c r="AB2099" i="2"/>
  <c r="AA2099" i="2"/>
  <c r="Z2099" i="2"/>
  <c r="Y2099" i="2"/>
  <c r="X2099" i="2"/>
  <c r="W2099" i="2"/>
  <c r="V2099" i="2"/>
  <c r="AE2098" i="2"/>
  <c r="AD2098" i="2"/>
  <c r="AC2098" i="2"/>
  <c r="AB2098" i="2"/>
  <c r="AA2098" i="2"/>
  <c r="Z2098" i="2"/>
  <c r="Y2098" i="2"/>
  <c r="X2098" i="2"/>
  <c r="W2098" i="2"/>
  <c r="V2098" i="2"/>
  <c r="AE2097" i="2"/>
  <c r="AD2097" i="2"/>
  <c r="AC2097" i="2"/>
  <c r="AB2097" i="2"/>
  <c r="AA2097" i="2"/>
  <c r="Z2097" i="2"/>
  <c r="Y2097" i="2"/>
  <c r="X2097" i="2"/>
  <c r="W2097" i="2"/>
  <c r="V2097" i="2"/>
  <c r="AE2096" i="2"/>
  <c r="AD2096" i="2"/>
  <c r="AC2096" i="2"/>
  <c r="AB2096" i="2"/>
  <c r="AA2096" i="2"/>
  <c r="Z2096" i="2"/>
  <c r="Y2096" i="2"/>
  <c r="X2096" i="2"/>
  <c r="W2096" i="2"/>
  <c r="V2096" i="2"/>
  <c r="AE2095" i="2"/>
  <c r="AD2095" i="2"/>
  <c r="AC2095" i="2"/>
  <c r="AB2095" i="2"/>
  <c r="AA2095" i="2"/>
  <c r="Z2095" i="2"/>
  <c r="Y2095" i="2"/>
  <c r="X2095" i="2"/>
  <c r="W2095" i="2"/>
  <c r="V2095" i="2"/>
  <c r="AE2094" i="2"/>
  <c r="AD2094" i="2"/>
  <c r="AC2094" i="2"/>
  <c r="AB2094" i="2"/>
  <c r="AA2094" i="2"/>
  <c r="Z2094" i="2"/>
  <c r="Y2094" i="2"/>
  <c r="X2094" i="2"/>
  <c r="W2094" i="2"/>
  <c r="V2094" i="2"/>
  <c r="AE2093" i="2"/>
  <c r="AD2093" i="2"/>
  <c r="AC2093" i="2"/>
  <c r="AB2093" i="2"/>
  <c r="AA2093" i="2"/>
  <c r="Z2093" i="2"/>
  <c r="Y2093" i="2"/>
  <c r="X2093" i="2"/>
  <c r="W2093" i="2"/>
  <c r="V2093" i="2"/>
  <c r="AE2092" i="2"/>
  <c r="AD2092" i="2"/>
  <c r="AC2092" i="2"/>
  <c r="AB2092" i="2"/>
  <c r="AA2092" i="2"/>
  <c r="Z2092" i="2"/>
  <c r="Y2092" i="2"/>
  <c r="X2092" i="2"/>
  <c r="W2092" i="2"/>
  <c r="V2092" i="2"/>
  <c r="AE2091" i="2"/>
  <c r="AD2091" i="2"/>
  <c r="AC2091" i="2"/>
  <c r="AB2091" i="2"/>
  <c r="AA2091" i="2"/>
  <c r="Z2091" i="2"/>
  <c r="Y2091" i="2"/>
  <c r="X2091" i="2"/>
  <c r="W2091" i="2"/>
  <c r="V2091" i="2"/>
  <c r="AE2090" i="2"/>
  <c r="AD2090" i="2"/>
  <c r="AC2090" i="2"/>
  <c r="AB2090" i="2"/>
  <c r="AA2090" i="2"/>
  <c r="Z2090" i="2"/>
  <c r="Y2090" i="2"/>
  <c r="X2090" i="2"/>
  <c r="W2090" i="2"/>
  <c r="V2090" i="2"/>
  <c r="AE2089" i="2"/>
  <c r="AD2089" i="2"/>
  <c r="AC2089" i="2"/>
  <c r="AB2089" i="2"/>
  <c r="AA2089" i="2"/>
  <c r="Z2089" i="2"/>
  <c r="Y2089" i="2"/>
  <c r="X2089" i="2"/>
  <c r="W2089" i="2"/>
  <c r="V2089" i="2"/>
  <c r="AE2088" i="2"/>
  <c r="AD2088" i="2"/>
  <c r="AC2088" i="2"/>
  <c r="AB2088" i="2"/>
  <c r="AA2088" i="2"/>
  <c r="Z2088" i="2"/>
  <c r="Y2088" i="2"/>
  <c r="X2088" i="2"/>
  <c r="W2088" i="2"/>
  <c r="V2088" i="2"/>
  <c r="AE2087" i="2"/>
  <c r="AD2087" i="2"/>
  <c r="AC2087" i="2"/>
  <c r="AB2087" i="2"/>
  <c r="AA2087" i="2"/>
  <c r="Z2087" i="2"/>
  <c r="Y2087" i="2"/>
  <c r="X2087" i="2"/>
  <c r="W2087" i="2"/>
  <c r="V2087" i="2"/>
  <c r="AE2086" i="2"/>
  <c r="AD2086" i="2"/>
  <c r="AC2086" i="2"/>
  <c r="AB2086" i="2"/>
  <c r="AA2086" i="2"/>
  <c r="Z2086" i="2"/>
  <c r="Y2086" i="2"/>
  <c r="X2086" i="2"/>
  <c r="W2086" i="2"/>
  <c r="V2086" i="2"/>
  <c r="AE2085" i="2"/>
  <c r="AD2085" i="2"/>
  <c r="AC2085" i="2"/>
  <c r="AB2085" i="2"/>
  <c r="AA2085" i="2"/>
  <c r="Z2085" i="2"/>
  <c r="Y2085" i="2"/>
  <c r="X2085" i="2"/>
  <c r="W2085" i="2"/>
  <c r="V2085" i="2"/>
  <c r="AE2084" i="2"/>
  <c r="AD2084" i="2"/>
  <c r="AC2084" i="2"/>
  <c r="AB2084" i="2"/>
  <c r="AA2084" i="2"/>
  <c r="Z2084" i="2"/>
  <c r="Y2084" i="2"/>
  <c r="X2084" i="2"/>
  <c r="W2084" i="2"/>
  <c r="V2084" i="2"/>
  <c r="AE2083" i="2"/>
  <c r="AD2083" i="2"/>
  <c r="AC2083" i="2"/>
  <c r="AB2083" i="2"/>
  <c r="AA2083" i="2"/>
  <c r="Z2083" i="2"/>
  <c r="Y2083" i="2"/>
  <c r="X2083" i="2"/>
  <c r="W2083" i="2"/>
  <c r="V2083" i="2"/>
  <c r="AE2082" i="2"/>
  <c r="AD2082" i="2"/>
  <c r="AC2082" i="2"/>
  <c r="AB2082" i="2"/>
  <c r="AA2082" i="2"/>
  <c r="Z2082" i="2"/>
  <c r="Y2082" i="2"/>
  <c r="X2082" i="2"/>
  <c r="W2082" i="2"/>
  <c r="V2082" i="2"/>
  <c r="AE2081" i="2"/>
  <c r="AD2081" i="2"/>
  <c r="AC2081" i="2"/>
  <c r="AB2081" i="2"/>
  <c r="AA2081" i="2"/>
  <c r="Z2081" i="2"/>
  <c r="Y2081" i="2"/>
  <c r="X2081" i="2"/>
  <c r="W2081" i="2"/>
  <c r="V2081" i="2"/>
  <c r="AE2080" i="2"/>
  <c r="AD2080" i="2"/>
  <c r="AC2080" i="2"/>
  <c r="AB2080" i="2"/>
  <c r="AA2080" i="2"/>
  <c r="Z2080" i="2"/>
  <c r="Y2080" i="2"/>
  <c r="X2080" i="2"/>
  <c r="W2080" i="2"/>
  <c r="V2080" i="2"/>
  <c r="AE2079" i="2"/>
  <c r="AD2079" i="2"/>
  <c r="AC2079" i="2"/>
  <c r="AB2079" i="2"/>
  <c r="AA2079" i="2"/>
  <c r="Z2079" i="2"/>
  <c r="Y2079" i="2"/>
  <c r="X2079" i="2"/>
  <c r="W2079" i="2"/>
  <c r="V2079" i="2"/>
  <c r="AE2078" i="2"/>
  <c r="AD2078" i="2"/>
  <c r="AC2078" i="2"/>
  <c r="AB2078" i="2"/>
  <c r="AA2078" i="2"/>
  <c r="Z2078" i="2"/>
  <c r="Y2078" i="2"/>
  <c r="X2078" i="2"/>
  <c r="W2078" i="2"/>
  <c r="V2078" i="2"/>
  <c r="AE2077" i="2"/>
  <c r="AD2077" i="2"/>
  <c r="AC2077" i="2"/>
  <c r="AB2077" i="2"/>
  <c r="AA2077" i="2"/>
  <c r="Z2077" i="2"/>
  <c r="Y2077" i="2"/>
  <c r="X2077" i="2"/>
  <c r="W2077" i="2"/>
  <c r="V2077" i="2"/>
  <c r="AE2076" i="2"/>
  <c r="AD2076" i="2"/>
  <c r="AC2076" i="2"/>
  <c r="AB2076" i="2"/>
  <c r="AA2076" i="2"/>
  <c r="Z2076" i="2"/>
  <c r="Y2076" i="2"/>
  <c r="X2076" i="2"/>
  <c r="W2076" i="2"/>
  <c r="V2076" i="2"/>
  <c r="AE2075" i="2"/>
  <c r="AD2075" i="2"/>
  <c r="AC2075" i="2"/>
  <c r="AB2075" i="2"/>
  <c r="AA2075" i="2"/>
  <c r="Z2075" i="2"/>
  <c r="Y2075" i="2"/>
  <c r="X2075" i="2"/>
  <c r="W2075" i="2"/>
  <c r="V2075" i="2"/>
  <c r="AE2074" i="2"/>
  <c r="AD2074" i="2"/>
  <c r="AC2074" i="2"/>
  <c r="AB2074" i="2"/>
  <c r="AA2074" i="2"/>
  <c r="Z2074" i="2"/>
  <c r="Y2074" i="2"/>
  <c r="X2074" i="2"/>
  <c r="W2074" i="2"/>
  <c r="V2074" i="2"/>
  <c r="AE2073" i="2"/>
  <c r="AD2073" i="2"/>
  <c r="AC2073" i="2"/>
  <c r="AB2073" i="2"/>
  <c r="AA2073" i="2"/>
  <c r="Z2073" i="2"/>
  <c r="Y2073" i="2"/>
  <c r="X2073" i="2"/>
  <c r="W2073" i="2"/>
  <c r="V2073" i="2"/>
  <c r="AE2072" i="2"/>
  <c r="AD2072" i="2"/>
  <c r="AC2072" i="2"/>
  <c r="AB2072" i="2"/>
  <c r="AA2072" i="2"/>
  <c r="Z2072" i="2"/>
  <c r="Y2072" i="2"/>
  <c r="X2072" i="2"/>
  <c r="W2072" i="2"/>
  <c r="V2072" i="2"/>
  <c r="AE2071" i="2"/>
  <c r="AD2071" i="2"/>
  <c r="AC2071" i="2"/>
  <c r="AB2071" i="2"/>
  <c r="AA2071" i="2"/>
  <c r="Z2071" i="2"/>
  <c r="Y2071" i="2"/>
  <c r="X2071" i="2"/>
  <c r="W2071" i="2"/>
  <c r="V2071" i="2"/>
  <c r="AE2070" i="2"/>
  <c r="AD2070" i="2"/>
  <c r="AC2070" i="2"/>
  <c r="AB2070" i="2"/>
  <c r="AA2070" i="2"/>
  <c r="Z2070" i="2"/>
  <c r="Y2070" i="2"/>
  <c r="X2070" i="2"/>
  <c r="W2070" i="2"/>
  <c r="V2070" i="2"/>
  <c r="AE2069" i="2"/>
  <c r="AD2069" i="2"/>
  <c r="AC2069" i="2"/>
  <c r="AB2069" i="2"/>
  <c r="AA2069" i="2"/>
  <c r="Z2069" i="2"/>
  <c r="Y2069" i="2"/>
  <c r="X2069" i="2"/>
  <c r="W2069" i="2"/>
  <c r="V2069" i="2"/>
  <c r="AE2068" i="2"/>
  <c r="AD2068" i="2"/>
  <c r="AC2068" i="2"/>
  <c r="AB2068" i="2"/>
  <c r="AA2068" i="2"/>
  <c r="Z2068" i="2"/>
  <c r="Y2068" i="2"/>
  <c r="X2068" i="2"/>
  <c r="W2068" i="2"/>
  <c r="V2068" i="2"/>
  <c r="AE2067" i="2"/>
  <c r="AD2067" i="2"/>
  <c r="AC2067" i="2"/>
  <c r="AB2067" i="2"/>
  <c r="AA2067" i="2"/>
  <c r="Z2067" i="2"/>
  <c r="Y2067" i="2"/>
  <c r="X2067" i="2"/>
  <c r="W2067" i="2"/>
  <c r="V2067" i="2"/>
  <c r="AE2066" i="2"/>
  <c r="AD2066" i="2"/>
  <c r="AC2066" i="2"/>
  <c r="AB2066" i="2"/>
  <c r="AA2066" i="2"/>
  <c r="Z2066" i="2"/>
  <c r="Y2066" i="2"/>
  <c r="X2066" i="2"/>
  <c r="W2066" i="2"/>
  <c r="V2066" i="2"/>
  <c r="AE2065" i="2"/>
  <c r="AD2065" i="2"/>
  <c r="AC2065" i="2"/>
  <c r="AB2065" i="2"/>
  <c r="AA2065" i="2"/>
  <c r="Z2065" i="2"/>
  <c r="Y2065" i="2"/>
  <c r="X2065" i="2"/>
  <c r="W2065" i="2"/>
  <c r="V2065" i="2"/>
  <c r="AE2064" i="2"/>
  <c r="AD2064" i="2"/>
  <c r="AC2064" i="2"/>
  <c r="AB2064" i="2"/>
  <c r="AA2064" i="2"/>
  <c r="Z2064" i="2"/>
  <c r="Y2064" i="2"/>
  <c r="X2064" i="2"/>
  <c r="W2064" i="2"/>
  <c r="V2064" i="2"/>
  <c r="AE2063" i="2"/>
  <c r="AD2063" i="2"/>
  <c r="AC2063" i="2"/>
  <c r="AB2063" i="2"/>
  <c r="AA2063" i="2"/>
  <c r="Z2063" i="2"/>
  <c r="Y2063" i="2"/>
  <c r="X2063" i="2"/>
  <c r="W2063" i="2"/>
  <c r="V2063" i="2"/>
  <c r="AE2062" i="2"/>
  <c r="AD2062" i="2"/>
  <c r="AC2062" i="2"/>
  <c r="AB2062" i="2"/>
  <c r="AA2062" i="2"/>
  <c r="Z2062" i="2"/>
  <c r="Y2062" i="2"/>
  <c r="X2062" i="2"/>
  <c r="W2062" i="2"/>
  <c r="V2062" i="2"/>
  <c r="AE2061" i="2"/>
  <c r="AD2061" i="2"/>
  <c r="AC2061" i="2"/>
  <c r="AB2061" i="2"/>
  <c r="AA2061" i="2"/>
  <c r="Z2061" i="2"/>
  <c r="Y2061" i="2"/>
  <c r="X2061" i="2"/>
  <c r="W2061" i="2"/>
  <c r="V2061" i="2"/>
  <c r="AE2060" i="2"/>
  <c r="AD2060" i="2"/>
  <c r="AC2060" i="2"/>
  <c r="AB2060" i="2"/>
  <c r="AA2060" i="2"/>
  <c r="Z2060" i="2"/>
  <c r="Y2060" i="2"/>
  <c r="X2060" i="2"/>
  <c r="W2060" i="2"/>
  <c r="V2060" i="2"/>
  <c r="AE2059" i="2"/>
  <c r="AD2059" i="2"/>
  <c r="AC2059" i="2"/>
  <c r="AB2059" i="2"/>
  <c r="AA2059" i="2"/>
  <c r="Z2059" i="2"/>
  <c r="Y2059" i="2"/>
  <c r="X2059" i="2"/>
  <c r="W2059" i="2"/>
  <c r="V2059" i="2"/>
  <c r="AE2058" i="2"/>
  <c r="AD2058" i="2"/>
  <c r="AC2058" i="2"/>
  <c r="AB2058" i="2"/>
  <c r="AA2058" i="2"/>
  <c r="Z2058" i="2"/>
  <c r="Y2058" i="2"/>
  <c r="X2058" i="2"/>
  <c r="W2058" i="2"/>
  <c r="V2058" i="2"/>
  <c r="AE2057" i="2"/>
  <c r="AD2057" i="2"/>
  <c r="AC2057" i="2"/>
  <c r="AB2057" i="2"/>
  <c r="AA2057" i="2"/>
  <c r="Z2057" i="2"/>
  <c r="Y2057" i="2"/>
  <c r="X2057" i="2"/>
  <c r="W2057" i="2"/>
  <c r="V2057" i="2"/>
  <c r="AE2056" i="2"/>
  <c r="AD2056" i="2"/>
  <c r="AC2056" i="2"/>
  <c r="AB2056" i="2"/>
  <c r="AA2056" i="2"/>
  <c r="Z2056" i="2"/>
  <c r="Y2056" i="2"/>
  <c r="X2056" i="2"/>
  <c r="W2056" i="2"/>
  <c r="V2056" i="2"/>
  <c r="AE2055" i="2"/>
  <c r="AD2055" i="2"/>
  <c r="AC2055" i="2"/>
  <c r="AB2055" i="2"/>
  <c r="AA2055" i="2"/>
  <c r="Z2055" i="2"/>
  <c r="Y2055" i="2"/>
  <c r="X2055" i="2"/>
  <c r="W2055" i="2"/>
  <c r="V2055" i="2"/>
  <c r="AE2054" i="2"/>
  <c r="AD2054" i="2"/>
  <c r="AC2054" i="2"/>
  <c r="AB2054" i="2"/>
  <c r="AA2054" i="2"/>
  <c r="Z2054" i="2"/>
  <c r="Y2054" i="2"/>
  <c r="X2054" i="2"/>
  <c r="W2054" i="2"/>
  <c r="V2054" i="2"/>
  <c r="AE2053" i="2"/>
  <c r="AD2053" i="2"/>
  <c r="AC2053" i="2"/>
  <c r="AB2053" i="2"/>
  <c r="AA2053" i="2"/>
  <c r="Z2053" i="2"/>
  <c r="Y2053" i="2"/>
  <c r="X2053" i="2"/>
  <c r="W2053" i="2"/>
  <c r="V2053" i="2"/>
  <c r="AE2052" i="2"/>
  <c r="AD2052" i="2"/>
  <c r="AC2052" i="2"/>
  <c r="AB2052" i="2"/>
  <c r="AA2052" i="2"/>
  <c r="Z2052" i="2"/>
  <c r="Y2052" i="2"/>
  <c r="X2052" i="2"/>
  <c r="W2052" i="2"/>
  <c r="V2052" i="2"/>
  <c r="AE2051" i="2"/>
  <c r="AD2051" i="2"/>
  <c r="AC2051" i="2"/>
  <c r="AB2051" i="2"/>
  <c r="AA2051" i="2"/>
  <c r="Z2051" i="2"/>
  <c r="Y2051" i="2"/>
  <c r="X2051" i="2"/>
  <c r="W2051" i="2"/>
  <c r="V2051" i="2"/>
  <c r="AE2050" i="2"/>
  <c r="AD2050" i="2"/>
  <c r="AC2050" i="2"/>
  <c r="AB2050" i="2"/>
  <c r="AA2050" i="2"/>
  <c r="Z2050" i="2"/>
  <c r="Y2050" i="2"/>
  <c r="X2050" i="2"/>
  <c r="W2050" i="2"/>
  <c r="V2050" i="2"/>
  <c r="AE2049" i="2"/>
  <c r="AD2049" i="2"/>
  <c r="AC2049" i="2"/>
  <c r="AB2049" i="2"/>
  <c r="AA2049" i="2"/>
  <c r="Z2049" i="2"/>
  <c r="Y2049" i="2"/>
  <c r="X2049" i="2"/>
  <c r="W2049" i="2"/>
  <c r="V2049" i="2"/>
  <c r="AE2048" i="2"/>
  <c r="AD2048" i="2"/>
  <c r="AC2048" i="2"/>
  <c r="AB2048" i="2"/>
  <c r="AA2048" i="2"/>
  <c r="Z2048" i="2"/>
  <c r="Y2048" i="2"/>
  <c r="X2048" i="2"/>
  <c r="W2048" i="2"/>
  <c r="V2048" i="2"/>
  <c r="AE2047" i="2"/>
  <c r="AD2047" i="2"/>
  <c r="AC2047" i="2"/>
  <c r="AB2047" i="2"/>
  <c r="AA2047" i="2"/>
  <c r="Z2047" i="2"/>
  <c r="Y2047" i="2"/>
  <c r="X2047" i="2"/>
  <c r="W2047" i="2"/>
  <c r="V2047" i="2"/>
  <c r="AE2046" i="2"/>
  <c r="AD2046" i="2"/>
  <c r="AC2046" i="2"/>
  <c r="AB2046" i="2"/>
  <c r="AA2046" i="2"/>
  <c r="Z2046" i="2"/>
  <c r="Y2046" i="2"/>
  <c r="X2046" i="2"/>
  <c r="W2046" i="2"/>
  <c r="V2046" i="2"/>
  <c r="AE2045" i="2"/>
  <c r="AD2045" i="2"/>
  <c r="AC2045" i="2"/>
  <c r="AB2045" i="2"/>
  <c r="AA2045" i="2"/>
  <c r="Z2045" i="2"/>
  <c r="Y2045" i="2"/>
  <c r="X2045" i="2"/>
  <c r="W2045" i="2"/>
  <c r="V2045" i="2"/>
  <c r="AE2044" i="2"/>
  <c r="AD2044" i="2"/>
  <c r="AC2044" i="2"/>
  <c r="AB2044" i="2"/>
  <c r="AA2044" i="2"/>
  <c r="Z2044" i="2"/>
  <c r="Y2044" i="2"/>
  <c r="X2044" i="2"/>
  <c r="W2044" i="2"/>
  <c r="V2044" i="2"/>
  <c r="AE2043" i="2"/>
  <c r="AD2043" i="2"/>
  <c r="AC2043" i="2"/>
  <c r="AB2043" i="2"/>
  <c r="AA2043" i="2"/>
  <c r="Z2043" i="2"/>
  <c r="Y2043" i="2"/>
  <c r="X2043" i="2"/>
  <c r="W2043" i="2"/>
  <c r="V2043" i="2"/>
  <c r="AE2042" i="2"/>
  <c r="AD2042" i="2"/>
  <c r="AC2042" i="2"/>
  <c r="AB2042" i="2"/>
  <c r="AA2042" i="2"/>
  <c r="Z2042" i="2"/>
  <c r="Y2042" i="2"/>
  <c r="X2042" i="2"/>
  <c r="W2042" i="2"/>
  <c r="V2042" i="2"/>
  <c r="AE2041" i="2"/>
  <c r="AD2041" i="2"/>
  <c r="AC2041" i="2"/>
  <c r="AB2041" i="2"/>
  <c r="AA2041" i="2"/>
  <c r="Z2041" i="2"/>
  <c r="Y2041" i="2"/>
  <c r="X2041" i="2"/>
  <c r="W2041" i="2"/>
  <c r="V2041" i="2"/>
  <c r="AE2040" i="2"/>
  <c r="AD2040" i="2"/>
  <c r="AC2040" i="2"/>
  <c r="AB2040" i="2"/>
  <c r="AA2040" i="2"/>
  <c r="Z2040" i="2"/>
  <c r="Y2040" i="2"/>
  <c r="X2040" i="2"/>
  <c r="W2040" i="2"/>
  <c r="V2040" i="2"/>
  <c r="AE2039" i="2"/>
  <c r="AD2039" i="2"/>
  <c r="AC2039" i="2"/>
  <c r="AB2039" i="2"/>
  <c r="AA2039" i="2"/>
  <c r="Z2039" i="2"/>
  <c r="Y2039" i="2"/>
  <c r="X2039" i="2"/>
  <c r="W2039" i="2"/>
  <c r="V2039" i="2"/>
  <c r="AE2038" i="2"/>
  <c r="AD2038" i="2"/>
  <c r="AC2038" i="2"/>
  <c r="AB2038" i="2"/>
  <c r="AA2038" i="2"/>
  <c r="Z2038" i="2"/>
  <c r="Y2038" i="2"/>
  <c r="X2038" i="2"/>
  <c r="W2038" i="2"/>
  <c r="V2038" i="2"/>
  <c r="AE2037" i="2"/>
  <c r="AD2037" i="2"/>
  <c r="AC2037" i="2"/>
  <c r="AB2037" i="2"/>
  <c r="AA2037" i="2"/>
  <c r="Z2037" i="2"/>
  <c r="Y2037" i="2"/>
  <c r="X2037" i="2"/>
  <c r="W2037" i="2"/>
  <c r="V2037" i="2"/>
  <c r="AE2036" i="2"/>
  <c r="AD2036" i="2"/>
  <c r="AC2036" i="2"/>
  <c r="AB2036" i="2"/>
  <c r="AA2036" i="2"/>
  <c r="Z2036" i="2"/>
  <c r="Y2036" i="2"/>
  <c r="X2036" i="2"/>
  <c r="W2036" i="2"/>
  <c r="V2036" i="2"/>
  <c r="AE2035" i="2"/>
  <c r="AD2035" i="2"/>
  <c r="AC2035" i="2"/>
  <c r="AB2035" i="2"/>
  <c r="AA2035" i="2"/>
  <c r="Z2035" i="2"/>
  <c r="Y2035" i="2"/>
  <c r="X2035" i="2"/>
  <c r="W2035" i="2"/>
  <c r="V2035" i="2"/>
  <c r="AE2034" i="2"/>
  <c r="AD2034" i="2"/>
  <c r="AC2034" i="2"/>
  <c r="AB2034" i="2"/>
  <c r="AA2034" i="2"/>
  <c r="Z2034" i="2"/>
  <c r="Y2034" i="2"/>
  <c r="X2034" i="2"/>
  <c r="W2034" i="2"/>
  <c r="V2034" i="2"/>
  <c r="AE2033" i="2"/>
  <c r="AD2033" i="2"/>
  <c r="AC2033" i="2"/>
  <c r="AB2033" i="2"/>
  <c r="AA2033" i="2"/>
  <c r="Z2033" i="2"/>
  <c r="Y2033" i="2"/>
  <c r="X2033" i="2"/>
  <c r="W2033" i="2"/>
  <c r="V2033" i="2"/>
  <c r="AE2032" i="2"/>
  <c r="AD2032" i="2"/>
  <c r="AC2032" i="2"/>
  <c r="AB2032" i="2"/>
  <c r="AA2032" i="2"/>
  <c r="Z2032" i="2"/>
  <c r="Y2032" i="2"/>
  <c r="X2032" i="2"/>
  <c r="W2032" i="2"/>
  <c r="V2032" i="2"/>
  <c r="AE2031" i="2"/>
  <c r="AD2031" i="2"/>
  <c r="AC2031" i="2"/>
  <c r="AB2031" i="2"/>
  <c r="AA2031" i="2"/>
  <c r="Z2031" i="2"/>
  <c r="Y2031" i="2"/>
  <c r="X2031" i="2"/>
  <c r="W2031" i="2"/>
  <c r="V2031" i="2"/>
  <c r="AE2030" i="2"/>
  <c r="AD2030" i="2"/>
  <c r="AC2030" i="2"/>
  <c r="AB2030" i="2"/>
  <c r="AA2030" i="2"/>
  <c r="Z2030" i="2"/>
  <c r="Y2030" i="2"/>
  <c r="X2030" i="2"/>
  <c r="W2030" i="2"/>
  <c r="V2030" i="2"/>
  <c r="AE2029" i="2"/>
  <c r="AD2029" i="2"/>
  <c r="AC2029" i="2"/>
  <c r="AB2029" i="2"/>
  <c r="AA2029" i="2"/>
  <c r="Z2029" i="2"/>
  <c r="Y2029" i="2"/>
  <c r="X2029" i="2"/>
  <c r="W2029" i="2"/>
  <c r="V2029" i="2"/>
  <c r="AE2028" i="2"/>
  <c r="AD2028" i="2"/>
  <c r="AC2028" i="2"/>
  <c r="AB2028" i="2"/>
  <c r="AA2028" i="2"/>
  <c r="Z2028" i="2"/>
  <c r="Y2028" i="2"/>
  <c r="X2028" i="2"/>
  <c r="W2028" i="2"/>
  <c r="V2028" i="2"/>
  <c r="AE2027" i="2"/>
  <c r="AD2027" i="2"/>
  <c r="AC2027" i="2"/>
  <c r="AB2027" i="2"/>
  <c r="AA2027" i="2"/>
  <c r="Z2027" i="2"/>
  <c r="Y2027" i="2"/>
  <c r="X2027" i="2"/>
  <c r="W2027" i="2"/>
  <c r="V2027" i="2"/>
  <c r="AE2026" i="2"/>
  <c r="AD2026" i="2"/>
  <c r="AC2026" i="2"/>
  <c r="AB2026" i="2"/>
  <c r="AA2026" i="2"/>
  <c r="Z2026" i="2"/>
  <c r="Y2026" i="2"/>
  <c r="X2026" i="2"/>
  <c r="W2026" i="2"/>
  <c r="V2026" i="2"/>
  <c r="AE2025" i="2"/>
  <c r="AD2025" i="2"/>
  <c r="AC2025" i="2"/>
  <c r="AB2025" i="2"/>
  <c r="AA2025" i="2"/>
  <c r="Z2025" i="2"/>
  <c r="Y2025" i="2"/>
  <c r="X2025" i="2"/>
  <c r="W2025" i="2"/>
  <c r="V2025" i="2"/>
  <c r="AE2024" i="2"/>
  <c r="AD2024" i="2"/>
  <c r="AC2024" i="2"/>
  <c r="AB2024" i="2"/>
  <c r="AA2024" i="2"/>
  <c r="Z2024" i="2"/>
  <c r="Y2024" i="2"/>
  <c r="X2024" i="2"/>
  <c r="W2024" i="2"/>
  <c r="V2024" i="2"/>
  <c r="AE2023" i="2"/>
  <c r="AD2023" i="2"/>
  <c r="AC2023" i="2"/>
  <c r="AB2023" i="2"/>
  <c r="AA2023" i="2"/>
  <c r="Z2023" i="2"/>
  <c r="Y2023" i="2"/>
  <c r="X2023" i="2"/>
  <c r="W2023" i="2"/>
  <c r="V2023" i="2"/>
  <c r="AE2022" i="2"/>
  <c r="AD2022" i="2"/>
  <c r="AC2022" i="2"/>
  <c r="AB2022" i="2"/>
  <c r="AA2022" i="2"/>
  <c r="Z2022" i="2"/>
  <c r="Y2022" i="2"/>
  <c r="X2022" i="2"/>
  <c r="W2022" i="2"/>
  <c r="V2022" i="2"/>
  <c r="AE2021" i="2"/>
  <c r="AD2021" i="2"/>
  <c r="AC2021" i="2"/>
  <c r="AB2021" i="2"/>
  <c r="AA2021" i="2"/>
  <c r="Z2021" i="2"/>
  <c r="Y2021" i="2"/>
  <c r="X2021" i="2"/>
  <c r="W2021" i="2"/>
  <c r="V2021" i="2"/>
  <c r="AE2020" i="2"/>
  <c r="AD2020" i="2"/>
  <c r="AC2020" i="2"/>
  <c r="AB2020" i="2"/>
  <c r="AA2020" i="2"/>
  <c r="Z2020" i="2"/>
  <c r="Y2020" i="2"/>
  <c r="X2020" i="2"/>
  <c r="W2020" i="2"/>
  <c r="V2020" i="2"/>
  <c r="AE2019" i="2"/>
  <c r="AD2019" i="2"/>
  <c r="AC2019" i="2"/>
  <c r="AB2019" i="2"/>
  <c r="AA2019" i="2"/>
  <c r="Z2019" i="2"/>
  <c r="Y2019" i="2"/>
  <c r="X2019" i="2"/>
  <c r="W2019" i="2"/>
  <c r="V2019" i="2"/>
  <c r="AE2018" i="2"/>
  <c r="AD2018" i="2"/>
  <c r="AC2018" i="2"/>
  <c r="AB2018" i="2"/>
  <c r="AA2018" i="2"/>
  <c r="Z2018" i="2"/>
  <c r="Y2018" i="2"/>
  <c r="X2018" i="2"/>
  <c r="W2018" i="2"/>
  <c r="V2018" i="2"/>
  <c r="AE2017" i="2"/>
  <c r="AD2017" i="2"/>
  <c r="AC2017" i="2"/>
  <c r="AB2017" i="2"/>
  <c r="AA2017" i="2"/>
  <c r="Z2017" i="2"/>
  <c r="Y2017" i="2"/>
  <c r="X2017" i="2"/>
  <c r="W2017" i="2"/>
  <c r="V2017" i="2"/>
  <c r="AE2016" i="2"/>
  <c r="AD2016" i="2"/>
  <c r="AC2016" i="2"/>
  <c r="AB2016" i="2"/>
  <c r="AA2016" i="2"/>
  <c r="Z2016" i="2"/>
  <c r="Y2016" i="2"/>
  <c r="X2016" i="2"/>
  <c r="W2016" i="2"/>
  <c r="V2016" i="2"/>
  <c r="AE2015" i="2"/>
  <c r="AD2015" i="2"/>
  <c r="AC2015" i="2"/>
  <c r="AB2015" i="2"/>
  <c r="AA2015" i="2"/>
  <c r="Z2015" i="2"/>
  <c r="Y2015" i="2"/>
  <c r="X2015" i="2"/>
  <c r="W2015" i="2"/>
  <c r="V2015" i="2"/>
  <c r="AE2014" i="2"/>
  <c r="AD2014" i="2"/>
  <c r="AC2014" i="2"/>
  <c r="AB2014" i="2"/>
  <c r="AA2014" i="2"/>
  <c r="Z2014" i="2"/>
  <c r="Y2014" i="2"/>
  <c r="X2014" i="2"/>
  <c r="W2014" i="2"/>
  <c r="V2014" i="2"/>
  <c r="AE2013" i="2"/>
  <c r="AD2013" i="2"/>
  <c r="AC2013" i="2"/>
  <c r="AB2013" i="2"/>
  <c r="AA2013" i="2"/>
  <c r="Z2013" i="2"/>
  <c r="Y2013" i="2"/>
  <c r="X2013" i="2"/>
  <c r="W2013" i="2"/>
  <c r="V2013" i="2"/>
  <c r="AE2012" i="2"/>
  <c r="AD2012" i="2"/>
  <c r="AC2012" i="2"/>
  <c r="AB2012" i="2"/>
  <c r="AA2012" i="2"/>
  <c r="Z2012" i="2"/>
  <c r="Y2012" i="2"/>
  <c r="X2012" i="2"/>
  <c r="W2012" i="2"/>
  <c r="V2012" i="2"/>
  <c r="AE2011" i="2"/>
  <c r="AD2011" i="2"/>
  <c r="AC2011" i="2"/>
  <c r="AB2011" i="2"/>
  <c r="AA2011" i="2"/>
  <c r="Z2011" i="2"/>
  <c r="Y2011" i="2"/>
  <c r="X2011" i="2"/>
  <c r="W2011" i="2"/>
  <c r="V2011" i="2"/>
  <c r="AE2010" i="2"/>
  <c r="AD2010" i="2"/>
  <c r="AC2010" i="2"/>
  <c r="AB2010" i="2"/>
  <c r="AA2010" i="2"/>
  <c r="Z2010" i="2"/>
  <c r="Y2010" i="2"/>
  <c r="X2010" i="2"/>
  <c r="W2010" i="2"/>
  <c r="V2010" i="2"/>
  <c r="AE2009" i="2"/>
  <c r="AD2009" i="2"/>
  <c r="AC2009" i="2"/>
  <c r="AB2009" i="2"/>
  <c r="AA2009" i="2"/>
  <c r="Z2009" i="2"/>
  <c r="Y2009" i="2"/>
  <c r="X2009" i="2"/>
  <c r="W2009" i="2"/>
  <c r="V2009" i="2"/>
  <c r="AE2008" i="2"/>
  <c r="AD2008" i="2"/>
  <c r="AC2008" i="2"/>
  <c r="AB2008" i="2"/>
  <c r="AA2008" i="2"/>
  <c r="Z2008" i="2"/>
  <c r="Y2008" i="2"/>
  <c r="X2008" i="2"/>
  <c r="W2008" i="2"/>
  <c r="V2008" i="2"/>
  <c r="AE2007" i="2"/>
  <c r="AD2007" i="2"/>
  <c r="AC2007" i="2"/>
  <c r="AB2007" i="2"/>
  <c r="AA2007" i="2"/>
  <c r="Z2007" i="2"/>
  <c r="Y2007" i="2"/>
  <c r="X2007" i="2"/>
  <c r="W2007" i="2"/>
  <c r="V2007" i="2"/>
  <c r="AE2006" i="2"/>
  <c r="AD2006" i="2"/>
  <c r="AC2006" i="2"/>
  <c r="AB2006" i="2"/>
  <c r="AA2006" i="2"/>
  <c r="Z2006" i="2"/>
  <c r="Y2006" i="2"/>
  <c r="X2006" i="2"/>
  <c r="W2006" i="2"/>
  <c r="V2006" i="2"/>
  <c r="AE2005" i="2"/>
  <c r="AD2005" i="2"/>
  <c r="AC2005" i="2"/>
  <c r="AB2005" i="2"/>
  <c r="AA2005" i="2"/>
  <c r="Z2005" i="2"/>
  <c r="Y2005" i="2"/>
  <c r="X2005" i="2"/>
  <c r="W2005" i="2"/>
  <c r="V2005" i="2"/>
  <c r="AE2004" i="2"/>
  <c r="AD2004" i="2"/>
  <c r="AC2004" i="2"/>
  <c r="AB2004" i="2"/>
  <c r="AA2004" i="2"/>
  <c r="Z2004" i="2"/>
  <c r="Y2004" i="2"/>
  <c r="X2004" i="2"/>
  <c r="W2004" i="2"/>
  <c r="V2004" i="2"/>
  <c r="AE2003" i="2"/>
  <c r="AD2003" i="2"/>
  <c r="AC2003" i="2"/>
  <c r="AB2003" i="2"/>
  <c r="AA2003" i="2"/>
  <c r="Z2003" i="2"/>
  <c r="Y2003" i="2"/>
  <c r="X2003" i="2"/>
  <c r="W2003" i="2"/>
  <c r="V2003" i="2"/>
  <c r="AE2002" i="2"/>
  <c r="AD2002" i="2"/>
  <c r="AC2002" i="2"/>
  <c r="AB2002" i="2"/>
  <c r="AA2002" i="2"/>
  <c r="Z2002" i="2"/>
  <c r="Y2002" i="2"/>
  <c r="X2002" i="2"/>
  <c r="W2002" i="2"/>
  <c r="V2002" i="2"/>
  <c r="AE2001" i="2"/>
  <c r="AD2001" i="2"/>
  <c r="AC2001" i="2"/>
  <c r="AB2001" i="2"/>
  <c r="AA2001" i="2"/>
  <c r="Z2001" i="2"/>
  <c r="Y2001" i="2"/>
  <c r="X2001" i="2"/>
  <c r="W2001" i="2"/>
  <c r="V2001" i="2"/>
  <c r="AE2000" i="2"/>
  <c r="AD2000" i="2"/>
  <c r="AC2000" i="2"/>
  <c r="AB2000" i="2"/>
  <c r="AA2000" i="2"/>
  <c r="Z2000" i="2"/>
  <c r="Y2000" i="2"/>
  <c r="X2000" i="2"/>
  <c r="W2000" i="2"/>
  <c r="V2000" i="2"/>
  <c r="AE1999" i="2"/>
  <c r="AD1999" i="2"/>
  <c r="AC1999" i="2"/>
  <c r="AB1999" i="2"/>
  <c r="AA1999" i="2"/>
  <c r="Z1999" i="2"/>
  <c r="Y1999" i="2"/>
  <c r="X1999" i="2"/>
  <c r="W1999" i="2"/>
  <c r="V1999" i="2"/>
  <c r="AE1998" i="2"/>
  <c r="AD1998" i="2"/>
  <c r="AC1998" i="2"/>
  <c r="AB1998" i="2"/>
  <c r="AA1998" i="2"/>
  <c r="Z1998" i="2"/>
  <c r="Y1998" i="2"/>
  <c r="X1998" i="2"/>
  <c r="W1998" i="2"/>
  <c r="V1998" i="2"/>
  <c r="AE1997" i="2"/>
  <c r="AD1997" i="2"/>
  <c r="AC1997" i="2"/>
  <c r="AB1997" i="2"/>
  <c r="AA1997" i="2"/>
  <c r="Z1997" i="2"/>
  <c r="Y1997" i="2"/>
  <c r="X1997" i="2"/>
  <c r="W1997" i="2"/>
  <c r="V1997" i="2"/>
  <c r="AE1996" i="2"/>
  <c r="AD1996" i="2"/>
  <c r="AC1996" i="2"/>
  <c r="AB1996" i="2"/>
  <c r="AA1996" i="2"/>
  <c r="Z1996" i="2"/>
  <c r="Y1996" i="2"/>
  <c r="X1996" i="2"/>
  <c r="W1996" i="2"/>
  <c r="V1996" i="2"/>
  <c r="AE1995" i="2"/>
  <c r="AD1995" i="2"/>
  <c r="AC1995" i="2"/>
  <c r="AB1995" i="2"/>
  <c r="AA1995" i="2"/>
  <c r="Z1995" i="2"/>
  <c r="Y1995" i="2"/>
  <c r="X1995" i="2"/>
  <c r="W1995" i="2"/>
  <c r="V1995" i="2"/>
  <c r="AE1994" i="2"/>
  <c r="AD1994" i="2"/>
  <c r="AC1994" i="2"/>
  <c r="AB1994" i="2"/>
  <c r="AA1994" i="2"/>
  <c r="Z1994" i="2"/>
  <c r="Y1994" i="2"/>
  <c r="X1994" i="2"/>
  <c r="W1994" i="2"/>
  <c r="V1994" i="2"/>
  <c r="AE1993" i="2"/>
  <c r="AD1993" i="2"/>
  <c r="AC1993" i="2"/>
  <c r="AB1993" i="2"/>
  <c r="AA1993" i="2"/>
  <c r="Z1993" i="2"/>
  <c r="Y1993" i="2"/>
  <c r="X1993" i="2"/>
  <c r="W1993" i="2"/>
  <c r="V1993" i="2"/>
  <c r="AE1992" i="2"/>
  <c r="AD1992" i="2"/>
  <c r="AC1992" i="2"/>
  <c r="AB1992" i="2"/>
  <c r="AA1992" i="2"/>
  <c r="Z1992" i="2"/>
  <c r="Y1992" i="2"/>
  <c r="X1992" i="2"/>
  <c r="W1992" i="2"/>
  <c r="V1992" i="2"/>
  <c r="AE1991" i="2"/>
  <c r="AD1991" i="2"/>
  <c r="AC1991" i="2"/>
  <c r="AB1991" i="2"/>
  <c r="AA1991" i="2"/>
  <c r="Z1991" i="2"/>
  <c r="Y1991" i="2"/>
  <c r="X1991" i="2"/>
  <c r="W1991" i="2"/>
  <c r="V1991" i="2"/>
  <c r="AE1990" i="2"/>
  <c r="AD1990" i="2"/>
  <c r="AC1990" i="2"/>
  <c r="AB1990" i="2"/>
  <c r="AA1990" i="2"/>
  <c r="Z1990" i="2"/>
  <c r="Y1990" i="2"/>
  <c r="X1990" i="2"/>
  <c r="W1990" i="2"/>
  <c r="V1990" i="2"/>
  <c r="AE1989" i="2"/>
  <c r="AD1989" i="2"/>
  <c r="AC1989" i="2"/>
  <c r="AB1989" i="2"/>
  <c r="AA1989" i="2"/>
  <c r="Z1989" i="2"/>
  <c r="Y1989" i="2"/>
  <c r="X1989" i="2"/>
  <c r="W1989" i="2"/>
  <c r="V1989" i="2"/>
  <c r="AE1988" i="2"/>
  <c r="AD1988" i="2"/>
  <c r="AC1988" i="2"/>
  <c r="AB1988" i="2"/>
  <c r="AA1988" i="2"/>
  <c r="Z1988" i="2"/>
  <c r="Y1988" i="2"/>
  <c r="X1988" i="2"/>
  <c r="W1988" i="2"/>
  <c r="V1988" i="2"/>
  <c r="AE1987" i="2"/>
  <c r="AD1987" i="2"/>
  <c r="AC1987" i="2"/>
  <c r="AB1987" i="2"/>
  <c r="AA1987" i="2"/>
  <c r="Z1987" i="2"/>
  <c r="Y1987" i="2"/>
  <c r="X1987" i="2"/>
  <c r="W1987" i="2"/>
  <c r="V1987" i="2"/>
  <c r="AE1986" i="2"/>
  <c r="AD1986" i="2"/>
  <c r="AC1986" i="2"/>
  <c r="AB1986" i="2"/>
  <c r="AA1986" i="2"/>
  <c r="Z1986" i="2"/>
  <c r="Y1986" i="2"/>
  <c r="X1986" i="2"/>
  <c r="W1986" i="2"/>
  <c r="V1986" i="2"/>
  <c r="AE1985" i="2"/>
  <c r="AD1985" i="2"/>
  <c r="AC1985" i="2"/>
  <c r="AB1985" i="2"/>
  <c r="AA1985" i="2"/>
  <c r="Z1985" i="2"/>
  <c r="Y1985" i="2"/>
  <c r="X1985" i="2"/>
  <c r="W1985" i="2"/>
  <c r="V1985" i="2"/>
  <c r="AE1984" i="2"/>
  <c r="AD1984" i="2"/>
  <c r="AC1984" i="2"/>
  <c r="AB1984" i="2"/>
  <c r="AA1984" i="2"/>
  <c r="Z1984" i="2"/>
  <c r="Y1984" i="2"/>
  <c r="X1984" i="2"/>
  <c r="W1984" i="2"/>
  <c r="V1984" i="2"/>
  <c r="AE1983" i="2"/>
  <c r="AD1983" i="2"/>
  <c r="AC1983" i="2"/>
  <c r="AB1983" i="2"/>
  <c r="AA1983" i="2"/>
  <c r="Z1983" i="2"/>
  <c r="Y1983" i="2"/>
  <c r="X1983" i="2"/>
  <c r="W1983" i="2"/>
  <c r="V1983" i="2"/>
  <c r="AE1982" i="2"/>
  <c r="AD1982" i="2"/>
  <c r="AC1982" i="2"/>
  <c r="AB1982" i="2"/>
  <c r="AA1982" i="2"/>
  <c r="Z1982" i="2"/>
  <c r="Y1982" i="2"/>
  <c r="X1982" i="2"/>
  <c r="W1982" i="2"/>
  <c r="V1982" i="2"/>
  <c r="AE1981" i="2"/>
  <c r="AD1981" i="2"/>
  <c r="AC1981" i="2"/>
  <c r="AB1981" i="2"/>
  <c r="AA1981" i="2"/>
  <c r="Z1981" i="2"/>
  <c r="Y1981" i="2"/>
  <c r="X1981" i="2"/>
  <c r="W1981" i="2"/>
  <c r="V1981" i="2"/>
  <c r="AE1980" i="2"/>
  <c r="AD1980" i="2"/>
  <c r="AC1980" i="2"/>
  <c r="AB1980" i="2"/>
  <c r="AA1980" i="2"/>
  <c r="Z1980" i="2"/>
  <c r="Y1980" i="2"/>
  <c r="X1980" i="2"/>
  <c r="W1980" i="2"/>
  <c r="V1980" i="2"/>
  <c r="AE1979" i="2"/>
  <c r="AD1979" i="2"/>
  <c r="AC1979" i="2"/>
  <c r="AB1979" i="2"/>
  <c r="AA1979" i="2"/>
  <c r="Z1979" i="2"/>
  <c r="Y1979" i="2"/>
  <c r="X1979" i="2"/>
  <c r="W1979" i="2"/>
  <c r="V1979" i="2"/>
  <c r="AE1978" i="2"/>
  <c r="AD1978" i="2"/>
  <c r="AC1978" i="2"/>
  <c r="AB1978" i="2"/>
  <c r="AA1978" i="2"/>
  <c r="Z1978" i="2"/>
  <c r="Y1978" i="2"/>
  <c r="X1978" i="2"/>
  <c r="W1978" i="2"/>
  <c r="V1978" i="2"/>
  <c r="AE1977" i="2"/>
  <c r="AD1977" i="2"/>
  <c r="AC1977" i="2"/>
  <c r="AB1977" i="2"/>
  <c r="AA1977" i="2"/>
  <c r="Z1977" i="2"/>
  <c r="Y1977" i="2"/>
  <c r="X1977" i="2"/>
  <c r="W1977" i="2"/>
  <c r="V1977" i="2"/>
  <c r="AE1976" i="2"/>
  <c r="AD1976" i="2"/>
  <c r="AC1976" i="2"/>
  <c r="AB1976" i="2"/>
  <c r="AA1976" i="2"/>
  <c r="Z1976" i="2"/>
  <c r="Y1976" i="2"/>
  <c r="X1976" i="2"/>
  <c r="W1976" i="2"/>
  <c r="V1976" i="2"/>
  <c r="AE1975" i="2"/>
  <c r="AD1975" i="2"/>
  <c r="AC1975" i="2"/>
  <c r="AB1975" i="2"/>
  <c r="AA1975" i="2"/>
  <c r="Z1975" i="2"/>
  <c r="Y1975" i="2"/>
  <c r="X1975" i="2"/>
  <c r="W1975" i="2"/>
  <c r="V1975" i="2"/>
  <c r="AE1974" i="2"/>
  <c r="AD1974" i="2"/>
  <c r="AC1974" i="2"/>
  <c r="AB1974" i="2"/>
  <c r="AA1974" i="2"/>
  <c r="Z1974" i="2"/>
  <c r="Y1974" i="2"/>
  <c r="X1974" i="2"/>
  <c r="W1974" i="2"/>
  <c r="V1974" i="2"/>
  <c r="AE1973" i="2"/>
  <c r="AD1973" i="2"/>
  <c r="AC1973" i="2"/>
  <c r="AB1973" i="2"/>
  <c r="AA1973" i="2"/>
  <c r="Z1973" i="2"/>
  <c r="Y1973" i="2"/>
  <c r="X1973" i="2"/>
  <c r="W1973" i="2"/>
  <c r="V1973" i="2"/>
  <c r="AE1972" i="2"/>
  <c r="AD1972" i="2"/>
  <c r="AC1972" i="2"/>
  <c r="AB1972" i="2"/>
  <c r="AA1972" i="2"/>
  <c r="Z1972" i="2"/>
  <c r="Y1972" i="2"/>
  <c r="X1972" i="2"/>
  <c r="W1972" i="2"/>
  <c r="V1972" i="2"/>
  <c r="AE1971" i="2"/>
  <c r="AD1971" i="2"/>
  <c r="AC1971" i="2"/>
  <c r="AB1971" i="2"/>
  <c r="AA1971" i="2"/>
  <c r="Z1971" i="2"/>
  <c r="Y1971" i="2"/>
  <c r="X1971" i="2"/>
  <c r="W1971" i="2"/>
  <c r="V1971" i="2"/>
  <c r="AE1970" i="2"/>
  <c r="AD1970" i="2"/>
  <c r="AC1970" i="2"/>
  <c r="AB1970" i="2"/>
  <c r="AA1970" i="2"/>
  <c r="Z1970" i="2"/>
  <c r="Y1970" i="2"/>
  <c r="X1970" i="2"/>
  <c r="W1970" i="2"/>
  <c r="V1970" i="2"/>
  <c r="AE1969" i="2"/>
  <c r="AD1969" i="2"/>
  <c r="AC1969" i="2"/>
  <c r="AB1969" i="2"/>
  <c r="AA1969" i="2"/>
  <c r="Z1969" i="2"/>
  <c r="Y1969" i="2"/>
  <c r="X1969" i="2"/>
  <c r="W1969" i="2"/>
  <c r="V1969" i="2"/>
  <c r="AE1968" i="2"/>
  <c r="AD1968" i="2"/>
  <c r="AC1968" i="2"/>
  <c r="AB1968" i="2"/>
  <c r="AA1968" i="2"/>
  <c r="Z1968" i="2"/>
  <c r="Y1968" i="2"/>
  <c r="X1968" i="2"/>
  <c r="W1968" i="2"/>
  <c r="V1968" i="2"/>
  <c r="AE1967" i="2"/>
  <c r="AD1967" i="2"/>
  <c r="AC1967" i="2"/>
  <c r="AB1967" i="2"/>
  <c r="AA1967" i="2"/>
  <c r="Z1967" i="2"/>
  <c r="Y1967" i="2"/>
  <c r="X1967" i="2"/>
  <c r="W1967" i="2"/>
  <c r="V1967" i="2"/>
  <c r="AE1966" i="2"/>
  <c r="AD1966" i="2"/>
  <c r="AC1966" i="2"/>
  <c r="AB1966" i="2"/>
  <c r="AA1966" i="2"/>
  <c r="Z1966" i="2"/>
  <c r="Y1966" i="2"/>
  <c r="X1966" i="2"/>
  <c r="W1966" i="2"/>
  <c r="V1966" i="2"/>
  <c r="AE1965" i="2"/>
  <c r="AD1965" i="2"/>
  <c r="AC1965" i="2"/>
  <c r="AB1965" i="2"/>
  <c r="AA1965" i="2"/>
  <c r="Z1965" i="2"/>
  <c r="Y1965" i="2"/>
  <c r="X1965" i="2"/>
  <c r="W1965" i="2"/>
  <c r="V1965" i="2"/>
  <c r="AE1964" i="2"/>
  <c r="AD1964" i="2"/>
  <c r="AC1964" i="2"/>
  <c r="AB1964" i="2"/>
  <c r="AA1964" i="2"/>
  <c r="Z1964" i="2"/>
  <c r="Y1964" i="2"/>
  <c r="X1964" i="2"/>
  <c r="W1964" i="2"/>
  <c r="V1964" i="2"/>
  <c r="AE1963" i="2"/>
  <c r="AD1963" i="2"/>
  <c r="AC1963" i="2"/>
  <c r="AB1963" i="2"/>
  <c r="AA1963" i="2"/>
  <c r="Z1963" i="2"/>
  <c r="Y1963" i="2"/>
  <c r="X1963" i="2"/>
  <c r="W1963" i="2"/>
  <c r="V1963" i="2"/>
  <c r="AE1962" i="2"/>
  <c r="AD1962" i="2"/>
  <c r="AC1962" i="2"/>
  <c r="AB1962" i="2"/>
  <c r="AA1962" i="2"/>
  <c r="Z1962" i="2"/>
  <c r="Y1962" i="2"/>
  <c r="X1962" i="2"/>
  <c r="W1962" i="2"/>
  <c r="V1962" i="2"/>
  <c r="AE1961" i="2"/>
  <c r="AD1961" i="2"/>
  <c r="AC1961" i="2"/>
  <c r="AB1961" i="2"/>
  <c r="AA1961" i="2"/>
  <c r="Z1961" i="2"/>
  <c r="Y1961" i="2"/>
  <c r="X1961" i="2"/>
  <c r="W1961" i="2"/>
  <c r="V1961" i="2"/>
  <c r="AE1960" i="2"/>
  <c r="AD1960" i="2"/>
  <c r="AC1960" i="2"/>
  <c r="AB1960" i="2"/>
  <c r="AA1960" i="2"/>
  <c r="Z1960" i="2"/>
  <c r="Y1960" i="2"/>
  <c r="X1960" i="2"/>
  <c r="W1960" i="2"/>
  <c r="V1960" i="2"/>
  <c r="AE1959" i="2"/>
  <c r="AD1959" i="2"/>
  <c r="AC1959" i="2"/>
  <c r="AB1959" i="2"/>
  <c r="AA1959" i="2"/>
  <c r="Z1959" i="2"/>
  <c r="Y1959" i="2"/>
  <c r="X1959" i="2"/>
  <c r="W1959" i="2"/>
  <c r="V1959" i="2"/>
  <c r="AE1958" i="2"/>
  <c r="AD1958" i="2"/>
  <c r="AC1958" i="2"/>
  <c r="AB1958" i="2"/>
  <c r="AA1958" i="2"/>
  <c r="Z1958" i="2"/>
  <c r="Y1958" i="2"/>
  <c r="X1958" i="2"/>
  <c r="W1958" i="2"/>
  <c r="V1958" i="2"/>
  <c r="AE1957" i="2"/>
  <c r="AD1957" i="2"/>
  <c r="AC1957" i="2"/>
  <c r="AB1957" i="2"/>
  <c r="AA1957" i="2"/>
  <c r="Z1957" i="2"/>
  <c r="Y1957" i="2"/>
  <c r="X1957" i="2"/>
  <c r="W1957" i="2"/>
  <c r="V1957" i="2"/>
  <c r="AE1956" i="2"/>
  <c r="AD1956" i="2"/>
  <c r="AC1956" i="2"/>
  <c r="AB1956" i="2"/>
  <c r="AA1956" i="2"/>
  <c r="Z1956" i="2"/>
  <c r="Y1956" i="2"/>
  <c r="X1956" i="2"/>
  <c r="W1956" i="2"/>
  <c r="V1956" i="2"/>
  <c r="AE1955" i="2"/>
  <c r="AD1955" i="2"/>
  <c r="AC1955" i="2"/>
  <c r="AB1955" i="2"/>
  <c r="AA1955" i="2"/>
  <c r="Z1955" i="2"/>
  <c r="Y1955" i="2"/>
  <c r="X1955" i="2"/>
  <c r="W1955" i="2"/>
  <c r="V1955" i="2"/>
  <c r="AE1954" i="2"/>
  <c r="AD1954" i="2"/>
  <c r="AC1954" i="2"/>
  <c r="AB1954" i="2"/>
  <c r="AA1954" i="2"/>
  <c r="Z1954" i="2"/>
  <c r="Y1954" i="2"/>
  <c r="X1954" i="2"/>
  <c r="W1954" i="2"/>
  <c r="V1954" i="2"/>
  <c r="AE1953" i="2"/>
  <c r="AD1953" i="2"/>
  <c r="AC1953" i="2"/>
  <c r="AB1953" i="2"/>
  <c r="AA1953" i="2"/>
  <c r="Z1953" i="2"/>
  <c r="Y1953" i="2"/>
  <c r="X1953" i="2"/>
  <c r="W1953" i="2"/>
  <c r="V1953" i="2"/>
  <c r="AE1952" i="2"/>
  <c r="AD1952" i="2"/>
  <c r="AC1952" i="2"/>
  <c r="AB1952" i="2"/>
  <c r="AA1952" i="2"/>
  <c r="Z1952" i="2"/>
  <c r="Y1952" i="2"/>
  <c r="X1952" i="2"/>
  <c r="W1952" i="2"/>
  <c r="V1952" i="2"/>
  <c r="AE1951" i="2"/>
  <c r="AD1951" i="2"/>
  <c r="AC1951" i="2"/>
  <c r="AB1951" i="2"/>
  <c r="AA1951" i="2"/>
  <c r="Z1951" i="2"/>
  <c r="Y1951" i="2"/>
  <c r="X1951" i="2"/>
  <c r="W1951" i="2"/>
  <c r="V1951" i="2"/>
  <c r="AE1950" i="2"/>
  <c r="AD1950" i="2"/>
  <c r="AC1950" i="2"/>
  <c r="AB1950" i="2"/>
  <c r="AA1950" i="2"/>
  <c r="Z1950" i="2"/>
  <c r="Y1950" i="2"/>
  <c r="X1950" i="2"/>
  <c r="W1950" i="2"/>
  <c r="V1950" i="2"/>
  <c r="AE1949" i="2"/>
  <c r="AD1949" i="2"/>
  <c r="AC1949" i="2"/>
  <c r="AB1949" i="2"/>
  <c r="AA1949" i="2"/>
  <c r="Z1949" i="2"/>
  <c r="Y1949" i="2"/>
  <c r="X1949" i="2"/>
  <c r="W1949" i="2"/>
  <c r="V1949" i="2"/>
  <c r="AE1948" i="2"/>
  <c r="AD1948" i="2"/>
  <c r="AC1948" i="2"/>
  <c r="AB1948" i="2"/>
  <c r="AA1948" i="2"/>
  <c r="Z1948" i="2"/>
  <c r="Y1948" i="2"/>
  <c r="X1948" i="2"/>
  <c r="W1948" i="2"/>
  <c r="V1948" i="2"/>
  <c r="AE1947" i="2"/>
  <c r="AD1947" i="2"/>
  <c r="AC1947" i="2"/>
  <c r="AB1947" i="2"/>
  <c r="AA1947" i="2"/>
  <c r="Z1947" i="2"/>
  <c r="Y1947" i="2"/>
  <c r="X1947" i="2"/>
  <c r="W1947" i="2"/>
  <c r="V1947" i="2"/>
  <c r="AE1946" i="2"/>
  <c r="AD1946" i="2"/>
  <c r="AC1946" i="2"/>
  <c r="AB1946" i="2"/>
  <c r="AA1946" i="2"/>
  <c r="Z1946" i="2"/>
  <c r="Y1946" i="2"/>
  <c r="X1946" i="2"/>
  <c r="W1946" i="2"/>
  <c r="V1946" i="2"/>
  <c r="AE1945" i="2"/>
  <c r="AD1945" i="2"/>
  <c r="AC1945" i="2"/>
  <c r="AB1945" i="2"/>
  <c r="AA1945" i="2"/>
  <c r="Z1945" i="2"/>
  <c r="Y1945" i="2"/>
  <c r="X1945" i="2"/>
  <c r="W1945" i="2"/>
  <c r="V1945" i="2"/>
  <c r="AE1944" i="2"/>
  <c r="AD1944" i="2"/>
  <c r="AC1944" i="2"/>
  <c r="AB1944" i="2"/>
  <c r="AA1944" i="2"/>
  <c r="Z1944" i="2"/>
  <c r="Y1944" i="2"/>
  <c r="X1944" i="2"/>
  <c r="W1944" i="2"/>
  <c r="V1944" i="2"/>
  <c r="AE1943" i="2"/>
  <c r="AD1943" i="2"/>
  <c r="AC1943" i="2"/>
  <c r="AB1943" i="2"/>
  <c r="AA1943" i="2"/>
  <c r="Z1943" i="2"/>
  <c r="Y1943" i="2"/>
  <c r="X1943" i="2"/>
  <c r="W1943" i="2"/>
  <c r="V1943" i="2"/>
  <c r="AE1942" i="2"/>
  <c r="AD1942" i="2"/>
  <c r="AC1942" i="2"/>
  <c r="AB1942" i="2"/>
  <c r="AA1942" i="2"/>
  <c r="Z1942" i="2"/>
  <c r="Y1942" i="2"/>
  <c r="X1942" i="2"/>
  <c r="W1942" i="2"/>
  <c r="V1942" i="2"/>
  <c r="AE1941" i="2"/>
  <c r="AD1941" i="2"/>
  <c r="AC1941" i="2"/>
  <c r="AB1941" i="2"/>
  <c r="AA1941" i="2"/>
  <c r="Z1941" i="2"/>
  <c r="Y1941" i="2"/>
  <c r="X1941" i="2"/>
  <c r="W1941" i="2"/>
  <c r="V1941" i="2"/>
  <c r="AE1940" i="2"/>
  <c r="AD1940" i="2"/>
  <c r="AC1940" i="2"/>
  <c r="AB1940" i="2"/>
  <c r="AA1940" i="2"/>
  <c r="Z1940" i="2"/>
  <c r="Y1940" i="2"/>
  <c r="X1940" i="2"/>
  <c r="W1940" i="2"/>
  <c r="V1940" i="2"/>
  <c r="AE1939" i="2"/>
  <c r="AD1939" i="2"/>
  <c r="AC1939" i="2"/>
  <c r="AB1939" i="2"/>
  <c r="AA1939" i="2"/>
  <c r="Z1939" i="2"/>
  <c r="Y1939" i="2"/>
  <c r="X1939" i="2"/>
  <c r="W1939" i="2"/>
  <c r="V1939" i="2"/>
  <c r="AE1938" i="2"/>
  <c r="AD1938" i="2"/>
  <c r="AC1938" i="2"/>
  <c r="AB1938" i="2"/>
  <c r="AA1938" i="2"/>
  <c r="Z1938" i="2"/>
  <c r="Y1938" i="2"/>
  <c r="X1938" i="2"/>
  <c r="W1938" i="2"/>
  <c r="V1938" i="2"/>
  <c r="AE1937" i="2"/>
  <c r="AD1937" i="2"/>
  <c r="AC1937" i="2"/>
  <c r="AB1937" i="2"/>
  <c r="AA1937" i="2"/>
  <c r="Z1937" i="2"/>
  <c r="Y1937" i="2"/>
  <c r="X1937" i="2"/>
  <c r="W1937" i="2"/>
  <c r="V1937" i="2"/>
  <c r="AE1936" i="2"/>
  <c r="AD1936" i="2"/>
  <c r="AC1936" i="2"/>
  <c r="AB1936" i="2"/>
  <c r="AA1936" i="2"/>
  <c r="Z1936" i="2"/>
  <c r="Y1936" i="2"/>
  <c r="X1936" i="2"/>
  <c r="W1936" i="2"/>
  <c r="V1936" i="2"/>
  <c r="AE1935" i="2"/>
  <c r="AD1935" i="2"/>
  <c r="AC1935" i="2"/>
  <c r="AB1935" i="2"/>
  <c r="AA1935" i="2"/>
  <c r="Z1935" i="2"/>
  <c r="Y1935" i="2"/>
  <c r="X1935" i="2"/>
  <c r="W1935" i="2"/>
  <c r="V1935" i="2"/>
  <c r="AE1934" i="2"/>
  <c r="AD1934" i="2"/>
  <c r="AC1934" i="2"/>
  <c r="AB1934" i="2"/>
  <c r="AA1934" i="2"/>
  <c r="Z1934" i="2"/>
  <c r="Y1934" i="2"/>
  <c r="X1934" i="2"/>
  <c r="W1934" i="2"/>
  <c r="V1934" i="2"/>
  <c r="AE1933" i="2"/>
  <c r="AD1933" i="2"/>
  <c r="AC1933" i="2"/>
  <c r="AB1933" i="2"/>
  <c r="AA1933" i="2"/>
  <c r="Z1933" i="2"/>
  <c r="Y1933" i="2"/>
  <c r="X1933" i="2"/>
  <c r="W1933" i="2"/>
  <c r="V1933" i="2"/>
  <c r="AE1932" i="2"/>
  <c r="AD1932" i="2"/>
  <c r="AC1932" i="2"/>
  <c r="AB1932" i="2"/>
  <c r="AA1932" i="2"/>
  <c r="Z1932" i="2"/>
  <c r="Y1932" i="2"/>
  <c r="X1932" i="2"/>
  <c r="W1932" i="2"/>
  <c r="V1932" i="2"/>
  <c r="AE1931" i="2"/>
  <c r="AD1931" i="2"/>
  <c r="AC1931" i="2"/>
  <c r="AB1931" i="2"/>
  <c r="AA1931" i="2"/>
  <c r="Z1931" i="2"/>
  <c r="Y1931" i="2"/>
  <c r="X1931" i="2"/>
  <c r="W1931" i="2"/>
  <c r="V1931" i="2"/>
  <c r="AE1930" i="2"/>
  <c r="AD1930" i="2"/>
  <c r="AC1930" i="2"/>
  <c r="AB1930" i="2"/>
  <c r="AA1930" i="2"/>
  <c r="Z1930" i="2"/>
  <c r="Y1930" i="2"/>
  <c r="X1930" i="2"/>
  <c r="W1930" i="2"/>
  <c r="V1930" i="2"/>
  <c r="AE1929" i="2"/>
  <c r="AD1929" i="2"/>
  <c r="AC1929" i="2"/>
  <c r="AB1929" i="2"/>
  <c r="AA1929" i="2"/>
  <c r="Z1929" i="2"/>
  <c r="Y1929" i="2"/>
  <c r="X1929" i="2"/>
  <c r="W1929" i="2"/>
  <c r="V1929" i="2"/>
  <c r="AE1928" i="2"/>
  <c r="AD1928" i="2"/>
  <c r="AC1928" i="2"/>
  <c r="AB1928" i="2"/>
  <c r="AA1928" i="2"/>
  <c r="Z1928" i="2"/>
  <c r="Y1928" i="2"/>
  <c r="X1928" i="2"/>
  <c r="W1928" i="2"/>
  <c r="V1928" i="2"/>
  <c r="AE1927" i="2"/>
  <c r="AD1927" i="2"/>
  <c r="AC1927" i="2"/>
  <c r="AB1927" i="2"/>
  <c r="AA1927" i="2"/>
  <c r="Z1927" i="2"/>
  <c r="Y1927" i="2"/>
  <c r="X1927" i="2"/>
  <c r="W1927" i="2"/>
  <c r="V1927" i="2"/>
  <c r="AE1926" i="2"/>
  <c r="AD1926" i="2"/>
  <c r="AC1926" i="2"/>
  <c r="AB1926" i="2"/>
  <c r="AA1926" i="2"/>
  <c r="Z1926" i="2"/>
  <c r="Y1926" i="2"/>
  <c r="X1926" i="2"/>
  <c r="W1926" i="2"/>
  <c r="V1926" i="2"/>
  <c r="AE1925" i="2"/>
  <c r="AD1925" i="2"/>
  <c r="AC1925" i="2"/>
  <c r="AB1925" i="2"/>
  <c r="AA1925" i="2"/>
  <c r="Z1925" i="2"/>
  <c r="Y1925" i="2"/>
  <c r="X1925" i="2"/>
  <c r="W1925" i="2"/>
  <c r="V1925" i="2"/>
  <c r="AE1924" i="2"/>
  <c r="AD1924" i="2"/>
  <c r="AC1924" i="2"/>
  <c r="AB1924" i="2"/>
  <c r="AA1924" i="2"/>
  <c r="Z1924" i="2"/>
  <c r="Y1924" i="2"/>
  <c r="X1924" i="2"/>
  <c r="W1924" i="2"/>
  <c r="V1924" i="2"/>
  <c r="AE1923" i="2"/>
  <c r="AD1923" i="2"/>
  <c r="AC1923" i="2"/>
  <c r="AB1923" i="2"/>
  <c r="AA1923" i="2"/>
  <c r="Z1923" i="2"/>
  <c r="Y1923" i="2"/>
  <c r="X1923" i="2"/>
  <c r="W1923" i="2"/>
  <c r="V1923" i="2"/>
  <c r="AE1922" i="2"/>
  <c r="AD1922" i="2"/>
  <c r="AC1922" i="2"/>
  <c r="AB1922" i="2"/>
  <c r="AA1922" i="2"/>
  <c r="Z1922" i="2"/>
  <c r="Y1922" i="2"/>
  <c r="X1922" i="2"/>
  <c r="W1922" i="2"/>
  <c r="V1922" i="2"/>
  <c r="AE1921" i="2"/>
  <c r="AD1921" i="2"/>
  <c r="AC1921" i="2"/>
  <c r="AB1921" i="2"/>
  <c r="AA1921" i="2"/>
  <c r="Z1921" i="2"/>
  <c r="Y1921" i="2"/>
  <c r="X1921" i="2"/>
  <c r="W1921" i="2"/>
  <c r="V1921" i="2"/>
  <c r="AE1920" i="2"/>
  <c r="AD1920" i="2"/>
  <c r="AC1920" i="2"/>
  <c r="AB1920" i="2"/>
  <c r="AA1920" i="2"/>
  <c r="Z1920" i="2"/>
  <c r="Y1920" i="2"/>
  <c r="X1920" i="2"/>
  <c r="W1920" i="2"/>
  <c r="V1920" i="2"/>
  <c r="AE1919" i="2"/>
  <c r="AD1919" i="2"/>
  <c r="AC1919" i="2"/>
  <c r="AB1919" i="2"/>
  <c r="AA1919" i="2"/>
  <c r="Z1919" i="2"/>
  <c r="Y1919" i="2"/>
  <c r="X1919" i="2"/>
  <c r="W1919" i="2"/>
  <c r="V1919" i="2"/>
  <c r="AE1918" i="2"/>
  <c r="AD1918" i="2"/>
  <c r="AC1918" i="2"/>
  <c r="AB1918" i="2"/>
  <c r="AA1918" i="2"/>
  <c r="Z1918" i="2"/>
  <c r="Y1918" i="2"/>
  <c r="X1918" i="2"/>
  <c r="W1918" i="2"/>
  <c r="V1918" i="2"/>
  <c r="AE1917" i="2"/>
  <c r="AD1917" i="2"/>
  <c r="AC1917" i="2"/>
  <c r="AB1917" i="2"/>
  <c r="AA1917" i="2"/>
  <c r="Z1917" i="2"/>
  <c r="Y1917" i="2"/>
  <c r="X1917" i="2"/>
  <c r="W1917" i="2"/>
  <c r="V1917" i="2"/>
  <c r="AE1916" i="2"/>
  <c r="AD1916" i="2"/>
  <c r="AC1916" i="2"/>
  <c r="AB1916" i="2"/>
  <c r="AA1916" i="2"/>
  <c r="Z1916" i="2"/>
  <c r="Y1916" i="2"/>
  <c r="X1916" i="2"/>
  <c r="W1916" i="2"/>
  <c r="V1916" i="2"/>
  <c r="AE1915" i="2"/>
  <c r="AD1915" i="2"/>
  <c r="AC1915" i="2"/>
  <c r="AB1915" i="2"/>
  <c r="AA1915" i="2"/>
  <c r="Z1915" i="2"/>
  <c r="Y1915" i="2"/>
  <c r="X1915" i="2"/>
  <c r="W1915" i="2"/>
  <c r="V1915" i="2"/>
  <c r="AE1914" i="2"/>
  <c r="AD1914" i="2"/>
  <c r="AC1914" i="2"/>
  <c r="AB1914" i="2"/>
  <c r="AA1914" i="2"/>
  <c r="Z1914" i="2"/>
  <c r="Y1914" i="2"/>
  <c r="X1914" i="2"/>
  <c r="W1914" i="2"/>
  <c r="V1914" i="2"/>
  <c r="AE1913" i="2"/>
  <c r="AD1913" i="2"/>
  <c r="AC1913" i="2"/>
  <c r="AB1913" i="2"/>
  <c r="AA1913" i="2"/>
  <c r="Z1913" i="2"/>
  <c r="Y1913" i="2"/>
  <c r="X1913" i="2"/>
  <c r="W1913" i="2"/>
  <c r="V1913" i="2"/>
  <c r="AE1912" i="2"/>
  <c r="AD1912" i="2"/>
  <c r="AC1912" i="2"/>
  <c r="AB1912" i="2"/>
  <c r="AA1912" i="2"/>
  <c r="Z1912" i="2"/>
  <c r="Y1912" i="2"/>
  <c r="X1912" i="2"/>
  <c r="W1912" i="2"/>
  <c r="V1912" i="2"/>
  <c r="AE1911" i="2"/>
  <c r="AD1911" i="2"/>
  <c r="AC1911" i="2"/>
  <c r="AB1911" i="2"/>
  <c r="AA1911" i="2"/>
  <c r="Z1911" i="2"/>
  <c r="Y1911" i="2"/>
  <c r="X1911" i="2"/>
  <c r="W1911" i="2"/>
  <c r="V1911" i="2"/>
  <c r="AE1910" i="2"/>
  <c r="AD1910" i="2"/>
  <c r="AC1910" i="2"/>
  <c r="AB1910" i="2"/>
  <c r="AA1910" i="2"/>
  <c r="Z1910" i="2"/>
  <c r="Y1910" i="2"/>
  <c r="X1910" i="2"/>
  <c r="W1910" i="2"/>
  <c r="V1910" i="2"/>
  <c r="AE1909" i="2"/>
  <c r="AD1909" i="2"/>
  <c r="AC1909" i="2"/>
  <c r="AB1909" i="2"/>
  <c r="AA1909" i="2"/>
  <c r="Z1909" i="2"/>
  <c r="Y1909" i="2"/>
  <c r="X1909" i="2"/>
  <c r="W1909" i="2"/>
  <c r="V1909" i="2"/>
  <c r="AE1908" i="2"/>
  <c r="AD1908" i="2"/>
  <c r="AC1908" i="2"/>
  <c r="AB1908" i="2"/>
  <c r="AA1908" i="2"/>
  <c r="Z1908" i="2"/>
  <c r="Y1908" i="2"/>
  <c r="X1908" i="2"/>
  <c r="W1908" i="2"/>
  <c r="V1908" i="2"/>
  <c r="AE1907" i="2"/>
  <c r="AD1907" i="2"/>
  <c r="AC1907" i="2"/>
  <c r="AB1907" i="2"/>
  <c r="AA1907" i="2"/>
  <c r="Z1907" i="2"/>
  <c r="Y1907" i="2"/>
  <c r="X1907" i="2"/>
  <c r="W1907" i="2"/>
  <c r="V1907" i="2"/>
  <c r="AE1906" i="2"/>
  <c r="AD1906" i="2"/>
  <c r="AC1906" i="2"/>
  <c r="AB1906" i="2"/>
  <c r="AA1906" i="2"/>
  <c r="Z1906" i="2"/>
  <c r="Y1906" i="2"/>
  <c r="X1906" i="2"/>
  <c r="W1906" i="2"/>
  <c r="V1906" i="2"/>
  <c r="AE1905" i="2"/>
  <c r="AD1905" i="2"/>
  <c r="AC1905" i="2"/>
  <c r="AB1905" i="2"/>
  <c r="AA1905" i="2"/>
  <c r="Z1905" i="2"/>
  <c r="Y1905" i="2"/>
  <c r="X1905" i="2"/>
  <c r="W1905" i="2"/>
  <c r="V1905" i="2"/>
  <c r="AE1904" i="2"/>
  <c r="AD1904" i="2"/>
  <c r="AC1904" i="2"/>
  <c r="AB1904" i="2"/>
  <c r="AA1904" i="2"/>
  <c r="Z1904" i="2"/>
  <c r="Y1904" i="2"/>
  <c r="X1904" i="2"/>
  <c r="W1904" i="2"/>
  <c r="V1904" i="2"/>
  <c r="AE1903" i="2"/>
  <c r="AD1903" i="2"/>
  <c r="AC1903" i="2"/>
  <c r="AB1903" i="2"/>
  <c r="AA1903" i="2"/>
  <c r="Z1903" i="2"/>
  <c r="Y1903" i="2"/>
  <c r="X1903" i="2"/>
  <c r="W1903" i="2"/>
  <c r="V1903" i="2"/>
  <c r="AE1902" i="2"/>
  <c r="AD1902" i="2"/>
  <c r="AC1902" i="2"/>
  <c r="AB1902" i="2"/>
  <c r="AA1902" i="2"/>
  <c r="Z1902" i="2"/>
  <c r="Y1902" i="2"/>
  <c r="X1902" i="2"/>
  <c r="W1902" i="2"/>
  <c r="V1902" i="2"/>
  <c r="AE1901" i="2"/>
  <c r="AD1901" i="2"/>
  <c r="AC1901" i="2"/>
  <c r="AB1901" i="2"/>
  <c r="AA1901" i="2"/>
  <c r="Z1901" i="2"/>
  <c r="Y1901" i="2"/>
  <c r="X1901" i="2"/>
  <c r="W1901" i="2"/>
  <c r="V1901" i="2"/>
  <c r="AE1900" i="2"/>
  <c r="AD1900" i="2"/>
  <c r="AC1900" i="2"/>
  <c r="AB1900" i="2"/>
  <c r="AA1900" i="2"/>
  <c r="Z1900" i="2"/>
  <c r="Y1900" i="2"/>
  <c r="X1900" i="2"/>
  <c r="W1900" i="2"/>
  <c r="V1900" i="2"/>
  <c r="AE1899" i="2"/>
  <c r="AD1899" i="2"/>
  <c r="AC1899" i="2"/>
  <c r="AB1899" i="2"/>
  <c r="AA1899" i="2"/>
  <c r="Z1899" i="2"/>
  <c r="Y1899" i="2"/>
  <c r="X1899" i="2"/>
  <c r="W1899" i="2"/>
  <c r="V1899" i="2"/>
  <c r="AE1898" i="2"/>
  <c r="AD1898" i="2"/>
  <c r="AC1898" i="2"/>
  <c r="AB1898" i="2"/>
  <c r="AA1898" i="2"/>
  <c r="Z1898" i="2"/>
  <c r="Y1898" i="2"/>
  <c r="X1898" i="2"/>
  <c r="W1898" i="2"/>
  <c r="V1898" i="2"/>
  <c r="AE1897" i="2"/>
  <c r="AD1897" i="2"/>
  <c r="AC1897" i="2"/>
  <c r="AB1897" i="2"/>
  <c r="AA1897" i="2"/>
  <c r="Z1897" i="2"/>
  <c r="Y1897" i="2"/>
  <c r="X1897" i="2"/>
  <c r="W1897" i="2"/>
  <c r="V1897" i="2"/>
  <c r="AE1896" i="2"/>
  <c r="AD1896" i="2"/>
  <c r="AC1896" i="2"/>
  <c r="AB1896" i="2"/>
  <c r="AA1896" i="2"/>
  <c r="Z1896" i="2"/>
  <c r="Y1896" i="2"/>
  <c r="X1896" i="2"/>
  <c r="W1896" i="2"/>
  <c r="V1896" i="2"/>
  <c r="AE1895" i="2"/>
  <c r="AD1895" i="2"/>
  <c r="AC1895" i="2"/>
  <c r="AB1895" i="2"/>
  <c r="AA1895" i="2"/>
  <c r="Z1895" i="2"/>
  <c r="Y1895" i="2"/>
  <c r="X1895" i="2"/>
  <c r="W1895" i="2"/>
  <c r="V1895" i="2"/>
  <c r="AE1894" i="2"/>
  <c r="AD1894" i="2"/>
  <c r="AC1894" i="2"/>
  <c r="AB1894" i="2"/>
  <c r="AA1894" i="2"/>
  <c r="Z1894" i="2"/>
  <c r="Y1894" i="2"/>
  <c r="X1894" i="2"/>
  <c r="W1894" i="2"/>
  <c r="V1894" i="2"/>
  <c r="AE1893" i="2"/>
  <c r="AD1893" i="2"/>
  <c r="AC1893" i="2"/>
  <c r="AB1893" i="2"/>
  <c r="AA1893" i="2"/>
  <c r="Z1893" i="2"/>
  <c r="Y1893" i="2"/>
  <c r="X1893" i="2"/>
  <c r="W1893" i="2"/>
  <c r="V1893" i="2"/>
  <c r="AE1892" i="2"/>
  <c r="AD1892" i="2"/>
  <c r="AC1892" i="2"/>
  <c r="AB1892" i="2"/>
  <c r="AA1892" i="2"/>
  <c r="Z1892" i="2"/>
  <c r="Y1892" i="2"/>
  <c r="X1892" i="2"/>
  <c r="W1892" i="2"/>
  <c r="V1892" i="2"/>
  <c r="AE1891" i="2"/>
  <c r="AD1891" i="2"/>
  <c r="AC1891" i="2"/>
  <c r="AB1891" i="2"/>
  <c r="AA1891" i="2"/>
  <c r="Z1891" i="2"/>
  <c r="Y1891" i="2"/>
  <c r="X1891" i="2"/>
  <c r="W1891" i="2"/>
  <c r="V1891" i="2"/>
  <c r="AE1890" i="2"/>
  <c r="AD1890" i="2"/>
  <c r="AC1890" i="2"/>
  <c r="AB1890" i="2"/>
  <c r="AA1890" i="2"/>
  <c r="Z1890" i="2"/>
  <c r="Y1890" i="2"/>
  <c r="X1890" i="2"/>
  <c r="W1890" i="2"/>
  <c r="V1890" i="2"/>
  <c r="AE1889" i="2"/>
  <c r="AD1889" i="2"/>
  <c r="AC1889" i="2"/>
  <c r="AB1889" i="2"/>
  <c r="AA1889" i="2"/>
  <c r="Z1889" i="2"/>
  <c r="Y1889" i="2"/>
  <c r="X1889" i="2"/>
  <c r="W1889" i="2"/>
  <c r="V1889" i="2"/>
  <c r="AE1888" i="2"/>
  <c r="AD1888" i="2"/>
  <c r="AC1888" i="2"/>
  <c r="AB1888" i="2"/>
  <c r="AA1888" i="2"/>
  <c r="Z1888" i="2"/>
  <c r="Y1888" i="2"/>
  <c r="X1888" i="2"/>
  <c r="W1888" i="2"/>
  <c r="V1888" i="2"/>
  <c r="AE1887" i="2"/>
  <c r="AD1887" i="2"/>
  <c r="AC1887" i="2"/>
  <c r="AB1887" i="2"/>
  <c r="AA1887" i="2"/>
  <c r="Z1887" i="2"/>
  <c r="Y1887" i="2"/>
  <c r="X1887" i="2"/>
  <c r="W1887" i="2"/>
  <c r="V1887" i="2"/>
  <c r="AE1886" i="2"/>
  <c r="AD1886" i="2"/>
  <c r="AC1886" i="2"/>
  <c r="AB1886" i="2"/>
  <c r="AA1886" i="2"/>
  <c r="Z1886" i="2"/>
  <c r="Y1886" i="2"/>
  <c r="X1886" i="2"/>
  <c r="W1886" i="2"/>
  <c r="V1886" i="2"/>
  <c r="AE1885" i="2"/>
  <c r="AD1885" i="2"/>
  <c r="AC1885" i="2"/>
  <c r="AB1885" i="2"/>
  <c r="AA1885" i="2"/>
  <c r="Z1885" i="2"/>
  <c r="Y1885" i="2"/>
  <c r="X1885" i="2"/>
  <c r="W1885" i="2"/>
  <c r="V1885" i="2"/>
  <c r="AE1884" i="2"/>
  <c r="AD1884" i="2"/>
  <c r="AC1884" i="2"/>
  <c r="AB1884" i="2"/>
  <c r="AA1884" i="2"/>
  <c r="Z1884" i="2"/>
  <c r="Y1884" i="2"/>
  <c r="X1884" i="2"/>
  <c r="W1884" i="2"/>
  <c r="V1884" i="2"/>
  <c r="AE1883" i="2"/>
  <c r="AD1883" i="2"/>
  <c r="AC1883" i="2"/>
  <c r="AB1883" i="2"/>
  <c r="AA1883" i="2"/>
  <c r="Z1883" i="2"/>
  <c r="Y1883" i="2"/>
  <c r="X1883" i="2"/>
  <c r="W1883" i="2"/>
  <c r="V1883" i="2"/>
  <c r="AE1882" i="2"/>
  <c r="AD1882" i="2"/>
  <c r="AC1882" i="2"/>
  <c r="AB1882" i="2"/>
  <c r="AA1882" i="2"/>
  <c r="Z1882" i="2"/>
  <c r="Y1882" i="2"/>
  <c r="X1882" i="2"/>
  <c r="W1882" i="2"/>
  <c r="V1882" i="2"/>
  <c r="AE1881" i="2"/>
  <c r="AD1881" i="2"/>
  <c r="AC1881" i="2"/>
  <c r="AB1881" i="2"/>
  <c r="AA1881" i="2"/>
  <c r="Z1881" i="2"/>
  <c r="Y1881" i="2"/>
  <c r="X1881" i="2"/>
  <c r="W1881" i="2"/>
  <c r="V1881" i="2"/>
  <c r="AE1880" i="2"/>
  <c r="AD1880" i="2"/>
  <c r="AC1880" i="2"/>
  <c r="AB1880" i="2"/>
  <c r="AA1880" i="2"/>
  <c r="Z1880" i="2"/>
  <c r="Y1880" i="2"/>
  <c r="X1880" i="2"/>
  <c r="W1880" i="2"/>
  <c r="V1880" i="2"/>
  <c r="AE1879" i="2"/>
  <c r="AD1879" i="2"/>
  <c r="AC1879" i="2"/>
  <c r="AB1879" i="2"/>
  <c r="AA1879" i="2"/>
  <c r="Z1879" i="2"/>
  <c r="Y1879" i="2"/>
  <c r="X1879" i="2"/>
  <c r="W1879" i="2"/>
  <c r="V1879" i="2"/>
  <c r="AE1878" i="2"/>
  <c r="AD1878" i="2"/>
  <c r="AC1878" i="2"/>
  <c r="AB1878" i="2"/>
  <c r="AA1878" i="2"/>
  <c r="Z1878" i="2"/>
  <c r="Y1878" i="2"/>
  <c r="X1878" i="2"/>
  <c r="W1878" i="2"/>
  <c r="V1878" i="2"/>
  <c r="AE1877" i="2"/>
  <c r="AD1877" i="2"/>
  <c r="AC1877" i="2"/>
  <c r="AB1877" i="2"/>
  <c r="AA1877" i="2"/>
  <c r="Z1877" i="2"/>
  <c r="Y1877" i="2"/>
  <c r="X1877" i="2"/>
  <c r="W1877" i="2"/>
  <c r="V1877" i="2"/>
  <c r="AE1876" i="2"/>
  <c r="AD1876" i="2"/>
  <c r="AC1876" i="2"/>
  <c r="AB1876" i="2"/>
  <c r="AA1876" i="2"/>
  <c r="Z1876" i="2"/>
  <c r="Y1876" i="2"/>
  <c r="X1876" i="2"/>
  <c r="W1876" i="2"/>
  <c r="V1876" i="2"/>
  <c r="AE1875" i="2"/>
  <c r="AD1875" i="2"/>
  <c r="AC1875" i="2"/>
  <c r="AB1875" i="2"/>
  <c r="AA1875" i="2"/>
  <c r="Z1875" i="2"/>
  <c r="Y1875" i="2"/>
  <c r="X1875" i="2"/>
  <c r="W1875" i="2"/>
  <c r="V1875" i="2"/>
  <c r="AE1874" i="2"/>
  <c r="AD1874" i="2"/>
  <c r="AC1874" i="2"/>
  <c r="AB1874" i="2"/>
  <c r="AA1874" i="2"/>
  <c r="Z1874" i="2"/>
  <c r="Y1874" i="2"/>
  <c r="X1874" i="2"/>
  <c r="W1874" i="2"/>
  <c r="V1874" i="2"/>
  <c r="AE1873" i="2"/>
  <c r="AD1873" i="2"/>
  <c r="AC1873" i="2"/>
  <c r="AB1873" i="2"/>
  <c r="AA1873" i="2"/>
  <c r="Z1873" i="2"/>
  <c r="Y1873" i="2"/>
  <c r="X1873" i="2"/>
  <c r="W1873" i="2"/>
  <c r="V1873" i="2"/>
  <c r="AE1872" i="2"/>
  <c r="AD1872" i="2"/>
  <c r="AC1872" i="2"/>
  <c r="AB1872" i="2"/>
  <c r="AA1872" i="2"/>
  <c r="Z1872" i="2"/>
  <c r="Y1872" i="2"/>
  <c r="X1872" i="2"/>
  <c r="W1872" i="2"/>
  <c r="V1872" i="2"/>
  <c r="AE1871" i="2"/>
  <c r="AD1871" i="2"/>
  <c r="AC1871" i="2"/>
  <c r="AB1871" i="2"/>
  <c r="AA1871" i="2"/>
  <c r="Z1871" i="2"/>
  <c r="Y1871" i="2"/>
  <c r="X1871" i="2"/>
  <c r="W1871" i="2"/>
  <c r="V1871" i="2"/>
  <c r="AE1870" i="2"/>
  <c r="AD1870" i="2"/>
  <c r="AC1870" i="2"/>
  <c r="AB1870" i="2"/>
  <c r="AA1870" i="2"/>
  <c r="Z1870" i="2"/>
  <c r="Y1870" i="2"/>
  <c r="X1870" i="2"/>
  <c r="W1870" i="2"/>
  <c r="V1870" i="2"/>
  <c r="AE1869" i="2"/>
  <c r="AD1869" i="2"/>
  <c r="AC1869" i="2"/>
  <c r="AB1869" i="2"/>
  <c r="AA1869" i="2"/>
  <c r="Z1869" i="2"/>
  <c r="Y1869" i="2"/>
  <c r="X1869" i="2"/>
  <c r="W1869" i="2"/>
  <c r="V1869" i="2"/>
  <c r="AE1868" i="2"/>
  <c r="AD1868" i="2"/>
  <c r="AC1868" i="2"/>
  <c r="AB1868" i="2"/>
  <c r="AA1868" i="2"/>
  <c r="Z1868" i="2"/>
  <c r="Y1868" i="2"/>
  <c r="X1868" i="2"/>
  <c r="W1868" i="2"/>
  <c r="V1868" i="2"/>
  <c r="AE1867" i="2"/>
  <c r="AD1867" i="2"/>
  <c r="AC1867" i="2"/>
  <c r="AB1867" i="2"/>
  <c r="AA1867" i="2"/>
  <c r="Z1867" i="2"/>
  <c r="Y1867" i="2"/>
  <c r="X1867" i="2"/>
  <c r="W1867" i="2"/>
  <c r="V1867" i="2"/>
  <c r="AE1866" i="2"/>
  <c r="AD1866" i="2"/>
  <c r="AC1866" i="2"/>
  <c r="AB1866" i="2"/>
  <c r="AA1866" i="2"/>
  <c r="Z1866" i="2"/>
  <c r="Y1866" i="2"/>
  <c r="X1866" i="2"/>
  <c r="W1866" i="2"/>
  <c r="V1866" i="2"/>
  <c r="AE1865" i="2"/>
  <c r="AD1865" i="2"/>
  <c r="AC1865" i="2"/>
  <c r="AB1865" i="2"/>
  <c r="AA1865" i="2"/>
  <c r="Z1865" i="2"/>
  <c r="Y1865" i="2"/>
  <c r="X1865" i="2"/>
  <c r="W1865" i="2"/>
  <c r="V1865" i="2"/>
  <c r="AE1864" i="2"/>
  <c r="AD1864" i="2"/>
  <c r="AC1864" i="2"/>
  <c r="AB1864" i="2"/>
  <c r="AA1864" i="2"/>
  <c r="Z1864" i="2"/>
  <c r="Y1864" i="2"/>
  <c r="X1864" i="2"/>
  <c r="W1864" i="2"/>
  <c r="V1864" i="2"/>
  <c r="AE1863" i="2"/>
  <c r="AD1863" i="2"/>
  <c r="AC1863" i="2"/>
  <c r="AB1863" i="2"/>
  <c r="AA1863" i="2"/>
  <c r="Z1863" i="2"/>
  <c r="Y1863" i="2"/>
  <c r="X1863" i="2"/>
  <c r="W1863" i="2"/>
  <c r="V1863" i="2"/>
  <c r="AE1862" i="2"/>
  <c r="AD1862" i="2"/>
  <c r="AC1862" i="2"/>
  <c r="AB1862" i="2"/>
  <c r="AA1862" i="2"/>
  <c r="Z1862" i="2"/>
  <c r="Y1862" i="2"/>
  <c r="X1862" i="2"/>
  <c r="W1862" i="2"/>
  <c r="V1862" i="2"/>
  <c r="AE1861" i="2"/>
  <c r="AD1861" i="2"/>
  <c r="AC1861" i="2"/>
  <c r="AB1861" i="2"/>
  <c r="AA1861" i="2"/>
  <c r="Z1861" i="2"/>
  <c r="Y1861" i="2"/>
  <c r="X1861" i="2"/>
  <c r="W1861" i="2"/>
  <c r="V1861" i="2"/>
  <c r="AE1860" i="2"/>
  <c r="AD1860" i="2"/>
  <c r="AC1860" i="2"/>
  <c r="AB1860" i="2"/>
  <c r="AA1860" i="2"/>
  <c r="Z1860" i="2"/>
  <c r="Y1860" i="2"/>
  <c r="X1860" i="2"/>
  <c r="W1860" i="2"/>
  <c r="V1860" i="2"/>
  <c r="AE1859" i="2"/>
  <c r="AD1859" i="2"/>
  <c r="AC1859" i="2"/>
  <c r="AB1859" i="2"/>
  <c r="AA1859" i="2"/>
  <c r="Z1859" i="2"/>
  <c r="Y1859" i="2"/>
  <c r="X1859" i="2"/>
  <c r="W1859" i="2"/>
  <c r="V1859" i="2"/>
  <c r="AE1858" i="2"/>
  <c r="AD1858" i="2"/>
  <c r="AC1858" i="2"/>
  <c r="AB1858" i="2"/>
  <c r="AA1858" i="2"/>
  <c r="Z1858" i="2"/>
  <c r="Y1858" i="2"/>
  <c r="X1858" i="2"/>
  <c r="W1858" i="2"/>
  <c r="V1858" i="2"/>
  <c r="AE1857" i="2"/>
  <c r="AD1857" i="2"/>
  <c r="AC1857" i="2"/>
  <c r="AB1857" i="2"/>
  <c r="AA1857" i="2"/>
  <c r="Z1857" i="2"/>
  <c r="Y1857" i="2"/>
  <c r="X1857" i="2"/>
  <c r="W1857" i="2"/>
  <c r="V1857" i="2"/>
  <c r="AE1856" i="2"/>
  <c r="AD1856" i="2"/>
  <c r="AC1856" i="2"/>
  <c r="AB1856" i="2"/>
  <c r="AA1856" i="2"/>
  <c r="Z1856" i="2"/>
  <c r="Y1856" i="2"/>
  <c r="X1856" i="2"/>
  <c r="W1856" i="2"/>
  <c r="V1856" i="2"/>
  <c r="AE1855" i="2"/>
  <c r="AD1855" i="2"/>
  <c r="AC1855" i="2"/>
  <c r="AB1855" i="2"/>
  <c r="AA1855" i="2"/>
  <c r="Z1855" i="2"/>
  <c r="Y1855" i="2"/>
  <c r="X1855" i="2"/>
  <c r="W1855" i="2"/>
  <c r="V1855" i="2"/>
  <c r="AE1854" i="2"/>
  <c r="AD1854" i="2"/>
  <c r="AC1854" i="2"/>
  <c r="AB1854" i="2"/>
  <c r="AA1854" i="2"/>
  <c r="Z1854" i="2"/>
  <c r="Y1854" i="2"/>
  <c r="X1854" i="2"/>
  <c r="W1854" i="2"/>
  <c r="V1854" i="2"/>
  <c r="AE1853" i="2"/>
  <c r="AD1853" i="2"/>
  <c r="AC1853" i="2"/>
  <c r="AB1853" i="2"/>
  <c r="AA1853" i="2"/>
  <c r="Z1853" i="2"/>
  <c r="Y1853" i="2"/>
  <c r="X1853" i="2"/>
  <c r="W1853" i="2"/>
  <c r="V1853" i="2"/>
  <c r="AE1852" i="2"/>
  <c r="AD1852" i="2"/>
  <c r="AC1852" i="2"/>
  <c r="AB1852" i="2"/>
  <c r="AA1852" i="2"/>
  <c r="Z1852" i="2"/>
  <c r="Y1852" i="2"/>
  <c r="X1852" i="2"/>
  <c r="W1852" i="2"/>
  <c r="V1852" i="2"/>
  <c r="AE1851" i="2"/>
  <c r="AD1851" i="2"/>
  <c r="AC1851" i="2"/>
  <c r="AB1851" i="2"/>
  <c r="AA1851" i="2"/>
  <c r="Z1851" i="2"/>
  <c r="Y1851" i="2"/>
  <c r="X1851" i="2"/>
  <c r="W1851" i="2"/>
  <c r="V1851" i="2"/>
  <c r="AE1850" i="2"/>
  <c r="AD1850" i="2"/>
  <c r="AC1850" i="2"/>
  <c r="AB1850" i="2"/>
  <c r="AA1850" i="2"/>
  <c r="Z1850" i="2"/>
  <c r="Y1850" i="2"/>
  <c r="X1850" i="2"/>
  <c r="W1850" i="2"/>
  <c r="V1850" i="2"/>
  <c r="AE1849" i="2"/>
  <c r="AD1849" i="2"/>
  <c r="AC1849" i="2"/>
  <c r="AB1849" i="2"/>
  <c r="AA1849" i="2"/>
  <c r="Z1849" i="2"/>
  <c r="Y1849" i="2"/>
  <c r="X1849" i="2"/>
  <c r="W1849" i="2"/>
  <c r="V1849" i="2"/>
  <c r="AE1848" i="2"/>
  <c r="AD1848" i="2"/>
  <c r="AC1848" i="2"/>
  <c r="AB1848" i="2"/>
  <c r="AA1848" i="2"/>
  <c r="Z1848" i="2"/>
  <c r="Y1848" i="2"/>
  <c r="X1848" i="2"/>
  <c r="W1848" i="2"/>
  <c r="V1848" i="2"/>
  <c r="AE1847" i="2"/>
  <c r="AD1847" i="2"/>
  <c r="AC1847" i="2"/>
  <c r="AB1847" i="2"/>
  <c r="AA1847" i="2"/>
  <c r="Z1847" i="2"/>
  <c r="Y1847" i="2"/>
  <c r="X1847" i="2"/>
  <c r="W1847" i="2"/>
  <c r="V1847" i="2"/>
  <c r="AE1846" i="2"/>
  <c r="AD1846" i="2"/>
  <c r="AC1846" i="2"/>
  <c r="AB1846" i="2"/>
  <c r="AA1846" i="2"/>
  <c r="Z1846" i="2"/>
  <c r="Y1846" i="2"/>
  <c r="X1846" i="2"/>
  <c r="W1846" i="2"/>
  <c r="V1846" i="2"/>
  <c r="AE1845" i="2"/>
  <c r="AD1845" i="2"/>
  <c r="AC1845" i="2"/>
  <c r="AB1845" i="2"/>
  <c r="AA1845" i="2"/>
  <c r="Z1845" i="2"/>
  <c r="Y1845" i="2"/>
  <c r="X1845" i="2"/>
  <c r="W1845" i="2"/>
  <c r="V1845" i="2"/>
  <c r="AE1844" i="2"/>
  <c r="AD1844" i="2"/>
  <c r="AC1844" i="2"/>
  <c r="AB1844" i="2"/>
  <c r="AA1844" i="2"/>
  <c r="Z1844" i="2"/>
  <c r="Y1844" i="2"/>
  <c r="X1844" i="2"/>
  <c r="W1844" i="2"/>
  <c r="V1844" i="2"/>
  <c r="AE1843" i="2"/>
  <c r="AD1843" i="2"/>
  <c r="AC1843" i="2"/>
  <c r="AB1843" i="2"/>
  <c r="AA1843" i="2"/>
  <c r="Z1843" i="2"/>
  <c r="Y1843" i="2"/>
  <c r="X1843" i="2"/>
  <c r="W1843" i="2"/>
  <c r="V1843" i="2"/>
  <c r="AE1842" i="2"/>
  <c r="AD1842" i="2"/>
  <c r="AC1842" i="2"/>
  <c r="AB1842" i="2"/>
  <c r="AA1842" i="2"/>
  <c r="Z1842" i="2"/>
  <c r="Y1842" i="2"/>
  <c r="X1842" i="2"/>
  <c r="W1842" i="2"/>
  <c r="V1842" i="2"/>
  <c r="AE1841" i="2"/>
  <c r="AD1841" i="2"/>
  <c r="AC1841" i="2"/>
  <c r="AB1841" i="2"/>
  <c r="AA1841" i="2"/>
  <c r="Z1841" i="2"/>
  <c r="Y1841" i="2"/>
  <c r="X1841" i="2"/>
  <c r="W1841" i="2"/>
  <c r="V1841" i="2"/>
  <c r="AE1840" i="2"/>
  <c r="AD1840" i="2"/>
  <c r="AC1840" i="2"/>
  <c r="AB1840" i="2"/>
  <c r="AA1840" i="2"/>
  <c r="Z1840" i="2"/>
  <c r="Y1840" i="2"/>
  <c r="X1840" i="2"/>
  <c r="W1840" i="2"/>
  <c r="V1840" i="2"/>
  <c r="AE1839" i="2"/>
  <c r="AD1839" i="2"/>
  <c r="AC1839" i="2"/>
  <c r="AB1839" i="2"/>
  <c r="AA1839" i="2"/>
  <c r="Z1839" i="2"/>
  <c r="Y1839" i="2"/>
  <c r="X1839" i="2"/>
  <c r="W1839" i="2"/>
  <c r="V1839" i="2"/>
  <c r="AE1838" i="2"/>
  <c r="AD1838" i="2"/>
  <c r="AC1838" i="2"/>
  <c r="AB1838" i="2"/>
  <c r="AA1838" i="2"/>
  <c r="Z1838" i="2"/>
  <c r="Y1838" i="2"/>
  <c r="X1838" i="2"/>
  <c r="W1838" i="2"/>
  <c r="V1838" i="2"/>
  <c r="AE1837" i="2"/>
  <c r="AD1837" i="2"/>
  <c r="AC1837" i="2"/>
  <c r="AB1837" i="2"/>
  <c r="AA1837" i="2"/>
  <c r="Z1837" i="2"/>
  <c r="Y1837" i="2"/>
  <c r="X1837" i="2"/>
  <c r="W1837" i="2"/>
  <c r="V1837" i="2"/>
  <c r="AE1836" i="2"/>
  <c r="AD1836" i="2"/>
  <c r="AC1836" i="2"/>
  <c r="AB1836" i="2"/>
  <c r="AA1836" i="2"/>
  <c r="Z1836" i="2"/>
  <c r="Y1836" i="2"/>
  <c r="X1836" i="2"/>
  <c r="W1836" i="2"/>
  <c r="V1836" i="2"/>
  <c r="AE1835" i="2"/>
  <c r="AD1835" i="2"/>
  <c r="AC1835" i="2"/>
  <c r="AB1835" i="2"/>
  <c r="AA1835" i="2"/>
  <c r="Z1835" i="2"/>
  <c r="Y1835" i="2"/>
  <c r="X1835" i="2"/>
  <c r="W1835" i="2"/>
  <c r="V1835" i="2"/>
  <c r="AE1834" i="2"/>
  <c r="AD1834" i="2"/>
  <c r="AC1834" i="2"/>
  <c r="AB1834" i="2"/>
  <c r="AA1834" i="2"/>
  <c r="Z1834" i="2"/>
  <c r="Y1834" i="2"/>
  <c r="X1834" i="2"/>
  <c r="W1834" i="2"/>
  <c r="V1834" i="2"/>
  <c r="AE1833" i="2"/>
  <c r="AD1833" i="2"/>
  <c r="AC1833" i="2"/>
  <c r="AB1833" i="2"/>
  <c r="AA1833" i="2"/>
  <c r="Z1833" i="2"/>
  <c r="Y1833" i="2"/>
  <c r="X1833" i="2"/>
  <c r="W1833" i="2"/>
  <c r="V1833" i="2"/>
  <c r="AE1832" i="2"/>
  <c r="AD1832" i="2"/>
  <c r="AC1832" i="2"/>
  <c r="AB1832" i="2"/>
  <c r="AA1832" i="2"/>
  <c r="Z1832" i="2"/>
  <c r="Y1832" i="2"/>
  <c r="X1832" i="2"/>
  <c r="W1832" i="2"/>
  <c r="V1832" i="2"/>
  <c r="AE1831" i="2"/>
  <c r="AD1831" i="2"/>
  <c r="AC1831" i="2"/>
  <c r="AB1831" i="2"/>
  <c r="AA1831" i="2"/>
  <c r="Z1831" i="2"/>
  <c r="Y1831" i="2"/>
  <c r="X1831" i="2"/>
  <c r="W1831" i="2"/>
  <c r="V1831" i="2"/>
  <c r="AE1830" i="2"/>
  <c r="AD1830" i="2"/>
  <c r="AC1830" i="2"/>
  <c r="AB1830" i="2"/>
  <c r="AA1830" i="2"/>
  <c r="Z1830" i="2"/>
  <c r="Y1830" i="2"/>
  <c r="X1830" i="2"/>
  <c r="W1830" i="2"/>
  <c r="V1830" i="2"/>
  <c r="AE1829" i="2"/>
  <c r="AD1829" i="2"/>
  <c r="AC1829" i="2"/>
  <c r="AB1829" i="2"/>
  <c r="AA1829" i="2"/>
  <c r="Z1829" i="2"/>
  <c r="Y1829" i="2"/>
  <c r="X1829" i="2"/>
  <c r="W1829" i="2"/>
  <c r="V1829" i="2"/>
  <c r="AE1828" i="2"/>
  <c r="AD1828" i="2"/>
  <c r="AC1828" i="2"/>
  <c r="AB1828" i="2"/>
  <c r="AA1828" i="2"/>
  <c r="Z1828" i="2"/>
  <c r="Y1828" i="2"/>
  <c r="X1828" i="2"/>
  <c r="W1828" i="2"/>
  <c r="V1828" i="2"/>
  <c r="AE1827" i="2"/>
  <c r="AD1827" i="2"/>
  <c r="AC1827" i="2"/>
  <c r="AB1827" i="2"/>
  <c r="AA1827" i="2"/>
  <c r="Z1827" i="2"/>
  <c r="Y1827" i="2"/>
  <c r="X1827" i="2"/>
  <c r="W1827" i="2"/>
  <c r="V1827" i="2"/>
  <c r="AE1826" i="2"/>
  <c r="AD1826" i="2"/>
  <c r="AC1826" i="2"/>
  <c r="AB1826" i="2"/>
  <c r="AA1826" i="2"/>
  <c r="Z1826" i="2"/>
  <c r="Y1826" i="2"/>
  <c r="X1826" i="2"/>
  <c r="W1826" i="2"/>
  <c r="V1826" i="2"/>
  <c r="AE1825" i="2"/>
  <c r="AD1825" i="2"/>
  <c r="AC1825" i="2"/>
  <c r="AB1825" i="2"/>
  <c r="AA1825" i="2"/>
  <c r="Z1825" i="2"/>
  <c r="Y1825" i="2"/>
  <c r="X1825" i="2"/>
  <c r="W1825" i="2"/>
  <c r="V1825" i="2"/>
  <c r="AE1824" i="2"/>
  <c r="AD1824" i="2"/>
  <c r="AC1824" i="2"/>
  <c r="AB1824" i="2"/>
  <c r="AA1824" i="2"/>
  <c r="Z1824" i="2"/>
  <c r="Y1824" i="2"/>
  <c r="X1824" i="2"/>
  <c r="W1824" i="2"/>
  <c r="V1824" i="2"/>
  <c r="AE1823" i="2"/>
  <c r="AD1823" i="2"/>
  <c r="AC1823" i="2"/>
  <c r="AB1823" i="2"/>
  <c r="AA1823" i="2"/>
  <c r="Z1823" i="2"/>
  <c r="Y1823" i="2"/>
  <c r="X1823" i="2"/>
  <c r="W1823" i="2"/>
  <c r="V1823" i="2"/>
  <c r="AE1822" i="2"/>
  <c r="AD1822" i="2"/>
  <c r="AC1822" i="2"/>
  <c r="AB1822" i="2"/>
  <c r="AA1822" i="2"/>
  <c r="Z1822" i="2"/>
  <c r="Y1822" i="2"/>
  <c r="X1822" i="2"/>
  <c r="W1822" i="2"/>
  <c r="V1822" i="2"/>
  <c r="AE1821" i="2"/>
  <c r="AD1821" i="2"/>
  <c r="AC1821" i="2"/>
  <c r="AB1821" i="2"/>
  <c r="AA1821" i="2"/>
  <c r="Z1821" i="2"/>
  <c r="Y1821" i="2"/>
  <c r="X1821" i="2"/>
  <c r="W1821" i="2"/>
  <c r="V1821" i="2"/>
  <c r="AE1820" i="2"/>
  <c r="AD1820" i="2"/>
  <c r="AC1820" i="2"/>
  <c r="AB1820" i="2"/>
  <c r="AA1820" i="2"/>
  <c r="Z1820" i="2"/>
  <c r="Y1820" i="2"/>
  <c r="X1820" i="2"/>
  <c r="W1820" i="2"/>
  <c r="V1820" i="2"/>
  <c r="AE1819" i="2"/>
  <c r="AD1819" i="2"/>
  <c r="AC1819" i="2"/>
  <c r="AB1819" i="2"/>
  <c r="AA1819" i="2"/>
  <c r="Z1819" i="2"/>
  <c r="Y1819" i="2"/>
  <c r="X1819" i="2"/>
  <c r="W1819" i="2"/>
  <c r="V1819" i="2"/>
  <c r="AE1818" i="2"/>
  <c r="AD1818" i="2"/>
  <c r="AC1818" i="2"/>
  <c r="AB1818" i="2"/>
  <c r="AA1818" i="2"/>
  <c r="Z1818" i="2"/>
  <c r="Y1818" i="2"/>
  <c r="X1818" i="2"/>
  <c r="W1818" i="2"/>
  <c r="V1818" i="2"/>
  <c r="AE1817" i="2"/>
  <c r="AD1817" i="2"/>
  <c r="AC1817" i="2"/>
  <c r="AB1817" i="2"/>
  <c r="AA1817" i="2"/>
  <c r="Z1817" i="2"/>
  <c r="Y1817" i="2"/>
  <c r="X1817" i="2"/>
  <c r="W1817" i="2"/>
  <c r="V1817" i="2"/>
  <c r="AE1816" i="2"/>
  <c r="AD1816" i="2"/>
  <c r="AC1816" i="2"/>
  <c r="AB1816" i="2"/>
  <c r="AA1816" i="2"/>
  <c r="Z1816" i="2"/>
  <c r="Y1816" i="2"/>
  <c r="X1816" i="2"/>
  <c r="W1816" i="2"/>
  <c r="V1816" i="2"/>
  <c r="AE1815" i="2"/>
  <c r="AD1815" i="2"/>
  <c r="AC1815" i="2"/>
  <c r="AB1815" i="2"/>
  <c r="AA1815" i="2"/>
  <c r="Z1815" i="2"/>
  <c r="Y1815" i="2"/>
  <c r="X1815" i="2"/>
  <c r="W1815" i="2"/>
  <c r="V1815" i="2"/>
  <c r="AE1814" i="2"/>
  <c r="AD1814" i="2"/>
  <c r="AC1814" i="2"/>
  <c r="AB1814" i="2"/>
  <c r="AA1814" i="2"/>
  <c r="Z1814" i="2"/>
  <c r="Y1814" i="2"/>
  <c r="X1814" i="2"/>
  <c r="W1814" i="2"/>
  <c r="V1814" i="2"/>
  <c r="AE1813" i="2"/>
  <c r="AD1813" i="2"/>
  <c r="AC1813" i="2"/>
  <c r="AB1813" i="2"/>
  <c r="AA1813" i="2"/>
  <c r="Z1813" i="2"/>
  <c r="Y1813" i="2"/>
  <c r="X1813" i="2"/>
  <c r="W1813" i="2"/>
  <c r="V1813" i="2"/>
  <c r="AE1812" i="2"/>
  <c r="AD1812" i="2"/>
  <c r="AC1812" i="2"/>
  <c r="AB1812" i="2"/>
  <c r="AA1812" i="2"/>
  <c r="Z1812" i="2"/>
  <c r="Y1812" i="2"/>
  <c r="X1812" i="2"/>
  <c r="W1812" i="2"/>
  <c r="V1812" i="2"/>
  <c r="AE1811" i="2"/>
  <c r="AD1811" i="2"/>
  <c r="AC1811" i="2"/>
  <c r="AB1811" i="2"/>
  <c r="AA1811" i="2"/>
  <c r="Z1811" i="2"/>
  <c r="Y1811" i="2"/>
  <c r="X1811" i="2"/>
  <c r="W1811" i="2"/>
  <c r="V1811" i="2"/>
  <c r="AE1810" i="2"/>
  <c r="AD1810" i="2"/>
  <c r="AC1810" i="2"/>
  <c r="AB1810" i="2"/>
  <c r="AA1810" i="2"/>
  <c r="Z1810" i="2"/>
  <c r="Y1810" i="2"/>
  <c r="X1810" i="2"/>
  <c r="W1810" i="2"/>
  <c r="V1810" i="2"/>
  <c r="AE1809" i="2"/>
  <c r="AD1809" i="2"/>
  <c r="AC1809" i="2"/>
  <c r="AB1809" i="2"/>
  <c r="AA1809" i="2"/>
  <c r="Z1809" i="2"/>
  <c r="Y1809" i="2"/>
  <c r="X1809" i="2"/>
  <c r="W1809" i="2"/>
  <c r="V1809" i="2"/>
  <c r="AE1808" i="2"/>
  <c r="AD1808" i="2"/>
  <c r="AC1808" i="2"/>
  <c r="AB1808" i="2"/>
  <c r="AA1808" i="2"/>
  <c r="Z1808" i="2"/>
  <c r="Y1808" i="2"/>
  <c r="X1808" i="2"/>
  <c r="W1808" i="2"/>
  <c r="V1808" i="2"/>
  <c r="AE1807" i="2"/>
  <c r="AD1807" i="2"/>
  <c r="AC1807" i="2"/>
  <c r="AB1807" i="2"/>
  <c r="AA1807" i="2"/>
  <c r="Z1807" i="2"/>
  <c r="Y1807" i="2"/>
  <c r="X1807" i="2"/>
  <c r="W1807" i="2"/>
  <c r="V1807" i="2"/>
  <c r="AE1806" i="2"/>
  <c r="AD1806" i="2"/>
  <c r="AC1806" i="2"/>
  <c r="AB1806" i="2"/>
  <c r="AA1806" i="2"/>
  <c r="Z1806" i="2"/>
  <c r="Y1806" i="2"/>
  <c r="X1806" i="2"/>
  <c r="W1806" i="2"/>
  <c r="V1806" i="2"/>
  <c r="AE1805" i="2"/>
  <c r="AD1805" i="2"/>
  <c r="AC1805" i="2"/>
  <c r="AB1805" i="2"/>
  <c r="AA1805" i="2"/>
  <c r="Z1805" i="2"/>
  <c r="Y1805" i="2"/>
  <c r="X1805" i="2"/>
  <c r="W1805" i="2"/>
  <c r="V1805" i="2"/>
  <c r="AE1804" i="2"/>
  <c r="AD1804" i="2"/>
  <c r="AC1804" i="2"/>
  <c r="AB1804" i="2"/>
  <c r="AA1804" i="2"/>
  <c r="Z1804" i="2"/>
  <c r="Y1804" i="2"/>
  <c r="X1804" i="2"/>
  <c r="W1804" i="2"/>
  <c r="V1804" i="2"/>
  <c r="AE1803" i="2"/>
  <c r="AD1803" i="2"/>
  <c r="AC1803" i="2"/>
  <c r="AB1803" i="2"/>
  <c r="AA1803" i="2"/>
  <c r="Z1803" i="2"/>
  <c r="Y1803" i="2"/>
  <c r="X1803" i="2"/>
  <c r="W1803" i="2"/>
  <c r="V1803" i="2"/>
  <c r="AE1802" i="2"/>
  <c r="AD1802" i="2"/>
  <c r="AC1802" i="2"/>
  <c r="AB1802" i="2"/>
  <c r="AA1802" i="2"/>
  <c r="Z1802" i="2"/>
  <c r="Y1802" i="2"/>
  <c r="X1802" i="2"/>
  <c r="W1802" i="2"/>
  <c r="V1802" i="2"/>
  <c r="AE1801" i="2"/>
  <c r="AD1801" i="2"/>
  <c r="AC1801" i="2"/>
  <c r="AB1801" i="2"/>
  <c r="AA1801" i="2"/>
  <c r="Z1801" i="2"/>
  <c r="Y1801" i="2"/>
  <c r="X1801" i="2"/>
  <c r="W1801" i="2"/>
  <c r="V1801" i="2"/>
  <c r="AE1800" i="2"/>
  <c r="AD1800" i="2"/>
  <c r="AC1800" i="2"/>
  <c r="AB1800" i="2"/>
  <c r="AA1800" i="2"/>
  <c r="Z1800" i="2"/>
  <c r="Y1800" i="2"/>
  <c r="X1800" i="2"/>
  <c r="W1800" i="2"/>
  <c r="V1800" i="2"/>
  <c r="AE1799" i="2"/>
  <c r="AD1799" i="2"/>
  <c r="AC1799" i="2"/>
  <c r="AB1799" i="2"/>
  <c r="AA1799" i="2"/>
  <c r="Z1799" i="2"/>
  <c r="Y1799" i="2"/>
  <c r="X1799" i="2"/>
  <c r="W1799" i="2"/>
  <c r="V1799" i="2"/>
  <c r="AE1798" i="2"/>
  <c r="AD1798" i="2"/>
  <c r="AC1798" i="2"/>
  <c r="AB1798" i="2"/>
  <c r="AA1798" i="2"/>
  <c r="Z1798" i="2"/>
  <c r="Y1798" i="2"/>
  <c r="X1798" i="2"/>
  <c r="W1798" i="2"/>
  <c r="V1798" i="2"/>
  <c r="AE1797" i="2"/>
  <c r="AD1797" i="2"/>
  <c r="AC1797" i="2"/>
  <c r="AB1797" i="2"/>
  <c r="AA1797" i="2"/>
  <c r="Z1797" i="2"/>
  <c r="Y1797" i="2"/>
  <c r="X1797" i="2"/>
  <c r="W1797" i="2"/>
  <c r="V1797" i="2"/>
  <c r="AE1796" i="2"/>
  <c r="AD1796" i="2"/>
  <c r="AC1796" i="2"/>
  <c r="AB1796" i="2"/>
  <c r="AA1796" i="2"/>
  <c r="Z1796" i="2"/>
  <c r="Y1796" i="2"/>
  <c r="X1796" i="2"/>
  <c r="W1796" i="2"/>
  <c r="V1796" i="2"/>
  <c r="AE1795" i="2"/>
  <c r="AD1795" i="2"/>
  <c r="AC1795" i="2"/>
  <c r="AB1795" i="2"/>
  <c r="AA1795" i="2"/>
  <c r="Z1795" i="2"/>
  <c r="Y1795" i="2"/>
  <c r="X1795" i="2"/>
  <c r="W1795" i="2"/>
  <c r="V1795" i="2"/>
  <c r="AE1794" i="2"/>
  <c r="AD1794" i="2"/>
  <c r="AC1794" i="2"/>
  <c r="AB1794" i="2"/>
  <c r="AA1794" i="2"/>
  <c r="Z1794" i="2"/>
  <c r="Y1794" i="2"/>
  <c r="X1794" i="2"/>
  <c r="W1794" i="2"/>
  <c r="V1794" i="2"/>
  <c r="AE1793" i="2"/>
  <c r="AD1793" i="2"/>
  <c r="AC1793" i="2"/>
  <c r="AB1793" i="2"/>
  <c r="AA1793" i="2"/>
  <c r="Z1793" i="2"/>
  <c r="Y1793" i="2"/>
  <c r="X1793" i="2"/>
  <c r="W1793" i="2"/>
  <c r="V1793" i="2"/>
  <c r="AE1792" i="2"/>
  <c r="AD1792" i="2"/>
  <c r="AC1792" i="2"/>
  <c r="AB1792" i="2"/>
  <c r="AA1792" i="2"/>
  <c r="Z1792" i="2"/>
  <c r="Y1792" i="2"/>
  <c r="X1792" i="2"/>
  <c r="W1792" i="2"/>
  <c r="V1792" i="2"/>
  <c r="AE1791" i="2"/>
  <c r="AD1791" i="2"/>
  <c r="AC1791" i="2"/>
  <c r="AB1791" i="2"/>
  <c r="AA1791" i="2"/>
  <c r="Z1791" i="2"/>
  <c r="Y1791" i="2"/>
  <c r="X1791" i="2"/>
  <c r="W1791" i="2"/>
  <c r="V1791" i="2"/>
  <c r="AE1790" i="2"/>
  <c r="AD1790" i="2"/>
  <c r="AC1790" i="2"/>
  <c r="AB1790" i="2"/>
  <c r="AA1790" i="2"/>
  <c r="Z1790" i="2"/>
  <c r="Y1790" i="2"/>
  <c r="X1790" i="2"/>
  <c r="W1790" i="2"/>
  <c r="V1790" i="2"/>
  <c r="AE1789" i="2"/>
  <c r="AD1789" i="2"/>
  <c r="AC1789" i="2"/>
  <c r="AB1789" i="2"/>
  <c r="AA1789" i="2"/>
  <c r="Z1789" i="2"/>
  <c r="Y1789" i="2"/>
  <c r="X1789" i="2"/>
  <c r="W1789" i="2"/>
  <c r="V1789" i="2"/>
  <c r="AE1788" i="2"/>
  <c r="AD1788" i="2"/>
  <c r="AC1788" i="2"/>
  <c r="AB1788" i="2"/>
  <c r="AA1788" i="2"/>
  <c r="Z1788" i="2"/>
  <c r="Y1788" i="2"/>
  <c r="X1788" i="2"/>
  <c r="W1788" i="2"/>
  <c r="V1788" i="2"/>
  <c r="AE1787" i="2"/>
  <c r="AD1787" i="2"/>
  <c r="AC1787" i="2"/>
  <c r="AB1787" i="2"/>
  <c r="AA1787" i="2"/>
  <c r="Z1787" i="2"/>
  <c r="Y1787" i="2"/>
  <c r="X1787" i="2"/>
  <c r="W1787" i="2"/>
  <c r="V1787" i="2"/>
  <c r="AE1786" i="2"/>
  <c r="AD1786" i="2"/>
  <c r="AC1786" i="2"/>
  <c r="AB1786" i="2"/>
  <c r="AA1786" i="2"/>
  <c r="Z1786" i="2"/>
  <c r="Y1786" i="2"/>
  <c r="X1786" i="2"/>
  <c r="W1786" i="2"/>
  <c r="V1786" i="2"/>
  <c r="AE1785" i="2"/>
  <c r="AD1785" i="2"/>
  <c r="AC1785" i="2"/>
  <c r="AB1785" i="2"/>
  <c r="AA1785" i="2"/>
  <c r="Z1785" i="2"/>
  <c r="Y1785" i="2"/>
  <c r="X1785" i="2"/>
  <c r="W1785" i="2"/>
  <c r="V1785" i="2"/>
  <c r="AE1784" i="2"/>
  <c r="AD1784" i="2"/>
  <c r="AC1784" i="2"/>
  <c r="AB1784" i="2"/>
  <c r="AA1784" i="2"/>
  <c r="Z1784" i="2"/>
  <c r="Y1784" i="2"/>
  <c r="X1784" i="2"/>
  <c r="W1784" i="2"/>
  <c r="V1784" i="2"/>
  <c r="AE1783" i="2"/>
  <c r="AD1783" i="2"/>
  <c r="AC1783" i="2"/>
  <c r="AB1783" i="2"/>
  <c r="AA1783" i="2"/>
  <c r="Z1783" i="2"/>
  <c r="Y1783" i="2"/>
  <c r="X1783" i="2"/>
  <c r="W1783" i="2"/>
  <c r="V1783" i="2"/>
  <c r="AE1782" i="2"/>
  <c r="AD1782" i="2"/>
  <c r="AC1782" i="2"/>
  <c r="AB1782" i="2"/>
  <c r="AA1782" i="2"/>
  <c r="Z1782" i="2"/>
  <c r="Y1782" i="2"/>
  <c r="X1782" i="2"/>
  <c r="W1782" i="2"/>
  <c r="V1782" i="2"/>
  <c r="AE1781" i="2"/>
  <c r="AD1781" i="2"/>
  <c r="AC1781" i="2"/>
  <c r="AB1781" i="2"/>
  <c r="AA1781" i="2"/>
  <c r="Z1781" i="2"/>
  <c r="Y1781" i="2"/>
  <c r="X1781" i="2"/>
  <c r="W1781" i="2"/>
  <c r="V1781" i="2"/>
  <c r="AE1780" i="2"/>
  <c r="AD1780" i="2"/>
  <c r="AC1780" i="2"/>
  <c r="AB1780" i="2"/>
  <c r="AA1780" i="2"/>
  <c r="Z1780" i="2"/>
  <c r="Y1780" i="2"/>
  <c r="X1780" i="2"/>
  <c r="W1780" i="2"/>
  <c r="V1780" i="2"/>
  <c r="AE1779" i="2"/>
  <c r="AD1779" i="2"/>
  <c r="AC1779" i="2"/>
  <c r="AB1779" i="2"/>
  <c r="AA1779" i="2"/>
  <c r="Z1779" i="2"/>
  <c r="Y1779" i="2"/>
  <c r="X1779" i="2"/>
  <c r="W1779" i="2"/>
  <c r="V1779" i="2"/>
  <c r="AE1778" i="2"/>
  <c r="AD1778" i="2"/>
  <c r="AC1778" i="2"/>
  <c r="AB1778" i="2"/>
  <c r="AA1778" i="2"/>
  <c r="Z1778" i="2"/>
  <c r="Y1778" i="2"/>
  <c r="X1778" i="2"/>
  <c r="W1778" i="2"/>
  <c r="V1778" i="2"/>
  <c r="AE1777" i="2"/>
  <c r="AD1777" i="2"/>
  <c r="AC1777" i="2"/>
  <c r="AB1777" i="2"/>
  <c r="AA1777" i="2"/>
  <c r="Z1777" i="2"/>
  <c r="Y1777" i="2"/>
  <c r="X1777" i="2"/>
  <c r="W1777" i="2"/>
  <c r="V1777" i="2"/>
  <c r="AE1776" i="2"/>
  <c r="AD1776" i="2"/>
  <c r="AC1776" i="2"/>
  <c r="AB1776" i="2"/>
  <c r="AA1776" i="2"/>
  <c r="Z1776" i="2"/>
  <c r="Y1776" i="2"/>
  <c r="X1776" i="2"/>
  <c r="W1776" i="2"/>
  <c r="V1776" i="2"/>
  <c r="AE1775" i="2"/>
  <c r="AD1775" i="2"/>
  <c r="AC1775" i="2"/>
  <c r="AB1775" i="2"/>
  <c r="AA1775" i="2"/>
  <c r="Z1775" i="2"/>
  <c r="Y1775" i="2"/>
  <c r="X1775" i="2"/>
  <c r="W1775" i="2"/>
  <c r="V1775" i="2"/>
  <c r="AE1774" i="2"/>
  <c r="AD1774" i="2"/>
  <c r="AC1774" i="2"/>
  <c r="AB1774" i="2"/>
  <c r="AA1774" i="2"/>
  <c r="Z1774" i="2"/>
  <c r="Y1774" i="2"/>
  <c r="X1774" i="2"/>
  <c r="W1774" i="2"/>
  <c r="V1774" i="2"/>
  <c r="AE1773" i="2"/>
  <c r="AD1773" i="2"/>
  <c r="AC1773" i="2"/>
  <c r="AB1773" i="2"/>
  <c r="AA1773" i="2"/>
  <c r="Z1773" i="2"/>
  <c r="Y1773" i="2"/>
  <c r="X1773" i="2"/>
  <c r="W1773" i="2"/>
  <c r="V1773" i="2"/>
  <c r="AE1772" i="2"/>
  <c r="AD1772" i="2"/>
  <c r="AC1772" i="2"/>
  <c r="AB1772" i="2"/>
  <c r="AA1772" i="2"/>
  <c r="Z1772" i="2"/>
  <c r="Y1772" i="2"/>
  <c r="X1772" i="2"/>
  <c r="W1772" i="2"/>
  <c r="V1772" i="2"/>
  <c r="AE1771" i="2"/>
  <c r="AD1771" i="2"/>
  <c r="AC1771" i="2"/>
  <c r="AB1771" i="2"/>
  <c r="AA1771" i="2"/>
  <c r="Z1771" i="2"/>
  <c r="Y1771" i="2"/>
  <c r="X1771" i="2"/>
  <c r="W1771" i="2"/>
  <c r="V1771" i="2"/>
  <c r="AE1770" i="2"/>
  <c r="AD1770" i="2"/>
  <c r="AC1770" i="2"/>
  <c r="AB1770" i="2"/>
  <c r="AA1770" i="2"/>
  <c r="Z1770" i="2"/>
  <c r="Y1770" i="2"/>
  <c r="X1770" i="2"/>
  <c r="W1770" i="2"/>
  <c r="V1770" i="2"/>
  <c r="AE1769" i="2"/>
  <c r="AD1769" i="2"/>
  <c r="AC1769" i="2"/>
  <c r="AB1769" i="2"/>
  <c r="AA1769" i="2"/>
  <c r="Z1769" i="2"/>
  <c r="Y1769" i="2"/>
  <c r="X1769" i="2"/>
  <c r="W1769" i="2"/>
  <c r="V1769" i="2"/>
  <c r="AE1768" i="2"/>
  <c r="AD1768" i="2"/>
  <c r="AC1768" i="2"/>
  <c r="AB1768" i="2"/>
  <c r="AA1768" i="2"/>
  <c r="Z1768" i="2"/>
  <c r="Y1768" i="2"/>
  <c r="X1768" i="2"/>
  <c r="W1768" i="2"/>
  <c r="V1768" i="2"/>
  <c r="AE1767" i="2"/>
  <c r="AD1767" i="2"/>
  <c r="AC1767" i="2"/>
  <c r="AB1767" i="2"/>
  <c r="AA1767" i="2"/>
  <c r="Z1767" i="2"/>
  <c r="Y1767" i="2"/>
  <c r="X1767" i="2"/>
  <c r="W1767" i="2"/>
  <c r="V1767" i="2"/>
  <c r="AE1766" i="2"/>
  <c r="AD1766" i="2"/>
  <c r="AC1766" i="2"/>
  <c r="AB1766" i="2"/>
  <c r="AA1766" i="2"/>
  <c r="Z1766" i="2"/>
  <c r="Y1766" i="2"/>
  <c r="X1766" i="2"/>
  <c r="W1766" i="2"/>
  <c r="V1766" i="2"/>
  <c r="AE1765" i="2"/>
  <c r="AD1765" i="2"/>
  <c r="AC1765" i="2"/>
  <c r="AB1765" i="2"/>
  <c r="AA1765" i="2"/>
  <c r="Z1765" i="2"/>
  <c r="Y1765" i="2"/>
  <c r="X1765" i="2"/>
  <c r="W1765" i="2"/>
  <c r="V1765" i="2"/>
  <c r="AE1764" i="2"/>
  <c r="AD1764" i="2"/>
  <c r="AC1764" i="2"/>
  <c r="AB1764" i="2"/>
  <c r="AA1764" i="2"/>
  <c r="Z1764" i="2"/>
  <c r="Y1764" i="2"/>
  <c r="X1764" i="2"/>
  <c r="W1764" i="2"/>
  <c r="V1764" i="2"/>
  <c r="AE1763" i="2"/>
  <c r="AD1763" i="2"/>
  <c r="AC1763" i="2"/>
  <c r="AB1763" i="2"/>
  <c r="AA1763" i="2"/>
  <c r="Z1763" i="2"/>
  <c r="Y1763" i="2"/>
  <c r="X1763" i="2"/>
  <c r="W1763" i="2"/>
  <c r="V1763" i="2"/>
  <c r="AE1762" i="2"/>
  <c r="AD1762" i="2"/>
  <c r="AC1762" i="2"/>
  <c r="AB1762" i="2"/>
  <c r="AA1762" i="2"/>
  <c r="Z1762" i="2"/>
  <c r="Y1762" i="2"/>
  <c r="X1762" i="2"/>
  <c r="W1762" i="2"/>
  <c r="V1762" i="2"/>
  <c r="AE1761" i="2"/>
  <c r="AD1761" i="2"/>
  <c r="AC1761" i="2"/>
  <c r="AB1761" i="2"/>
  <c r="AA1761" i="2"/>
  <c r="Z1761" i="2"/>
  <c r="Y1761" i="2"/>
  <c r="X1761" i="2"/>
  <c r="W1761" i="2"/>
  <c r="V1761" i="2"/>
  <c r="AE1760" i="2"/>
  <c r="AD1760" i="2"/>
  <c r="AC1760" i="2"/>
  <c r="AB1760" i="2"/>
  <c r="AA1760" i="2"/>
  <c r="Z1760" i="2"/>
  <c r="Y1760" i="2"/>
  <c r="X1760" i="2"/>
  <c r="W1760" i="2"/>
  <c r="V1760" i="2"/>
  <c r="AE1759" i="2"/>
  <c r="AD1759" i="2"/>
  <c r="AC1759" i="2"/>
  <c r="AB1759" i="2"/>
  <c r="AA1759" i="2"/>
  <c r="Z1759" i="2"/>
  <c r="Y1759" i="2"/>
  <c r="X1759" i="2"/>
  <c r="W1759" i="2"/>
  <c r="V1759" i="2"/>
  <c r="AE1758" i="2"/>
  <c r="AD1758" i="2"/>
  <c r="AC1758" i="2"/>
  <c r="AB1758" i="2"/>
  <c r="AA1758" i="2"/>
  <c r="Z1758" i="2"/>
  <c r="Y1758" i="2"/>
  <c r="X1758" i="2"/>
  <c r="W1758" i="2"/>
  <c r="V1758" i="2"/>
  <c r="AE1757" i="2"/>
  <c r="AD1757" i="2"/>
  <c r="AC1757" i="2"/>
  <c r="AB1757" i="2"/>
  <c r="AA1757" i="2"/>
  <c r="Z1757" i="2"/>
  <c r="Y1757" i="2"/>
  <c r="X1757" i="2"/>
  <c r="W1757" i="2"/>
  <c r="V1757" i="2"/>
  <c r="AE1756" i="2"/>
  <c r="AD1756" i="2"/>
  <c r="AC1756" i="2"/>
  <c r="AB1756" i="2"/>
  <c r="AA1756" i="2"/>
  <c r="Z1756" i="2"/>
  <c r="Y1756" i="2"/>
  <c r="X1756" i="2"/>
  <c r="W1756" i="2"/>
  <c r="V1756" i="2"/>
  <c r="AE1755" i="2"/>
  <c r="AD1755" i="2"/>
  <c r="AC1755" i="2"/>
  <c r="AB1755" i="2"/>
  <c r="AA1755" i="2"/>
  <c r="Z1755" i="2"/>
  <c r="Y1755" i="2"/>
  <c r="X1755" i="2"/>
  <c r="W1755" i="2"/>
  <c r="V1755" i="2"/>
  <c r="AE1754" i="2"/>
  <c r="AD1754" i="2"/>
  <c r="AC1754" i="2"/>
  <c r="AB1754" i="2"/>
  <c r="AA1754" i="2"/>
  <c r="Z1754" i="2"/>
  <c r="Y1754" i="2"/>
  <c r="X1754" i="2"/>
  <c r="W1754" i="2"/>
  <c r="V1754" i="2"/>
  <c r="AE1753" i="2"/>
  <c r="AD1753" i="2"/>
  <c r="AC1753" i="2"/>
  <c r="AB1753" i="2"/>
  <c r="AA1753" i="2"/>
  <c r="Z1753" i="2"/>
  <c r="Y1753" i="2"/>
  <c r="X1753" i="2"/>
  <c r="W1753" i="2"/>
  <c r="V1753" i="2"/>
  <c r="AE1752" i="2"/>
  <c r="AD1752" i="2"/>
  <c r="AC1752" i="2"/>
  <c r="AB1752" i="2"/>
  <c r="AA1752" i="2"/>
  <c r="Z1752" i="2"/>
  <c r="Y1752" i="2"/>
  <c r="X1752" i="2"/>
  <c r="W1752" i="2"/>
  <c r="V1752" i="2"/>
  <c r="AE1751" i="2"/>
  <c r="AD1751" i="2"/>
  <c r="AC1751" i="2"/>
  <c r="AB1751" i="2"/>
  <c r="AA1751" i="2"/>
  <c r="Z1751" i="2"/>
  <c r="Y1751" i="2"/>
  <c r="X1751" i="2"/>
  <c r="W1751" i="2"/>
  <c r="V1751" i="2"/>
  <c r="AE1750" i="2"/>
  <c r="AD1750" i="2"/>
  <c r="AC1750" i="2"/>
  <c r="AB1750" i="2"/>
  <c r="AA1750" i="2"/>
  <c r="Z1750" i="2"/>
  <c r="Y1750" i="2"/>
  <c r="X1750" i="2"/>
  <c r="W1750" i="2"/>
  <c r="V1750" i="2"/>
  <c r="AE1749" i="2"/>
  <c r="AD1749" i="2"/>
  <c r="AC1749" i="2"/>
  <c r="AB1749" i="2"/>
  <c r="AA1749" i="2"/>
  <c r="Z1749" i="2"/>
  <c r="Y1749" i="2"/>
  <c r="X1749" i="2"/>
  <c r="W1749" i="2"/>
  <c r="V1749" i="2"/>
  <c r="AE1748" i="2"/>
  <c r="AD1748" i="2"/>
  <c r="AC1748" i="2"/>
  <c r="AB1748" i="2"/>
  <c r="AA1748" i="2"/>
  <c r="Z1748" i="2"/>
  <c r="Y1748" i="2"/>
  <c r="X1748" i="2"/>
  <c r="W1748" i="2"/>
  <c r="V1748" i="2"/>
  <c r="AE1747" i="2"/>
  <c r="AD1747" i="2"/>
  <c r="AC1747" i="2"/>
  <c r="AB1747" i="2"/>
  <c r="AA1747" i="2"/>
  <c r="Z1747" i="2"/>
  <c r="Y1747" i="2"/>
  <c r="X1747" i="2"/>
  <c r="W1747" i="2"/>
  <c r="V1747" i="2"/>
  <c r="AE1746" i="2"/>
  <c r="AD1746" i="2"/>
  <c r="AC1746" i="2"/>
  <c r="AB1746" i="2"/>
  <c r="AA1746" i="2"/>
  <c r="Z1746" i="2"/>
  <c r="Y1746" i="2"/>
  <c r="X1746" i="2"/>
  <c r="W1746" i="2"/>
  <c r="V1746" i="2"/>
  <c r="AE1745" i="2"/>
  <c r="AD1745" i="2"/>
  <c r="AC1745" i="2"/>
  <c r="AB1745" i="2"/>
  <c r="AA1745" i="2"/>
  <c r="Z1745" i="2"/>
  <c r="Y1745" i="2"/>
  <c r="X1745" i="2"/>
  <c r="W1745" i="2"/>
  <c r="V1745" i="2"/>
  <c r="AE1744" i="2"/>
  <c r="AD1744" i="2"/>
  <c r="AC1744" i="2"/>
  <c r="AB1744" i="2"/>
  <c r="AA1744" i="2"/>
  <c r="Z1744" i="2"/>
  <c r="Y1744" i="2"/>
  <c r="X1744" i="2"/>
  <c r="W1744" i="2"/>
  <c r="V1744" i="2"/>
  <c r="AE1743" i="2"/>
  <c r="AD1743" i="2"/>
  <c r="AC1743" i="2"/>
  <c r="AB1743" i="2"/>
  <c r="AA1743" i="2"/>
  <c r="Z1743" i="2"/>
  <c r="Y1743" i="2"/>
  <c r="X1743" i="2"/>
  <c r="W1743" i="2"/>
  <c r="V1743" i="2"/>
  <c r="AE1742" i="2"/>
  <c r="AD1742" i="2"/>
  <c r="AC1742" i="2"/>
  <c r="AB1742" i="2"/>
  <c r="AA1742" i="2"/>
  <c r="Z1742" i="2"/>
  <c r="Y1742" i="2"/>
  <c r="X1742" i="2"/>
  <c r="W1742" i="2"/>
  <c r="V1742" i="2"/>
  <c r="AE1741" i="2"/>
  <c r="AD1741" i="2"/>
  <c r="AC1741" i="2"/>
  <c r="AB1741" i="2"/>
  <c r="AA1741" i="2"/>
  <c r="Z1741" i="2"/>
  <c r="Y1741" i="2"/>
  <c r="X1741" i="2"/>
  <c r="W1741" i="2"/>
  <c r="V1741" i="2"/>
  <c r="AE1740" i="2"/>
  <c r="AD1740" i="2"/>
  <c r="AC1740" i="2"/>
  <c r="AB1740" i="2"/>
  <c r="AA1740" i="2"/>
  <c r="Z1740" i="2"/>
  <c r="Y1740" i="2"/>
  <c r="X1740" i="2"/>
  <c r="W1740" i="2"/>
  <c r="V1740" i="2"/>
  <c r="AE1739" i="2"/>
  <c r="AD1739" i="2"/>
  <c r="AC1739" i="2"/>
  <c r="AB1739" i="2"/>
  <c r="AA1739" i="2"/>
  <c r="Z1739" i="2"/>
  <c r="Y1739" i="2"/>
  <c r="X1739" i="2"/>
  <c r="W1739" i="2"/>
  <c r="V1739" i="2"/>
  <c r="AE1738" i="2"/>
  <c r="AD1738" i="2"/>
  <c r="AC1738" i="2"/>
  <c r="AB1738" i="2"/>
  <c r="AA1738" i="2"/>
  <c r="Z1738" i="2"/>
  <c r="Y1738" i="2"/>
  <c r="X1738" i="2"/>
  <c r="W1738" i="2"/>
  <c r="V1738" i="2"/>
  <c r="AE1737" i="2"/>
  <c r="AD1737" i="2"/>
  <c r="AC1737" i="2"/>
  <c r="AB1737" i="2"/>
  <c r="AA1737" i="2"/>
  <c r="Z1737" i="2"/>
  <c r="Y1737" i="2"/>
  <c r="X1737" i="2"/>
  <c r="W1737" i="2"/>
  <c r="V1737" i="2"/>
  <c r="AE1736" i="2"/>
  <c r="AD1736" i="2"/>
  <c r="AC1736" i="2"/>
  <c r="AB1736" i="2"/>
  <c r="AA1736" i="2"/>
  <c r="Z1736" i="2"/>
  <c r="Y1736" i="2"/>
  <c r="X1736" i="2"/>
  <c r="W1736" i="2"/>
  <c r="V1736" i="2"/>
  <c r="AE1735" i="2"/>
  <c r="AD1735" i="2"/>
  <c r="AC1735" i="2"/>
  <c r="AB1735" i="2"/>
  <c r="AA1735" i="2"/>
  <c r="Z1735" i="2"/>
  <c r="Y1735" i="2"/>
  <c r="X1735" i="2"/>
  <c r="W1735" i="2"/>
  <c r="V1735" i="2"/>
  <c r="AE1734" i="2"/>
  <c r="AD1734" i="2"/>
  <c r="AC1734" i="2"/>
  <c r="AB1734" i="2"/>
  <c r="AA1734" i="2"/>
  <c r="Z1734" i="2"/>
  <c r="Y1734" i="2"/>
  <c r="X1734" i="2"/>
  <c r="W1734" i="2"/>
  <c r="V1734" i="2"/>
  <c r="AE1733" i="2"/>
  <c r="AD1733" i="2"/>
  <c r="AC1733" i="2"/>
  <c r="AB1733" i="2"/>
  <c r="AA1733" i="2"/>
  <c r="Z1733" i="2"/>
  <c r="Y1733" i="2"/>
  <c r="X1733" i="2"/>
  <c r="W1733" i="2"/>
  <c r="V1733" i="2"/>
  <c r="AE1732" i="2"/>
  <c r="AD1732" i="2"/>
  <c r="AC1732" i="2"/>
  <c r="AB1732" i="2"/>
  <c r="AA1732" i="2"/>
  <c r="Z1732" i="2"/>
  <c r="Y1732" i="2"/>
  <c r="X1732" i="2"/>
  <c r="W1732" i="2"/>
  <c r="V1732" i="2"/>
  <c r="AE1731" i="2"/>
  <c r="AD1731" i="2"/>
  <c r="AC1731" i="2"/>
  <c r="AB1731" i="2"/>
  <c r="AA1731" i="2"/>
  <c r="Z1731" i="2"/>
  <c r="Y1731" i="2"/>
  <c r="X1731" i="2"/>
  <c r="W1731" i="2"/>
  <c r="V1731" i="2"/>
  <c r="AE1730" i="2"/>
  <c r="AD1730" i="2"/>
  <c r="AC1730" i="2"/>
  <c r="AB1730" i="2"/>
  <c r="AA1730" i="2"/>
  <c r="Z1730" i="2"/>
  <c r="Y1730" i="2"/>
  <c r="X1730" i="2"/>
  <c r="W1730" i="2"/>
  <c r="V1730" i="2"/>
  <c r="AE1729" i="2"/>
  <c r="AD1729" i="2"/>
  <c r="AC1729" i="2"/>
  <c r="AB1729" i="2"/>
  <c r="AA1729" i="2"/>
  <c r="Z1729" i="2"/>
  <c r="Y1729" i="2"/>
  <c r="X1729" i="2"/>
  <c r="W1729" i="2"/>
  <c r="V1729" i="2"/>
  <c r="AE1728" i="2"/>
  <c r="AD1728" i="2"/>
  <c r="AC1728" i="2"/>
  <c r="AB1728" i="2"/>
  <c r="AA1728" i="2"/>
  <c r="Z1728" i="2"/>
  <c r="Y1728" i="2"/>
  <c r="X1728" i="2"/>
  <c r="W1728" i="2"/>
  <c r="V1728" i="2"/>
  <c r="AE1727" i="2"/>
  <c r="AD1727" i="2"/>
  <c r="AC1727" i="2"/>
  <c r="AB1727" i="2"/>
  <c r="AA1727" i="2"/>
  <c r="Z1727" i="2"/>
  <c r="Y1727" i="2"/>
  <c r="X1727" i="2"/>
  <c r="W1727" i="2"/>
  <c r="V1727" i="2"/>
  <c r="AE1726" i="2"/>
  <c r="AD1726" i="2"/>
  <c r="AC1726" i="2"/>
  <c r="AB1726" i="2"/>
  <c r="AA1726" i="2"/>
  <c r="Z1726" i="2"/>
  <c r="Y1726" i="2"/>
  <c r="X1726" i="2"/>
  <c r="W1726" i="2"/>
  <c r="V1726" i="2"/>
  <c r="AE1725" i="2"/>
  <c r="AD1725" i="2"/>
  <c r="AC1725" i="2"/>
  <c r="AB1725" i="2"/>
  <c r="AA1725" i="2"/>
  <c r="Z1725" i="2"/>
  <c r="Y1725" i="2"/>
  <c r="X1725" i="2"/>
  <c r="W1725" i="2"/>
  <c r="V1725" i="2"/>
  <c r="AE1724" i="2"/>
  <c r="AD1724" i="2"/>
  <c r="AC1724" i="2"/>
  <c r="AB1724" i="2"/>
  <c r="AA1724" i="2"/>
  <c r="Z1724" i="2"/>
  <c r="Y1724" i="2"/>
  <c r="X1724" i="2"/>
  <c r="W1724" i="2"/>
  <c r="V1724" i="2"/>
  <c r="AE1723" i="2"/>
  <c r="AD1723" i="2"/>
  <c r="AC1723" i="2"/>
  <c r="AB1723" i="2"/>
  <c r="AA1723" i="2"/>
  <c r="Z1723" i="2"/>
  <c r="Y1723" i="2"/>
  <c r="X1723" i="2"/>
  <c r="W1723" i="2"/>
  <c r="V1723" i="2"/>
  <c r="AE1722" i="2"/>
  <c r="AD1722" i="2"/>
  <c r="AC1722" i="2"/>
  <c r="AB1722" i="2"/>
  <c r="AA1722" i="2"/>
  <c r="Z1722" i="2"/>
  <c r="Y1722" i="2"/>
  <c r="X1722" i="2"/>
  <c r="W1722" i="2"/>
  <c r="V1722" i="2"/>
  <c r="AE1721" i="2"/>
  <c r="AD1721" i="2"/>
  <c r="AC1721" i="2"/>
  <c r="AB1721" i="2"/>
  <c r="AA1721" i="2"/>
  <c r="Z1721" i="2"/>
  <c r="Y1721" i="2"/>
  <c r="X1721" i="2"/>
  <c r="W1721" i="2"/>
  <c r="V1721" i="2"/>
  <c r="AE1720" i="2"/>
  <c r="AD1720" i="2"/>
  <c r="AC1720" i="2"/>
  <c r="AB1720" i="2"/>
  <c r="AA1720" i="2"/>
  <c r="Z1720" i="2"/>
  <c r="Y1720" i="2"/>
  <c r="X1720" i="2"/>
  <c r="W1720" i="2"/>
  <c r="V1720" i="2"/>
  <c r="AE1719" i="2"/>
  <c r="AD1719" i="2"/>
  <c r="AC1719" i="2"/>
  <c r="AB1719" i="2"/>
  <c r="AA1719" i="2"/>
  <c r="Z1719" i="2"/>
  <c r="Y1719" i="2"/>
  <c r="X1719" i="2"/>
  <c r="W1719" i="2"/>
  <c r="V1719" i="2"/>
  <c r="AE1718" i="2"/>
  <c r="AD1718" i="2"/>
  <c r="AC1718" i="2"/>
  <c r="AB1718" i="2"/>
  <c r="AA1718" i="2"/>
  <c r="Z1718" i="2"/>
  <c r="Y1718" i="2"/>
  <c r="X1718" i="2"/>
  <c r="W1718" i="2"/>
  <c r="V1718" i="2"/>
  <c r="AE1717" i="2"/>
  <c r="AD1717" i="2"/>
  <c r="AC1717" i="2"/>
  <c r="AB1717" i="2"/>
  <c r="AA1717" i="2"/>
  <c r="Z1717" i="2"/>
  <c r="Y1717" i="2"/>
  <c r="X1717" i="2"/>
  <c r="W1717" i="2"/>
  <c r="V1717" i="2"/>
  <c r="AE1716" i="2"/>
  <c r="AD1716" i="2"/>
  <c r="AC1716" i="2"/>
  <c r="AB1716" i="2"/>
  <c r="AA1716" i="2"/>
  <c r="Z1716" i="2"/>
  <c r="Y1716" i="2"/>
  <c r="X1716" i="2"/>
  <c r="W1716" i="2"/>
  <c r="V1716" i="2"/>
  <c r="AE1715" i="2"/>
  <c r="AD1715" i="2"/>
  <c r="AC1715" i="2"/>
  <c r="AB1715" i="2"/>
  <c r="AA1715" i="2"/>
  <c r="Z1715" i="2"/>
  <c r="Y1715" i="2"/>
  <c r="X1715" i="2"/>
  <c r="W1715" i="2"/>
  <c r="V1715" i="2"/>
  <c r="AE1714" i="2"/>
  <c r="AD1714" i="2"/>
  <c r="AC1714" i="2"/>
  <c r="AB1714" i="2"/>
  <c r="AA1714" i="2"/>
  <c r="Z1714" i="2"/>
  <c r="Y1714" i="2"/>
  <c r="X1714" i="2"/>
  <c r="W1714" i="2"/>
  <c r="V1714" i="2"/>
  <c r="AE1713" i="2"/>
  <c r="AD1713" i="2"/>
  <c r="AC1713" i="2"/>
  <c r="AB1713" i="2"/>
  <c r="AA1713" i="2"/>
  <c r="Z1713" i="2"/>
  <c r="Y1713" i="2"/>
  <c r="X1713" i="2"/>
  <c r="W1713" i="2"/>
  <c r="V1713" i="2"/>
  <c r="AE1712" i="2"/>
  <c r="AD1712" i="2"/>
  <c r="AC1712" i="2"/>
  <c r="AB1712" i="2"/>
  <c r="AA1712" i="2"/>
  <c r="Z1712" i="2"/>
  <c r="Y1712" i="2"/>
  <c r="X1712" i="2"/>
  <c r="W1712" i="2"/>
  <c r="V1712" i="2"/>
  <c r="AE1711" i="2"/>
  <c r="AD1711" i="2"/>
  <c r="AC1711" i="2"/>
  <c r="AB1711" i="2"/>
  <c r="AA1711" i="2"/>
  <c r="Z1711" i="2"/>
  <c r="Y1711" i="2"/>
  <c r="X1711" i="2"/>
  <c r="W1711" i="2"/>
  <c r="V1711" i="2"/>
  <c r="AE1710" i="2"/>
  <c r="AD1710" i="2"/>
  <c r="AC1710" i="2"/>
  <c r="AB1710" i="2"/>
  <c r="AA1710" i="2"/>
  <c r="Z1710" i="2"/>
  <c r="Y1710" i="2"/>
  <c r="X1710" i="2"/>
  <c r="W1710" i="2"/>
  <c r="V1710" i="2"/>
  <c r="AE1709" i="2"/>
  <c r="AD1709" i="2"/>
  <c r="AC1709" i="2"/>
  <c r="AB1709" i="2"/>
  <c r="AA1709" i="2"/>
  <c r="Z1709" i="2"/>
  <c r="Y1709" i="2"/>
  <c r="X1709" i="2"/>
  <c r="W1709" i="2"/>
  <c r="V1709" i="2"/>
  <c r="AE1708" i="2"/>
  <c r="AD1708" i="2"/>
  <c r="AC1708" i="2"/>
  <c r="AB1708" i="2"/>
  <c r="AA1708" i="2"/>
  <c r="Z1708" i="2"/>
  <c r="Y1708" i="2"/>
  <c r="X1708" i="2"/>
  <c r="W1708" i="2"/>
  <c r="V1708" i="2"/>
  <c r="AE1707" i="2"/>
  <c r="AD1707" i="2"/>
  <c r="AC1707" i="2"/>
  <c r="AB1707" i="2"/>
  <c r="AA1707" i="2"/>
  <c r="Z1707" i="2"/>
  <c r="Y1707" i="2"/>
  <c r="X1707" i="2"/>
  <c r="W1707" i="2"/>
  <c r="V1707" i="2"/>
  <c r="AE1706" i="2"/>
  <c r="AD1706" i="2"/>
  <c r="AC1706" i="2"/>
  <c r="AB1706" i="2"/>
  <c r="AA1706" i="2"/>
  <c r="Z1706" i="2"/>
  <c r="Y1706" i="2"/>
  <c r="X1706" i="2"/>
  <c r="W1706" i="2"/>
  <c r="V1706" i="2"/>
  <c r="AE1705" i="2"/>
  <c r="AD1705" i="2"/>
  <c r="AC1705" i="2"/>
  <c r="AB1705" i="2"/>
  <c r="AA1705" i="2"/>
  <c r="Z1705" i="2"/>
  <c r="Y1705" i="2"/>
  <c r="X1705" i="2"/>
  <c r="W1705" i="2"/>
  <c r="V1705" i="2"/>
  <c r="AE1704" i="2"/>
  <c r="AD1704" i="2"/>
  <c r="AC1704" i="2"/>
  <c r="AB1704" i="2"/>
  <c r="AA1704" i="2"/>
  <c r="Z1704" i="2"/>
  <c r="Y1704" i="2"/>
  <c r="X1704" i="2"/>
  <c r="W1704" i="2"/>
  <c r="V1704" i="2"/>
  <c r="AE1703" i="2"/>
  <c r="AD1703" i="2"/>
  <c r="AC1703" i="2"/>
  <c r="AB1703" i="2"/>
  <c r="AA1703" i="2"/>
  <c r="Z1703" i="2"/>
  <c r="Y1703" i="2"/>
  <c r="X1703" i="2"/>
  <c r="W1703" i="2"/>
  <c r="V1703" i="2"/>
  <c r="AE1702" i="2"/>
  <c r="AD1702" i="2"/>
  <c r="AC1702" i="2"/>
  <c r="AB1702" i="2"/>
  <c r="AA1702" i="2"/>
  <c r="Z1702" i="2"/>
  <c r="Y1702" i="2"/>
  <c r="X1702" i="2"/>
  <c r="W1702" i="2"/>
  <c r="V1702" i="2"/>
  <c r="AE1701" i="2"/>
  <c r="AD1701" i="2"/>
  <c r="AC1701" i="2"/>
  <c r="AB1701" i="2"/>
  <c r="AA1701" i="2"/>
  <c r="Z1701" i="2"/>
  <c r="Y1701" i="2"/>
  <c r="X1701" i="2"/>
  <c r="W1701" i="2"/>
  <c r="V1701" i="2"/>
  <c r="AE1700" i="2"/>
  <c r="AD1700" i="2"/>
  <c r="AC1700" i="2"/>
  <c r="AB1700" i="2"/>
  <c r="AA1700" i="2"/>
  <c r="Z1700" i="2"/>
  <c r="Y1700" i="2"/>
  <c r="X1700" i="2"/>
  <c r="W1700" i="2"/>
  <c r="V1700" i="2"/>
  <c r="AE1699" i="2"/>
  <c r="AD1699" i="2"/>
  <c r="AC1699" i="2"/>
  <c r="AB1699" i="2"/>
  <c r="AA1699" i="2"/>
  <c r="Z1699" i="2"/>
  <c r="Y1699" i="2"/>
  <c r="X1699" i="2"/>
  <c r="W1699" i="2"/>
  <c r="V1699" i="2"/>
  <c r="AE1698" i="2"/>
  <c r="AD1698" i="2"/>
  <c r="AC1698" i="2"/>
  <c r="AB1698" i="2"/>
  <c r="AA1698" i="2"/>
  <c r="Z1698" i="2"/>
  <c r="Y1698" i="2"/>
  <c r="X1698" i="2"/>
  <c r="W1698" i="2"/>
  <c r="V1698" i="2"/>
  <c r="AE1697" i="2"/>
  <c r="AD1697" i="2"/>
  <c r="AC1697" i="2"/>
  <c r="AB1697" i="2"/>
  <c r="AA1697" i="2"/>
  <c r="Z1697" i="2"/>
  <c r="Y1697" i="2"/>
  <c r="X1697" i="2"/>
  <c r="W1697" i="2"/>
  <c r="V1697" i="2"/>
  <c r="AE1696" i="2"/>
  <c r="AD1696" i="2"/>
  <c r="AC1696" i="2"/>
  <c r="AB1696" i="2"/>
  <c r="AA1696" i="2"/>
  <c r="Z1696" i="2"/>
  <c r="Y1696" i="2"/>
  <c r="X1696" i="2"/>
  <c r="W1696" i="2"/>
  <c r="V1696" i="2"/>
  <c r="AE1695" i="2"/>
  <c r="AD1695" i="2"/>
  <c r="AC1695" i="2"/>
  <c r="AB1695" i="2"/>
  <c r="AA1695" i="2"/>
  <c r="Z1695" i="2"/>
  <c r="Y1695" i="2"/>
  <c r="X1695" i="2"/>
  <c r="W1695" i="2"/>
  <c r="V1695" i="2"/>
  <c r="AE1694" i="2"/>
  <c r="AD1694" i="2"/>
  <c r="AC1694" i="2"/>
  <c r="AB1694" i="2"/>
  <c r="AA1694" i="2"/>
  <c r="Z1694" i="2"/>
  <c r="Y1694" i="2"/>
  <c r="X1694" i="2"/>
  <c r="W1694" i="2"/>
  <c r="V1694" i="2"/>
  <c r="AE1693" i="2"/>
  <c r="AD1693" i="2"/>
  <c r="AC1693" i="2"/>
  <c r="AB1693" i="2"/>
  <c r="AA1693" i="2"/>
  <c r="Z1693" i="2"/>
  <c r="Y1693" i="2"/>
  <c r="X1693" i="2"/>
  <c r="W1693" i="2"/>
  <c r="V1693" i="2"/>
  <c r="AE1692" i="2"/>
  <c r="AD1692" i="2"/>
  <c r="AC1692" i="2"/>
  <c r="AB1692" i="2"/>
  <c r="AA1692" i="2"/>
  <c r="Z1692" i="2"/>
  <c r="Y1692" i="2"/>
  <c r="X1692" i="2"/>
  <c r="W1692" i="2"/>
  <c r="V1692" i="2"/>
  <c r="AE1691" i="2"/>
  <c r="AD1691" i="2"/>
  <c r="AC1691" i="2"/>
  <c r="AB1691" i="2"/>
  <c r="AA1691" i="2"/>
  <c r="Z1691" i="2"/>
  <c r="Y1691" i="2"/>
  <c r="X1691" i="2"/>
  <c r="W1691" i="2"/>
  <c r="V1691" i="2"/>
  <c r="AE1690" i="2"/>
  <c r="AD1690" i="2"/>
  <c r="AC1690" i="2"/>
  <c r="AB1690" i="2"/>
  <c r="AA1690" i="2"/>
  <c r="Z1690" i="2"/>
  <c r="Y1690" i="2"/>
  <c r="X1690" i="2"/>
  <c r="W1690" i="2"/>
  <c r="V1690" i="2"/>
  <c r="AE1689" i="2"/>
  <c r="AD1689" i="2"/>
  <c r="AC1689" i="2"/>
  <c r="AB1689" i="2"/>
  <c r="AA1689" i="2"/>
  <c r="Z1689" i="2"/>
  <c r="Y1689" i="2"/>
  <c r="X1689" i="2"/>
  <c r="W1689" i="2"/>
  <c r="V1689" i="2"/>
  <c r="AE1688" i="2"/>
  <c r="AD1688" i="2"/>
  <c r="AC1688" i="2"/>
  <c r="AB1688" i="2"/>
  <c r="AA1688" i="2"/>
  <c r="Z1688" i="2"/>
  <c r="Y1688" i="2"/>
  <c r="X1688" i="2"/>
  <c r="W1688" i="2"/>
  <c r="V1688" i="2"/>
  <c r="AE1687" i="2"/>
  <c r="AD1687" i="2"/>
  <c r="AC1687" i="2"/>
  <c r="AB1687" i="2"/>
  <c r="AA1687" i="2"/>
  <c r="Z1687" i="2"/>
  <c r="Y1687" i="2"/>
  <c r="X1687" i="2"/>
  <c r="W1687" i="2"/>
  <c r="V1687" i="2"/>
  <c r="AE1686" i="2"/>
  <c r="AD1686" i="2"/>
  <c r="AC1686" i="2"/>
  <c r="AB1686" i="2"/>
  <c r="AA1686" i="2"/>
  <c r="Z1686" i="2"/>
  <c r="Y1686" i="2"/>
  <c r="X1686" i="2"/>
  <c r="W1686" i="2"/>
  <c r="V1686" i="2"/>
  <c r="AE1685" i="2"/>
  <c r="AD1685" i="2"/>
  <c r="AC1685" i="2"/>
  <c r="AB1685" i="2"/>
  <c r="AA1685" i="2"/>
  <c r="Z1685" i="2"/>
  <c r="Y1685" i="2"/>
  <c r="X1685" i="2"/>
  <c r="W1685" i="2"/>
  <c r="V1685" i="2"/>
  <c r="AE1684" i="2"/>
  <c r="AD1684" i="2"/>
  <c r="AC1684" i="2"/>
  <c r="AB1684" i="2"/>
  <c r="AA1684" i="2"/>
  <c r="Z1684" i="2"/>
  <c r="Y1684" i="2"/>
  <c r="X1684" i="2"/>
  <c r="W1684" i="2"/>
  <c r="V1684" i="2"/>
  <c r="AE1683" i="2"/>
  <c r="AD1683" i="2"/>
  <c r="AC1683" i="2"/>
  <c r="AB1683" i="2"/>
  <c r="AA1683" i="2"/>
  <c r="Z1683" i="2"/>
  <c r="Y1683" i="2"/>
  <c r="X1683" i="2"/>
  <c r="W1683" i="2"/>
  <c r="V1683" i="2"/>
  <c r="AE1682" i="2"/>
  <c r="AD1682" i="2"/>
  <c r="AC1682" i="2"/>
  <c r="AB1682" i="2"/>
  <c r="AA1682" i="2"/>
  <c r="Z1682" i="2"/>
  <c r="Y1682" i="2"/>
  <c r="X1682" i="2"/>
  <c r="W1682" i="2"/>
  <c r="V1682" i="2"/>
  <c r="AE1681" i="2"/>
  <c r="AD1681" i="2"/>
  <c r="AC1681" i="2"/>
  <c r="AB1681" i="2"/>
  <c r="AA1681" i="2"/>
  <c r="Z1681" i="2"/>
  <c r="Y1681" i="2"/>
  <c r="X1681" i="2"/>
  <c r="W1681" i="2"/>
  <c r="V1681" i="2"/>
  <c r="AE1680" i="2"/>
  <c r="AD1680" i="2"/>
  <c r="AC1680" i="2"/>
  <c r="AB1680" i="2"/>
  <c r="AA1680" i="2"/>
  <c r="Z1680" i="2"/>
  <c r="Y1680" i="2"/>
  <c r="X1680" i="2"/>
  <c r="W1680" i="2"/>
  <c r="V1680" i="2"/>
  <c r="AE1679" i="2"/>
  <c r="AD1679" i="2"/>
  <c r="AC1679" i="2"/>
  <c r="AB1679" i="2"/>
  <c r="AA1679" i="2"/>
  <c r="Z1679" i="2"/>
  <c r="Y1679" i="2"/>
  <c r="X1679" i="2"/>
  <c r="W1679" i="2"/>
  <c r="V1679" i="2"/>
  <c r="AE1678" i="2"/>
  <c r="AD1678" i="2"/>
  <c r="AC1678" i="2"/>
  <c r="AB1678" i="2"/>
  <c r="AA1678" i="2"/>
  <c r="Z1678" i="2"/>
  <c r="Y1678" i="2"/>
  <c r="X1678" i="2"/>
  <c r="W1678" i="2"/>
  <c r="V1678" i="2"/>
  <c r="AE1677" i="2"/>
  <c r="AD1677" i="2"/>
  <c r="AC1677" i="2"/>
  <c r="AB1677" i="2"/>
  <c r="AA1677" i="2"/>
  <c r="Z1677" i="2"/>
  <c r="Y1677" i="2"/>
  <c r="X1677" i="2"/>
  <c r="W1677" i="2"/>
  <c r="V1677" i="2"/>
  <c r="AE1676" i="2"/>
  <c r="AD1676" i="2"/>
  <c r="AC1676" i="2"/>
  <c r="AB1676" i="2"/>
  <c r="AA1676" i="2"/>
  <c r="Z1676" i="2"/>
  <c r="Y1676" i="2"/>
  <c r="X1676" i="2"/>
  <c r="W1676" i="2"/>
  <c r="V1676" i="2"/>
  <c r="AE1675" i="2"/>
  <c r="AD1675" i="2"/>
  <c r="AC1675" i="2"/>
  <c r="AB1675" i="2"/>
  <c r="AA1675" i="2"/>
  <c r="Z1675" i="2"/>
  <c r="Y1675" i="2"/>
  <c r="X1675" i="2"/>
  <c r="W1675" i="2"/>
  <c r="V1675" i="2"/>
  <c r="AE1674" i="2"/>
  <c r="AD1674" i="2"/>
  <c r="AC1674" i="2"/>
  <c r="AB1674" i="2"/>
  <c r="AA1674" i="2"/>
  <c r="Z1674" i="2"/>
  <c r="Y1674" i="2"/>
  <c r="X1674" i="2"/>
  <c r="W1674" i="2"/>
  <c r="V1674" i="2"/>
  <c r="AE1673" i="2"/>
  <c r="AD1673" i="2"/>
  <c r="AC1673" i="2"/>
  <c r="AB1673" i="2"/>
  <c r="AA1673" i="2"/>
  <c r="Z1673" i="2"/>
  <c r="Y1673" i="2"/>
  <c r="X1673" i="2"/>
  <c r="W1673" i="2"/>
  <c r="V1673" i="2"/>
  <c r="AE1672" i="2"/>
  <c r="AD1672" i="2"/>
  <c r="AC1672" i="2"/>
  <c r="AB1672" i="2"/>
  <c r="AA1672" i="2"/>
  <c r="Z1672" i="2"/>
  <c r="Y1672" i="2"/>
  <c r="X1672" i="2"/>
  <c r="W1672" i="2"/>
  <c r="V1672" i="2"/>
  <c r="AE1671" i="2"/>
  <c r="AD1671" i="2"/>
  <c r="AC1671" i="2"/>
  <c r="AB1671" i="2"/>
  <c r="AA1671" i="2"/>
  <c r="Z1671" i="2"/>
  <c r="Y1671" i="2"/>
  <c r="X1671" i="2"/>
  <c r="W1671" i="2"/>
  <c r="V1671" i="2"/>
  <c r="AE1670" i="2"/>
  <c r="AD1670" i="2"/>
  <c r="AC1670" i="2"/>
  <c r="AB1670" i="2"/>
  <c r="AA1670" i="2"/>
  <c r="Z1670" i="2"/>
  <c r="Y1670" i="2"/>
  <c r="X1670" i="2"/>
  <c r="W1670" i="2"/>
  <c r="V1670" i="2"/>
  <c r="AE1669" i="2"/>
  <c r="AD1669" i="2"/>
  <c r="AC1669" i="2"/>
  <c r="AB1669" i="2"/>
  <c r="AA1669" i="2"/>
  <c r="Z1669" i="2"/>
  <c r="Y1669" i="2"/>
  <c r="X1669" i="2"/>
  <c r="W1669" i="2"/>
  <c r="V1669" i="2"/>
  <c r="AE1668" i="2"/>
  <c r="AD1668" i="2"/>
  <c r="AC1668" i="2"/>
  <c r="AB1668" i="2"/>
  <c r="AA1668" i="2"/>
  <c r="Z1668" i="2"/>
  <c r="Y1668" i="2"/>
  <c r="X1668" i="2"/>
  <c r="W1668" i="2"/>
  <c r="V1668" i="2"/>
  <c r="AE1667" i="2"/>
  <c r="AD1667" i="2"/>
  <c r="AC1667" i="2"/>
  <c r="AB1667" i="2"/>
  <c r="AA1667" i="2"/>
  <c r="Z1667" i="2"/>
  <c r="Y1667" i="2"/>
  <c r="X1667" i="2"/>
  <c r="W1667" i="2"/>
  <c r="V1667" i="2"/>
  <c r="AE1666" i="2"/>
  <c r="AD1666" i="2"/>
  <c r="AC1666" i="2"/>
  <c r="AB1666" i="2"/>
  <c r="AA1666" i="2"/>
  <c r="Z1666" i="2"/>
  <c r="Y1666" i="2"/>
  <c r="X1666" i="2"/>
  <c r="W1666" i="2"/>
  <c r="V1666" i="2"/>
  <c r="AE1665" i="2"/>
  <c r="AD1665" i="2"/>
  <c r="AC1665" i="2"/>
  <c r="AB1665" i="2"/>
  <c r="AA1665" i="2"/>
  <c r="Z1665" i="2"/>
  <c r="Y1665" i="2"/>
  <c r="X1665" i="2"/>
  <c r="W1665" i="2"/>
  <c r="V1665" i="2"/>
  <c r="AE1664" i="2"/>
  <c r="AD1664" i="2"/>
  <c r="AC1664" i="2"/>
  <c r="AB1664" i="2"/>
  <c r="AA1664" i="2"/>
  <c r="Z1664" i="2"/>
  <c r="Y1664" i="2"/>
  <c r="X1664" i="2"/>
  <c r="W1664" i="2"/>
  <c r="V1664" i="2"/>
  <c r="AE1663" i="2"/>
  <c r="AD1663" i="2"/>
  <c r="AC1663" i="2"/>
  <c r="AB1663" i="2"/>
  <c r="AA1663" i="2"/>
  <c r="Z1663" i="2"/>
  <c r="Y1663" i="2"/>
  <c r="X1663" i="2"/>
  <c r="W1663" i="2"/>
  <c r="V1663" i="2"/>
  <c r="AE1662" i="2"/>
  <c r="AD1662" i="2"/>
  <c r="AC1662" i="2"/>
  <c r="AB1662" i="2"/>
  <c r="AA1662" i="2"/>
  <c r="Z1662" i="2"/>
  <c r="Y1662" i="2"/>
  <c r="X1662" i="2"/>
  <c r="W1662" i="2"/>
  <c r="V1662" i="2"/>
  <c r="AE1661" i="2"/>
  <c r="AD1661" i="2"/>
  <c r="AC1661" i="2"/>
  <c r="AB1661" i="2"/>
  <c r="AA1661" i="2"/>
  <c r="Z1661" i="2"/>
  <c r="Y1661" i="2"/>
  <c r="X1661" i="2"/>
  <c r="W1661" i="2"/>
  <c r="V1661" i="2"/>
  <c r="AE1660" i="2"/>
  <c r="AD1660" i="2"/>
  <c r="AC1660" i="2"/>
  <c r="AB1660" i="2"/>
  <c r="AA1660" i="2"/>
  <c r="Z1660" i="2"/>
  <c r="Y1660" i="2"/>
  <c r="X1660" i="2"/>
  <c r="W1660" i="2"/>
  <c r="V1660" i="2"/>
  <c r="AE1659" i="2"/>
  <c r="AD1659" i="2"/>
  <c r="AC1659" i="2"/>
  <c r="AB1659" i="2"/>
  <c r="AA1659" i="2"/>
  <c r="Z1659" i="2"/>
  <c r="Y1659" i="2"/>
  <c r="X1659" i="2"/>
  <c r="W1659" i="2"/>
  <c r="V1659" i="2"/>
  <c r="AE1658" i="2"/>
  <c r="AD1658" i="2"/>
  <c r="AC1658" i="2"/>
  <c r="AB1658" i="2"/>
  <c r="AA1658" i="2"/>
  <c r="Z1658" i="2"/>
  <c r="Y1658" i="2"/>
  <c r="X1658" i="2"/>
  <c r="W1658" i="2"/>
  <c r="V1658" i="2"/>
  <c r="AE1657" i="2"/>
  <c r="AD1657" i="2"/>
  <c r="AC1657" i="2"/>
  <c r="AB1657" i="2"/>
  <c r="AA1657" i="2"/>
  <c r="Z1657" i="2"/>
  <c r="Y1657" i="2"/>
  <c r="X1657" i="2"/>
  <c r="W1657" i="2"/>
  <c r="V1657" i="2"/>
  <c r="AE1656" i="2"/>
  <c r="AD1656" i="2"/>
  <c r="AC1656" i="2"/>
  <c r="AB1656" i="2"/>
  <c r="AA1656" i="2"/>
  <c r="Z1656" i="2"/>
  <c r="Y1656" i="2"/>
  <c r="X1656" i="2"/>
  <c r="W1656" i="2"/>
  <c r="V1656" i="2"/>
  <c r="AE1655" i="2"/>
  <c r="AD1655" i="2"/>
  <c r="AC1655" i="2"/>
  <c r="AB1655" i="2"/>
  <c r="AA1655" i="2"/>
  <c r="Z1655" i="2"/>
  <c r="Y1655" i="2"/>
  <c r="X1655" i="2"/>
  <c r="W1655" i="2"/>
  <c r="V1655" i="2"/>
  <c r="AE1654" i="2"/>
  <c r="AD1654" i="2"/>
  <c r="AC1654" i="2"/>
  <c r="AB1654" i="2"/>
  <c r="AA1654" i="2"/>
  <c r="Z1654" i="2"/>
  <c r="Y1654" i="2"/>
  <c r="X1654" i="2"/>
  <c r="W1654" i="2"/>
  <c r="V1654" i="2"/>
  <c r="AE1653" i="2"/>
  <c r="AD1653" i="2"/>
  <c r="AC1653" i="2"/>
  <c r="AB1653" i="2"/>
  <c r="AA1653" i="2"/>
  <c r="Z1653" i="2"/>
  <c r="Y1653" i="2"/>
  <c r="X1653" i="2"/>
  <c r="W1653" i="2"/>
  <c r="V1653" i="2"/>
  <c r="AE1652" i="2"/>
  <c r="AD1652" i="2"/>
  <c r="AC1652" i="2"/>
  <c r="AB1652" i="2"/>
  <c r="AA1652" i="2"/>
  <c r="Z1652" i="2"/>
  <c r="Y1652" i="2"/>
  <c r="X1652" i="2"/>
  <c r="W1652" i="2"/>
  <c r="V1652" i="2"/>
  <c r="AE1651" i="2"/>
  <c r="AD1651" i="2"/>
  <c r="AC1651" i="2"/>
  <c r="AB1651" i="2"/>
  <c r="AA1651" i="2"/>
  <c r="Z1651" i="2"/>
  <c r="Y1651" i="2"/>
  <c r="X1651" i="2"/>
  <c r="W1651" i="2"/>
  <c r="V1651" i="2"/>
  <c r="AE1650" i="2"/>
  <c r="AD1650" i="2"/>
  <c r="AC1650" i="2"/>
  <c r="AB1650" i="2"/>
  <c r="AA1650" i="2"/>
  <c r="Z1650" i="2"/>
  <c r="Y1650" i="2"/>
  <c r="X1650" i="2"/>
  <c r="W1650" i="2"/>
  <c r="V1650" i="2"/>
  <c r="AE1649" i="2"/>
  <c r="AD1649" i="2"/>
  <c r="AC1649" i="2"/>
  <c r="AB1649" i="2"/>
  <c r="AA1649" i="2"/>
  <c r="Z1649" i="2"/>
  <c r="Y1649" i="2"/>
  <c r="X1649" i="2"/>
  <c r="W1649" i="2"/>
  <c r="V1649" i="2"/>
  <c r="AE1648" i="2"/>
  <c r="AD1648" i="2"/>
  <c r="AC1648" i="2"/>
  <c r="AB1648" i="2"/>
  <c r="AA1648" i="2"/>
  <c r="Z1648" i="2"/>
  <c r="Y1648" i="2"/>
  <c r="X1648" i="2"/>
  <c r="W1648" i="2"/>
  <c r="V1648" i="2"/>
  <c r="AE1647" i="2"/>
  <c r="AD1647" i="2"/>
  <c r="AC1647" i="2"/>
  <c r="AB1647" i="2"/>
  <c r="AA1647" i="2"/>
  <c r="Z1647" i="2"/>
  <c r="Y1647" i="2"/>
  <c r="X1647" i="2"/>
  <c r="W1647" i="2"/>
  <c r="V1647" i="2"/>
  <c r="AE1646" i="2"/>
  <c r="AD1646" i="2"/>
  <c r="AC1646" i="2"/>
  <c r="AB1646" i="2"/>
  <c r="AA1646" i="2"/>
  <c r="Z1646" i="2"/>
  <c r="Y1646" i="2"/>
  <c r="X1646" i="2"/>
  <c r="W1646" i="2"/>
  <c r="V1646" i="2"/>
  <c r="AE1645" i="2"/>
  <c r="AD1645" i="2"/>
  <c r="AC1645" i="2"/>
  <c r="AB1645" i="2"/>
  <c r="AA1645" i="2"/>
  <c r="Z1645" i="2"/>
  <c r="Y1645" i="2"/>
  <c r="X1645" i="2"/>
  <c r="W1645" i="2"/>
  <c r="V1645" i="2"/>
  <c r="AE1644" i="2"/>
  <c r="AD1644" i="2"/>
  <c r="AC1644" i="2"/>
  <c r="AB1644" i="2"/>
  <c r="AA1644" i="2"/>
  <c r="Z1644" i="2"/>
  <c r="Y1644" i="2"/>
  <c r="X1644" i="2"/>
  <c r="W1644" i="2"/>
  <c r="V1644" i="2"/>
  <c r="AE1643" i="2"/>
  <c r="AD1643" i="2"/>
  <c r="AC1643" i="2"/>
  <c r="AB1643" i="2"/>
  <c r="AA1643" i="2"/>
  <c r="Z1643" i="2"/>
  <c r="Y1643" i="2"/>
  <c r="X1643" i="2"/>
  <c r="W1643" i="2"/>
  <c r="V1643" i="2"/>
  <c r="AE1642" i="2"/>
  <c r="AD1642" i="2"/>
  <c r="AC1642" i="2"/>
  <c r="AB1642" i="2"/>
  <c r="AA1642" i="2"/>
  <c r="Z1642" i="2"/>
  <c r="Y1642" i="2"/>
  <c r="X1642" i="2"/>
  <c r="W1642" i="2"/>
  <c r="V1642" i="2"/>
  <c r="AE1641" i="2"/>
  <c r="AD1641" i="2"/>
  <c r="AC1641" i="2"/>
  <c r="AB1641" i="2"/>
  <c r="AA1641" i="2"/>
  <c r="Z1641" i="2"/>
  <c r="Y1641" i="2"/>
  <c r="X1641" i="2"/>
  <c r="W1641" i="2"/>
  <c r="V1641" i="2"/>
  <c r="AE1640" i="2"/>
  <c r="AD1640" i="2"/>
  <c r="AC1640" i="2"/>
  <c r="AB1640" i="2"/>
  <c r="AA1640" i="2"/>
  <c r="Z1640" i="2"/>
  <c r="Y1640" i="2"/>
  <c r="X1640" i="2"/>
  <c r="W1640" i="2"/>
  <c r="V1640" i="2"/>
  <c r="AE1639" i="2"/>
  <c r="AD1639" i="2"/>
  <c r="AC1639" i="2"/>
  <c r="AB1639" i="2"/>
  <c r="AA1639" i="2"/>
  <c r="Z1639" i="2"/>
  <c r="Y1639" i="2"/>
  <c r="X1639" i="2"/>
  <c r="W1639" i="2"/>
  <c r="V1639" i="2"/>
  <c r="AE1638" i="2"/>
  <c r="AD1638" i="2"/>
  <c r="AC1638" i="2"/>
  <c r="AB1638" i="2"/>
  <c r="AA1638" i="2"/>
  <c r="Z1638" i="2"/>
  <c r="Y1638" i="2"/>
  <c r="X1638" i="2"/>
  <c r="W1638" i="2"/>
  <c r="V1638" i="2"/>
  <c r="AE1637" i="2"/>
  <c r="AD1637" i="2"/>
  <c r="AC1637" i="2"/>
  <c r="AB1637" i="2"/>
  <c r="AA1637" i="2"/>
  <c r="Z1637" i="2"/>
  <c r="Y1637" i="2"/>
  <c r="X1637" i="2"/>
  <c r="W1637" i="2"/>
  <c r="V1637" i="2"/>
  <c r="AE1636" i="2"/>
  <c r="AD1636" i="2"/>
  <c r="AC1636" i="2"/>
  <c r="AB1636" i="2"/>
  <c r="AA1636" i="2"/>
  <c r="Z1636" i="2"/>
  <c r="Y1636" i="2"/>
  <c r="X1636" i="2"/>
  <c r="W1636" i="2"/>
  <c r="V1636" i="2"/>
  <c r="AE1635" i="2"/>
  <c r="AD1635" i="2"/>
  <c r="AC1635" i="2"/>
  <c r="AB1635" i="2"/>
  <c r="AA1635" i="2"/>
  <c r="Z1635" i="2"/>
  <c r="Y1635" i="2"/>
  <c r="X1635" i="2"/>
  <c r="W1635" i="2"/>
  <c r="V1635" i="2"/>
  <c r="AE1634" i="2"/>
  <c r="AD1634" i="2"/>
  <c r="AC1634" i="2"/>
  <c r="AB1634" i="2"/>
  <c r="AA1634" i="2"/>
  <c r="Z1634" i="2"/>
  <c r="Y1634" i="2"/>
  <c r="X1634" i="2"/>
  <c r="W1634" i="2"/>
  <c r="V1634" i="2"/>
  <c r="AE1633" i="2"/>
  <c r="AD1633" i="2"/>
  <c r="AC1633" i="2"/>
  <c r="AB1633" i="2"/>
  <c r="AA1633" i="2"/>
  <c r="Z1633" i="2"/>
  <c r="Y1633" i="2"/>
  <c r="X1633" i="2"/>
  <c r="W1633" i="2"/>
  <c r="V1633" i="2"/>
  <c r="AE1632" i="2"/>
  <c r="AD1632" i="2"/>
  <c r="AC1632" i="2"/>
  <c r="AB1632" i="2"/>
  <c r="AA1632" i="2"/>
  <c r="Z1632" i="2"/>
  <c r="Y1632" i="2"/>
  <c r="X1632" i="2"/>
  <c r="W1632" i="2"/>
  <c r="V1632" i="2"/>
  <c r="AE1631" i="2"/>
  <c r="AD1631" i="2"/>
  <c r="AC1631" i="2"/>
  <c r="AB1631" i="2"/>
  <c r="AA1631" i="2"/>
  <c r="Z1631" i="2"/>
  <c r="Y1631" i="2"/>
  <c r="X1631" i="2"/>
  <c r="W1631" i="2"/>
  <c r="V1631" i="2"/>
  <c r="AE1630" i="2"/>
  <c r="AD1630" i="2"/>
  <c r="AC1630" i="2"/>
  <c r="AB1630" i="2"/>
  <c r="AA1630" i="2"/>
  <c r="Z1630" i="2"/>
  <c r="Y1630" i="2"/>
  <c r="X1630" i="2"/>
  <c r="W1630" i="2"/>
  <c r="V1630" i="2"/>
  <c r="AE1629" i="2"/>
  <c r="AD1629" i="2"/>
  <c r="AC1629" i="2"/>
  <c r="AB1629" i="2"/>
  <c r="AA1629" i="2"/>
  <c r="Z1629" i="2"/>
  <c r="Y1629" i="2"/>
  <c r="X1629" i="2"/>
  <c r="W1629" i="2"/>
  <c r="V1629" i="2"/>
  <c r="AE1628" i="2"/>
  <c r="AD1628" i="2"/>
  <c r="AC1628" i="2"/>
  <c r="AB1628" i="2"/>
  <c r="AA1628" i="2"/>
  <c r="Z1628" i="2"/>
  <c r="Y1628" i="2"/>
  <c r="X1628" i="2"/>
  <c r="W1628" i="2"/>
  <c r="V1628" i="2"/>
  <c r="AE1627" i="2"/>
  <c r="AD1627" i="2"/>
  <c r="AC1627" i="2"/>
  <c r="AB1627" i="2"/>
  <c r="AA1627" i="2"/>
  <c r="Z1627" i="2"/>
  <c r="Y1627" i="2"/>
  <c r="X1627" i="2"/>
  <c r="W1627" i="2"/>
  <c r="V1627" i="2"/>
  <c r="AE1626" i="2"/>
  <c r="AD1626" i="2"/>
  <c r="AC1626" i="2"/>
  <c r="AB1626" i="2"/>
  <c r="AA1626" i="2"/>
  <c r="Z1626" i="2"/>
  <c r="Y1626" i="2"/>
  <c r="X1626" i="2"/>
  <c r="W1626" i="2"/>
  <c r="V1626" i="2"/>
  <c r="AE1625" i="2"/>
  <c r="AD1625" i="2"/>
  <c r="AC1625" i="2"/>
  <c r="AB1625" i="2"/>
  <c r="AA1625" i="2"/>
  <c r="Z1625" i="2"/>
  <c r="Y1625" i="2"/>
  <c r="X1625" i="2"/>
  <c r="W1625" i="2"/>
  <c r="V1625" i="2"/>
  <c r="AE1624" i="2"/>
  <c r="AD1624" i="2"/>
  <c r="AC1624" i="2"/>
  <c r="AB1624" i="2"/>
  <c r="AA1624" i="2"/>
  <c r="Z1624" i="2"/>
  <c r="Y1624" i="2"/>
  <c r="X1624" i="2"/>
  <c r="W1624" i="2"/>
  <c r="V1624" i="2"/>
  <c r="AE1623" i="2"/>
  <c r="AD1623" i="2"/>
  <c r="AC1623" i="2"/>
  <c r="AB1623" i="2"/>
  <c r="AA1623" i="2"/>
  <c r="Z1623" i="2"/>
  <c r="Y1623" i="2"/>
  <c r="X1623" i="2"/>
  <c r="W1623" i="2"/>
  <c r="V1623" i="2"/>
  <c r="AE1622" i="2"/>
  <c r="AD1622" i="2"/>
  <c r="AC1622" i="2"/>
  <c r="AB1622" i="2"/>
  <c r="AA1622" i="2"/>
  <c r="Z1622" i="2"/>
  <c r="Y1622" i="2"/>
  <c r="X1622" i="2"/>
  <c r="W1622" i="2"/>
  <c r="V1622" i="2"/>
  <c r="AE1621" i="2"/>
  <c r="AD1621" i="2"/>
  <c r="AC1621" i="2"/>
  <c r="AB1621" i="2"/>
  <c r="AA1621" i="2"/>
  <c r="Z1621" i="2"/>
  <c r="Y1621" i="2"/>
  <c r="X1621" i="2"/>
  <c r="W1621" i="2"/>
  <c r="V1621" i="2"/>
  <c r="AE1620" i="2"/>
  <c r="AD1620" i="2"/>
  <c r="AC1620" i="2"/>
  <c r="AB1620" i="2"/>
  <c r="AA1620" i="2"/>
  <c r="Z1620" i="2"/>
  <c r="Y1620" i="2"/>
  <c r="X1620" i="2"/>
  <c r="W1620" i="2"/>
  <c r="V1620" i="2"/>
  <c r="AE1619" i="2"/>
  <c r="AD1619" i="2"/>
  <c r="AC1619" i="2"/>
  <c r="AB1619" i="2"/>
  <c r="AA1619" i="2"/>
  <c r="Z1619" i="2"/>
  <c r="Y1619" i="2"/>
  <c r="X1619" i="2"/>
  <c r="W1619" i="2"/>
  <c r="V1619" i="2"/>
  <c r="AE1618" i="2"/>
  <c r="AD1618" i="2"/>
  <c r="AC1618" i="2"/>
  <c r="AB1618" i="2"/>
  <c r="AA1618" i="2"/>
  <c r="Z1618" i="2"/>
  <c r="Y1618" i="2"/>
  <c r="X1618" i="2"/>
  <c r="W1618" i="2"/>
  <c r="V1618" i="2"/>
  <c r="AE1617" i="2"/>
  <c r="AD1617" i="2"/>
  <c r="AC1617" i="2"/>
  <c r="AB1617" i="2"/>
  <c r="AA1617" i="2"/>
  <c r="Z1617" i="2"/>
  <c r="Y1617" i="2"/>
  <c r="X1617" i="2"/>
  <c r="W1617" i="2"/>
  <c r="V1617" i="2"/>
  <c r="AE1616" i="2"/>
  <c r="AD1616" i="2"/>
  <c r="AC1616" i="2"/>
  <c r="AB1616" i="2"/>
  <c r="AA1616" i="2"/>
  <c r="Z1616" i="2"/>
  <c r="Y1616" i="2"/>
  <c r="X1616" i="2"/>
  <c r="W1616" i="2"/>
  <c r="V1616" i="2"/>
  <c r="AE1615" i="2"/>
  <c r="AD1615" i="2"/>
  <c r="AC1615" i="2"/>
  <c r="AB1615" i="2"/>
  <c r="AA1615" i="2"/>
  <c r="Z1615" i="2"/>
  <c r="Y1615" i="2"/>
  <c r="X1615" i="2"/>
  <c r="W1615" i="2"/>
  <c r="V1615" i="2"/>
  <c r="AE1614" i="2"/>
  <c r="AD1614" i="2"/>
  <c r="AC1614" i="2"/>
  <c r="AB1614" i="2"/>
  <c r="AA1614" i="2"/>
  <c r="Z1614" i="2"/>
  <c r="Y1614" i="2"/>
  <c r="X1614" i="2"/>
  <c r="W1614" i="2"/>
  <c r="V1614" i="2"/>
  <c r="AE1613" i="2"/>
  <c r="AD1613" i="2"/>
  <c r="AC1613" i="2"/>
  <c r="AB1613" i="2"/>
  <c r="AA1613" i="2"/>
  <c r="Z1613" i="2"/>
  <c r="Y1613" i="2"/>
  <c r="X1613" i="2"/>
  <c r="W1613" i="2"/>
  <c r="V1613" i="2"/>
  <c r="AE1612" i="2"/>
  <c r="AD1612" i="2"/>
  <c r="AC1612" i="2"/>
  <c r="AB1612" i="2"/>
  <c r="AA1612" i="2"/>
  <c r="Z1612" i="2"/>
  <c r="Y1612" i="2"/>
  <c r="X1612" i="2"/>
  <c r="W1612" i="2"/>
  <c r="V1612" i="2"/>
  <c r="AE1611" i="2"/>
  <c r="AD1611" i="2"/>
  <c r="AC1611" i="2"/>
  <c r="AB1611" i="2"/>
  <c r="AA1611" i="2"/>
  <c r="Z1611" i="2"/>
  <c r="Y1611" i="2"/>
  <c r="X1611" i="2"/>
  <c r="W1611" i="2"/>
  <c r="V1611" i="2"/>
  <c r="AE1610" i="2"/>
  <c r="AD1610" i="2"/>
  <c r="AC1610" i="2"/>
  <c r="AB1610" i="2"/>
  <c r="AA1610" i="2"/>
  <c r="Z1610" i="2"/>
  <c r="Y1610" i="2"/>
  <c r="X1610" i="2"/>
  <c r="W1610" i="2"/>
  <c r="V1610" i="2"/>
  <c r="AE1609" i="2"/>
  <c r="AD1609" i="2"/>
  <c r="AC1609" i="2"/>
  <c r="AB1609" i="2"/>
  <c r="AA1609" i="2"/>
  <c r="Z1609" i="2"/>
  <c r="Y1609" i="2"/>
  <c r="X1609" i="2"/>
  <c r="W1609" i="2"/>
  <c r="V1609" i="2"/>
  <c r="AE1608" i="2"/>
  <c r="AD1608" i="2"/>
  <c r="AC1608" i="2"/>
  <c r="AB1608" i="2"/>
  <c r="AA1608" i="2"/>
  <c r="Z1608" i="2"/>
  <c r="Y1608" i="2"/>
  <c r="X1608" i="2"/>
  <c r="W1608" i="2"/>
  <c r="V1608" i="2"/>
  <c r="AE1607" i="2"/>
  <c r="AD1607" i="2"/>
  <c r="AC1607" i="2"/>
  <c r="AB1607" i="2"/>
  <c r="AA1607" i="2"/>
  <c r="Z1607" i="2"/>
  <c r="Y1607" i="2"/>
  <c r="X1607" i="2"/>
  <c r="W1607" i="2"/>
  <c r="V1607" i="2"/>
  <c r="AE1606" i="2"/>
  <c r="AD1606" i="2"/>
  <c r="AC1606" i="2"/>
  <c r="AB1606" i="2"/>
  <c r="AA1606" i="2"/>
  <c r="Z1606" i="2"/>
  <c r="Y1606" i="2"/>
  <c r="X1606" i="2"/>
  <c r="W1606" i="2"/>
  <c r="V1606" i="2"/>
  <c r="AE1605" i="2"/>
  <c r="AD1605" i="2"/>
  <c r="AC1605" i="2"/>
  <c r="AB1605" i="2"/>
  <c r="AA1605" i="2"/>
  <c r="Z1605" i="2"/>
  <c r="Y1605" i="2"/>
  <c r="X1605" i="2"/>
  <c r="W1605" i="2"/>
  <c r="V1605" i="2"/>
  <c r="AE1604" i="2"/>
  <c r="AD1604" i="2"/>
  <c r="AC1604" i="2"/>
  <c r="AB1604" i="2"/>
  <c r="AA1604" i="2"/>
  <c r="Z1604" i="2"/>
  <c r="Y1604" i="2"/>
  <c r="X1604" i="2"/>
  <c r="W1604" i="2"/>
  <c r="V1604" i="2"/>
  <c r="AE1603" i="2"/>
  <c r="AD1603" i="2"/>
  <c r="AC1603" i="2"/>
  <c r="AB1603" i="2"/>
  <c r="AA1603" i="2"/>
  <c r="Z1603" i="2"/>
  <c r="Y1603" i="2"/>
  <c r="X1603" i="2"/>
  <c r="W1603" i="2"/>
  <c r="V1603" i="2"/>
  <c r="AE1602" i="2"/>
  <c r="AD1602" i="2"/>
  <c r="AC1602" i="2"/>
  <c r="AB1602" i="2"/>
  <c r="AA1602" i="2"/>
  <c r="Z1602" i="2"/>
  <c r="Y1602" i="2"/>
  <c r="X1602" i="2"/>
  <c r="W1602" i="2"/>
  <c r="V1602" i="2"/>
  <c r="AE1601" i="2"/>
  <c r="AD1601" i="2"/>
  <c r="AC1601" i="2"/>
  <c r="AB1601" i="2"/>
  <c r="AA1601" i="2"/>
  <c r="Z1601" i="2"/>
  <c r="Y1601" i="2"/>
  <c r="X1601" i="2"/>
  <c r="W1601" i="2"/>
  <c r="V1601" i="2"/>
  <c r="AE1600" i="2"/>
  <c r="AD1600" i="2"/>
  <c r="AC1600" i="2"/>
  <c r="AB1600" i="2"/>
  <c r="AA1600" i="2"/>
  <c r="Z1600" i="2"/>
  <c r="Y1600" i="2"/>
  <c r="X1600" i="2"/>
  <c r="W1600" i="2"/>
  <c r="V1600" i="2"/>
  <c r="AE1599" i="2"/>
  <c r="AD1599" i="2"/>
  <c r="AC1599" i="2"/>
  <c r="AB1599" i="2"/>
  <c r="AA1599" i="2"/>
  <c r="Z1599" i="2"/>
  <c r="Y1599" i="2"/>
  <c r="X1599" i="2"/>
  <c r="W1599" i="2"/>
  <c r="V1599" i="2"/>
  <c r="AE1598" i="2"/>
  <c r="AD1598" i="2"/>
  <c r="AC1598" i="2"/>
  <c r="AB1598" i="2"/>
  <c r="AA1598" i="2"/>
  <c r="Z1598" i="2"/>
  <c r="Y1598" i="2"/>
  <c r="X1598" i="2"/>
  <c r="W1598" i="2"/>
  <c r="V1598" i="2"/>
  <c r="AE1597" i="2"/>
  <c r="AD1597" i="2"/>
  <c r="AC1597" i="2"/>
  <c r="AB1597" i="2"/>
  <c r="AA1597" i="2"/>
  <c r="Z1597" i="2"/>
  <c r="Y1597" i="2"/>
  <c r="X1597" i="2"/>
  <c r="W1597" i="2"/>
  <c r="V1597" i="2"/>
  <c r="AE1596" i="2"/>
  <c r="AD1596" i="2"/>
  <c r="AC1596" i="2"/>
  <c r="AB1596" i="2"/>
  <c r="AA1596" i="2"/>
  <c r="Z1596" i="2"/>
  <c r="Y1596" i="2"/>
  <c r="X1596" i="2"/>
  <c r="W1596" i="2"/>
  <c r="V1596" i="2"/>
  <c r="AE1595" i="2"/>
  <c r="AD1595" i="2"/>
  <c r="AC1595" i="2"/>
  <c r="AB1595" i="2"/>
  <c r="AA1595" i="2"/>
  <c r="Z1595" i="2"/>
  <c r="Y1595" i="2"/>
  <c r="X1595" i="2"/>
  <c r="W1595" i="2"/>
  <c r="V1595" i="2"/>
  <c r="AE1594" i="2"/>
  <c r="AD1594" i="2"/>
  <c r="AC1594" i="2"/>
  <c r="AB1594" i="2"/>
  <c r="AA1594" i="2"/>
  <c r="Z1594" i="2"/>
  <c r="Y1594" i="2"/>
  <c r="X1594" i="2"/>
  <c r="W1594" i="2"/>
  <c r="V1594" i="2"/>
  <c r="AE1593" i="2"/>
  <c r="AD1593" i="2"/>
  <c r="AC1593" i="2"/>
  <c r="AB1593" i="2"/>
  <c r="AA1593" i="2"/>
  <c r="Z1593" i="2"/>
  <c r="Y1593" i="2"/>
  <c r="X1593" i="2"/>
  <c r="W1593" i="2"/>
  <c r="V1593" i="2"/>
  <c r="AE1592" i="2"/>
  <c r="AD1592" i="2"/>
  <c r="AC1592" i="2"/>
  <c r="AB1592" i="2"/>
  <c r="AA1592" i="2"/>
  <c r="Z1592" i="2"/>
  <c r="Y1592" i="2"/>
  <c r="X1592" i="2"/>
  <c r="W1592" i="2"/>
  <c r="V1592" i="2"/>
  <c r="AE1591" i="2"/>
  <c r="AD1591" i="2"/>
  <c r="AC1591" i="2"/>
  <c r="AB1591" i="2"/>
  <c r="AA1591" i="2"/>
  <c r="Z1591" i="2"/>
  <c r="Y1591" i="2"/>
  <c r="X1591" i="2"/>
  <c r="W1591" i="2"/>
  <c r="V1591" i="2"/>
  <c r="AE1590" i="2"/>
  <c r="AD1590" i="2"/>
  <c r="AC1590" i="2"/>
  <c r="AB1590" i="2"/>
  <c r="AA1590" i="2"/>
  <c r="Z1590" i="2"/>
  <c r="Y1590" i="2"/>
  <c r="X1590" i="2"/>
  <c r="W1590" i="2"/>
  <c r="V1590" i="2"/>
  <c r="AE1589" i="2"/>
  <c r="AD1589" i="2"/>
  <c r="AC1589" i="2"/>
  <c r="AB1589" i="2"/>
  <c r="AA1589" i="2"/>
  <c r="Z1589" i="2"/>
  <c r="Y1589" i="2"/>
  <c r="X1589" i="2"/>
  <c r="W1589" i="2"/>
  <c r="V1589" i="2"/>
  <c r="AE1588" i="2"/>
  <c r="AD1588" i="2"/>
  <c r="AC1588" i="2"/>
  <c r="AB1588" i="2"/>
  <c r="AA1588" i="2"/>
  <c r="Z1588" i="2"/>
  <c r="Y1588" i="2"/>
  <c r="X1588" i="2"/>
  <c r="W1588" i="2"/>
  <c r="V1588" i="2"/>
  <c r="AE1587" i="2"/>
  <c r="AD1587" i="2"/>
  <c r="AC1587" i="2"/>
  <c r="AB1587" i="2"/>
  <c r="AA1587" i="2"/>
  <c r="Z1587" i="2"/>
  <c r="Y1587" i="2"/>
  <c r="X1587" i="2"/>
  <c r="W1587" i="2"/>
  <c r="V1587" i="2"/>
  <c r="AE1586" i="2"/>
  <c r="AD1586" i="2"/>
  <c r="AC1586" i="2"/>
  <c r="AB1586" i="2"/>
  <c r="AA1586" i="2"/>
  <c r="Z1586" i="2"/>
  <c r="Y1586" i="2"/>
  <c r="X1586" i="2"/>
  <c r="W1586" i="2"/>
  <c r="V1586" i="2"/>
  <c r="AE1585" i="2"/>
  <c r="AD1585" i="2"/>
  <c r="AC1585" i="2"/>
  <c r="AB1585" i="2"/>
  <c r="AA1585" i="2"/>
  <c r="Z1585" i="2"/>
  <c r="Y1585" i="2"/>
  <c r="X1585" i="2"/>
  <c r="W1585" i="2"/>
  <c r="V1585" i="2"/>
  <c r="AE1584" i="2"/>
  <c r="AD1584" i="2"/>
  <c r="AC1584" i="2"/>
  <c r="AB1584" i="2"/>
  <c r="AA1584" i="2"/>
  <c r="Z1584" i="2"/>
  <c r="Y1584" i="2"/>
  <c r="X1584" i="2"/>
  <c r="W1584" i="2"/>
  <c r="V1584" i="2"/>
  <c r="AE1583" i="2"/>
  <c r="AD1583" i="2"/>
  <c r="AC1583" i="2"/>
  <c r="AB1583" i="2"/>
  <c r="AA1583" i="2"/>
  <c r="Z1583" i="2"/>
  <c r="Y1583" i="2"/>
  <c r="X1583" i="2"/>
  <c r="W1583" i="2"/>
  <c r="V1583" i="2"/>
  <c r="AE1582" i="2"/>
  <c r="AD1582" i="2"/>
  <c r="AC1582" i="2"/>
  <c r="AB1582" i="2"/>
  <c r="AA1582" i="2"/>
  <c r="Z1582" i="2"/>
  <c r="Y1582" i="2"/>
  <c r="X1582" i="2"/>
  <c r="W1582" i="2"/>
  <c r="V1582" i="2"/>
  <c r="AE1581" i="2"/>
  <c r="AD1581" i="2"/>
  <c r="AC1581" i="2"/>
  <c r="AB1581" i="2"/>
  <c r="AA1581" i="2"/>
  <c r="Z1581" i="2"/>
  <c r="Y1581" i="2"/>
  <c r="X1581" i="2"/>
  <c r="W1581" i="2"/>
  <c r="V1581" i="2"/>
  <c r="AE1580" i="2"/>
  <c r="AD1580" i="2"/>
  <c r="AC1580" i="2"/>
  <c r="AB1580" i="2"/>
  <c r="AA1580" i="2"/>
  <c r="Z1580" i="2"/>
  <c r="Y1580" i="2"/>
  <c r="X1580" i="2"/>
  <c r="W1580" i="2"/>
  <c r="V1580" i="2"/>
  <c r="AE1579" i="2"/>
  <c r="AD1579" i="2"/>
  <c r="AC1579" i="2"/>
  <c r="AB1579" i="2"/>
  <c r="AA1579" i="2"/>
  <c r="Z1579" i="2"/>
  <c r="Y1579" i="2"/>
  <c r="X1579" i="2"/>
  <c r="W1579" i="2"/>
  <c r="V1579" i="2"/>
  <c r="AE1578" i="2"/>
  <c r="AD1578" i="2"/>
  <c r="AC1578" i="2"/>
  <c r="AB1578" i="2"/>
  <c r="AA1578" i="2"/>
  <c r="Z1578" i="2"/>
  <c r="Y1578" i="2"/>
  <c r="X1578" i="2"/>
  <c r="W1578" i="2"/>
  <c r="V1578" i="2"/>
  <c r="AE1577" i="2"/>
  <c r="AD1577" i="2"/>
  <c r="AC1577" i="2"/>
  <c r="AB1577" i="2"/>
  <c r="AA1577" i="2"/>
  <c r="Z1577" i="2"/>
  <c r="Y1577" i="2"/>
  <c r="X1577" i="2"/>
  <c r="W1577" i="2"/>
  <c r="V1577" i="2"/>
  <c r="AE1576" i="2"/>
  <c r="AD1576" i="2"/>
  <c r="AC1576" i="2"/>
  <c r="AB1576" i="2"/>
  <c r="AA1576" i="2"/>
  <c r="Z1576" i="2"/>
  <c r="Y1576" i="2"/>
  <c r="X1576" i="2"/>
  <c r="W1576" i="2"/>
  <c r="V1576" i="2"/>
  <c r="AE1575" i="2"/>
  <c r="AD1575" i="2"/>
  <c r="AC1575" i="2"/>
  <c r="AB1575" i="2"/>
  <c r="AA1575" i="2"/>
  <c r="Z1575" i="2"/>
  <c r="Y1575" i="2"/>
  <c r="X1575" i="2"/>
  <c r="W1575" i="2"/>
  <c r="V1575" i="2"/>
  <c r="AE1574" i="2"/>
  <c r="AD1574" i="2"/>
  <c r="AC1574" i="2"/>
  <c r="AB1574" i="2"/>
  <c r="AA1574" i="2"/>
  <c r="Z1574" i="2"/>
  <c r="Y1574" i="2"/>
  <c r="X1574" i="2"/>
  <c r="W1574" i="2"/>
  <c r="V1574" i="2"/>
  <c r="AE1573" i="2"/>
  <c r="AD1573" i="2"/>
  <c r="AC1573" i="2"/>
  <c r="AB1573" i="2"/>
  <c r="AA1573" i="2"/>
  <c r="Z1573" i="2"/>
  <c r="Y1573" i="2"/>
  <c r="X1573" i="2"/>
  <c r="W1573" i="2"/>
  <c r="V1573" i="2"/>
  <c r="AE1572" i="2"/>
  <c r="AD1572" i="2"/>
  <c r="AC1572" i="2"/>
  <c r="AB1572" i="2"/>
  <c r="AA1572" i="2"/>
  <c r="Z1572" i="2"/>
  <c r="Y1572" i="2"/>
  <c r="X1572" i="2"/>
  <c r="W1572" i="2"/>
  <c r="V1572" i="2"/>
  <c r="AE1571" i="2"/>
  <c r="AD1571" i="2"/>
  <c r="AC1571" i="2"/>
  <c r="AB1571" i="2"/>
  <c r="AA1571" i="2"/>
  <c r="Z1571" i="2"/>
  <c r="Y1571" i="2"/>
  <c r="X1571" i="2"/>
  <c r="W1571" i="2"/>
  <c r="V1571" i="2"/>
  <c r="AE1570" i="2"/>
  <c r="AD1570" i="2"/>
  <c r="AC1570" i="2"/>
  <c r="AB1570" i="2"/>
  <c r="AA1570" i="2"/>
  <c r="Z1570" i="2"/>
  <c r="Y1570" i="2"/>
  <c r="X1570" i="2"/>
  <c r="W1570" i="2"/>
  <c r="V1570" i="2"/>
  <c r="AE1569" i="2"/>
  <c r="AD1569" i="2"/>
  <c r="AC1569" i="2"/>
  <c r="AB1569" i="2"/>
  <c r="AA1569" i="2"/>
  <c r="Z1569" i="2"/>
  <c r="Y1569" i="2"/>
  <c r="X1569" i="2"/>
  <c r="W1569" i="2"/>
  <c r="V1569" i="2"/>
  <c r="AE1568" i="2"/>
  <c r="AD1568" i="2"/>
  <c r="AC1568" i="2"/>
  <c r="AB1568" i="2"/>
  <c r="AA1568" i="2"/>
  <c r="Z1568" i="2"/>
  <c r="Y1568" i="2"/>
  <c r="X1568" i="2"/>
  <c r="W1568" i="2"/>
  <c r="V1568" i="2"/>
  <c r="AE1567" i="2"/>
  <c r="AD1567" i="2"/>
  <c r="AC1567" i="2"/>
  <c r="AB1567" i="2"/>
  <c r="AA1567" i="2"/>
  <c r="Z1567" i="2"/>
  <c r="Y1567" i="2"/>
  <c r="X1567" i="2"/>
  <c r="W1567" i="2"/>
  <c r="V1567" i="2"/>
  <c r="AE1566" i="2"/>
  <c r="AD1566" i="2"/>
  <c r="AC1566" i="2"/>
  <c r="AB1566" i="2"/>
  <c r="AA1566" i="2"/>
  <c r="Z1566" i="2"/>
  <c r="Y1566" i="2"/>
  <c r="X1566" i="2"/>
  <c r="W1566" i="2"/>
  <c r="V1566" i="2"/>
  <c r="AE1565" i="2"/>
  <c r="AD1565" i="2"/>
  <c r="AC1565" i="2"/>
  <c r="AB1565" i="2"/>
  <c r="AA1565" i="2"/>
  <c r="Z1565" i="2"/>
  <c r="Y1565" i="2"/>
  <c r="X1565" i="2"/>
  <c r="W1565" i="2"/>
  <c r="V1565" i="2"/>
  <c r="AE1564" i="2"/>
  <c r="AD1564" i="2"/>
  <c r="AC1564" i="2"/>
  <c r="AB1564" i="2"/>
  <c r="AA1564" i="2"/>
  <c r="Z1564" i="2"/>
  <c r="Y1564" i="2"/>
  <c r="X1564" i="2"/>
  <c r="W1564" i="2"/>
  <c r="V1564" i="2"/>
  <c r="AE1563" i="2"/>
  <c r="AD1563" i="2"/>
  <c r="AC1563" i="2"/>
  <c r="AB1563" i="2"/>
  <c r="AA1563" i="2"/>
  <c r="Z1563" i="2"/>
  <c r="Y1563" i="2"/>
  <c r="X1563" i="2"/>
  <c r="W1563" i="2"/>
  <c r="V1563" i="2"/>
  <c r="AE1562" i="2"/>
  <c r="AD1562" i="2"/>
  <c r="AC1562" i="2"/>
  <c r="AB1562" i="2"/>
  <c r="AA1562" i="2"/>
  <c r="Z1562" i="2"/>
  <c r="Y1562" i="2"/>
  <c r="X1562" i="2"/>
  <c r="W1562" i="2"/>
  <c r="V1562" i="2"/>
  <c r="AE1561" i="2"/>
  <c r="AD1561" i="2"/>
  <c r="AC1561" i="2"/>
  <c r="AB1561" i="2"/>
  <c r="AA1561" i="2"/>
  <c r="Z1561" i="2"/>
  <c r="Y1561" i="2"/>
  <c r="X1561" i="2"/>
  <c r="W1561" i="2"/>
  <c r="V1561" i="2"/>
  <c r="AE1560" i="2"/>
  <c r="AD1560" i="2"/>
  <c r="AC1560" i="2"/>
  <c r="AB1560" i="2"/>
  <c r="AA1560" i="2"/>
  <c r="Z1560" i="2"/>
  <c r="Y1560" i="2"/>
  <c r="X1560" i="2"/>
  <c r="W1560" i="2"/>
  <c r="V1560" i="2"/>
  <c r="AE1559" i="2"/>
  <c r="AD1559" i="2"/>
  <c r="AC1559" i="2"/>
  <c r="AB1559" i="2"/>
  <c r="AA1559" i="2"/>
  <c r="Z1559" i="2"/>
  <c r="Y1559" i="2"/>
  <c r="X1559" i="2"/>
  <c r="W1559" i="2"/>
  <c r="V1559" i="2"/>
  <c r="AE1558" i="2"/>
  <c r="AD1558" i="2"/>
  <c r="AC1558" i="2"/>
  <c r="AB1558" i="2"/>
  <c r="AA1558" i="2"/>
  <c r="Z1558" i="2"/>
  <c r="Y1558" i="2"/>
  <c r="X1558" i="2"/>
  <c r="W1558" i="2"/>
  <c r="V1558" i="2"/>
  <c r="AE1557" i="2"/>
  <c r="AD1557" i="2"/>
  <c r="AC1557" i="2"/>
  <c r="AB1557" i="2"/>
  <c r="AA1557" i="2"/>
  <c r="Z1557" i="2"/>
  <c r="Y1557" i="2"/>
  <c r="X1557" i="2"/>
  <c r="W1557" i="2"/>
  <c r="V1557" i="2"/>
  <c r="AE1556" i="2"/>
  <c r="AD1556" i="2"/>
  <c r="AC1556" i="2"/>
  <c r="AB1556" i="2"/>
  <c r="AA1556" i="2"/>
  <c r="Z1556" i="2"/>
  <c r="Y1556" i="2"/>
  <c r="X1556" i="2"/>
  <c r="W1556" i="2"/>
  <c r="V1556" i="2"/>
  <c r="AE1555" i="2"/>
  <c r="AD1555" i="2"/>
  <c r="AC1555" i="2"/>
  <c r="AB1555" i="2"/>
  <c r="AA1555" i="2"/>
  <c r="Z1555" i="2"/>
  <c r="Y1555" i="2"/>
  <c r="X1555" i="2"/>
  <c r="W1555" i="2"/>
  <c r="V1555" i="2"/>
  <c r="AE1554" i="2"/>
  <c r="AD1554" i="2"/>
  <c r="AC1554" i="2"/>
  <c r="AB1554" i="2"/>
  <c r="AA1554" i="2"/>
  <c r="Z1554" i="2"/>
  <c r="Y1554" i="2"/>
  <c r="X1554" i="2"/>
  <c r="W1554" i="2"/>
  <c r="V1554" i="2"/>
  <c r="AE1553" i="2"/>
  <c r="AD1553" i="2"/>
  <c r="AC1553" i="2"/>
  <c r="AB1553" i="2"/>
  <c r="AA1553" i="2"/>
  <c r="Z1553" i="2"/>
  <c r="Y1553" i="2"/>
  <c r="X1553" i="2"/>
  <c r="W1553" i="2"/>
  <c r="V1553" i="2"/>
  <c r="AE1552" i="2"/>
  <c r="AD1552" i="2"/>
  <c r="AC1552" i="2"/>
  <c r="AB1552" i="2"/>
  <c r="AA1552" i="2"/>
  <c r="Z1552" i="2"/>
  <c r="Y1552" i="2"/>
  <c r="X1552" i="2"/>
  <c r="W1552" i="2"/>
  <c r="V1552" i="2"/>
  <c r="AE1551" i="2"/>
  <c r="AD1551" i="2"/>
  <c r="AC1551" i="2"/>
  <c r="AB1551" i="2"/>
  <c r="AA1551" i="2"/>
  <c r="Z1551" i="2"/>
  <c r="Y1551" i="2"/>
  <c r="X1551" i="2"/>
  <c r="W1551" i="2"/>
  <c r="V1551" i="2"/>
  <c r="AE1550" i="2"/>
  <c r="AD1550" i="2"/>
  <c r="AC1550" i="2"/>
  <c r="AB1550" i="2"/>
  <c r="AA1550" i="2"/>
  <c r="Z1550" i="2"/>
  <c r="Y1550" i="2"/>
  <c r="X1550" i="2"/>
  <c r="W1550" i="2"/>
  <c r="V1550" i="2"/>
  <c r="AE1549" i="2"/>
  <c r="AD1549" i="2"/>
  <c r="AC1549" i="2"/>
  <c r="AB1549" i="2"/>
  <c r="AA1549" i="2"/>
  <c r="Z1549" i="2"/>
  <c r="Y1549" i="2"/>
  <c r="X1549" i="2"/>
  <c r="W1549" i="2"/>
  <c r="V1549" i="2"/>
  <c r="AE1548" i="2"/>
  <c r="AD1548" i="2"/>
  <c r="AC1548" i="2"/>
  <c r="AB1548" i="2"/>
  <c r="AA1548" i="2"/>
  <c r="Z1548" i="2"/>
  <c r="Y1548" i="2"/>
  <c r="X1548" i="2"/>
  <c r="W1548" i="2"/>
  <c r="V1548" i="2"/>
  <c r="AE1547" i="2"/>
  <c r="AD1547" i="2"/>
  <c r="AC1547" i="2"/>
  <c r="AB1547" i="2"/>
  <c r="AA1547" i="2"/>
  <c r="Z1547" i="2"/>
  <c r="Y1547" i="2"/>
  <c r="X1547" i="2"/>
  <c r="W1547" i="2"/>
  <c r="V1547" i="2"/>
  <c r="AE1546" i="2"/>
  <c r="AD1546" i="2"/>
  <c r="AC1546" i="2"/>
  <c r="AB1546" i="2"/>
  <c r="AA1546" i="2"/>
  <c r="Z1546" i="2"/>
  <c r="Y1546" i="2"/>
  <c r="X1546" i="2"/>
  <c r="W1546" i="2"/>
  <c r="V1546" i="2"/>
  <c r="AE1545" i="2"/>
  <c r="AD1545" i="2"/>
  <c r="AC1545" i="2"/>
  <c r="AB1545" i="2"/>
  <c r="AA1545" i="2"/>
  <c r="Z1545" i="2"/>
  <c r="Y1545" i="2"/>
  <c r="X1545" i="2"/>
  <c r="W1545" i="2"/>
  <c r="V1545" i="2"/>
  <c r="AE1544" i="2"/>
  <c r="AD1544" i="2"/>
  <c r="AC1544" i="2"/>
  <c r="AB1544" i="2"/>
  <c r="AA1544" i="2"/>
  <c r="Z1544" i="2"/>
  <c r="Y1544" i="2"/>
  <c r="X1544" i="2"/>
  <c r="W1544" i="2"/>
  <c r="V1544" i="2"/>
  <c r="AE1543" i="2"/>
  <c r="AD1543" i="2"/>
  <c r="AC1543" i="2"/>
  <c r="AB1543" i="2"/>
  <c r="AA1543" i="2"/>
  <c r="Z1543" i="2"/>
  <c r="Y1543" i="2"/>
  <c r="X1543" i="2"/>
  <c r="W1543" i="2"/>
  <c r="V1543" i="2"/>
  <c r="AE1542" i="2"/>
  <c r="AD1542" i="2"/>
  <c r="AC1542" i="2"/>
  <c r="AB1542" i="2"/>
  <c r="AA1542" i="2"/>
  <c r="Z1542" i="2"/>
  <c r="Y1542" i="2"/>
  <c r="X1542" i="2"/>
  <c r="W1542" i="2"/>
  <c r="V1542" i="2"/>
  <c r="AE1541" i="2"/>
  <c r="AD1541" i="2"/>
  <c r="AC1541" i="2"/>
  <c r="AB1541" i="2"/>
  <c r="AA1541" i="2"/>
  <c r="Z1541" i="2"/>
  <c r="Y1541" i="2"/>
  <c r="X1541" i="2"/>
  <c r="W1541" i="2"/>
  <c r="V1541" i="2"/>
  <c r="AE1540" i="2"/>
  <c r="AD1540" i="2"/>
  <c r="AC1540" i="2"/>
  <c r="AB1540" i="2"/>
  <c r="AA1540" i="2"/>
  <c r="Z1540" i="2"/>
  <c r="Y1540" i="2"/>
  <c r="X1540" i="2"/>
  <c r="W1540" i="2"/>
  <c r="V1540" i="2"/>
  <c r="AE1539" i="2"/>
  <c r="AD1539" i="2"/>
  <c r="AC1539" i="2"/>
  <c r="AB1539" i="2"/>
  <c r="AA1539" i="2"/>
  <c r="Z1539" i="2"/>
  <c r="Y1539" i="2"/>
  <c r="X1539" i="2"/>
  <c r="W1539" i="2"/>
  <c r="V1539" i="2"/>
  <c r="AE1538" i="2"/>
  <c r="AD1538" i="2"/>
  <c r="AC1538" i="2"/>
  <c r="AB1538" i="2"/>
  <c r="AA1538" i="2"/>
  <c r="Z1538" i="2"/>
  <c r="Y1538" i="2"/>
  <c r="X1538" i="2"/>
  <c r="W1538" i="2"/>
  <c r="V1538" i="2"/>
  <c r="AE1537" i="2"/>
  <c r="AD1537" i="2"/>
  <c r="AC1537" i="2"/>
  <c r="AB1537" i="2"/>
  <c r="AA1537" i="2"/>
  <c r="Z1537" i="2"/>
  <c r="Y1537" i="2"/>
  <c r="X1537" i="2"/>
  <c r="W1537" i="2"/>
  <c r="V1537" i="2"/>
  <c r="AE1536" i="2"/>
  <c r="AD1536" i="2"/>
  <c r="AC1536" i="2"/>
  <c r="AB1536" i="2"/>
  <c r="AA1536" i="2"/>
  <c r="Z1536" i="2"/>
  <c r="Y1536" i="2"/>
  <c r="X1536" i="2"/>
  <c r="W1536" i="2"/>
  <c r="V1536" i="2"/>
  <c r="AE1535" i="2"/>
  <c r="AD1535" i="2"/>
  <c r="AC1535" i="2"/>
  <c r="AB1535" i="2"/>
  <c r="AA1535" i="2"/>
  <c r="Z1535" i="2"/>
  <c r="Y1535" i="2"/>
  <c r="X1535" i="2"/>
  <c r="W1535" i="2"/>
  <c r="V1535" i="2"/>
  <c r="AE1534" i="2"/>
  <c r="AD1534" i="2"/>
  <c r="AC1534" i="2"/>
  <c r="AB1534" i="2"/>
  <c r="AA1534" i="2"/>
  <c r="Z1534" i="2"/>
  <c r="Y1534" i="2"/>
  <c r="X1534" i="2"/>
  <c r="W1534" i="2"/>
  <c r="V1534" i="2"/>
  <c r="AE1533" i="2"/>
  <c r="AD1533" i="2"/>
  <c r="AC1533" i="2"/>
  <c r="AB1533" i="2"/>
  <c r="AA1533" i="2"/>
  <c r="Z1533" i="2"/>
  <c r="Y1533" i="2"/>
  <c r="X1533" i="2"/>
  <c r="W1533" i="2"/>
  <c r="V1533" i="2"/>
  <c r="AE1532" i="2"/>
  <c r="AD1532" i="2"/>
  <c r="AC1532" i="2"/>
  <c r="AB1532" i="2"/>
  <c r="AA1532" i="2"/>
  <c r="Z1532" i="2"/>
  <c r="Y1532" i="2"/>
  <c r="X1532" i="2"/>
  <c r="W1532" i="2"/>
  <c r="V1532" i="2"/>
  <c r="AE1531" i="2"/>
  <c r="AD1531" i="2"/>
  <c r="AC1531" i="2"/>
  <c r="AB1531" i="2"/>
  <c r="AA1531" i="2"/>
  <c r="Z1531" i="2"/>
  <c r="Y1531" i="2"/>
  <c r="X1531" i="2"/>
  <c r="W1531" i="2"/>
  <c r="V1531" i="2"/>
  <c r="AE1530" i="2"/>
  <c r="AD1530" i="2"/>
  <c r="AC1530" i="2"/>
  <c r="AB1530" i="2"/>
  <c r="AA1530" i="2"/>
  <c r="Z1530" i="2"/>
  <c r="Y1530" i="2"/>
  <c r="X1530" i="2"/>
  <c r="W1530" i="2"/>
  <c r="V1530" i="2"/>
  <c r="AE1529" i="2"/>
  <c r="AD1529" i="2"/>
  <c r="AC1529" i="2"/>
  <c r="AB1529" i="2"/>
  <c r="AA1529" i="2"/>
  <c r="Z1529" i="2"/>
  <c r="Y1529" i="2"/>
  <c r="X1529" i="2"/>
  <c r="W1529" i="2"/>
  <c r="V1529" i="2"/>
  <c r="AE1528" i="2"/>
  <c r="AD1528" i="2"/>
  <c r="AC1528" i="2"/>
  <c r="AB1528" i="2"/>
  <c r="AA1528" i="2"/>
  <c r="Z1528" i="2"/>
  <c r="Y1528" i="2"/>
  <c r="X1528" i="2"/>
  <c r="W1528" i="2"/>
  <c r="V1528" i="2"/>
  <c r="AE1527" i="2"/>
  <c r="AD1527" i="2"/>
  <c r="AC1527" i="2"/>
  <c r="AB1527" i="2"/>
  <c r="AA1527" i="2"/>
  <c r="Z1527" i="2"/>
  <c r="Y1527" i="2"/>
  <c r="X1527" i="2"/>
  <c r="W1527" i="2"/>
  <c r="V1527" i="2"/>
  <c r="AE1526" i="2"/>
  <c r="AD1526" i="2"/>
  <c r="AC1526" i="2"/>
  <c r="AB1526" i="2"/>
  <c r="AA1526" i="2"/>
  <c r="Z1526" i="2"/>
  <c r="Y1526" i="2"/>
  <c r="X1526" i="2"/>
  <c r="W1526" i="2"/>
  <c r="V1526" i="2"/>
  <c r="AE1525" i="2"/>
  <c r="AD1525" i="2"/>
  <c r="AC1525" i="2"/>
  <c r="AB1525" i="2"/>
  <c r="AA1525" i="2"/>
  <c r="Z1525" i="2"/>
  <c r="Y1525" i="2"/>
  <c r="X1525" i="2"/>
  <c r="W1525" i="2"/>
  <c r="V1525" i="2"/>
  <c r="AE1524" i="2"/>
  <c r="AD1524" i="2"/>
  <c r="AC1524" i="2"/>
  <c r="AB1524" i="2"/>
  <c r="AA1524" i="2"/>
  <c r="Z1524" i="2"/>
  <c r="Y1524" i="2"/>
  <c r="X1524" i="2"/>
  <c r="W1524" i="2"/>
  <c r="V1524" i="2"/>
  <c r="AE1523" i="2"/>
  <c r="AD1523" i="2"/>
  <c r="AC1523" i="2"/>
  <c r="AB1523" i="2"/>
  <c r="AA1523" i="2"/>
  <c r="Z1523" i="2"/>
  <c r="Y1523" i="2"/>
  <c r="X1523" i="2"/>
  <c r="W1523" i="2"/>
  <c r="V1523" i="2"/>
  <c r="AE1522" i="2"/>
  <c r="AD1522" i="2"/>
  <c r="AC1522" i="2"/>
  <c r="AB1522" i="2"/>
  <c r="AA1522" i="2"/>
  <c r="Z1522" i="2"/>
  <c r="Y1522" i="2"/>
  <c r="X1522" i="2"/>
  <c r="W1522" i="2"/>
  <c r="V1522" i="2"/>
  <c r="AE1521" i="2"/>
  <c r="AD1521" i="2"/>
  <c r="AC1521" i="2"/>
  <c r="AB1521" i="2"/>
  <c r="AA1521" i="2"/>
  <c r="Z1521" i="2"/>
  <c r="Y1521" i="2"/>
  <c r="X1521" i="2"/>
  <c r="W1521" i="2"/>
  <c r="V1521" i="2"/>
  <c r="AE1520" i="2"/>
  <c r="AD1520" i="2"/>
  <c r="AC1520" i="2"/>
  <c r="AB1520" i="2"/>
  <c r="AA1520" i="2"/>
  <c r="Z1520" i="2"/>
  <c r="Y1520" i="2"/>
  <c r="X1520" i="2"/>
  <c r="W1520" i="2"/>
  <c r="V1520" i="2"/>
  <c r="AE1519" i="2"/>
  <c r="AD1519" i="2"/>
  <c r="AC1519" i="2"/>
  <c r="AB1519" i="2"/>
  <c r="AA1519" i="2"/>
  <c r="Z1519" i="2"/>
  <c r="Y1519" i="2"/>
  <c r="X1519" i="2"/>
  <c r="W1519" i="2"/>
  <c r="V1519" i="2"/>
  <c r="AE1518" i="2"/>
  <c r="AD1518" i="2"/>
  <c r="AC1518" i="2"/>
  <c r="AB1518" i="2"/>
  <c r="AA1518" i="2"/>
  <c r="Z1518" i="2"/>
  <c r="Y1518" i="2"/>
  <c r="X1518" i="2"/>
  <c r="W1518" i="2"/>
  <c r="V1518" i="2"/>
  <c r="AE1517" i="2"/>
  <c r="AD1517" i="2"/>
  <c r="AC1517" i="2"/>
  <c r="AB1517" i="2"/>
  <c r="AA1517" i="2"/>
  <c r="Z1517" i="2"/>
  <c r="Y1517" i="2"/>
  <c r="X1517" i="2"/>
  <c r="W1517" i="2"/>
  <c r="V1517" i="2"/>
  <c r="AE1516" i="2"/>
  <c r="AD1516" i="2"/>
  <c r="AC1516" i="2"/>
  <c r="AB1516" i="2"/>
  <c r="AA1516" i="2"/>
  <c r="Z1516" i="2"/>
  <c r="Y1516" i="2"/>
  <c r="X1516" i="2"/>
  <c r="W1516" i="2"/>
  <c r="V1516" i="2"/>
  <c r="AE1515" i="2"/>
  <c r="AD1515" i="2"/>
  <c r="AC1515" i="2"/>
  <c r="AB1515" i="2"/>
  <c r="AA1515" i="2"/>
  <c r="Z1515" i="2"/>
  <c r="Y1515" i="2"/>
  <c r="X1515" i="2"/>
  <c r="W1515" i="2"/>
  <c r="V1515" i="2"/>
  <c r="AE1514" i="2"/>
  <c r="AD1514" i="2"/>
  <c r="AC1514" i="2"/>
  <c r="AB1514" i="2"/>
  <c r="AA1514" i="2"/>
  <c r="Z1514" i="2"/>
  <c r="Y1514" i="2"/>
  <c r="X1514" i="2"/>
  <c r="W1514" i="2"/>
  <c r="V1514" i="2"/>
  <c r="AE1513" i="2"/>
  <c r="AD1513" i="2"/>
  <c r="AC1513" i="2"/>
  <c r="AB1513" i="2"/>
  <c r="AA1513" i="2"/>
  <c r="Z1513" i="2"/>
  <c r="Y1513" i="2"/>
  <c r="X1513" i="2"/>
  <c r="W1513" i="2"/>
  <c r="V1513" i="2"/>
  <c r="AE1512" i="2"/>
  <c r="AD1512" i="2"/>
  <c r="AC1512" i="2"/>
  <c r="AB1512" i="2"/>
  <c r="AA1512" i="2"/>
  <c r="Z1512" i="2"/>
  <c r="Y1512" i="2"/>
  <c r="X1512" i="2"/>
  <c r="W1512" i="2"/>
  <c r="V1512" i="2"/>
  <c r="AE1511" i="2"/>
  <c r="AD1511" i="2"/>
  <c r="AC1511" i="2"/>
  <c r="AB1511" i="2"/>
  <c r="AA1511" i="2"/>
  <c r="Z1511" i="2"/>
  <c r="Y1511" i="2"/>
  <c r="X1511" i="2"/>
  <c r="W1511" i="2"/>
  <c r="V1511" i="2"/>
  <c r="AE1510" i="2"/>
  <c r="AD1510" i="2"/>
  <c r="AC1510" i="2"/>
  <c r="AB1510" i="2"/>
  <c r="AA1510" i="2"/>
  <c r="Z1510" i="2"/>
  <c r="Y1510" i="2"/>
  <c r="X1510" i="2"/>
  <c r="W1510" i="2"/>
  <c r="V1510" i="2"/>
  <c r="AE1509" i="2"/>
  <c r="AD1509" i="2"/>
  <c r="AC1509" i="2"/>
  <c r="AB1509" i="2"/>
  <c r="AA1509" i="2"/>
  <c r="Z1509" i="2"/>
  <c r="Y1509" i="2"/>
  <c r="X1509" i="2"/>
  <c r="W1509" i="2"/>
  <c r="V1509" i="2"/>
  <c r="AE1508" i="2"/>
  <c r="AD1508" i="2"/>
  <c r="AC1508" i="2"/>
  <c r="AB1508" i="2"/>
  <c r="AA1508" i="2"/>
  <c r="Z1508" i="2"/>
  <c r="Y1508" i="2"/>
  <c r="X1508" i="2"/>
  <c r="W1508" i="2"/>
  <c r="V1508" i="2"/>
  <c r="AE1507" i="2"/>
  <c r="AD1507" i="2"/>
  <c r="AC1507" i="2"/>
  <c r="AB1507" i="2"/>
  <c r="AA1507" i="2"/>
  <c r="Z1507" i="2"/>
  <c r="Y1507" i="2"/>
  <c r="X1507" i="2"/>
  <c r="W1507" i="2"/>
  <c r="V1507" i="2"/>
  <c r="AE1506" i="2"/>
  <c r="AD1506" i="2"/>
  <c r="AC1506" i="2"/>
  <c r="AB1506" i="2"/>
  <c r="AA1506" i="2"/>
  <c r="Z1506" i="2"/>
  <c r="Y1506" i="2"/>
  <c r="X1506" i="2"/>
  <c r="W1506" i="2"/>
  <c r="V1506" i="2"/>
  <c r="AE1505" i="2"/>
  <c r="AD1505" i="2"/>
  <c r="AC1505" i="2"/>
  <c r="AB1505" i="2"/>
  <c r="AA1505" i="2"/>
  <c r="Z1505" i="2"/>
  <c r="Y1505" i="2"/>
  <c r="X1505" i="2"/>
  <c r="W1505" i="2"/>
  <c r="V1505" i="2"/>
  <c r="AE1504" i="2"/>
  <c r="AD1504" i="2"/>
  <c r="AC1504" i="2"/>
  <c r="AB1504" i="2"/>
  <c r="AA1504" i="2"/>
  <c r="Z1504" i="2"/>
  <c r="Y1504" i="2"/>
  <c r="X1504" i="2"/>
  <c r="W1504" i="2"/>
  <c r="V1504" i="2"/>
  <c r="AE1503" i="2"/>
  <c r="AD1503" i="2"/>
  <c r="AC1503" i="2"/>
  <c r="AB1503" i="2"/>
  <c r="AA1503" i="2"/>
  <c r="Z1503" i="2"/>
  <c r="Y1503" i="2"/>
  <c r="X1503" i="2"/>
  <c r="W1503" i="2"/>
  <c r="V1503" i="2"/>
  <c r="AE1502" i="2"/>
  <c r="AD1502" i="2"/>
  <c r="AC1502" i="2"/>
  <c r="AB1502" i="2"/>
  <c r="AA1502" i="2"/>
  <c r="Z1502" i="2"/>
  <c r="Y1502" i="2"/>
  <c r="X1502" i="2"/>
  <c r="W1502" i="2"/>
  <c r="V1502" i="2"/>
  <c r="AE1501" i="2"/>
  <c r="AD1501" i="2"/>
  <c r="AC1501" i="2"/>
  <c r="AB1501" i="2"/>
  <c r="AA1501" i="2"/>
  <c r="Z1501" i="2"/>
  <c r="Y1501" i="2"/>
  <c r="X1501" i="2"/>
  <c r="W1501" i="2"/>
  <c r="V1501" i="2"/>
  <c r="AE1500" i="2"/>
  <c r="AD1500" i="2"/>
  <c r="AC1500" i="2"/>
  <c r="AB1500" i="2"/>
  <c r="AA1500" i="2"/>
  <c r="Z1500" i="2"/>
  <c r="Y1500" i="2"/>
  <c r="X1500" i="2"/>
  <c r="W1500" i="2"/>
  <c r="V1500" i="2"/>
  <c r="AE1499" i="2"/>
  <c r="AD1499" i="2"/>
  <c r="AC1499" i="2"/>
  <c r="AB1499" i="2"/>
  <c r="AA1499" i="2"/>
  <c r="Z1499" i="2"/>
  <c r="Y1499" i="2"/>
  <c r="X1499" i="2"/>
  <c r="W1499" i="2"/>
  <c r="V1499" i="2"/>
  <c r="AE1498" i="2"/>
  <c r="AD1498" i="2"/>
  <c r="AC1498" i="2"/>
  <c r="AB1498" i="2"/>
  <c r="AA1498" i="2"/>
  <c r="Z1498" i="2"/>
  <c r="Y1498" i="2"/>
  <c r="X1498" i="2"/>
  <c r="W1498" i="2"/>
  <c r="V1498" i="2"/>
  <c r="AE1497" i="2"/>
  <c r="AD1497" i="2"/>
  <c r="AC1497" i="2"/>
  <c r="AB1497" i="2"/>
  <c r="AA1497" i="2"/>
  <c r="Z1497" i="2"/>
  <c r="Y1497" i="2"/>
  <c r="X1497" i="2"/>
  <c r="W1497" i="2"/>
  <c r="V1497" i="2"/>
  <c r="AE1496" i="2"/>
  <c r="AD1496" i="2"/>
  <c r="AC1496" i="2"/>
  <c r="AB1496" i="2"/>
  <c r="AA1496" i="2"/>
  <c r="Z1496" i="2"/>
  <c r="Y1496" i="2"/>
  <c r="X1496" i="2"/>
  <c r="W1496" i="2"/>
  <c r="V1496" i="2"/>
  <c r="AE1495" i="2"/>
  <c r="AD1495" i="2"/>
  <c r="AC1495" i="2"/>
  <c r="AB1495" i="2"/>
  <c r="AA1495" i="2"/>
  <c r="Z1495" i="2"/>
  <c r="Y1495" i="2"/>
  <c r="X1495" i="2"/>
  <c r="W1495" i="2"/>
  <c r="V1495" i="2"/>
  <c r="AE1494" i="2"/>
  <c r="AD1494" i="2"/>
  <c r="AC1494" i="2"/>
  <c r="AB1494" i="2"/>
  <c r="AA1494" i="2"/>
  <c r="Z1494" i="2"/>
  <c r="Y1494" i="2"/>
  <c r="X1494" i="2"/>
  <c r="W1494" i="2"/>
  <c r="V1494" i="2"/>
  <c r="AE1493" i="2"/>
  <c r="AD1493" i="2"/>
  <c r="AC1493" i="2"/>
  <c r="AB1493" i="2"/>
  <c r="AA1493" i="2"/>
  <c r="Z1493" i="2"/>
  <c r="Y1493" i="2"/>
  <c r="X1493" i="2"/>
  <c r="W1493" i="2"/>
  <c r="V1493" i="2"/>
  <c r="AE1492" i="2"/>
  <c r="AD1492" i="2"/>
  <c r="AC1492" i="2"/>
  <c r="AB1492" i="2"/>
  <c r="AA1492" i="2"/>
  <c r="Z1492" i="2"/>
  <c r="Y1492" i="2"/>
  <c r="X1492" i="2"/>
  <c r="W1492" i="2"/>
  <c r="V1492" i="2"/>
  <c r="AE1491" i="2"/>
  <c r="AD1491" i="2"/>
  <c r="AC1491" i="2"/>
  <c r="AB1491" i="2"/>
  <c r="AA1491" i="2"/>
  <c r="Z1491" i="2"/>
  <c r="Y1491" i="2"/>
  <c r="X1491" i="2"/>
  <c r="W1491" i="2"/>
  <c r="V1491" i="2"/>
  <c r="AE1490" i="2"/>
  <c r="AD1490" i="2"/>
  <c r="AC1490" i="2"/>
  <c r="AB1490" i="2"/>
  <c r="AA1490" i="2"/>
  <c r="Z1490" i="2"/>
  <c r="Y1490" i="2"/>
  <c r="X1490" i="2"/>
  <c r="W1490" i="2"/>
  <c r="V1490" i="2"/>
  <c r="AE1489" i="2"/>
  <c r="AD1489" i="2"/>
  <c r="AC1489" i="2"/>
  <c r="AB1489" i="2"/>
  <c r="AA1489" i="2"/>
  <c r="Z1489" i="2"/>
  <c r="Y1489" i="2"/>
  <c r="X1489" i="2"/>
  <c r="W1489" i="2"/>
  <c r="V1489" i="2"/>
  <c r="AE1488" i="2"/>
  <c r="AD1488" i="2"/>
  <c r="AC1488" i="2"/>
  <c r="AB1488" i="2"/>
  <c r="AA1488" i="2"/>
  <c r="Z1488" i="2"/>
  <c r="Y1488" i="2"/>
  <c r="X1488" i="2"/>
  <c r="W1488" i="2"/>
  <c r="V1488" i="2"/>
  <c r="AE1487" i="2"/>
  <c r="AD1487" i="2"/>
  <c r="AC1487" i="2"/>
  <c r="AB1487" i="2"/>
  <c r="AA1487" i="2"/>
  <c r="Z1487" i="2"/>
  <c r="Y1487" i="2"/>
  <c r="X1487" i="2"/>
  <c r="W1487" i="2"/>
  <c r="V1487" i="2"/>
  <c r="AE1486" i="2"/>
  <c r="AD1486" i="2"/>
  <c r="AC1486" i="2"/>
  <c r="AB1486" i="2"/>
  <c r="AA1486" i="2"/>
  <c r="Z1486" i="2"/>
  <c r="Y1486" i="2"/>
  <c r="X1486" i="2"/>
  <c r="W1486" i="2"/>
  <c r="V1486" i="2"/>
  <c r="AE1485" i="2"/>
  <c r="AD1485" i="2"/>
  <c r="AC1485" i="2"/>
  <c r="AB1485" i="2"/>
  <c r="AA1485" i="2"/>
  <c r="Z1485" i="2"/>
  <c r="Y1485" i="2"/>
  <c r="X1485" i="2"/>
  <c r="W1485" i="2"/>
  <c r="V1485" i="2"/>
  <c r="AE1484" i="2"/>
  <c r="AD1484" i="2"/>
  <c r="AC1484" i="2"/>
  <c r="AB1484" i="2"/>
  <c r="AA1484" i="2"/>
  <c r="Z1484" i="2"/>
  <c r="Y1484" i="2"/>
  <c r="X1484" i="2"/>
  <c r="W1484" i="2"/>
  <c r="V1484" i="2"/>
  <c r="AE1483" i="2"/>
  <c r="AD1483" i="2"/>
  <c r="AC1483" i="2"/>
  <c r="AB1483" i="2"/>
  <c r="AA1483" i="2"/>
  <c r="Z1483" i="2"/>
  <c r="Y1483" i="2"/>
  <c r="X1483" i="2"/>
  <c r="W1483" i="2"/>
  <c r="V1483" i="2"/>
  <c r="AE1482" i="2"/>
  <c r="AD1482" i="2"/>
  <c r="AC1482" i="2"/>
  <c r="AB1482" i="2"/>
  <c r="AA1482" i="2"/>
  <c r="Z1482" i="2"/>
  <c r="Y1482" i="2"/>
  <c r="X1482" i="2"/>
  <c r="W1482" i="2"/>
  <c r="V1482" i="2"/>
  <c r="AE1481" i="2"/>
  <c r="AD1481" i="2"/>
  <c r="AC1481" i="2"/>
  <c r="AB1481" i="2"/>
  <c r="AA1481" i="2"/>
  <c r="Z1481" i="2"/>
  <c r="Y1481" i="2"/>
  <c r="X1481" i="2"/>
  <c r="W1481" i="2"/>
  <c r="V1481" i="2"/>
  <c r="AE1480" i="2"/>
  <c r="AD1480" i="2"/>
  <c r="AC1480" i="2"/>
  <c r="AB1480" i="2"/>
  <c r="AA1480" i="2"/>
  <c r="Z1480" i="2"/>
  <c r="Y1480" i="2"/>
  <c r="X1480" i="2"/>
  <c r="W1480" i="2"/>
  <c r="V1480" i="2"/>
  <c r="AE1479" i="2"/>
  <c r="AD1479" i="2"/>
  <c r="AC1479" i="2"/>
  <c r="AB1479" i="2"/>
  <c r="AA1479" i="2"/>
  <c r="Z1479" i="2"/>
  <c r="Y1479" i="2"/>
  <c r="X1479" i="2"/>
  <c r="W1479" i="2"/>
  <c r="V1479" i="2"/>
  <c r="AE1478" i="2"/>
  <c r="AD1478" i="2"/>
  <c r="AC1478" i="2"/>
  <c r="AB1478" i="2"/>
  <c r="AA1478" i="2"/>
  <c r="Z1478" i="2"/>
  <c r="Y1478" i="2"/>
  <c r="X1478" i="2"/>
  <c r="W1478" i="2"/>
  <c r="V1478" i="2"/>
  <c r="AE1477" i="2"/>
  <c r="AD1477" i="2"/>
  <c r="AC1477" i="2"/>
  <c r="AB1477" i="2"/>
  <c r="AA1477" i="2"/>
  <c r="Z1477" i="2"/>
  <c r="Y1477" i="2"/>
  <c r="X1477" i="2"/>
  <c r="W1477" i="2"/>
  <c r="V1477" i="2"/>
  <c r="AE1476" i="2"/>
  <c r="AD1476" i="2"/>
  <c r="AC1476" i="2"/>
  <c r="AB1476" i="2"/>
  <c r="AA1476" i="2"/>
  <c r="Z1476" i="2"/>
  <c r="Y1476" i="2"/>
  <c r="X1476" i="2"/>
  <c r="W1476" i="2"/>
  <c r="V1476" i="2"/>
  <c r="AE1475" i="2"/>
  <c r="AD1475" i="2"/>
  <c r="AC1475" i="2"/>
  <c r="AB1475" i="2"/>
  <c r="AA1475" i="2"/>
  <c r="Z1475" i="2"/>
  <c r="Y1475" i="2"/>
  <c r="X1475" i="2"/>
  <c r="W1475" i="2"/>
  <c r="V1475" i="2"/>
  <c r="AE1474" i="2"/>
  <c r="AD1474" i="2"/>
  <c r="AC1474" i="2"/>
  <c r="AB1474" i="2"/>
  <c r="AA1474" i="2"/>
  <c r="Z1474" i="2"/>
  <c r="Y1474" i="2"/>
  <c r="X1474" i="2"/>
  <c r="W1474" i="2"/>
  <c r="V1474" i="2"/>
  <c r="AE1473" i="2"/>
  <c r="AD1473" i="2"/>
  <c r="AC1473" i="2"/>
  <c r="AB1473" i="2"/>
  <c r="AA1473" i="2"/>
  <c r="Z1473" i="2"/>
  <c r="Y1473" i="2"/>
  <c r="X1473" i="2"/>
  <c r="W1473" i="2"/>
  <c r="V1473" i="2"/>
  <c r="AE1472" i="2"/>
  <c r="AD1472" i="2"/>
  <c r="AC1472" i="2"/>
  <c r="AB1472" i="2"/>
  <c r="AA1472" i="2"/>
  <c r="Z1472" i="2"/>
  <c r="Y1472" i="2"/>
  <c r="X1472" i="2"/>
  <c r="W1472" i="2"/>
  <c r="V1472" i="2"/>
  <c r="AE1471" i="2"/>
  <c r="AD1471" i="2"/>
  <c r="AC1471" i="2"/>
  <c r="AB1471" i="2"/>
  <c r="AA1471" i="2"/>
  <c r="Z1471" i="2"/>
  <c r="Y1471" i="2"/>
  <c r="X1471" i="2"/>
  <c r="W1471" i="2"/>
  <c r="V1471" i="2"/>
  <c r="AE1470" i="2"/>
  <c r="AD1470" i="2"/>
  <c r="AC1470" i="2"/>
  <c r="AB1470" i="2"/>
  <c r="AA1470" i="2"/>
  <c r="Z1470" i="2"/>
  <c r="Y1470" i="2"/>
  <c r="X1470" i="2"/>
  <c r="W1470" i="2"/>
  <c r="V1470" i="2"/>
  <c r="AE1469" i="2"/>
  <c r="AD1469" i="2"/>
  <c r="AC1469" i="2"/>
  <c r="AB1469" i="2"/>
  <c r="AA1469" i="2"/>
  <c r="Z1469" i="2"/>
  <c r="Y1469" i="2"/>
  <c r="X1469" i="2"/>
  <c r="W1469" i="2"/>
  <c r="V1469" i="2"/>
  <c r="AE1468" i="2"/>
  <c r="AD1468" i="2"/>
  <c r="AC1468" i="2"/>
  <c r="AB1468" i="2"/>
  <c r="AA1468" i="2"/>
  <c r="Z1468" i="2"/>
  <c r="Y1468" i="2"/>
  <c r="X1468" i="2"/>
  <c r="W1468" i="2"/>
  <c r="V1468" i="2"/>
  <c r="AE1467" i="2"/>
  <c r="AD1467" i="2"/>
  <c r="AC1467" i="2"/>
  <c r="AB1467" i="2"/>
  <c r="AA1467" i="2"/>
  <c r="Z1467" i="2"/>
  <c r="Y1467" i="2"/>
  <c r="X1467" i="2"/>
  <c r="W1467" i="2"/>
  <c r="V1467" i="2"/>
  <c r="AE1466" i="2"/>
  <c r="AD1466" i="2"/>
  <c r="AC1466" i="2"/>
  <c r="AB1466" i="2"/>
  <c r="AA1466" i="2"/>
  <c r="Z1466" i="2"/>
  <c r="Y1466" i="2"/>
  <c r="X1466" i="2"/>
  <c r="W1466" i="2"/>
  <c r="V1466" i="2"/>
  <c r="AE1465" i="2"/>
  <c r="AD1465" i="2"/>
  <c r="AC1465" i="2"/>
  <c r="AB1465" i="2"/>
  <c r="AA1465" i="2"/>
  <c r="Z1465" i="2"/>
  <c r="Y1465" i="2"/>
  <c r="X1465" i="2"/>
  <c r="W1465" i="2"/>
  <c r="V1465" i="2"/>
  <c r="AE1464" i="2"/>
  <c r="AD1464" i="2"/>
  <c r="AC1464" i="2"/>
  <c r="AB1464" i="2"/>
  <c r="AA1464" i="2"/>
  <c r="Z1464" i="2"/>
  <c r="Y1464" i="2"/>
  <c r="X1464" i="2"/>
  <c r="W1464" i="2"/>
  <c r="V1464" i="2"/>
  <c r="AE1463" i="2"/>
  <c r="AD1463" i="2"/>
  <c r="AC1463" i="2"/>
  <c r="AB1463" i="2"/>
  <c r="AA1463" i="2"/>
  <c r="Z1463" i="2"/>
  <c r="Y1463" i="2"/>
  <c r="X1463" i="2"/>
  <c r="W1463" i="2"/>
  <c r="V1463" i="2"/>
  <c r="AE1462" i="2"/>
  <c r="AD1462" i="2"/>
  <c r="AC1462" i="2"/>
  <c r="AB1462" i="2"/>
  <c r="AA1462" i="2"/>
  <c r="Z1462" i="2"/>
  <c r="Y1462" i="2"/>
  <c r="X1462" i="2"/>
  <c r="W1462" i="2"/>
  <c r="V1462" i="2"/>
  <c r="AE1461" i="2"/>
  <c r="AD1461" i="2"/>
  <c r="AC1461" i="2"/>
  <c r="AB1461" i="2"/>
  <c r="AA1461" i="2"/>
  <c r="Z1461" i="2"/>
  <c r="Y1461" i="2"/>
  <c r="X1461" i="2"/>
  <c r="W1461" i="2"/>
  <c r="V1461" i="2"/>
  <c r="AE1460" i="2"/>
  <c r="AD1460" i="2"/>
  <c r="AC1460" i="2"/>
  <c r="AB1460" i="2"/>
  <c r="AA1460" i="2"/>
  <c r="Z1460" i="2"/>
  <c r="Y1460" i="2"/>
  <c r="X1460" i="2"/>
  <c r="W1460" i="2"/>
  <c r="V1460" i="2"/>
  <c r="AE1459" i="2"/>
  <c r="AD1459" i="2"/>
  <c r="AC1459" i="2"/>
  <c r="AB1459" i="2"/>
  <c r="AA1459" i="2"/>
  <c r="Z1459" i="2"/>
  <c r="Y1459" i="2"/>
  <c r="X1459" i="2"/>
  <c r="W1459" i="2"/>
  <c r="V1459" i="2"/>
  <c r="AE1458" i="2"/>
  <c r="AD1458" i="2"/>
  <c r="AC1458" i="2"/>
  <c r="AB1458" i="2"/>
  <c r="AA1458" i="2"/>
  <c r="Z1458" i="2"/>
  <c r="Y1458" i="2"/>
  <c r="X1458" i="2"/>
  <c r="W1458" i="2"/>
  <c r="V1458" i="2"/>
  <c r="AE1457" i="2"/>
  <c r="AD1457" i="2"/>
  <c r="AC1457" i="2"/>
  <c r="AB1457" i="2"/>
  <c r="AA1457" i="2"/>
  <c r="Z1457" i="2"/>
  <c r="Y1457" i="2"/>
  <c r="X1457" i="2"/>
  <c r="W1457" i="2"/>
  <c r="V1457" i="2"/>
  <c r="AE1456" i="2"/>
  <c r="AD1456" i="2"/>
  <c r="AC1456" i="2"/>
  <c r="AB1456" i="2"/>
  <c r="AA1456" i="2"/>
  <c r="Z1456" i="2"/>
  <c r="Y1456" i="2"/>
  <c r="X1456" i="2"/>
  <c r="W1456" i="2"/>
  <c r="V1456" i="2"/>
  <c r="AE1455" i="2"/>
  <c r="AD1455" i="2"/>
  <c r="AC1455" i="2"/>
  <c r="AB1455" i="2"/>
  <c r="AA1455" i="2"/>
  <c r="Z1455" i="2"/>
  <c r="Y1455" i="2"/>
  <c r="X1455" i="2"/>
  <c r="W1455" i="2"/>
  <c r="V1455" i="2"/>
  <c r="AE1454" i="2"/>
  <c r="AD1454" i="2"/>
  <c r="AC1454" i="2"/>
  <c r="AB1454" i="2"/>
  <c r="AA1454" i="2"/>
  <c r="Z1454" i="2"/>
  <c r="Y1454" i="2"/>
  <c r="X1454" i="2"/>
  <c r="W1454" i="2"/>
  <c r="V1454" i="2"/>
  <c r="AE1453" i="2"/>
  <c r="AD1453" i="2"/>
  <c r="AC1453" i="2"/>
  <c r="AB1453" i="2"/>
  <c r="AA1453" i="2"/>
  <c r="Z1453" i="2"/>
  <c r="Y1453" i="2"/>
  <c r="X1453" i="2"/>
  <c r="W1453" i="2"/>
  <c r="V1453" i="2"/>
  <c r="AE1452" i="2"/>
  <c r="AD1452" i="2"/>
  <c r="AC1452" i="2"/>
  <c r="AB1452" i="2"/>
  <c r="AA1452" i="2"/>
  <c r="Z1452" i="2"/>
  <c r="Y1452" i="2"/>
  <c r="X1452" i="2"/>
  <c r="W1452" i="2"/>
  <c r="V1452" i="2"/>
  <c r="AE1451" i="2"/>
  <c r="AD1451" i="2"/>
  <c r="AC1451" i="2"/>
  <c r="AB1451" i="2"/>
  <c r="AA1451" i="2"/>
  <c r="Z1451" i="2"/>
  <c r="Y1451" i="2"/>
  <c r="X1451" i="2"/>
  <c r="W1451" i="2"/>
  <c r="V1451" i="2"/>
  <c r="AE1450" i="2"/>
  <c r="AD1450" i="2"/>
  <c r="AC1450" i="2"/>
  <c r="AB1450" i="2"/>
  <c r="AA1450" i="2"/>
  <c r="Z1450" i="2"/>
  <c r="Y1450" i="2"/>
  <c r="X1450" i="2"/>
  <c r="W1450" i="2"/>
  <c r="V1450" i="2"/>
  <c r="AE1449" i="2"/>
  <c r="AD1449" i="2"/>
  <c r="AC1449" i="2"/>
  <c r="AB1449" i="2"/>
  <c r="AA1449" i="2"/>
  <c r="Z1449" i="2"/>
  <c r="Y1449" i="2"/>
  <c r="X1449" i="2"/>
  <c r="W1449" i="2"/>
  <c r="V1449" i="2"/>
  <c r="AE1448" i="2"/>
  <c r="AD1448" i="2"/>
  <c r="AC1448" i="2"/>
  <c r="AB1448" i="2"/>
  <c r="AA1448" i="2"/>
  <c r="Z1448" i="2"/>
  <c r="Y1448" i="2"/>
  <c r="X1448" i="2"/>
  <c r="W1448" i="2"/>
  <c r="V1448" i="2"/>
  <c r="AE1447" i="2"/>
  <c r="AD1447" i="2"/>
  <c r="AC1447" i="2"/>
  <c r="AB1447" i="2"/>
  <c r="AA1447" i="2"/>
  <c r="Z1447" i="2"/>
  <c r="Y1447" i="2"/>
  <c r="X1447" i="2"/>
  <c r="W1447" i="2"/>
  <c r="V1447" i="2"/>
  <c r="AE1446" i="2"/>
  <c r="AD1446" i="2"/>
  <c r="AC1446" i="2"/>
  <c r="AB1446" i="2"/>
  <c r="AA1446" i="2"/>
  <c r="Z1446" i="2"/>
  <c r="Y1446" i="2"/>
  <c r="X1446" i="2"/>
  <c r="W1446" i="2"/>
  <c r="V1446" i="2"/>
  <c r="AE1445" i="2"/>
  <c r="AD1445" i="2"/>
  <c r="AC1445" i="2"/>
  <c r="AB1445" i="2"/>
  <c r="AA1445" i="2"/>
  <c r="Z1445" i="2"/>
  <c r="Y1445" i="2"/>
  <c r="X1445" i="2"/>
  <c r="W1445" i="2"/>
  <c r="V1445" i="2"/>
  <c r="AE1444" i="2"/>
  <c r="AD1444" i="2"/>
  <c r="AC1444" i="2"/>
  <c r="AB1444" i="2"/>
  <c r="AA1444" i="2"/>
  <c r="Z1444" i="2"/>
  <c r="Y1444" i="2"/>
  <c r="X1444" i="2"/>
  <c r="W1444" i="2"/>
  <c r="V1444" i="2"/>
  <c r="AE1443" i="2"/>
  <c r="AD1443" i="2"/>
  <c r="AC1443" i="2"/>
  <c r="AB1443" i="2"/>
  <c r="AA1443" i="2"/>
  <c r="Z1443" i="2"/>
  <c r="Y1443" i="2"/>
  <c r="X1443" i="2"/>
  <c r="W1443" i="2"/>
  <c r="V1443" i="2"/>
  <c r="AE1442" i="2"/>
  <c r="AD1442" i="2"/>
  <c r="AC1442" i="2"/>
  <c r="AB1442" i="2"/>
  <c r="AA1442" i="2"/>
  <c r="Z1442" i="2"/>
  <c r="Y1442" i="2"/>
  <c r="X1442" i="2"/>
  <c r="W1442" i="2"/>
  <c r="V1442" i="2"/>
  <c r="AE1441" i="2"/>
  <c r="AD1441" i="2"/>
  <c r="AC1441" i="2"/>
  <c r="AB1441" i="2"/>
  <c r="AA1441" i="2"/>
  <c r="Z1441" i="2"/>
  <c r="Y1441" i="2"/>
  <c r="X1441" i="2"/>
  <c r="W1441" i="2"/>
  <c r="V1441" i="2"/>
  <c r="AE1440" i="2"/>
  <c r="AD1440" i="2"/>
  <c r="AC1440" i="2"/>
  <c r="AB1440" i="2"/>
  <c r="AA1440" i="2"/>
  <c r="Z1440" i="2"/>
  <c r="Y1440" i="2"/>
  <c r="X1440" i="2"/>
  <c r="W1440" i="2"/>
  <c r="V1440" i="2"/>
  <c r="AE1439" i="2"/>
  <c r="AD1439" i="2"/>
  <c r="AC1439" i="2"/>
  <c r="AB1439" i="2"/>
  <c r="AA1439" i="2"/>
  <c r="Z1439" i="2"/>
  <c r="Y1439" i="2"/>
  <c r="X1439" i="2"/>
  <c r="W1439" i="2"/>
  <c r="V1439" i="2"/>
  <c r="AE1438" i="2"/>
  <c r="AD1438" i="2"/>
  <c r="AC1438" i="2"/>
  <c r="AB1438" i="2"/>
  <c r="AA1438" i="2"/>
  <c r="Z1438" i="2"/>
  <c r="Y1438" i="2"/>
  <c r="X1438" i="2"/>
  <c r="W1438" i="2"/>
  <c r="V1438" i="2"/>
  <c r="AE1437" i="2"/>
  <c r="AD1437" i="2"/>
  <c r="AC1437" i="2"/>
  <c r="AB1437" i="2"/>
  <c r="AA1437" i="2"/>
  <c r="Z1437" i="2"/>
  <c r="Y1437" i="2"/>
  <c r="X1437" i="2"/>
  <c r="W1437" i="2"/>
  <c r="V1437" i="2"/>
  <c r="AE1436" i="2"/>
  <c r="AD1436" i="2"/>
  <c r="AC1436" i="2"/>
  <c r="AB1436" i="2"/>
  <c r="AA1436" i="2"/>
  <c r="Z1436" i="2"/>
  <c r="Y1436" i="2"/>
  <c r="X1436" i="2"/>
  <c r="W1436" i="2"/>
  <c r="V1436" i="2"/>
  <c r="AE1435" i="2"/>
  <c r="AD1435" i="2"/>
  <c r="AC1435" i="2"/>
  <c r="AB1435" i="2"/>
  <c r="AA1435" i="2"/>
  <c r="Z1435" i="2"/>
  <c r="Y1435" i="2"/>
  <c r="X1435" i="2"/>
  <c r="W1435" i="2"/>
  <c r="V1435" i="2"/>
  <c r="AE1434" i="2"/>
  <c r="AD1434" i="2"/>
  <c r="AC1434" i="2"/>
  <c r="AB1434" i="2"/>
  <c r="AA1434" i="2"/>
  <c r="Z1434" i="2"/>
  <c r="Y1434" i="2"/>
  <c r="X1434" i="2"/>
  <c r="W1434" i="2"/>
  <c r="V1434" i="2"/>
  <c r="AE1433" i="2"/>
  <c r="AD1433" i="2"/>
  <c r="AC1433" i="2"/>
  <c r="AB1433" i="2"/>
  <c r="AA1433" i="2"/>
  <c r="Z1433" i="2"/>
  <c r="Y1433" i="2"/>
  <c r="X1433" i="2"/>
  <c r="W1433" i="2"/>
  <c r="V1433" i="2"/>
  <c r="AE1432" i="2"/>
  <c r="AD1432" i="2"/>
  <c r="AC1432" i="2"/>
  <c r="AB1432" i="2"/>
  <c r="AA1432" i="2"/>
  <c r="Z1432" i="2"/>
  <c r="Y1432" i="2"/>
  <c r="X1432" i="2"/>
  <c r="W1432" i="2"/>
  <c r="V1432" i="2"/>
  <c r="AE1431" i="2"/>
  <c r="AD1431" i="2"/>
  <c r="AC1431" i="2"/>
  <c r="AB1431" i="2"/>
  <c r="AA1431" i="2"/>
  <c r="Z1431" i="2"/>
  <c r="Y1431" i="2"/>
  <c r="X1431" i="2"/>
  <c r="W1431" i="2"/>
  <c r="V1431" i="2"/>
  <c r="AE1430" i="2"/>
  <c r="AD1430" i="2"/>
  <c r="AC1430" i="2"/>
  <c r="AB1430" i="2"/>
  <c r="AA1430" i="2"/>
  <c r="Z1430" i="2"/>
  <c r="Y1430" i="2"/>
  <c r="X1430" i="2"/>
  <c r="W1430" i="2"/>
  <c r="V1430" i="2"/>
  <c r="AE1429" i="2"/>
  <c r="AD1429" i="2"/>
  <c r="AC1429" i="2"/>
  <c r="AB1429" i="2"/>
  <c r="AA1429" i="2"/>
  <c r="Z1429" i="2"/>
  <c r="Y1429" i="2"/>
  <c r="X1429" i="2"/>
  <c r="W1429" i="2"/>
  <c r="V1429" i="2"/>
  <c r="AE1428" i="2"/>
  <c r="AD1428" i="2"/>
  <c r="AC1428" i="2"/>
  <c r="AB1428" i="2"/>
  <c r="AA1428" i="2"/>
  <c r="Z1428" i="2"/>
  <c r="Y1428" i="2"/>
  <c r="X1428" i="2"/>
  <c r="W1428" i="2"/>
  <c r="V1428" i="2"/>
  <c r="AE1427" i="2"/>
  <c r="AD1427" i="2"/>
  <c r="AC1427" i="2"/>
  <c r="AB1427" i="2"/>
  <c r="AA1427" i="2"/>
  <c r="Z1427" i="2"/>
  <c r="Y1427" i="2"/>
  <c r="X1427" i="2"/>
  <c r="W1427" i="2"/>
  <c r="V1427" i="2"/>
  <c r="AE1426" i="2"/>
  <c r="AD1426" i="2"/>
  <c r="AC1426" i="2"/>
  <c r="AB1426" i="2"/>
  <c r="AA1426" i="2"/>
  <c r="Z1426" i="2"/>
  <c r="Y1426" i="2"/>
  <c r="X1426" i="2"/>
  <c r="W1426" i="2"/>
  <c r="V1426" i="2"/>
  <c r="AE1425" i="2"/>
  <c r="AD1425" i="2"/>
  <c r="AC1425" i="2"/>
  <c r="AB1425" i="2"/>
  <c r="AA1425" i="2"/>
  <c r="Z1425" i="2"/>
  <c r="Y1425" i="2"/>
  <c r="X1425" i="2"/>
  <c r="W1425" i="2"/>
  <c r="V1425" i="2"/>
  <c r="AE1424" i="2"/>
  <c r="AD1424" i="2"/>
  <c r="AC1424" i="2"/>
  <c r="AB1424" i="2"/>
  <c r="AA1424" i="2"/>
  <c r="Z1424" i="2"/>
  <c r="Y1424" i="2"/>
  <c r="X1424" i="2"/>
  <c r="W1424" i="2"/>
  <c r="V1424" i="2"/>
  <c r="AE1423" i="2"/>
  <c r="AD1423" i="2"/>
  <c r="AC1423" i="2"/>
  <c r="AB1423" i="2"/>
  <c r="AA1423" i="2"/>
  <c r="Z1423" i="2"/>
  <c r="Y1423" i="2"/>
  <c r="X1423" i="2"/>
  <c r="W1423" i="2"/>
  <c r="V1423" i="2"/>
  <c r="AE1422" i="2"/>
  <c r="AD1422" i="2"/>
  <c r="AC1422" i="2"/>
  <c r="AB1422" i="2"/>
  <c r="AA1422" i="2"/>
  <c r="Z1422" i="2"/>
  <c r="Y1422" i="2"/>
  <c r="X1422" i="2"/>
  <c r="W1422" i="2"/>
  <c r="V1422" i="2"/>
  <c r="AE1421" i="2"/>
  <c r="AD1421" i="2"/>
  <c r="AC1421" i="2"/>
  <c r="AB1421" i="2"/>
  <c r="AA1421" i="2"/>
  <c r="Z1421" i="2"/>
  <c r="Y1421" i="2"/>
  <c r="X1421" i="2"/>
  <c r="W1421" i="2"/>
  <c r="V1421" i="2"/>
  <c r="AE1420" i="2"/>
  <c r="AD1420" i="2"/>
  <c r="AC1420" i="2"/>
  <c r="AB1420" i="2"/>
  <c r="AA1420" i="2"/>
  <c r="Z1420" i="2"/>
  <c r="Y1420" i="2"/>
  <c r="X1420" i="2"/>
  <c r="W1420" i="2"/>
  <c r="V1420" i="2"/>
  <c r="AE1419" i="2"/>
  <c r="AD1419" i="2"/>
  <c r="AC1419" i="2"/>
  <c r="AB1419" i="2"/>
  <c r="AA1419" i="2"/>
  <c r="Z1419" i="2"/>
  <c r="Y1419" i="2"/>
  <c r="X1419" i="2"/>
  <c r="W1419" i="2"/>
  <c r="V1419" i="2"/>
  <c r="AE1418" i="2"/>
  <c r="AD1418" i="2"/>
  <c r="AC1418" i="2"/>
  <c r="AB1418" i="2"/>
  <c r="AA1418" i="2"/>
  <c r="Z1418" i="2"/>
  <c r="Y1418" i="2"/>
  <c r="X1418" i="2"/>
  <c r="W1418" i="2"/>
  <c r="V1418" i="2"/>
  <c r="AE1417" i="2"/>
  <c r="AD1417" i="2"/>
  <c r="AC1417" i="2"/>
  <c r="AB1417" i="2"/>
  <c r="AA1417" i="2"/>
  <c r="Z1417" i="2"/>
  <c r="Y1417" i="2"/>
  <c r="X1417" i="2"/>
  <c r="W1417" i="2"/>
  <c r="V1417" i="2"/>
  <c r="AE1416" i="2"/>
  <c r="AD1416" i="2"/>
  <c r="AC1416" i="2"/>
  <c r="AB1416" i="2"/>
  <c r="AA1416" i="2"/>
  <c r="Z1416" i="2"/>
  <c r="Y1416" i="2"/>
  <c r="X1416" i="2"/>
  <c r="W1416" i="2"/>
  <c r="V1416" i="2"/>
  <c r="AE1415" i="2"/>
  <c r="AD1415" i="2"/>
  <c r="AC1415" i="2"/>
  <c r="AB1415" i="2"/>
  <c r="AA1415" i="2"/>
  <c r="Z1415" i="2"/>
  <c r="Y1415" i="2"/>
  <c r="X1415" i="2"/>
  <c r="W1415" i="2"/>
  <c r="V1415" i="2"/>
  <c r="AE1414" i="2"/>
  <c r="AD1414" i="2"/>
  <c r="AC1414" i="2"/>
  <c r="AB1414" i="2"/>
  <c r="AA1414" i="2"/>
  <c r="Z1414" i="2"/>
  <c r="Y1414" i="2"/>
  <c r="X1414" i="2"/>
  <c r="W1414" i="2"/>
  <c r="V1414" i="2"/>
  <c r="AE1413" i="2"/>
  <c r="AD1413" i="2"/>
  <c r="AC1413" i="2"/>
  <c r="AB1413" i="2"/>
  <c r="AA1413" i="2"/>
  <c r="Z1413" i="2"/>
  <c r="Y1413" i="2"/>
  <c r="X1413" i="2"/>
  <c r="W1413" i="2"/>
  <c r="V1413" i="2"/>
  <c r="AE1412" i="2"/>
  <c r="AD1412" i="2"/>
  <c r="AC1412" i="2"/>
  <c r="AB1412" i="2"/>
  <c r="AA1412" i="2"/>
  <c r="Z1412" i="2"/>
  <c r="Y1412" i="2"/>
  <c r="X1412" i="2"/>
  <c r="W1412" i="2"/>
  <c r="V1412" i="2"/>
  <c r="AE1411" i="2"/>
  <c r="AD1411" i="2"/>
  <c r="AC1411" i="2"/>
  <c r="AB1411" i="2"/>
  <c r="AA1411" i="2"/>
  <c r="Z1411" i="2"/>
  <c r="Y1411" i="2"/>
  <c r="X1411" i="2"/>
  <c r="W1411" i="2"/>
  <c r="V1411" i="2"/>
  <c r="AE1410" i="2"/>
  <c r="AD1410" i="2"/>
  <c r="AC1410" i="2"/>
  <c r="AB1410" i="2"/>
  <c r="AA1410" i="2"/>
  <c r="Z1410" i="2"/>
  <c r="Y1410" i="2"/>
  <c r="X1410" i="2"/>
  <c r="W1410" i="2"/>
  <c r="V1410" i="2"/>
  <c r="AE1409" i="2"/>
  <c r="AD1409" i="2"/>
  <c r="AC1409" i="2"/>
  <c r="AB1409" i="2"/>
  <c r="AA1409" i="2"/>
  <c r="Z1409" i="2"/>
  <c r="Y1409" i="2"/>
  <c r="X1409" i="2"/>
  <c r="W1409" i="2"/>
  <c r="V1409" i="2"/>
  <c r="AE1408" i="2"/>
  <c r="AD1408" i="2"/>
  <c r="AC1408" i="2"/>
  <c r="AB1408" i="2"/>
  <c r="AA1408" i="2"/>
  <c r="Z1408" i="2"/>
  <c r="Y1408" i="2"/>
  <c r="X1408" i="2"/>
  <c r="W1408" i="2"/>
  <c r="V1408" i="2"/>
  <c r="AE1407" i="2"/>
  <c r="AD1407" i="2"/>
  <c r="AC1407" i="2"/>
  <c r="AB1407" i="2"/>
  <c r="AA1407" i="2"/>
  <c r="Z1407" i="2"/>
  <c r="Y1407" i="2"/>
  <c r="X1407" i="2"/>
  <c r="W1407" i="2"/>
  <c r="V1407" i="2"/>
  <c r="AE1406" i="2"/>
  <c r="AD1406" i="2"/>
  <c r="AC1406" i="2"/>
  <c r="AB1406" i="2"/>
  <c r="AA1406" i="2"/>
  <c r="Z1406" i="2"/>
  <c r="Y1406" i="2"/>
  <c r="X1406" i="2"/>
  <c r="W1406" i="2"/>
  <c r="V1406" i="2"/>
  <c r="AE1405" i="2"/>
  <c r="AD1405" i="2"/>
  <c r="AC1405" i="2"/>
  <c r="AB1405" i="2"/>
  <c r="AA1405" i="2"/>
  <c r="Z1405" i="2"/>
  <c r="Y1405" i="2"/>
  <c r="X1405" i="2"/>
  <c r="W1405" i="2"/>
  <c r="V1405" i="2"/>
  <c r="AE1404" i="2"/>
  <c r="AD1404" i="2"/>
  <c r="AC1404" i="2"/>
  <c r="AB1404" i="2"/>
  <c r="AA1404" i="2"/>
  <c r="Z1404" i="2"/>
  <c r="Y1404" i="2"/>
  <c r="X1404" i="2"/>
  <c r="W1404" i="2"/>
  <c r="V1404" i="2"/>
  <c r="AE1403" i="2"/>
  <c r="AD1403" i="2"/>
  <c r="AC1403" i="2"/>
  <c r="AB1403" i="2"/>
  <c r="AA1403" i="2"/>
  <c r="Z1403" i="2"/>
  <c r="Y1403" i="2"/>
  <c r="X1403" i="2"/>
  <c r="W1403" i="2"/>
  <c r="V1403" i="2"/>
  <c r="AE1402" i="2"/>
  <c r="AD1402" i="2"/>
  <c r="AC1402" i="2"/>
  <c r="AB1402" i="2"/>
  <c r="AA1402" i="2"/>
  <c r="Z1402" i="2"/>
  <c r="Y1402" i="2"/>
  <c r="X1402" i="2"/>
  <c r="W1402" i="2"/>
  <c r="V1402" i="2"/>
  <c r="AE1401" i="2"/>
  <c r="AD1401" i="2"/>
  <c r="AC1401" i="2"/>
  <c r="AB1401" i="2"/>
  <c r="AA1401" i="2"/>
  <c r="Z1401" i="2"/>
  <c r="Y1401" i="2"/>
  <c r="X1401" i="2"/>
  <c r="W1401" i="2"/>
  <c r="V1401" i="2"/>
  <c r="AE1400" i="2"/>
  <c r="AD1400" i="2"/>
  <c r="AC1400" i="2"/>
  <c r="AB1400" i="2"/>
  <c r="AA1400" i="2"/>
  <c r="Z1400" i="2"/>
  <c r="Y1400" i="2"/>
  <c r="X1400" i="2"/>
  <c r="W1400" i="2"/>
  <c r="V1400" i="2"/>
  <c r="AE1399" i="2"/>
  <c r="AD1399" i="2"/>
  <c r="AC1399" i="2"/>
  <c r="AB1399" i="2"/>
  <c r="AA1399" i="2"/>
  <c r="Z1399" i="2"/>
  <c r="Y1399" i="2"/>
  <c r="X1399" i="2"/>
  <c r="W1399" i="2"/>
  <c r="V1399" i="2"/>
  <c r="AE1398" i="2"/>
  <c r="AD1398" i="2"/>
  <c r="AC1398" i="2"/>
  <c r="AB1398" i="2"/>
  <c r="AA1398" i="2"/>
  <c r="Z1398" i="2"/>
  <c r="Y1398" i="2"/>
  <c r="X1398" i="2"/>
  <c r="W1398" i="2"/>
  <c r="V1398" i="2"/>
  <c r="AE1397" i="2"/>
  <c r="AD1397" i="2"/>
  <c r="AC1397" i="2"/>
  <c r="AB1397" i="2"/>
  <c r="AA1397" i="2"/>
  <c r="Z1397" i="2"/>
  <c r="Y1397" i="2"/>
  <c r="X1397" i="2"/>
  <c r="W1397" i="2"/>
  <c r="V1397" i="2"/>
  <c r="AE1396" i="2"/>
  <c r="AD1396" i="2"/>
  <c r="AC1396" i="2"/>
  <c r="AB1396" i="2"/>
  <c r="AA1396" i="2"/>
  <c r="Z1396" i="2"/>
  <c r="Y1396" i="2"/>
  <c r="X1396" i="2"/>
  <c r="W1396" i="2"/>
  <c r="V1396" i="2"/>
  <c r="AE1395" i="2"/>
  <c r="AD1395" i="2"/>
  <c r="AC1395" i="2"/>
  <c r="AB1395" i="2"/>
  <c r="AA1395" i="2"/>
  <c r="Z1395" i="2"/>
  <c r="Y1395" i="2"/>
  <c r="X1395" i="2"/>
  <c r="W1395" i="2"/>
  <c r="V1395" i="2"/>
  <c r="AE1394" i="2"/>
  <c r="AD1394" i="2"/>
  <c r="AC1394" i="2"/>
  <c r="AB1394" i="2"/>
  <c r="AA1394" i="2"/>
  <c r="Z1394" i="2"/>
  <c r="Y1394" i="2"/>
  <c r="X1394" i="2"/>
  <c r="W1394" i="2"/>
  <c r="V1394" i="2"/>
  <c r="AE1393" i="2"/>
  <c r="AD1393" i="2"/>
  <c r="AC1393" i="2"/>
  <c r="AB1393" i="2"/>
  <c r="AA1393" i="2"/>
  <c r="Z1393" i="2"/>
  <c r="Y1393" i="2"/>
  <c r="X1393" i="2"/>
  <c r="W1393" i="2"/>
  <c r="V1393" i="2"/>
  <c r="AE1392" i="2"/>
  <c r="AD1392" i="2"/>
  <c r="AC1392" i="2"/>
  <c r="AB1392" i="2"/>
  <c r="AA1392" i="2"/>
  <c r="Z1392" i="2"/>
  <c r="Y1392" i="2"/>
  <c r="X1392" i="2"/>
  <c r="W1392" i="2"/>
  <c r="V1392" i="2"/>
  <c r="AE1391" i="2"/>
  <c r="AD1391" i="2"/>
  <c r="AC1391" i="2"/>
  <c r="AB1391" i="2"/>
  <c r="AA1391" i="2"/>
  <c r="Z1391" i="2"/>
  <c r="Y1391" i="2"/>
  <c r="X1391" i="2"/>
  <c r="W1391" i="2"/>
  <c r="V1391" i="2"/>
  <c r="AE1390" i="2"/>
  <c r="AD1390" i="2"/>
  <c r="AC1390" i="2"/>
  <c r="AB1390" i="2"/>
  <c r="AA1390" i="2"/>
  <c r="Z1390" i="2"/>
  <c r="Y1390" i="2"/>
  <c r="X1390" i="2"/>
  <c r="W1390" i="2"/>
  <c r="V1390" i="2"/>
  <c r="AE1389" i="2"/>
  <c r="AD1389" i="2"/>
  <c r="AC1389" i="2"/>
  <c r="AB1389" i="2"/>
  <c r="AA1389" i="2"/>
  <c r="Z1389" i="2"/>
  <c r="Y1389" i="2"/>
  <c r="X1389" i="2"/>
  <c r="W1389" i="2"/>
  <c r="V1389" i="2"/>
  <c r="AE1388" i="2"/>
  <c r="AD1388" i="2"/>
  <c r="AC1388" i="2"/>
  <c r="AB1388" i="2"/>
  <c r="AA1388" i="2"/>
  <c r="Z1388" i="2"/>
  <c r="Y1388" i="2"/>
  <c r="X1388" i="2"/>
  <c r="W1388" i="2"/>
  <c r="V1388" i="2"/>
  <c r="AE1387" i="2"/>
  <c r="AD1387" i="2"/>
  <c r="AC1387" i="2"/>
  <c r="AB1387" i="2"/>
  <c r="AA1387" i="2"/>
  <c r="Z1387" i="2"/>
  <c r="Y1387" i="2"/>
  <c r="X1387" i="2"/>
  <c r="W1387" i="2"/>
  <c r="V1387" i="2"/>
  <c r="AE1386" i="2"/>
  <c r="AD1386" i="2"/>
  <c r="AC1386" i="2"/>
  <c r="AB1386" i="2"/>
  <c r="AA1386" i="2"/>
  <c r="Z1386" i="2"/>
  <c r="Y1386" i="2"/>
  <c r="X1386" i="2"/>
  <c r="W1386" i="2"/>
  <c r="V1386" i="2"/>
  <c r="AE1385" i="2"/>
  <c r="AD1385" i="2"/>
  <c r="AC1385" i="2"/>
  <c r="AB1385" i="2"/>
  <c r="AA1385" i="2"/>
  <c r="Z1385" i="2"/>
  <c r="Y1385" i="2"/>
  <c r="X1385" i="2"/>
  <c r="W1385" i="2"/>
  <c r="V1385" i="2"/>
  <c r="AE1384" i="2"/>
  <c r="AD1384" i="2"/>
  <c r="AC1384" i="2"/>
  <c r="AB1384" i="2"/>
  <c r="AA1384" i="2"/>
  <c r="Z1384" i="2"/>
  <c r="Y1384" i="2"/>
  <c r="X1384" i="2"/>
  <c r="W1384" i="2"/>
  <c r="V1384" i="2"/>
  <c r="AE1383" i="2"/>
  <c r="AD1383" i="2"/>
  <c r="AC1383" i="2"/>
  <c r="AB1383" i="2"/>
  <c r="AA1383" i="2"/>
  <c r="Z1383" i="2"/>
  <c r="Y1383" i="2"/>
  <c r="X1383" i="2"/>
  <c r="W1383" i="2"/>
  <c r="V1383" i="2"/>
  <c r="AE1382" i="2"/>
  <c r="AD1382" i="2"/>
  <c r="AC1382" i="2"/>
  <c r="AB1382" i="2"/>
  <c r="AA1382" i="2"/>
  <c r="Z1382" i="2"/>
  <c r="Y1382" i="2"/>
  <c r="X1382" i="2"/>
  <c r="W1382" i="2"/>
  <c r="V1382" i="2"/>
  <c r="AE1381" i="2"/>
  <c r="AD1381" i="2"/>
  <c r="AC1381" i="2"/>
  <c r="AB1381" i="2"/>
  <c r="AA1381" i="2"/>
  <c r="Z1381" i="2"/>
  <c r="Y1381" i="2"/>
  <c r="X1381" i="2"/>
  <c r="W1381" i="2"/>
  <c r="V1381" i="2"/>
  <c r="AE1380" i="2"/>
  <c r="AD1380" i="2"/>
  <c r="AC1380" i="2"/>
  <c r="AB1380" i="2"/>
  <c r="AA1380" i="2"/>
  <c r="Z1380" i="2"/>
  <c r="Y1380" i="2"/>
  <c r="X1380" i="2"/>
  <c r="W1380" i="2"/>
  <c r="V1380" i="2"/>
  <c r="AE1379" i="2"/>
  <c r="AD1379" i="2"/>
  <c r="AC1379" i="2"/>
  <c r="AB1379" i="2"/>
  <c r="AA1379" i="2"/>
  <c r="Z1379" i="2"/>
  <c r="Y1379" i="2"/>
  <c r="X1379" i="2"/>
  <c r="W1379" i="2"/>
  <c r="V1379" i="2"/>
  <c r="AE1378" i="2"/>
  <c r="AD1378" i="2"/>
  <c r="AC1378" i="2"/>
  <c r="AB1378" i="2"/>
  <c r="AA1378" i="2"/>
  <c r="Z1378" i="2"/>
  <c r="Y1378" i="2"/>
  <c r="X1378" i="2"/>
  <c r="W1378" i="2"/>
  <c r="V1378" i="2"/>
  <c r="AE1377" i="2"/>
  <c r="AD1377" i="2"/>
  <c r="AC1377" i="2"/>
  <c r="AB1377" i="2"/>
  <c r="AA1377" i="2"/>
  <c r="Z1377" i="2"/>
  <c r="Y1377" i="2"/>
  <c r="X1377" i="2"/>
  <c r="W1377" i="2"/>
  <c r="V1377" i="2"/>
  <c r="AE1376" i="2"/>
  <c r="AD1376" i="2"/>
  <c r="AC1376" i="2"/>
  <c r="AB1376" i="2"/>
  <c r="AA1376" i="2"/>
  <c r="Z1376" i="2"/>
  <c r="Y1376" i="2"/>
  <c r="X1376" i="2"/>
  <c r="W1376" i="2"/>
  <c r="V1376" i="2"/>
  <c r="AE1375" i="2"/>
  <c r="AD1375" i="2"/>
  <c r="AC1375" i="2"/>
  <c r="AB1375" i="2"/>
  <c r="AA1375" i="2"/>
  <c r="Z1375" i="2"/>
  <c r="Y1375" i="2"/>
  <c r="X1375" i="2"/>
  <c r="W1375" i="2"/>
  <c r="V1375" i="2"/>
  <c r="AE1374" i="2"/>
  <c r="AD1374" i="2"/>
  <c r="AC1374" i="2"/>
  <c r="AB1374" i="2"/>
  <c r="AA1374" i="2"/>
  <c r="Z1374" i="2"/>
  <c r="Y1374" i="2"/>
  <c r="X1374" i="2"/>
  <c r="W1374" i="2"/>
  <c r="V1374" i="2"/>
  <c r="AE1373" i="2"/>
  <c r="AD1373" i="2"/>
  <c r="AC1373" i="2"/>
  <c r="AB1373" i="2"/>
  <c r="AA1373" i="2"/>
  <c r="Z1373" i="2"/>
  <c r="Y1373" i="2"/>
  <c r="X1373" i="2"/>
  <c r="W1373" i="2"/>
  <c r="V1373" i="2"/>
  <c r="AE1372" i="2"/>
  <c r="AD1372" i="2"/>
  <c r="AC1372" i="2"/>
  <c r="AB1372" i="2"/>
  <c r="AA1372" i="2"/>
  <c r="Z1372" i="2"/>
  <c r="Y1372" i="2"/>
  <c r="X1372" i="2"/>
  <c r="W1372" i="2"/>
  <c r="V1372" i="2"/>
  <c r="AE1371" i="2"/>
  <c r="AD1371" i="2"/>
  <c r="AC1371" i="2"/>
  <c r="AB1371" i="2"/>
  <c r="AA1371" i="2"/>
  <c r="Z1371" i="2"/>
  <c r="Y1371" i="2"/>
  <c r="X1371" i="2"/>
  <c r="W1371" i="2"/>
  <c r="V1371" i="2"/>
  <c r="AE1370" i="2"/>
  <c r="AD1370" i="2"/>
  <c r="AC1370" i="2"/>
  <c r="AB1370" i="2"/>
  <c r="AA1370" i="2"/>
  <c r="Z1370" i="2"/>
  <c r="Y1370" i="2"/>
  <c r="X1370" i="2"/>
  <c r="W1370" i="2"/>
  <c r="V1370" i="2"/>
  <c r="AE1369" i="2"/>
  <c r="AD1369" i="2"/>
  <c r="AC1369" i="2"/>
  <c r="AB1369" i="2"/>
  <c r="AA1369" i="2"/>
  <c r="Z1369" i="2"/>
  <c r="Y1369" i="2"/>
  <c r="X1369" i="2"/>
  <c r="W1369" i="2"/>
  <c r="V1369" i="2"/>
  <c r="AE1368" i="2"/>
  <c r="AD1368" i="2"/>
  <c r="AC1368" i="2"/>
  <c r="AB1368" i="2"/>
  <c r="AA1368" i="2"/>
  <c r="Z1368" i="2"/>
  <c r="Y1368" i="2"/>
  <c r="X1368" i="2"/>
  <c r="W1368" i="2"/>
  <c r="V1368" i="2"/>
  <c r="AE1367" i="2"/>
  <c r="AD1367" i="2"/>
  <c r="AC1367" i="2"/>
  <c r="AB1367" i="2"/>
  <c r="AA1367" i="2"/>
  <c r="Z1367" i="2"/>
  <c r="Y1367" i="2"/>
  <c r="X1367" i="2"/>
  <c r="W1367" i="2"/>
  <c r="V1367" i="2"/>
  <c r="AE1366" i="2"/>
  <c r="AD1366" i="2"/>
  <c r="AC1366" i="2"/>
  <c r="AB1366" i="2"/>
  <c r="AA1366" i="2"/>
  <c r="Z1366" i="2"/>
  <c r="Y1366" i="2"/>
  <c r="X1366" i="2"/>
  <c r="W1366" i="2"/>
  <c r="V1366" i="2"/>
  <c r="AE1365" i="2"/>
  <c r="AD1365" i="2"/>
  <c r="AC1365" i="2"/>
  <c r="AB1365" i="2"/>
  <c r="AA1365" i="2"/>
  <c r="Z1365" i="2"/>
  <c r="Y1365" i="2"/>
  <c r="X1365" i="2"/>
  <c r="W1365" i="2"/>
  <c r="V1365" i="2"/>
  <c r="AE1364" i="2"/>
  <c r="AD1364" i="2"/>
  <c r="AC1364" i="2"/>
  <c r="AB1364" i="2"/>
  <c r="AA1364" i="2"/>
  <c r="Z1364" i="2"/>
  <c r="Y1364" i="2"/>
  <c r="X1364" i="2"/>
  <c r="W1364" i="2"/>
  <c r="V1364" i="2"/>
  <c r="AE1363" i="2"/>
  <c r="AD1363" i="2"/>
  <c r="AC1363" i="2"/>
  <c r="AB1363" i="2"/>
  <c r="AA1363" i="2"/>
  <c r="Z1363" i="2"/>
  <c r="Y1363" i="2"/>
  <c r="X1363" i="2"/>
  <c r="W1363" i="2"/>
  <c r="V1363" i="2"/>
  <c r="AE1362" i="2"/>
  <c r="AD1362" i="2"/>
  <c r="AC1362" i="2"/>
  <c r="AB1362" i="2"/>
  <c r="AA1362" i="2"/>
  <c r="Z1362" i="2"/>
  <c r="Y1362" i="2"/>
  <c r="X1362" i="2"/>
  <c r="W1362" i="2"/>
  <c r="V1362" i="2"/>
  <c r="AE1361" i="2"/>
  <c r="AD1361" i="2"/>
  <c r="AC1361" i="2"/>
  <c r="AB1361" i="2"/>
  <c r="AA1361" i="2"/>
  <c r="Z1361" i="2"/>
  <c r="Y1361" i="2"/>
  <c r="X1361" i="2"/>
  <c r="W1361" i="2"/>
  <c r="V1361" i="2"/>
  <c r="AE1360" i="2"/>
  <c r="AD1360" i="2"/>
  <c r="AC1360" i="2"/>
  <c r="AB1360" i="2"/>
  <c r="AA1360" i="2"/>
  <c r="Z1360" i="2"/>
  <c r="Y1360" i="2"/>
  <c r="X1360" i="2"/>
  <c r="W1360" i="2"/>
  <c r="V1360" i="2"/>
  <c r="AE1359" i="2"/>
  <c r="AD1359" i="2"/>
  <c r="AC1359" i="2"/>
  <c r="AB1359" i="2"/>
  <c r="AA1359" i="2"/>
  <c r="Z1359" i="2"/>
  <c r="Y1359" i="2"/>
  <c r="X1359" i="2"/>
  <c r="W1359" i="2"/>
  <c r="V1359" i="2"/>
  <c r="AE1358" i="2"/>
  <c r="AD1358" i="2"/>
  <c r="AC1358" i="2"/>
  <c r="AB1358" i="2"/>
  <c r="AA1358" i="2"/>
  <c r="Z1358" i="2"/>
  <c r="Y1358" i="2"/>
  <c r="X1358" i="2"/>
  <c r="W1358" i="2"/>
  <c r="V1358" i="2"/>
  <c r="AE1357" i="2"/>
  <c r="AD1357" i="2"/>
  <c r="AC1357" i="2"/>
  <c r="AB1357" i="2"/>
  <c r="AA1357" i="2"/>
  <c r="Z1357" i="2"/>
  <c r="Y1357" i="2"/>
  <c r="X1357" i="2"/>
  <c r="W1357" i="2"/>
  <c r="V1357" i="2"/>
  <c r="AE1356" i="2"/>
  <c r="AD1356" i="2"/>
  <c r="AC1356" i="2"/>
  <c r="AB1356" i="2"/>
  <c r="AA1356" i="2"/>
  <c r="Z1356" i="2"/>
  <c r="Y1356" i="2"/>
  <c r="X1356" i="2"/>
  <c r="W1356" i="2"/>
  <c r="V1356" i="2"/>
  <c r="AE1355" i="2"/>
  <c r="AD1355" i="2"/>
  <c r="AC1355" i="2"/>
  <c r="AB1355" i="2"/>
  <c r="AA1355" i="2"/>
  <c r="Z1355" i="2"/>
  <c r="Y1355" i="2"/>
  <c r="X1355" i="2"/>
  <c r="W1355" i="2"/>
  <c r="V1355" i="2"/>
  <c r="AE1354" i="2"/>
  <c r="AD1354" i="2"/>
  <c r="AC1354" i="2"/>
  <c r="AB1354" i="2"/>
  <c r="AA1354" i="2"/>
  <c r="Z1354" i="2"/>
  <c r="Y1354" i="2"/>
  <c r="X1354" i="2"/>
  <c r="W1354" i="2"/>
  <c r="V1354" i="2"/>
  <c r="AE1353" i="2"/>
  <c r="AD1353" i="2"/>
  <c r="AC1353" i="2"/>
  <c r="AB1353" i="2"/>
  <c r="AA1353" i="2"/>
  <c r="Z1353" i="2"/>
  <c r="Y1353" i="2"/>
  <c r="X1353" i="2"/>
  <c r="W1353" i="2"/>
  <c r="V1353" i="2"/>
  <c r="AE1352" i="2"/>
  <c r="AD1352" i="2"/>
  <c r="AC1352" i="2"/>
  <c r="AB1352" i="2"/>
  <c r="AA1352" i="2"/>
  <c r="Z1352" i="2"/>
  <c r="Y1352" i="2"/>
  <c r="X1352" i="2"/>
  <c r="W1352" i="2"/>
  <c r="V1352" i="2"/>
  <c r="AE1351" i="2"/>
  <c r="AD1351" i="2"/>
  <c r="AC1351" i="2"/>
  <c r="AB1351" i="2"/>
  <c r="AA1351" i="2"/>
  <c r="Z1351" i="2"/>
  <c r="Y1351" i="2"/>
  <c r="X1351" i="2"/>
  <c r="W1351" i="2"/>
  <c r="V1351" i="2"/>
  <c r="AE1350" i="2"/>
  <c r="AD1350" i="2"/>
  <c r="AC1350" i="2"/>
  <c r="AB1350" i="2"/>
  <c r="AA1350" i="2"/>
  <c r="Z1350" i="2"/>
  <c r="Y1350" i="2"/>
  <c r="X1350" i="2"/>
  <c r="W1350" i="2"/>
  <c r="V1350" i="2"/>
  <c r="AE1349" i="2"/>
  <c r="AD1349" i="2"/>
  <c r="AC1349" i="2"/>
  <c r="AB1349" i="2"/>
  <c r="AA1349" i="2"/>
  <c r="Z1349" i="2"/>
  <c r="Y1349" i="2"/>
  <c r="X1349" i="2"/>
  <c r="W1349" i="2"/>
  <c r="V1349" i="2"/>
  <c r="AE1348" i="2"/>
  <c r="AD1348" i="2"/>
  <c r="AC1348" i="2"/>
  <c r="AB1348" i="2"/>
  <c r="AA1348" i="2"/>
  <c r="Z1348" i="2"/>
  <c r="Y1348" i="2"/>
  <c r="X1348" i="2"/>
  <c r="W1348" i="2"/>
  <c r="V1348" i="2"/>
  <c r="AE1347" i="2"/>
  <c r="AD1347" i="2"/>
  <c r="AC1347" i="2"/>
  <c r="AB1347" i="2"/>
  <c r="AA1347" i="2"/>
  <c r="Z1347" i="2"/>
  <c r="Y1347" i="2"/>
  <c r="X1347" i="2"/>
  <c r="W1347" i="2"/>
  <c r="V1347" i="2"/>
  <c r="AE1346" i="2"/>
  <c r="AD1346" i="2"/>
  <c r="AC1346" i="2"/>
  <c r="AB1346" i="2"/>
  <c r="AA1346" i="2"/>
  <c r="Z1346" i="2"/>
  <c r="Y1346" i="2"/>
  <c r="X1346" i="2"/>
  <c r="W1346" i="2"/>
  <c r="V1346" i="2"/>
  <c r="AE1345" i="2"/>
  <c r="AD1345" i="2"/>
  <c r="AC1345" i="2"/>
  <c r="AB1345" i="2"/>
  <c r="AA1345" i="2"/>
  <c r="Z1345" i="2"/>
  <c r="Y1345" i="2"/>
  <c r="X1345" i="2"/>
  <c r="W1345" i="2"/>
  <c r="V1345" i="2"/>
  <c r="AE1344" i="2"/>
  <c r="AD1344" i="2"/>
  <c r="AC1344" i="2"/>
  <c r="AB1344" i="2"/>
  <c r="AA1344" i="2"/>
  <c r="Z1344" i="2"/>
  <c r="Y1344" i="2"/>
  <c r="X1344" i="2"/>
  <c r="W1344" i="2"/>
  <c r="V1344" i="2"/>
  <c r="AE1343" i="2"/>
  <c r="AD1343" i="2"/>
  <c r="AC1343" i="2"/>
  <c r="AB1343" i="2"/>
  <c r="AA1343" i="2"/>
  <c r="Z1343" i="2"/>
  <c r="Y1343" i="2"/>
  <c r="X1343" i="2"/>
  <c r="W1343" i="2"/>
  <c r="V1343" i="2"/>
  <c r="AE1342" i="2"/>
  <c r="AD1342" i="2"/>
  <c r="AC1342" i="2"/>
  <c r="AB1342" i="2"/>
  <c r="AA1342" i="2"/>
  <c r="Z1342" i="2"/>
  <c r="Y1342" i="2"/>
  <c r="X1342" i="2"/>
  <c r="W1342" i="2"/>
  <c r="V1342" i="2"/>
  <c r="AE1341" i="2"/>
  <c r="AD1341" i="2"/>
  <c r="AC1341" i="2"/>
  <c r="AB1341" i="2"/>
  <c r="AA1341" i="2"/>
  <c r="Z1341" i="2"/>
  <c r="Y1341" i="2"/>
  <c r="X1341" i="2"/>
  <c r="W1341" i="2"/>
  <c r="V1341" i="2"/>
  <c r="AE1340" i="2"/>
  <c r="AD1340" i="2"/>
  <c r="AC1340" i="2"/>
  <c r="AB1340" i="2"/>
  <c r="AA1340" i="2"/>
  <c r="Z1340" i="2"/>
  <c r="Y1340" i="2"/>
  <c r="X1340" i="2"/>
  <c r="W1340" i="2"/>
  <c r="V1340" i="2"/>
  <c r="AE1339" i="2"/>
  <c r="AD1339" i="2"/>
  <c r="AC1339" i="2"/>
  <c r="AB1339" i="2"/>
  <c r="AA1339" i="2"/>
  <c r="Z1339" i="2"/>
  <c r="Y1339" i="2"/>
  <c r="X1339" i="2"/>
  <c r="W1339" i="2"/>
  <c r="V1339" i="2"/>
  <c r="AE1338" i="2"/>
  <c r="AD1338" i="2"/>
  <c r="AC1338" i="2"/>
  <c r="AB1338" i="2"/>
  <c r="AA1338" i="2"/>
  <c r="Z1338" i="2"/>
  <c r="Y1338" i="2"/>
  <c r="X1338" i="2"/>
  <c r="W1338" i="2"/>
  <c r="V1338" i="2"/>
  <c r="AE1337" i="2"/>
  <c r="AD1337" i="2"/>
  <c r="AC1337" i="2"/>
  <c r="AB1337" i="2"/>
  <c r="AA1337" i="2"/>
  <c r="Z1337" i="2"/>
  <c r="Y1337" i="2"/>
  <c r="X1337" i="2"/>
  <c r="W1337" i="2"/>
  <c r="V1337" i="2"/>
  <c r="AE1336" i="2"/>
  <c r="AD1336" i="2"/>
  <c r="AC1336" i="2"/>
  <c r="AB1336" i="2"/>
  <c r="AA1336" i="2"/>
  <c r="Z1336" i="2"/>
  <c r="Y1336" i="2"/>
  <c r="X1336" i="2"/>
  <c r="W1336" i="2"/>
  <c r="V1336" i="2"/>
  <c r="AE1335" i="2"/>
  <c r="AD1335" i="2"/>
  <c r="AC1335" i="2"/>
  <c r="AB1335" i="2"/>
  <c r="AA1335" i="2"/>
  <c r="Z1335" i="2"/>
  <c r="Y1335" i="2"/>
  <c r="X1335" i="2"/>
  <c r="W1335" i="2"/>
  <c r="V1335" i="2"/>
  <c r="AE1334" i="2"/>
  <c r="AD1334" i="2"/>
  <c r="AC1334" i="2"/>
  <c r="AB1334" i="2"/>
  <c r="AA1334" i="2"/>
  <c r="Z1334" i="2"/>
  <c r="Y1334" i="2"/>
  <c r="X1334" i="2"/>
  <c r="W1334" i="2"/>
  <c r="V1334" i="2"/>
  <c r="AE1333" i="2"/>
  <c r="AD1333" i="2"/>
  <c r="AC1333" i="2"/>
  <c r="AB1333" i="2"/>
  <c r="AA1333" i="2"/>
  <c r="Z1333" i="2"/>
  <c r="Y1333" i="2"/>
  <c r="X1333" i="2"/>
  <c r="W1333" i="2"/>
  <c r="V1333" i="2"/>
  <c r="AE1332" i="2"/>
  <c r="AD1332" i="2"/>
  <c r="AC1332" i="2"/>
  <c r="AB1332" i="2"/>
  <c r="AA1332" i="2"/>
  <c r="Z1332" i="2"/>
  <c r="Y1332" i="2"/>
  <c r="X1332" i="2"/>
  <c r="W1332" i="2"/>
  <c r="V1332" i="2"/>
  <c r="AE1331" i="2"/>
  <c r="AD1331" i="2"/>
  <c r="AC1331" i="2"/>
  <c r="AB1331" i="2"/>
  <c r="AA1331" i="2"/>
  <c r="Z1331" i="2"/>
  <c r="Y1331" i="2"/>
  <c r="X1331" i="2"/>
  <c r="W1331" i="2"/>
  <c r="V1331" i="2"/>
  <c r="AE1330" i="2"/>
  <c r="AD1330" i="2"/>
  <c r="AC1330" i="2"/>
  <c r="AB1330" i="2"/>
  <c r="AA1330" i="2"/>
  <c r="Z1330" i="2"/>
  <c r="Y1330" i="2"/>
  <c r="X1330" i="2"/>
  <c r="W1330" i="2"/>
  <c r="V1330" i="2"/>
  <c r="AE1329" i="2"/>
  <c r="AD1329" i="2"/>
  <c r="AC1329" i="2"/>
  <c r="AB1329" i="2"/>
  <c r="AA1329" i="2"/>
  <c r="Z1329" i="2"/>
  <c r="Y1329" i="2"/>
  <c r="X1329" i="2"/>
  <c r="W1329" i="2"/>
  <c r="V1329" i="2"/>
  <c r="AE1328" i="2"/>
  <c r="AD1328" i="2"/>
  <c r="AC1328" i="2"/>
  <c r="AB1328" i="2"/>
  <c r="AA1328" i="2"/>
  <c r="Z1328" i="2"/>
  <c r="Y1328" i="2"/>
  <c r="X1328" i="2"/>
  <c r="W1328" i="2"/>
  <c r="V1328" i="2"/>
  <c r="AE1327" i="2"/>
  <c r="AD1327" i="2"/>
  <c r="AC1327" i="2"/>
  <c r="AB1327" i="2"/>
  <c r="AA1327" i="2"/>
  <c r="Z1327" i="2"/>
  <c r="Y1327" i="2"/>
  <c r="X1327" i="2"/>
  <c r="W1327" i="2"/>
  <c r="V1327" i="2"/>
  <c r="AE1326" i="2"/>
  <c r="AD1326" i="2"/>
  <c r="AC1326" i="2"/>
  <c r="AB1326" i="2"/>
  <c r="AA1326" i="2"/>
  <c r="Z1326" i="2"/>
  <c r="Y1326" i="2"/>
  <c r="X1326" i="2"/>
  <c r="W1326" i="2"/>
  <c r="V1326" i="2"/>
  <c r="AE1325" i="2"/>
  <c r="AD1325" i="2"/>
  <c r="AC1325" i="2"/>
  <c r="AB1325" i="2"/>
  <c r="AA1325" i="2"/>
  <c r="Z1325" i="2"/>
  <c r="Y1325" i="2"/>
  <c r="X1325" i="2"/>
  <c r="W1325" i="2"/>
  <c r="V1325" i="2"/>
  <c r="AE1324" i="2"/>
  <c r="AD1324" i="2"/>
  <c r="AC1324" i="2"/>
  <c r="AB1324" i="2"/>
  <c r="AA1324" i="2"/>
  <c r="Z1324" i="2"/>
  <c r="Y1324" i="2"/>
  <c r="X1324" i="2"/>
  <c r="W1324" i="2"/>
  <c r="V1324" i="2"/>
  <c r="AE1323" i="2"/>
  <c r="AD1323" i="2"/>
  <c r="AC1323" i="2"/>
  <c r="AB1323" i="2"/>
  <c r="AA1323" i="2"/>
  <c r="Z1323" i="2"/>
  <c r="Y1323" i="2"/>
  <c r="X1323" i="2"/>
  <c r="W1323" i="2"/>
  <c r="V1323" i="2"/>
  <c r="AE1322" i="2"/>
  <c r="AD1322" i="2"/>
  <c r="AC1322" i="2"/>
  <c r="AB1322" i="2"/>
  <c r="AA1322" i="2"/>
  <c r="Z1322" i="2"/>
  <c r="Y1322" i="2"/>
  <c r="X1322" i="2"/>
  <c r="W1322" i="2"/>
  <c r="V1322" i="2"/>
  <c r="AE1321" i="2"/>
  <c r="AD1321" i="2"/>
  <c r="AC1321" i="2"/>
  <c r="AB1321" i="2"/>
  <c r="AA1321" i="2"/>
  <c r="Z1321" i="2"/>
  <c r="Y1321" i="2"/>
  <c r="X1321" i="2"/>
  <c r="W1321" i="2"/>
  <c r="V1321" i="2"/>
  <c r="AE1320" i="2"/>
  <c r="AD1320" i="2"/>
  <c r="AC1320" i="2"/>
  <c r="AB1320" i="2"/>
  <c r="AA1320" i="2"/>
  <c r="Z1320" i="2"/>
  <c r="Y1320" i="2"/>
  <c r="X1320" i="2"/>
  <c r="W1320" i="2"/>
  <c r="V1320" i="2"/>
  <c r="AE1319" i="2"/>
  <c r="AD1319" i="2"/>
  <c r="AC1319" i="2"/>
  <c r="AB1319" i="2"/>
  <c r="AA1319" i="2"/>
  <c r="Z1319" i="2"/>
  <c r="Y1319" i="2"/>
  <c r="X1319" i="2"/>
  <c r="W1319" i="2"/>
  <c r="V1319" i="2"/>
  <c r="AE1318" i="2"/>
  <c r="AD1318" i="2"/>
  <c r="AC1318" i="2"/>
  <c r="AB1318" i="2"/>
  <c r="AA1318" i="2"/>
  <c r="Z1318" i="2"/>
  <c r="Y1318" i="2"/>
  <c r="X1318" i="2"/>
  <c r="W1318" i="2"/>
  <c r="V1318" i="2"/>
  <c r="AE1317" i="2"/>
  <c r="AD1317" i="2"/>
  <c r="AC1317" i="2"/>
  <c r="AB1317" i="2"/>
  <c r="AA1317" i="2"/>
  <c r="Z1317" i="2"/>
  <c r="Y1317" i="2"/>
  <c r="X1317" i="2"/>
  <c r="W1317" i="2"/>
  <c r="V1317" i="2"/>
  <c r="AE1316" i="2"/>
  <c r="AD1316" i="2"/>
  <c r="AC1316" i="2"/>
  <c r="AB1316" i="2"/>
  <c r="AA1316" i="2"/>
  <c r="Z1316" i="2"/>
  <c r="Y1316" i="2"/>
  <c r="X1316" i="2"/>
  <c r="W1316" i="2"/>
  <c r="V1316" i="2"/>
  <c r="AE1315" i="2"/>
  <c r="AD1315" i="2"/>
  <c r="AC1315" i="2"/>
  <c r="AB1315" i="2"/>
  <c r="AA1315" i="2"/>
  <c r="Z1315" i="2"/>
  <c r="Y1315" i="2"/>
  <c r="X1315" i="2"/>
  <c r="W1315" i="2"/>
  <c r="V1315" i="2"/>
  <c r="AE1314" i="2"/>
  <c r="AD1314" i="2"/>
  <c r="AC1314" i="2"/>
  <c r="AB1314" i="2"/>
  <c r="AA1314" i="2"/>
  <c r="Z1314" i="2"/>
  <c r="Y1314" i="2"/>
  <c r="X1314" i="2"/>
  <c r="W1314" i="2"/>
  <c r="V1314" i="2"/>
  <c r="AE1313" i="2"/>
  <c r="AD1313" i="2"/>
  <c r="AC1313" i="2"/>
  <c r="AB1313" i="2"/>
  <c r="AA1313" i="2"/>
  <c r="Z1313" i="2"/>
  <c r="Y1313" i="2"/>
  <c r="X1313" i="2"/>
  <c r="W1313" i="2"/>
  <c r="V1313" i="2"/>
  <c r="AE1312" i="2"/>
  <c r="AD1312" i="2"/>
  <c r="AC1312" i="2"/>
  <c r="AB1312" i="2"/>
  <c r="AA1312" i="2"/>
  <c r="Z1312" i="2"/>
  <c r="Y1312" i="2"/>
  <c r="X1312" i="2"/>
  <c r="W1312" i="2"/>
  <c r="V1312" i="2"/>
  <c r="AE1311" i="2"/>
  <c r="AD1311" i="2"/>
  <c r="AC1311" i="2"/>
  <c r="AB1311" i="2"/>
  <c r="AA1311" i="2"/>
  <c r="Z1311" i="2"/>
  <c r="Y1311" i="2"/>
  <c r="X1311" i="2"/>
  <c r="W1311" i="2"/>
  <c r="V1311" i="2"/>
  <c r="AE1310" i="2"/>
  <c r="AD1310" i="2"/>
  <c r="AC1310" i="2"/>
  <c r="AB1310" i="2"/>
  <c r="AA1310" i="2"/>
  <c r="Z1310" i="2"/>
  <c r="Y1310" i="2"/>
  <c r="X1310" i="2"/>
  <c r="W1310" i="2"/>
  <c r="V1310" i="2"/>
  <c r="AE1309" i="2"/>
  <c r="AD1309" i="2"/>
  <c r="AC1309" i="2"/>
  <c r="AB1309" i="2"/>
  <c r="AA1309" i="2"/>
  <c r="Z1309" i="2"/>
  <c r="Y1309" i="2"/>
  <c r="X1309" i="2"/>
  <c r="W1309" i="2"/>
  <c r="V1309" i="2"/>
  <c r="AE1308" i="2"/>
  <c r="AD1308" i="2"/>
  <c r="AC1308" i="2"/>
  <c r="AB1308" i="2"/>
  <c r="AA1308" i="2"/>
  <c r="Z1308" i="2"/>
  <c r="Y1308" i="2"/>
  <c r="X1308" i="2"/>
  <c r="W1308" i="2"/>
  <c r="V1308" i="2"/>
  <c r="AE1307" i="2"/>
  <c r="AD1307" i="2"/>
  <c r="AC1307" i="2"/>
  <c r="AB1307" i="2"/>
  <c r="AA1307" i="2"/>
  <c r="Z1307" i="2"/>
  <c r="Y1307" i="2"/>
  <c r="X1307" i="2"/>
  <c r="W1307" i="2"/>
  <c r="V1307" i="2"/>
  <c r="AE1306" i="2"/>
  <c r="AD1306" i="2"/>
  <c r="AC1306" i="2"/>
  <c r="AB1306" i="2"/>
  <c r="AA1306" i="2"/>
  <c r="Z1306" i="2"/>
  <c r="Y1306" i="2"/>
  <c r="X1306" i="2"/>
  <c r="W1306" i="2"/>
  <c r="V1306" i="2"/>
  <c r="AE1305" i="2"/>
  <c r="AD1305" i="2"/>
  <c r="AC1305" i="2"/>
  <c r="AB1305" i="2"/>
  <c r="AA1305" i="2"/>
  <c r="Z1305" i="2"/>
  <c r="Y1305" i="2"/>
  <c r="X1305" i="2"/>
  <c r="W1305" i="2"/>
  <c r="V1305" i="2"/>
  <c r="AE1304" i="2"/>
  <c r="AD1304" i="2"/>
  <c r="AC1304" i="2"/>
  <c r="AB1304" i="2"/>
  <c r="AA1304" i="2"/>
  <c r="Z1304" i="2"/>
  <c r="Y1304" i="2"/>
  <c r="X1304" i="2"/>
  <c r="W1304" i="2"/>
  <c r="V1304" i="2"/>
  <c r="AE1303" i="2"/>
  <c r="AD1303" i="2"/>
  <c r="AC1303" i="2"/>
  <c r="AB1303" i="2"/>
  <c r="AA1303" i="2"/>
  <c r="Z1303" i="2"/>
  <c r="Y1303" i="2"/>
  <c r="X1303" i="2"/>
  <c r="W1303" i="2"/>
  <c r="V1303" i="2"/>
  <c r="AE1302" i="2"/>
  <c r="AD1302" i="2"/>
  <c r="AC1302" i="2"/>
  <c r="AB1302" i="2"/>
  <c r="AA1302" i="2"/>
  <c r="Z1302" i="2"/>
  <c r="Y1302" i="2"/>
  <c r="X1302" i="2"/>
  <c r="W1302" i="2"/>
  <c r="V1302" i="2"/>
  <c r="AE1301" i="2"/>
  <c r="AD1301" i="2"/>
  <c r="AC1301" i="2"/>
  <c r="AB1301" i="2"/>
  <c r="AA1301" i="2"/>
  <c r="Z1301" i="2"/>
  <c r="Y1301" i="2"/>
  <c r="X1301" i="2"/>
  <c r="W1301" i="2"/>
  <c r="V1301" i="2"/>
  <c r="AE1300" i="2"/>
  <c r="AD1300" i="2"/>
  <c r="AC1300" i="2"/>
  <c r="AB1300" i="2"/>
  <c r="AA1300" i="2"/>
  <c r="Z1300" i="2"/>
  <c r="Y1300" i="2"/>
  <c r="X1300" i="2"/>
  <c r="W1300" i="2"/>
  <c r="V1300" i="2"/>
  <c r="AE1299" i="2"/>
  <c r="AD1299" i="2"/>
  <c r="AC1299" i="2"/>
  <c r="AB1299" i="2"/>
  <c r="AA1299" i="2"/>
  <c r="Z1299" i="2"/>
  <c r="Y1299" i="2"/>
  <c r="X1299" i="2"/>
  <c r="W1299" i="2"/>
  <c r="V1299" i="2"/>
  <c r="AE1298" i="2"/>
  <c r="AD1298" i="2"/>
  <c r="AC1298" i="2"/>
  <c r="AB1298" i="2"/>
  <c r="AA1298" i="2"/>
  <c r="Z1298" i="2"/>
  <c r="Y1298" i="2"/>
  <c r="X1298" i="2"/>
  <c r="W1298" i="2"/>
  <c r="V1298" i="2"/>
  <c r="AE1297" i="2"/>
  <c r="AD1297" i="2"/>
  <c r="AC1297" i="2"/>
  <c r="AB1297" i="2"/>
  <c r="AA1297" i="2"/>
  <c r="Z1297" i="2"/>
  <c r="Y1297" i="2"/>
  <c r="X1297" i="2"/>
  <c r="W1297" i="2"/>
  <c r="V1297" i="2"/>
  <c r="AE1296" i="2"/>
  <c r="AD1296" i="2"/>
  <c r="AC1296" i="2"/>
  <c r="AB1296" i="2"/>
  <c r="AA1296" i="2"/>
  <c r="Z1296" i="2"/>
  <c r="Y1296" i="2"/>
  <c r="X1296" i="2"/>
  <c r="W1296" i="2"/>
  <c r="V1296" i="2"/>
  <c r="AE1295" i="2"/>
  <c r="AD1295" i="2"/>
  <c r="AC1295" i="2"/>
  <c r="AB1295" i="2"/>
  <c r="AA1295" i="2"/>
  <c r="Z1295" i="2"/>
  <c r="Y1295" i="2"/>
  <c r="X1295" i="2"/>
  <c r="W1295" i="2"/>
  <c r="V1295" i="2"/>
  <c r="AE1294" i="2"/>
  <c r="AD1294" i="2"/>
  <c r="AC1294" i="2"/>
  <c r="AB1294" i="2"/>
  <c r="AA1294" i="2"/>
  <c r="Z1294" i="2"/>
  <c r="Y1294" i="2"/>
  <c r="X1294" i="2"/>
  <c r="W1294" i="2"/>
  <c r="V1294" i="2"/>
  <c r="AE1293" i="2"/>
  <c r="AD1293" i="2"/>
  <c r="AC1293" i="2"/>
  <c r="AB1293" i="2"/>
  <c r="AA1293" i="2"/>
  <c r="Z1293" i="2"/>
  <c r="Y1293" i="2"/>
  <c r="X1293" i="2"/>
  <c r="W1293" i="2"/>
  <c r="V1293" i="2"/>
  <c r="AE1292" i="2"/>
  <c r="AD1292" i="2"/>
  <c r="AC1292" i="2"/>
  <c r="AB1292" i="2"/>
  <c r="AA1292" i="2"/>
  <c r="Z1292" i="2"/>
  <c r="Y1292" i="2"/>
  <c r="X1292" i="2"/>
  <c r="W1292" i="2"/>
  <c r="V1292" i="2"/>
  <c r="AE1291" i="2"/>
  <c r="AD1291" i="2"/>
  <c r="AC1291" i="2"/>
  <c r="AB1291" i="2"/>
  <c r="AA1291" i="2"/>
  <c r="Z1291" i="2"/>
  <c r="Y1291" i="2"/>
  <c r="X1291" i="2"/>
  <c r="W1291" i="2"/>
  <c r="V1291" i="2"/>
  <c r="AE1290" i="2"/>
  <c r="AD1290" i="2"/>
  <c r="AC1290" i="2"/>
  <c r="AB1290" i="2"/>
  <c r="AA1290" i="2"/>
  <c r="Z1290" i="2"/>
  <c r="Y1290" i="2"/>
  <c r="X1290" i="2"/>
  <c r="W1290" i="2"/>
  <c r="V1290" i="2"/>
  <c r="AE1289" i="2"/>
  <c r="AD1289" i="2"/>
  <c r="AC1289" i="2"/>
  <c r="AB1289" i="2"/>
  <c r="AA1289" i="2"/>
  <c r="Z1289" i="2"/>
  <c r="Y1289" i="2"/>
  <c r="X1289" i="2"/>
  <c r="W1289" i="2"/>
  <c r="V1289" i="2"/>
  <c r="AE1288" i="2"/>
  <c r="AD1288" i="2"/>
  <c r="AC1288" i="2"/>
  <c r="AB1288" i="2"/>
  <c r="AA1288" i="2"/>
  <c r="Z1288" i="2"/>
  <c r="Y1288" i="2"/>
  <c r="X1288" i="2"/>
  <c r="W1288" i="2"/>
  <c r="V1288" i="2"/>
  <c r="AE1287" i="2"/>
  <c r="AD1287" i="2"/>
  <c r="AC1287" i="2"/>
  <c r="AB1287" i="2"/>
  <c r="AA1287" i="2"/>
  <c r="Z1287" i="2"/>
  <c r="Y1287" i="2"/>
  <c r="X1287" i="2"/>
  <c r="W1287" i="2"/>
  <c r="V1287" i="2"/>
  <c r="AE1286" i="2"/>
  <c r="AD1286" i="2"/>
  <c r="AC1286" i="2"/>
  <c r="AB1286" i="2"/>
  <c r="AA1286" i="2"/>
  <c r="Z1286" i="2"/>
  <c r="Y1286" i="2"/>
  <c r="X1286" i="2"/>
  <c r="W1286" i="2"/>
  <c r="V1286" i="2"/>
  <c r="AE1285" i="2"/>
  <c r="AD1285" i="2"/>
  <c r="AC1285" i="2"/>
  <c r="AB1285" i="2"/>
  <c r="AA1285" i="2"/>
  <c r="Z1285" i="2"/>
  <c r="Y1285" i="2"/>
  <c r="X1285" i="2"/>
  <c r="W1285" i="2"/>
  <c r="V1285" i="2"/>
  <c r="AE1284" i="2"/>
  <c r="AD1284" i="2"/>
  <c r="AC1284" i="2"/>
  <c r="AB1284" i="2"/>
  <c r="AA1284" i="2"/>
  <c r="Z1284" i="2"/>
  <c r="Y1284" i="2"/>
  <c r="X1284" i="2"/>
  <c r="W1284" i="2"/>
  <c r="V1284" i="2"/>
  <c r="AE1283" i="2"/>
  <c r="AD1283" i="2"/>
  <c r="AC1283" i="2"/>
  <c r="AB1283" i="2"/>
  <c r="AA1283" i="2"/>
  <c r="Z1283" i="2"/>
  <c r="Y1283" i="2"/>
  <c r="X1283" i="2"/>
  <c r="W1283" i="2"/>
  <c r="V1283" i="2"/>
  <c r="AE1282" i="2"/>
  <c r="AD1282" i="2"/>
  <c r="AC1282" i="2"/>
  <c r="AB1282" i="2"/>
  <c r="AA1282" i="2"/>
  <c r="Z1282" i="2"/>
  <c r="Y1282" i="2"/>
  <c r="X1282" i="2"/>
  <c r="W1282" i="2"/>
  <c r="V1282" i="2"/>
  <c r="AE1281" i="2"/>
  <c r="AD1281" i="2"/>
  <c r="AC1281" i="2"/>
  <c r="AB1281" i="2"/>
  <c r="AA1281" i="2"/>
  <c r="Z1281" i="2"/>
  <c r="Y1281" i="2"/>
  <c r="X1281" i="2"/>
  <c r="W1281" i="2"/>
  <c r="V1281" i="2"/>
  <c r="AE1280" i="2"/>
  <c r="AD1280" i="2"/>
  <c r="AC1280" i="2"/>
  <c r="AB1280" i="2"/>
  <c r="AA1280" i="2"/>
  <c r="Z1280" i="2"/>
  <c r="Y1280" i="2"/>
  <c r="X1280" i="2"/>
  <c r="W1280" i="2"/>
  <c r="V1280" i="2"/>
  <c r="AE1279" i="2"/>
  <c r="AD1279" i="2"/>
  <c r="AC1279" i="2"/>
  <c r="AB1279" i="2"/>
  <c r="AA1279" i="2"/>
  <c r="Z1279" i="2"/>
  <c r="Y1279" i="2"/>
  <c r="X1279" i="2"/>
  <c r="W1279" i="2"/>
  <c r="V1279" i="2"/>
  <c r="AE1278" i="2"/>
  <c r="AD1278" i="2"/>
  <c r="AC1278" i="2"/>
  <c r="AB1278" i="2"/>
  <c r="AA1278" i="2"/>
  <c r="Z1278" i="2"/>
  <c r="Y1278" i="2"/>
  <c r="X1278" i="2"/>
  <c r="W1278" i="2"/>
  <c r="V1278" i="2"/>
  <c r="AE1277" i="2"/>
  <c r="AD1277" i="2"/>
  <c r="AC1277" i="2"/>
  <c r="AB1277" i="2"/>
  <c r="AA1277" i="2"/>
  <c r="Z1277" i="2"/>
  <c r="Y1277" i="2"/>
  <c r="X1277" i="2"/>
  <c r="W1277" i="2"/>
  <c r="V1277" i="2"/>
  <c r="AE1276" i="2"/>
  <c r="AD1276" i="2"/>
  <c r="AC1276" i="2"/>
  <c r="AB1276" i="2"/>
  <c r="AA1276" i="2"/>
  <c r="Z1276" i="2"/>
  <c r="Y1276" i="2"/>
  <c r="X1276" i="2"/>
  <c r="W1276" i="2"/>
  <c r="V1276" i="2"/>
  <c r="AE1275" i="2"/>
  <c r="AD1275" i="2"/>
  <c r="AC1275" i="2"/>
  <c r="AB1275" i="2"/>
  <c r="AA1275" i="2"/>
  <c r="Z1275" i="2"/>
  <c r="Y1275" i="2"/>
  <c r="X1275" i="2"/>
  <c r="W1275" i="2"/>
  <c r="V1275" i="2"/>
  <c r="AE1274" i="2"/>
  <c r="AD1274" i="2"/>
  <c r="AC1274" i="2"/>
  <c r="AB1274" i="2"/>
  <c r="AA1274" i="2"/>
  <c r="Z1274" i="2"/>
  <c r="Y1274" i="2"/>
  <c r="X1274" i="2"/>
  <c r="W1274" i="2"/>
  <c r="V1274" i="2"/>
  <c r="AE1273" i="2"/>
  <c r="AD1273" i="2"/>
  <c r="AC1273" i="2"/>
  <c r="AB1273" i="2"/>
  <c r="AA1273" i="2"/>
  <c r="Z1273" i="2"/>
  <c r="Y1273" i="2"/>
  <c r="X1273" i="2"/>
  <c r="W1273" i="2"/>
  <c r="V1273" i="2"/>
  <c r="AE1272" i="2"/>
  <c r="AD1272" i="2"/>
  <c r="AC1272" i="2"/>
  <c r="AB1272" i="2"/>
  <c r="AA1272" i="2"/>
  <c r="Z1272" i="2"/>
  <c r="Y1272" i="2"/>
  <c r="X1272" i="2"/>
  <c r="W1272" i="2"/>
  <c r="V1272" i="2"/>
  <c r="AE1271" i="2"/>
  <c r="AD1271" i="2"/>
  <c r="AC1271" i="2"/>
  <c r="AB1271" i="2"/>
  <c r="AA1271" i="2"/>
  <c r="Z1271" i="2"/>
  <c r="Y1271" i="2"/>
  <c r="X1271" i="2"/>
  <c r="W1271" i="2"/>
  <c r="V1271" i="2"/>
  <c r="AE1270" i="2"/>
  <c r="AD1270" i="2"/>
  <c r="AC1270" i="2"/>
  <c r="AB1270" i="2"/>
  <c r="AA1270" i="2"/>
  <c r="Z1270" i="2"/>
  <c r="Y1270" i="2"/>
  <c r="X1270" i="2"/>
  <c r="W1270" i="2"/>
  <c r="V1270" i="2"/>
  <c r="AE1269" i="2"/>
  <c r="AD1269" i="2"/>
  <c r="AC1269" i="2"/>
  <c r="AB1269" i="2"/>
  <c r="AA1269" i="2"/>
  <c r="Z1269" i="2"/>
  <c r="Y1269" i="2"/>
  <c r="X1269" i="2"/>
  <c r="W1269" i="2"/>
  <c r="V1269" i="2"/>
  <c r="AE1268" i="2"/>
  <c r="AD1268" i="2"/>
  <c r="AC1268" i="2"/>
  <c r="AB1268" i="2"/>
  <c r="AA1268" i="2"/>
  <c r="Z1268" i="2"/>
  <c r="Y1268" i="2"/>
  <c r="X1268" i="2"/>
  <c r="W1268" i="2"/>
  <c r="V1268" i="2"/>
  <c r="AE1267" i="2"/>
  <c r="AD1267" i="2"/>
  <c r="AC1267" i="2"/>
  <c r="AB1267" i="2"/>
  <c r="AA1267" i="2"/>
  <c r="Z1267" i="2"/>
  <c r="Y1267" i="2"/>
  <c r="X1267" i="2"/>
  <c r="W1267" i="2"/>
  <c r="V1267" i="2"/>
  <c r="AE1266" i="2"/>
  <c r="AD1266" i="2"/>
  <c r="AC1266" i="2"/>
  <c r="AB1266" i="2"/>
  <c r="AA1266" i="2"/>
  <c r="Z1266" i="2"/>
  <c r="Y1266" i="2"/>
  <c r="X1266" i="2"/>
  <c r="W1266" i="2"/>
  <c r="V1266" i="2"/>
  <c r="AE1265" i="2"/>
  <c r="AD1265" i="2"/>
  <c r="AC1265" i="2"/>
  <c r="AB1265" i="2"/>
  <c r="AA1265" i="2"/>
  <c r="Z1265" i="2"/>
  <c r="Y1265" i="2"/>
  <c r="X1265" i="2"/>
  <c r="W1265" i="2"/>
  <c r="V1265" i="2"/>
  <c r="AE1264" i="2"/>
  <c r="AD1264" i="2"/>
  <c r="AC1264" i="2"/>
  <c r="AB1264" i="2"/>
  <c r="AA1264" i="2"/>
  <c r="Z1264" i="2"/>
  <c r="Y1264" i="2"/>
  <c r="X1264" i="2"/>
  <c r="W1264" i="2"/>
  <c r="V1264" i="2"/>
  <c r="AE1263" i="2"/>
  <c r="AD1263" i="2"/>
  <c r="AC1263" i="2"/>
  <c r="AB1263" i="2"/>
  <c r="AA1263" i="2"/>
  <c r="Z1263" i="2"/>
  <c r="Y1263" i="2"/>
  <c r="X1263" i="2"/>
  <c r="W1263" i="2"/>
  <c r="V1263" i="2"/>
  <c r="AE1262" i="2"/>
  <c r="AD1262" i="2"/>
  <c r="AC1262" i="2"/>
  <c r="AB1262" i="2"/>
  <c r="AA1262" i="2"/>
  <c r="Z1262" i="2"/>
  <c r="Y1262" i="2"/>
  <c r="X1262" i="2"/>
  <c r="W1262" i="2"/>
  <c r="V1262" i="2"/>
  <c r="AE1261" i="2"/>
  <c r="AD1261" i="2"/>
  <c r="AC1261" i="2"/>
  <c r="AB1261" i="2"/>
  <c r="AA1261" i="2"/>
  <c r="Z1261" i="2"/>
  <c r="Y1261" i="2"/>
  <c r="X1261" i="2"/>
  <c r="W1261" i="2"/>
  <c r="V1261" i="2"/>
  <c r="AE1260" i="2"/>
  <c r="AD1260" i="2"/>
  <c r="AC1260" i="2"/>
  <c r="AB1260" i="2"/>
  <c r="AA1260" i="2"/>
  <c r="Z1260" i="2"/>
  <c r="Y1260" i="2"/>
  <c r="X1260" i="2"/>
  <c r="W1260" i="2"/>
  <c r="V1260" i="2"/>
  <c r="AE1259" i="2"/>
  <c r="AD1259" i="2"/>
  <c r="AC1259" i="2"/>
  <c r="AB1259" i="2"/>
  <c r="AA1259" i="2"/>
  <c r="Z1259" i="2"/>
  <c r="Y1259" i="2"/>
  <c r="X1259" i="2"/>
  <c r="W1259" i="2"/>
  <c r="V1259" i="2"/>
  <c r="AE1258" i="2"/>
  <c r="AD1258" i="2"/>
  <c r="AC1258" i="2"/>
  <c r="AB1258" i="2"/>
  <c r="AA1258" i="2"/>
  <c r="Z1258" i="2"/>
  <c r="Y1258" i="2"/>
  <c r="X1258" i="2"/>
  <c r="W1258" i="2"/>
  <c r="V1258" i="2"/>
  <c r="AE1257" i="2"/>
  <c r="AD1257" i="2"/>
  <c r="AC1257" i="2"/>
  <c r="AB1257" i="2"/>
  <c r="AA1257" i="2"/>
  <c r="Z1257" i="2"/>
  <c r="Y1257" i="2"/>
  <c r="X1257" i="2"/>
  <c r="W1257" i="2"/>
  <c r="V1257" i="2"/>
  <c r="AE1256" i="2"/>
  <c r="AD1256" i="2"/>
  <c r="AC1256" i="2"/>
  <c r="AB1256" i="2"/>
  <c r="AA1256" i="2"/>
  <c r="Z1256" i="2"/>
  <c r="Y1256" i="2"/>
  <c r="X1256" i="2"/>
  <c r="W1256" i="2"/>
  <c r="V1256" i="2"/>
  <c r="AE1255" i="2"/>
  <c r="AD1255" i="2"/>
  <c r="AC1255" i="2"/>
  <c r="AB1255" i="2"/>
  <c r="AA1255" i="2"/>
  <c r="Z1255" i="2"/>
  <c r="Y1255" i="2"/>
  <c r="X1255" i="2"/>
  <c r="W1255" i="2"/>
  <c r="V1255" i="2"/>
  <c r="AE1254" i="2"/>
  <c r="AD1254" i="2"/>
  <c r="AC1254" i="2"/>
  <c r="AB1254" i="2"/>
  <c r="AA1254" i="2"/>
  <c r="Z1254" i="2"/>
  <c r="Y1254" i="2"/>
  <c r="X1254" i="2"/>
  <c r="W1254" i="2"/>
  <c r="V1254" i="2"/>
  <c r="AE1253" i="2"/>
  <c r="AD1253" i="2"/>
  <c r="AC1253" i="2"/>
  <c r="AB1253" i="2"/>
  <c r="AA1253" i="2"/>
  <c r="Z1253" i="2"/>
  <c r="Y1253" i="2"/>
  <c r="X1253" i="2"/>
  <c r="W1253" i="2"/>
  <c r="V1253" i="2"/>
  <c r="AE1252" i="2"/>
  <c r="AD1252" i="2"/>
  <c r="AC1252" i="2"/>
  <c r="AB1252" i="2"/>
  <c r="AA1252" i="2"/>
  <c r="Z1252" i="2"/>
  <c r="Y1252" i="2"/>
  <c r="X1252" i="2"/>
  <c r="W1252" i="2"/>
  <c r="V1252" i="2"/>
  <c r="AE1251" i="2"/>
  <c r="AD1251" i="2"/>
  <c r="AC1251" i="2"/>
  <c r="AB1251" i="2"/>
  <c r="AA1251" i="2"/>
  <c r="Z1251" i="2"/>
  <c r="Y1251" i="2"/>
  <c r="X1251" i="2"/>
  <c r="W1251" i="2"/>
  <c r="V1251" i="2"/>
  <c r="AE1250" i="2"/>
  <c r="AD1250" i="2"/>
  <c r="AC1250" i="2"/>
  <c r="AB1250" i="2"/>
  <c r="AA1250" i="2"/>
  <c r="Z1250" i="2"/>
  <c r="Y1250" i="2"/>
  <c r="X1250" i="2"/>
  <c r="W1250" i="2"/>
  <c r="V1250" i="2"/>
  <c r="AE1249" i="2"/>
  <c r="AD1249" i="2"/>
  <c r="AC1249" i="2"/>
  <c r="AB1249" i="2"/>
  <c r="AA1249" i="2"/>
  <c r="Z1249" i="2"/>
  <c r="Y1249" i="2"/>
  <c r="X1249" i="2"/>
  <c r="W1249" i="2"/>
  <c r="V1249" i="2"/>
  <c r="AE1248" i="2"/>
  <c r="AD1248" i="2"/>
  <c r="AC1248" i="2"/>
  <c r="AB1248" i="2"/>
  <c r="AA1248" i="2"/>
  <c r="Z1248" i="2"/>
  <c r="Y1248" i="2"/>
  <c r="X1248" i="2"/>
  <c r="W1248" i="2"/>
  <c r="V1248" i="2"/>
  <c r="AE1247" i="2"/>
  <c r="AD1247" i="2"/>
  <c r="AC1247" i="2"/>
  <c r="AB1247" i="2"/>
  <c r="AA1247" i="2"/>
  <c r="Z1247" i="2"/>
  <c r="Y1247" i="2"/>
  <c r="X1247" i="2"/>
  <c r="W1247" i="2"/>
  <c r="V1247" i="2"/>
  <c r="AE1246" i="2"/>
  <c r="AD1246" i="2"/>
  <c r="AC1246" i="2"/>
  <c r="AB1246" i="2"/>
  <c r="AA1246" i="2"/>
  <c r="Z1246" i="2"/>
  <c r="Y1246" i="2"/>
  <c r="X1246" i="2"/>
  <c r="W1246" i="2"/>
  <c r="V1246" i="2"/>
  <c r="AE1245" i="2"/>
  <c r="AD1245" i="2"/>
  <c r="AC1245" i="2"/>
  <c r="AB1245" i="2"/>
  <c r="AA1245" i="2"/>
  <c r="Z1245" i="2"/>
  <c r="Y1245" i="2"/>
  <c r="X1245" i="2"/>
  <c r="W1245" i="2"/>
  <c r="V1245" i="2"/>
  <c r="AE1244" i="2"/>
  <c r="AD1244" i="2"/>
  <c r="AC1244" i="2"/>
  <c r="AB1244" i="2"/>
  <c r="AA1244" i="2"/>
  <c r="Z1244" i="2"/>
  <c r="Y1244" i="2"/>
  <c r="X1244" i="2"/>
  <c r="W1244" i="2"/>
  <c r="V1244" i="2"/>
  <c r="AE1243" i="2"/>
  <c r="AD1243" i="2"/>
  <c r="AC1243" i="2"/>
  <c r="AB1243" i="2"/>
  <c r="AA1243" i="2"/>
  <c r="Z1243" i="2"/>
  <c r="Y1243" i="2"/>
  <c r="X1243" i="2"/>
  <c r="W1243" i="2"/>
  <c r="V1243" i="2"/>
  <c r="AE1242" i="2"/>
  <c r="AD1242" i="2"/>
  <c r="AC1242" i="2"/>
  <c r="AB1242" i="2"/>
  <c r="AA1242" i="2"/>
  <c r="Z1242" i="2"/>
  <c r="Y1242" i="2"/>
  <c r="X1242" i="2"/>
  <c r="W1242" i="2"/>
  <c r="V1242" i="2"/>
  <c r="AE1241" i="2"/>
  <c r="AD1241" i="2"/>
  <c r="AC1241" i="2"/>
  <c r="AB1241" i="2"/>
  <c r="AA1241" i="2"/>
  <c r="Z1241" i="2"/>
  <c r="Y1241" i="2"/>
  <c r="X1241" i="2"/>
  <c r="W1241" i="2"/>
  <c r="V1241" i="2"/>
  <c r="AE1240" i="2"/>
  <c r="AD1240" i="2"/>
  <c r="AC1240" i="2"/>
  <c r="AB1240" i="2"/>
  <c r="AA1240" i="2"/>
  <c r="Z1240" i="2"/>
  <c r="Y1240" i="2"/>
  <c r="X1240" i="2"/>
  <c r="W1240" i="2"/>
  <c r="V1240" i="2"/>
  <c r="AE1239" i="2"/>
  <c r="AD1239" i="2"/>
  <c r="AC1239" i="2"/>
  <c r="AB1239" i="2"/>
  <c r="AA1239" i="2"/>
  <c r="Z1239" i="2"/>
  <c r="Y1239" i="2"/>
  <c r="X1239" i="2"/>
  <c r="W1239" i="2"/>
  <c r="V1239" i="2"/>
  <c r="AE1238" i="2"/>
  <c r="AD1238" i="2"/>
  <c r="AC1238" i="2"/>
  <c r="AB1238" i="2"/>
  <c r="AA1238" i="2"/>
  <c r="Z1238" i="2"/>
  <c r="Y1238" i="2"/>
  <c r="X1238" i="2"/>
  <c r="W1238" i="2"/>
  <c r="V1238" i="2"/>
  <c r="AE1237" i="2"/>
  <c r="AD1237" i="2"/>
  <c r="AC1237" i="2"/>
  <c r="AB1237" i="2"/>
  <c r="AA1237" i="2"/>
  <c r="Z1237" i="2"/>
  <c r="Y1237" i="2"/>
  <c r="X1237" i="2"/>
  <c r="W1237" i="2"/>
  <c r="V1237" i="2"/>
  <c r="AE1236" i="2"/>
  <c r="AD1236" i="2"/>
  <c r="AC1236" i="2"/>
  <c r="AB1236" i="2"/>
  <c r="AA1236" i="2"/>
  <c r="Z1236" i="2"/>
  <c r="Y1236" i="2"/>
  <c r="X1236" i="2"/>
  <c r="W1236" i="2"/>
  <c r="V1236" i="2"/>
  <c r="AE1235" i="2"/>
  <c r="AD1235" i="2"/>
  <c r="AC1235" i="2"/>
  <c r="AB1235" i="2"/>
  <c r="AA1235" i="2"/>
  <c r="Z1235" i="2"/>
  <c r="Y1235" i="2"/>
  <c r="X1235" i="2"/>
  <c r="W1235" i="2"/>
  <c r="V1235" i="2"/>
  <c r="AE1234" i="2"/>
  <c r="AD1234" i="2"/>
  <c r="AC1234" i="2"/>
  <c r="AB1234" i="2"/>
  <c r="AA1234" i="2"/>
  <c r="Z1234" i="2"/>
  <c r="Y1234" i="2"/>
  <c r="X1234" i="2"/>
  <c r="W1234" i="2"/>
  <c r="V1234" i="2"/>
  <c r="AE1233" i="2"/>
  <c r="AD1233" i="2"/>
  <c r="AC1233" i="2"/>
  <c r="AB1233" i="2"/>
  <c r="AA1233" i="2"/>
  <c r="Z1233" i="2"/>
  <c r="Y1233" i="2"/>
  <c r="X1233" i="2"/>
  <c r="W1233" i="2"/>
  <c r="V1233" i="2"/>
  <c r="AE1232" i="2"/>
  <c r="AD1232" i="2"/>
  <c r="AC1232" i="2"/>
  <c r="AB1232" i="2"/>
  <c r="AA1232" i="2"/>
  <c r="Z1232" i="2"/>
  <c r="Y1232" i="2"/>
  <c r="X1232" i="2"/>
  <c r="W1232" i="2"/>
  <c r="V1232" i="2"/>
  <c r="AE1231" i="2"/>
  <c r="AD1231" i="2"/>
  <c r="AC1231" i="2"/>
  <c r="AB1231" i="2"/>
  <c r="AA1231" i="2"/>
  <c r="Z1231" i="2"/>
  <c r="Y1231" i="2"/>
  <c r="X1231" i="2"/>
  <c r="W1231" i="2"/>
  <c r="V1231" i="2"/>
  <c r="AE1230" i="2"/>
  <c r="AD1230" i="2"/>
  <c r="AC1230" i="2"/>
  <c r="AB1230" i="2"/>
  <c r="AA1230" i="2"/>
  <c r="Z1230" i="2"/>
  <c r="Y1230" i="2"/>
  <c r="X1230" i="2"/>
  <c r="W1230" i="2"/>
  <c r="V1230" i="2"/>
  <c r="AE1229" i="2"/>
  <c r="AD1229" i="2"/>
  <c r="AC1229" i="2"/>
  <c r="AB1229" i="2"/>
  <c r="AA1229" i="2"/>
  <c r="Z1229" i="2"/>
  <c r="Y1229" i="2"/>
  <c r="X1229" i="2"/>
  <c r="W1229" i="2"/>
  <c r="V1229" i="2"/>
  <c r="AE1228" i="2"/>
  <c r="AD1228" i="2"/>
  <c r="AC1228" i="2"/>
  <c r="AB1228" i="2"/>
  <c r="AA1228" i="2"/>
  <c r="Z1228" i="2"/>
  <c r="Y1228" i="2"/>
  <c r="X1228" i="2"/>
  <c r="W1228" i="2"/>
  <c r="V1228" i="2"/>
  <c r="AE1227" i="2"/>
  <c r="AD1227" i="2"/>
  <c r="AC1227" i="2"/>
  <c r="AB1227" i="2"/>
  <c r="AA1227" i="2"/>
  <c r="Z1227" i="2"/>
  <c r="Y1227" i="2"/>
  <c r="X1227" i="2"/>
  <c r="W1227" i="2"/>
  <c r="V1227" i="2"/>
  <c r="AE1226" i="2"/>
  <c r="AD1226" i="2"/>
  <c r="AC1226" i="2"/>
  <c r="AB1226" i="2"/>
  <c r="AA1226" i="2"/>
  <c r="Z1226" i="2"/>
  <c r="Y1226" i="2"/>
  <c r="X1226" i="2"/>
  <c r="W1226" i="2"/>
  <c r="V1226" i="2"/>
  <c r="AE1225" i="2"/>
  <c r="AD1225" i="2"/>
  <c r="AC1225" i="2"/>
  <c r="AB1225" i="2"/>
  <c r="AA1225" i="2"/>
  <c r="Z1225" i="2"/>
  <c r="Y1225" i="2"/>
  <c r="X1225" i="2"/>
  <c r="W1225" i="2"/>
  <c r="V1225" i="2"/>
  <c r="AE1224" i="2"/>
  <c r="AD1224" i="2"/>
  <c r="AC1224" i="2"/>
  <c r="AB1224" i="2"/>
  <c r="AA1224" i="2"/>
  <c r="Z1224" i="2"/>
  <c r="Y1224" i="2"/>
  <c r="X1224" i="2"/>
  <c r="W1224" i="2"/>
  <c r="V1224" i="2"/>
  <c r="AE1223" i="2"/>
  <c r="AD1223" i="2"/>
  <c r="AC1223" i="2"/>
  <c r="AB1223" i="2"/>
  <c r="AA1223" i="2"/>
  <c r="Z1223" i="2"/>
  <c r="Y1223" i="2"/>
  <c r="X1223" i="2"/>
  <c r="W1223" i="2"/>
  <c r="V1223" i="2"/>
  <c r="AE1222" i="2"/>
  <c r="AD1222" i="2"/>
  <c r="AC1222" i="2"/>
  <c r="AB1222" i="2"/>
  <c r="AA1222" i="2"/>
  <c r="Z1222" i="2"/>
  <c r="Y1222" i="2"/>
  <c r="X1222" i="2"/>
  <c r="W1222" i="2"/>
  <c r="V1222" i="2"/>
  <c r="AE1221" i="2"/>
  <c r="AD1221" i="2"/>
  <c r="AC1221" i="2"/>
  <c r="AB1221" i="2"/>
  <c r="AA1221" i="2"/>
  <c r="Z1221" i="2"/>
  <c r="Y1221" i="2"/>
  <c r="X1221" i="2"/>
  <c r="W1221" i="2"/>
  <c r="V1221" i="2"/>
  <c r="AE1220" i="2"/>
  <c r="AD1220" i="2"/>
  <c r="AC1220" i="2"/>
  <c r="AB1220" i="2"/>
  <c r="AA1220" i="2"/>
  <c r="Z1220" i="2"/>
  <c r="Y1220" i="2"/>
  <c r="X1220" i="2"/>
  <c r="W1220" i="2"/>
  <c r="V1220" i="2"/>
  <c r="AE1219" i="2"/>
  <c r="AD1219" i="2"/>
  <c r="AC1219" i="2"/>
  <c r="AB1219" i="2"/>
  <c r="AA1219" i="2"/>
  <c r="Z1219" i="2"/>
  <c r="Y1219" i="2"/>
  <c r="X1219" i="2"/>
  <c r="W1219" i="2"/>
  <c r="V1219" i="2"/>
  <c r="AE1218" i="2"/>
  <c r="AD1218" i="2"/>
  <c r="AC1218" i="2"/>
  <c r="AB1218" i="2"/>
  <c r="AA1218" i="2"/>
  <c r="Z1218" i="2"/>
  <c r="Y1218" i="2"/>
  <c r="X1218" i="2"/>
  <c r="W1218" i="2"/>
  <c r="V1218" i="2"/>
  <c r="AE1217" i="2"/>
  <c r="AD1217" i="2"/>
  <c r="AC1217" i="2"/>
  <c r="AB1217" i="2"/>
  <c r="AA1217" i="2"/>
  <c r="Z1217" i="2"/>
  <c r="Y1217" i="2"/>
  <c r="X1217" i="2"/>
  <c r="W1217" i="2"/>
  <c r="V1217" i="2"/>
  <c r="AE1216" i="2"/>
  <c r="AD1216" i="2"/>
  <c r="AC1216" i="2"/>
  <c r="AB1216" i="2"/>
  <c r="AA1216" i="2"/>
  <c r="Z1216" i="2"/>
  <c r="Y1216" i="2"/>
  <c r="X1216" i="2"/>
  <c r="W1216" i="2"/>
  <c r="V1216" i="2"/>
  <c r="AE1215" i="2"/>
  <c r="AD1215" i="2"/>
  <c r="AC1215" i="2"/>
  <c r="AB1215" i="2"/>
  <c r="AA1215" i="2"/>
  <c r="Z1215" i="2"/>
  <c r="Y1215" i="2"/>
  <c r="X1215" i="2"/>
  <c r="W1215" i="2"/>
  <c r="V1215" i="2"/>
  <c r="AE1214" i="2"/>
  <c r="AD1214" i="2"/>
  <c r="AC1214" i="2"/>
  <c r="AB1214" i="2"/>
  <c r="AA1214" i="2"/>
  <c r="Z1214" i="2"/>
  <c r="Y1214" i="2"/>
  <c r="X1214" i="2"/>
  <c r="W1214" i="2"/>
  <c r="V1214" i="2"/>
  <c r="AE1213" i="2"/>
  <c r="AD1213" i="2"/>
  <c r="AC1213" i="2"/>
  <c r="AB1213" i="2"/>
  <c r="AA1213" i="2"/>
  <c r="Z1213" i="2"/>
  <c r="Y1213" i="2"/>
  <c r="X1213" i="2"/>
  <c r="W1213" i="2"/>
  <c r="V1213" i="2"/>
  <c r="AE1212" i="2"/>
  <c r="AD1212" i="2"/>
  <c r="AC1212" i="2"/>
  <c r="AB1212" i="2"/>
  <c r="AA1212" i="2"/>
  <c r="Z1212" i="2"/>
  <c r="Y1212" i="2"/>
  <c r="X1212" i="2"/>
  <c r="W1212" i="2"/>
  <c r="V1212" i="2"/>
  <c r="AE1211" i="2"/>
  <c r="AD1211" i="2"/>
  <c r="AC1211" i="2"/>
  <c r="AB1211" i="2"/>
  <c r="AA1211" i="2"/>
  <c r="Z1211" i="2"/>
  <c r="Y1211" i="2"/>
  <c r="X1211" i="2"/>
  <c r="W1211" i="2"/>
  <c r="V1211" i="2"/>
  <c r="AE1210" i="2"/>
  <c r="AD1210" i="2"/>
  <c r="AC1210" i="2"/>
  <c r="AB1210" i="2"/>
  <c r="AA1210" i="2"/>
  <c r="Z1210" i="2"/>
  <c r="Y1210" i="2"/>
  <c r="X1210" i="2"/>
  <c r="W1210" i="2"/>
  <c r="V1210" i="2"/>
  <c r="AE1209" i="2"/>
  <c r="AD1209" i="2"/>
  <c r="AC1209" i="2"/>
  <c r="AB1209" i="2"/>
  <c r="AA1209" i="2"/>
  <c r="Z1209" i="2"/>
  <c r="Y1209" i="2"/>
  <c r="X1209" i="2"/>
  <c r="W1209" i="2"/>
  <c r="V1209" i="2"/>
  <c r="AE1208" i="2"/>
  <c r="AD1208" i="2"/>
  <c r="AC1208" i="2"/>
  <c r="AB1208" i="2"/>
  <c r="AA1208" i="2"/>
  <c r="Z1208" i="2"/>
  <c r="Y1208" i="2"/>
  <c r="X1208" i="2"/>
  <c r="W1208" i="2"/>
  <c r="V1208" i="2"/>
  <c r="AE1207" i="2"/>
  <c r="AD1207" i="2"/>
  <c r="AC1207" i="2"/>
  <c r="AB1207" i="2"/>
  <c r="AA1207" i="2"/>
  <c r="Z1207" i="2"/>
  <c r="Y1207" i="2"/>
  <c r="X1207" i="2"/>
  <c r="W1207" i="2"/>
  <c r="V1207" i="2"/>
  <c r="AE1206" i="2"/>
  <c r="AD1206" i="2"/>
  <c r="AC1206" i="2"/>
  <c r="AB1206" i="2"/>
  <c r="AA1206" i="2"/>
  <c r="Z1206" i="2"/>
  <c r="Y1206" i="2"/>
  <c r="X1206" i="2"/>
  <c r="W1206" i="2"/>
  <c r="V1206" i="2"/>
  <c r="AE1205" i="2"/>
  <c r="AD1205" i="2"/>
  <c r="AC1205" i="2"/>
  <c r="AB1205" i="2"/>
  <c r="AA1205" i="2"/>
  <c r="Z1205" i="2"/>
  <c r="Y1205" i="2"/>
  <c r="X1205" i="2"/>
  <c r="W1205" i="2"/>
  <c r="V1205" i="2"/>
  <c r="AE1204" i="2"/>
  <c r="AD1204" i="2"/>
  <c r="AC1204" i="2"/>
  <c r="AB1204" i="2"/>
  <c r="AA1204" i="2"/>
  <c r="Z1204" i="2"/>
  <c r="Y1204" i="2"/>
  <c r="X1204" i="2"/>
  <c r="W1204" i="2"/>
  <c r="V1204" i="2"/>
  <c r="AE1203" i="2"/>
  <c r="AD1203" i="2"/>
  <c r="AC1203" i="2"/>
  <c r="AB1203" i="2"/>
  <c r="AA1203" i="2"/>
  <c r="Z1203" i="2"/>
  <c r="Y1203" i="2"/>
  <c r="X1203" i="2"/>
  <c r="W1203" i="2"/>
  <c r="V1203" i="2"/>
  <c r="AE1202" i="2"/>
  <c r="AD1202" i="2"/>
  <c r="AC1202" i="2"/>
  <c r="AB1202" i="2"/>
  <c r="AA1202" i="2"/>
  <c r="Z1202" i="2"/>
  <c r="Y1202" i="2"/>
  <c r="X1202" i="2"/>
  <c r="W1202" i="2"/>
  <c r="V1202" i="2"/>
  <c r="AE1201" i="2"/>
  <c r="AD1201" i="2"/>
  <c r="AC1201" i="2"/>
  <c r="AB1201" i="2"/>
  <c r="AA1201" i="2"/>
  <c r="Z1201" i="2"/>
  <c r="Y1201" i="2"/>
  <c r="X1201" i="2"/>
  <c r="W1201" i="2"/>
  <c r="V1201" i="2"/>
  <c r="AE1200" i="2"/>
  <c r="AD1200" i="2"/>
  <c r="AC1200" i="2"/>
  <c r="AB1200" i="2"/>
  <c r="AA1200" i="2"/>
  <c r="Z1200" i="2"/>
  <c r="Y1200" i="2"/>
  <c r="X1200" i="2"/>
  <c r="W1200" i="2"/>
  <c r="V1200" i="2"/>
  <c r="AE1199" i="2"/>
  <c r="AD1199" i="2"/>
  <c r="AC1199" i="2"/>
  <c r="AB1199" i="2"/>
  <c r="AA1199" i="2"/>
  <c r="Z1199" i="2"/>
  <c r="Y1199" i="2"/>
  <c r="X1199" i="2"/>
  <c r="W1199" i="2"/>
  <c r="V1199" i="2"/>
  <c r="AE1198" i="2"/>
  <c r="AD1198" i="2"/>
  <c r="AC1198" i="2"/>
  <c r="AB1198" i="2"/>
  <c r="AA1198" i="2"/>
  <c r="Z1198" i="2"/>
  <c r="Y1198" i="2"/>
  <c r="X1198" i="2"/>
  <c r="W1198" i="2"/>
  <c r="V1198" i="2"/>
  <c r="AE1197" i="2"/>
  <c r="AD1197" i="2"/>
  <c r="AC1197" i="2"/>
  <c r="AB1197" i="2"/>
  <c r="AA1197" i="2"/>
  <c r="Z1197" i="2"/>
  <c r="Y1197" i="2"/>
  <c r="X1197" i="2"/>
  <c r="W1197" i="2"/>
  <c r="V1197" i="2"/>
  <c r="AE1196" i="2"/>
  <c r="AD1196" i="2"/>
  <c r="AC1196" i="2"/>
  <c r="AB1196" i="2"/>
  <c r="AA1196" i="2"/>
  <c r="Z1196" i="2"/>
  <c r="Y1196" i="2"/>
  <c r="X1196" i="2"/>
  <c r="W1196" i="2"/>
  <c r="V1196" i="2"/>
  <c r="AE1195" i="2"/>
  <c r="AD1195" i="2"/>
  <c r="AC1195" i="2"/>
  <c r="AB1195" i="2"/>
  <c r="AA1195" i="2"/>
  <c r="Z1195" i="2"/>
  <c r="Y1195" i="2"/>
  <c r="X1195" i="2"/>
  <c r="W1195" i="2"/>
  <c r="V1195" i="2"/>
  <c r="AE1194" i="2"/>
  <c r="AD1194" i="2"/>
  <c r="AC1194" i="2"/>
  <c r="AB1194" i="2"/>
  <c r="AA1194" i="2"/>
  <c r="Z1194" i="2"/>
  <c r="Y1194" i="2"/>
  <c r="X1194" i="2"/>
  <c r="W1194" i="2"/>
  <c r="V1194" i="2"/>
  <c r="AE1193" i="2"/>
  <c r="AD1193" i="2"/>
  <c r="AC1193" i="2"/>
  <c r="AB1193" i="2"/>
  <c r="AA1193" i="2"/>
  <c r="Z1193" i="2"/>
  <c r="Y1193" i="2"/>
  <c r="X1193" i="2"/>
  <c r="W1193" i="2"/>
  <c r="V1193" i="2"/>
  <c r="AE1192" i="2"/>
  <c r="AD1192" i="2"/>
  <c r="AC1192" i="2"/>
  <c r="AB1192" i="2"/>
  <c r="AA1192" i="2"/>
  <c r="Z1192" i="2"/>
  <c r="Y1192" i="2"/>
  <c r="X1192" i="2"/>
  <c r="W1192" i="2"/>
  <c r="V1192" i="2"/>
  <c r="AE1191" i="2"/>
  <c r="AD1191" i="2"/>
  <c r="AC1191" i="2"/>
  <c r="AB1191" i="2"/>
  <c r="AA1191" i="2"/>
  <c r="Z1191" i="2"/>
  <c r="Y1191" i="2"/>
  <c r="X1191" i="2"/>
  <c r="W1191" i="2"/>
  <c r="V1191" i="2"/>
  <c r="AE1190" i="2"/>
  <c r="AD1190" i="2"/>
  <c r="AC1190" i="2"/>
  <c r="AB1190" i="2"/>
  <c r="AA1190" i="2"/>
  <c r="Z1190" i="2"/>
  <c r="Y1190" i="2"/>
  <c r="X1190" i="2"/>
  <c r="W1190" i="2"/>
  <c r="V1190" i="2"/>
  <c r="AE1189" i="2"/>
  <c r="AD1189" i="2"/>
  <c r="AC1189" i="2"/>
  <c r="AB1189" i="2"/>
  <c r="AA1189" i="2"/>
  <c r="Z1189" i="2"/>
  <c r="Y1189" i="2"/>
  <c r="X1189" i="2"/>
  <c r="W1189" i="2"/>
  <c r="V1189" i="2"/>
  <c r="AE1188" i="2"/>
  <c r="AD1188" i="2"/>
  <c r="AC1188" i="2"/>
  <c r="AB1188" i="2"/>
  <c r="AA1188" i="2"/>
  <c r="Z1188" i="2"/>
  <c r="Y1188" i="2"/>
  <c r="X1188" i="2"/>
  <c r="W1188" i="2"/>
  <c r="V1188" i="2"/>
  <c r="AE1187" i="2"/>
  <c r="AD1187" i="2"/>
  <c r="AC1187" i="2"/>
  <c r="AB1187" i="2"/>
  <c r="AA1187" i="2"/>
  <c r="Z1187" i="2"/>
  <c r="Y1187" i="2"/>
  <c r="X1187" i="2"/>
  <c r="W1187" i="2"/>
  <c r="V1187" i="2"/>
  <c r="AE1186" i="2"/>
  <c r="AD1186" i="2"/>
  <c r="AC1186" i="2"/>
  <c r="AB1186" i="2"/>
  <c r="AA1186" i="2"/>
  <c r="Z1186" i="2"/>
  <c r="Y1186" i="2"/>
  <c r="X1186" i="2"/>
  <c r="W1186" i="2"/>
  <c r="V1186" i="2"/>
  <c r="AE1185" i="2"/>
  <c r="AD1185" i="2"/>
  <c r="AC1185" i="2"/>
  <c r="AB1185" i="2"/>
  <c r="AA1185" i="2"/>
  <c r="Z1185" i="2"/>
  <c r="Y1185" i="2"/>
  <c r="X1185" i="2"/>
  <c r="W1185" i="2"/>
  <c r="V1185" i="2"/>
  <c r="AE1184" i="2"/>
  <c r="AD1184" i="2"/>
  <c r="AC1184" i="2"/>
  <c r="AB1184" i="2"/>
  <c r="AA1184" i="2"/>
  <c r="Z1184" i="2"/>
  <c r="Y1184" i="2"/>
  <c r="X1184" i="2"/>
  <c r="W1184" i="2"/>
  <c r="V1184" i="2"/>
  <c r="AE1183" i="2"/>
  <c r="AD1183" i="2"/>
  <c r="AC1183" i="2"/>
  <c r="AB1183" i="2"/>
  <c r="AA1183" i="2"/>
  <c r="Z1183" i="2"/>
  <c r="Y1183" i="2"/>
  <c r="X1183" i="2"/>
  <c r="W1183" i="2"/>
  <c r="V1183" i="2"/>
  <c r="AE1182" i="2"/>
  <c r="AD1182" i="2"/>
  <c r="AC1182" i="2"/>
  <c r="AB1182" i="2"/>
  <c r="AA1182" i="2"/>
  <c r="Z1182" i="2"/>
  <c r="Y1182" i="2"/>
  <c r="X1182" i="2"/>
  <c r="W1182" i="2"/>
  <c r="V1182" i="2"/>
  <c r="AE1181" i="2"/>
  <c r="AD1181" i="2"/>
  <c r="AC1181" i="2"/>
  <c r="AB1181" i="2"/>
  <c r="AA1181" i="2"/>
  <c r="Z1181" i="2"/>
  <c r="Y1181" i="2"/>
  <c r="X1181" i="2"/>
  <c r="W1181" i="2"/>
  <c r="V1181" i="2"/>
  <c r="AE1180" i="2"/>
  <c r="AD1180" i="2"/>
  <c r="AC1180" i="2"/>
  <c r="AB1180" i="2"/>
  <c r="AA1180" i="2"/>
  <c r="Z1180" i="2"/>
  <c r="Y1180" i="2"/>
  <c r="X1180" i="2"/>
  <c r="W1180" i="2"/>
  <c r="V1180" i="2"/>
  <c r="AE1179" i="2"/>
  <c r="AD1179" i="2"/>
  <c r="AC1179" i="2"/>
  <c r="AB1179" i="2"/>
  <c r="AA1179" i="2"/>
  <c r="Z1179" i="2"/>
  <c r="Y1179" i="2"/>
  <c r="X1179" i="2"/>
  <c r="W1179" i="2"/>
  <c r="V1179" i="2"/>
  <c r="AE1178" i="2"/>
  <c r="AD1178" i="2"/>
  <c r="AC1178" i="2"/>
  <c r="AB1178" i="2"/>
  <c r="AA1178" i="2"/>
  <c r="Z1178" i="2"/>
  <c r="Y1178" i="2"/>
  <c r="X1178" i="2"/>
  <c r="W1178" i="2"/>
  <c r="V1178" i="2"/>
  <c r="AE1177" i="2"/>
  <c r="AD1177" i="2"/>
  <c r="AC1177" i="2"/>
  <c r="AB1177" i="2"/>
  <c r="AA1177" i="2"/>
  <c r="Z1177" i="2"/>
  <c r="Y1177" i="2"/>
  <c r="X1177" i="2"/>
  <c r="W1177" i="2"/>
  <c r="V1177" i="2"/>
  <c r="AE1176" i="2"/>
  <c r="AD1176" i="2"/>
  <c r="AC1176" i="2"/>
  <c r="AB1176" i="2"/>
  <c r="AA1176" i="2"/>
  <c r="Z1176" i="2"/>
  <c r="Y1176" i="2"/>
  <c r="X1176" i="2"/>
  <c r="W1176" i="2"/>
  <c r="V1176" i="2"/>
  <c r="AE1175" i="2"/>
  <c r="AD1175" i="2"/>
  <c r="AC1175" i="2"/>
  <c r="AB1175" i="2"/>
  <c r="AA1175" i="2"/>
  <c r="Z1175" i="2"/>
  <c r="Y1175" i="2"/>
  <c r="X1175" i="2"/>
  <c r="W1175" i="2"/>
  <c r="V1175" i="2"/>
  <c r="AE1174" i="2"/>
  <c r="AD1174" i="2"/>
  <c r="AC1174" i="2"/>
  <c r="AB1174" i="2"/>
  <c r="AA1174" i="2"/>
  <c r="Z1174" i="2"/>
  <c r="Y1174" i="2"/>
  <c r="X1174" i="2"/>
  <c r="W1174" i="2"/>
  <c r="V1174" i="2"/>
  <c r="AE1173" i="2"/>
  <c r="AD1173" i="2"/>
  <c r="AC1173" i="2"/>
  <c r="AB1173" i="2"/>
  <c r="AA1173" i="2"/>
  <c r="Z1173" i="2"/>
  <c r="Y1173" i="2"/>
  <c r="X1173" i="2"/>
  <c r="W1173" i="2"/>
  <c r="V1173" i="2"/>
  <c r="AE1172" i="2"/>
  <c r="AD1172" i="2"/>
  <c r="AC1172" i="2"/>
  <c r="AB1172" i="2"/>
  <c r="AA1172" i="2"/>
  <c r="Z1172" i="2"/>
  <c r="Y1172" i="2"/>
  <c r="X1172" i="2"/>
  <c r="W1172" i="2"/>
  <c r="V1172" i="2"/>
  <c r="AE1171" i="2"/>
  <c r="AD1171" i="2"/>
  <c r="AC1171" i="2"/>
  <c r="AB1171" i="2"/>
  <c r="AA1171" i="2"/>
  <c r="Z1171" i="2"/>
  <c r="Y1171" i="2"/>
  <c r="X1171" i="2"/>
  <c r="W1171" i="2"/>
  <c r="V1171" i="2"/>
  <c r="AE1170" i="2"/>
  <c r="AD1170" i="2"/>
  <c r="AC1170" i="2"/>
  <c r="AB1170" i="2"/>
  <c r="AA1170" i="2"/>
  <c r="Z1170" i="2"/>
  <c r="Y1170" i="2"/>
  <c r="X1170" i="2"/>
  <c r="W1170" i="2"/>
  <c r="V1170" i="2"/>
  <c r="AE1169" i="2"/>
  <c r="AD1169" i="2"/>
  <c r="AC1169" i="2"/>
  <c r="AB1169" i="2"/>
  <c r="AA1169" i="2"/>
  <c r="Z1169" i="2"/>
  <c r="Y1169" i="2"/>
  <c r="X1169" i="2"/>
  <c r="W1169" i="2"/>
  <c r="V1169" i="2"/>
  <c r="AE1168" i="2"/>
  <c r="AD1168" i="2"/>
  <c r="AC1168" i="2"/>
  <c r="AB1168" i="2"/>
  <c r="AA1168" i="2"/>
  <c r="Z1168" i="2"/>
  <c r="Y1168" i="2"/>
  <c r="X1168" i="2"/>
  <c r="W1168" i="2"/>
  <c r="V1168" i="2"/>
  <c r="AE1167" i="2"/>
  <c r="AD1167" i="2"/>
  <c r="AC1167" i="2"/>
  <c r="AB1167" i="2"/>
  <c r="AA1167" i="2"/>
  <c r="Z1167" i="2"/>
  <c r="Y1167" i="2"/>
  <c r="X1167" i="2"/>
  <c r="W1167" i="2"/>
  <c r="V1167" i="2"/>
  <c r="AE1166" i="2"/>
  <c r="AD1166" i="2"/>
  <c r="AC1166" i="2"/>
  <c r="AB1166" i="2"/>
  <c r="AA1166" i="2"/>
  <c r="Z1166" i="2"/>
  <c r="Y1166" i="2"/>
  <c r="X1166" i="2"/>
  <c r="W1166" i="2"/>
  <c r="V1166" i="2"/>
  <c r="AE1165" i="2"/>
  <c r="AD1165" i="2"/>
  <c r="AC1165" i="2"/>
  <c r="AB1165" i="2"/>
  <c r="AA1165" i="2"/>
  <c r="Z1165" i="2"/>
  <c r="Y1165" i="2"/>
  <c r="X1165" i="2"/>
  <c r="W1165" i="2"/>
  <c r="V1165" i="2"/>
  <c r="AE1164" i="2"/>
  <c r="AD1164" i="2"/>
  <c r="AC1164" i="2"/>
  <c r="AB1164" i="2"/>
  <c r="AA1164" i="2"/>
  <c r="Z1164" i="2"/>
  <c r="Y1164" i="2"/>
  <c r="X1164" i="2"/>
  <c r="W1164" i="2"/>
  <c r="V1164" i="2"/>
  <c r="AE1163" i="2"/>
  <c r="AD1163" i="2"/>
  <c r="AC1163" i="2"/>
  <c r="AB1163" i="2"/>
  <c r="AA1163" i="2"/>
  <c r="Z1163" i="2"/>
  <c r="Y1163" i="2"/>
  <c r="X1163" i="2"/>
  <c r="W1163" i="2"/>
  <c r="V1163" i="2"/>
  <c r="AE1162" i="2"/>
  <c r="AD1162" i="2"/>
  <c r="AC1162" i="2"/>
  <c r="AB1162" i="2"/>
  <c r="AA1162" i="2"/>
  <c r="Z1162" i="2"/>
  <c r="Y1162" i="2"/>
  <c r="X1162" i="2"/>
  <c r="W1162" i="2"/>
  <c r="V1162" i="2"/>
  <c r="AE1161" i="2"/>
  <c r="AD1161" i="2"/>
  <c r="AC1161" i="2"/>
  <c r="AB1161" i="2"/>
  <c r="AA1161" i="2"/>
  <c r="Z1161" i="2"/>
  <c r="Y1161" i="2"/>
  <c r="X1161" i="2"/>
  <c r="W1161" i="2"/>
  <c r="V1161" i="2"/>
  <c r="AE1160" i="2"/>
  <c r="AD1160" i="2"/>
  <c r="AC1160" i="2"/>
  <c r="AB1160" i="2"/>
  <c r="AA1160" i="2"/>
  <c r="Z1160" i="2"/>
  <c r="Y1160" i="2"/>
  <c r="X1160" i="2"/>
  <c r="W1160" i="2"/>
  <c r="V1160" i="2"/>
  <c r="AE1159" i="2"/>
  <c r="AD1159" i="2"/>
  <c r="AC1159" i="2"/>
  <c r="AB1159" i="2"/>
  <c r="AA1159" i="2"/>
  <c r="Z1159" i="2"/>
  <c r="Y1159" i="2"/>
  <c r="X1159" i="2"/>
  <c r="W1159" i="2"/>
  <c r="V1159" i="2"/>
  <c r="AE1158" i="2"/>
  <c r="AD1158" i="2"/>
  <c r="AC1158" i="2"/>
  <c r="AB1158" i="2"/>
  <c r="AA1158" i="2"/>
  <c r="Z1158" i="2"/>
  <c r="Y1158" i="2"/>
  <c r="X1158" i="2"/>
  <c r="W1158" i="2"/>
  <c r="V1158" i="2"/>
  <c r="AE1157" i="2"/>
  <c r="AD1157" i="2"/>
  <c r="AC1157" i="2"/>
  <c r="AB1157" i="2"/>
  <c r="AA1157" i="2"/>
  <c r="Z1157" i="2"/>
  <c r="Y1157" i="2"/>
  <c r="X1157" i="2"/>
  <c r="W1157" i="2"/>
  <c r="V1157" i="2"/>
  <c r="AE1156" i="2"/>
  <c r="AD1156" i="2"/>
  <c r="AC1156" i="2"/>
  <c r="AB1156" i="2"/>
  <c r="AA1156" i="2"/>
  <c r="Z1156" i="2"/>
  <c r="Y1156" i="2"/>
  <c r="X1156" i="2"/>
  <c r="W1156" i="2"/>
  <c r="V1156" i="2"/>
  <c r="AE1155" i="2"/>
  <c r="AD1155" i="2"/>
  <c r="AC1155" i="2"/>
  <c r="AB1155" i="2"/>
  <c r="AA1155" i="2"/>
  <c r="Z1155" i="2"/>
  <c r="Y1155" i="2"/>
  <c r="X1155" i="2"/>
  <c r="W1155" i="2"/>
  <c r="V1155" i="2"/>
  <c r="AE1154" i="2"/>
  <c r="AD1154" i="2"/>
  <c r="AC1154" i="2"/>
  <c r="AB1154" i="2"/>
  <c r="AA1154" i="2"/>
  <c r="Z1154" i="2"/>
  <c r="Y1154" i="2"/>
  <c r="X1154" i="2"/>
  <c r="W1154" i="2"/>
  <c r="V1154" i="2"/>
  <c r="AE1153" i="2"/>
  <c r="AD1153" i="2"/>
  <c r="AC1153" i="2"/>
  <c r="AB1153" i="2"/>
  <c r="AA1153" i="2"/>
  <c r="Z1153" i="2"/>
  <c r="Y1153" i="2"/>
  <c r="X1153" i="2"/>
  <c r="W1153" i="2"/>
  <c r="V1153" i="2"/>
  <c r="AE1152" i="2"/>
  <c r="AD1152" i="2"/>
  <c r="AC1152" i="2"/>
  <c r="AB1152" i="2"/>
  <c r="AA1152" i="2"/>
  <c r="Z1152" i="2"/>
  <c r="Y1152" i="2"/>
  <c r="X1152" i="2"/>
  <c r="W1152" i="2"/>
  <c r="V1152" i="2"/>
  <c r="AE1151" i="2"/>
  <c r="AD1151" i="2"/>
  <c r="AC1151" i="2"/>
  <c r="AB1151" i="2"/>
  <c r="AA1151" i="2"/>
  <c r="Z1151" i="2"/>
  <c r="Y1151" i="2"/>
  <c r="X1151" i="2"/>
  <c r="W1151" i="2"/>
  <c r="V1151" i="2"/>
  <c r="AE1150" i="2"/>
  <c r="AD1150" i="2"/>
  <c r="AC1150" i="2"/>
  <c r="AB1150" i="2"/>
  <c r="AA1150" i="2"/>
  <c r="Z1150" i="2"/>
  <c r="Y1150" i="2"/>
  <c r="X1150" i="2"/>
  <c r="W1150" i="2"/>
  <c r="V1150" i="2"/>
  <c r="AE1149" i="2"/>
  <c r="AD1149" i="2"/>
  <c r="AC1149" i="2"/>
  <c r="AB1149" i="2"/>
  <c r="AA1149" i="2"/>
  <c r="Z1149" i="2"/>
  <c r="Y1149" i="2"/>
  <c r="X1149" i="2"/>
  <c r="W1149" i="2"/>
  <c r="V1149" i="2"/>
  <c r="AE1148" i="2"/>
  <c r="AD1148" i="2"/>
  <c r="AC1148" i="2"/>
  <c r="AB1148" i="2"/>
  <c r="AA1148" i="2"/>
  <c r="Z1148" i="2"/>
  <c r="Y1148" i="2"/>
  <c r="X1148" i="2"/>
  <c r="W1148" i="2"/>
  <c r="V1148" i="2"/>
  <c r="AE1147" i="2"/>
  <c r="AD1147" i="2"/>
  <c r="AC1147" i="2"/>
  <c r="AB1147" i="2"/>
  <c r="AA1147" i="2"/>
  <c r="Z1147" i="2"/>
  <c r="Y1147" i="2"/>
  <c r="X1147" i="2"/>
  <c r="W1147" i="2"/>
  <c r="V1147" i="2"/>
  <c r="AE1146" i="2"/>
  <c r="AD1146" i="2"/>
  <c r="AC1146" i="2"/>
  <c r="AB1146" i="2"/>
  <c r="AA1146" i="2"/>
  <c r="Z1146" i="2"/>
  <c r="Y1146" i="2"/>
  <c r="X1146" i="2"/>
  <c r="W1146" i="2"/>
  <c r="V1146" i="2"/>
  <c r="AE1145" i="2"/>
  <c r="AD1145" i="2"/>
  <c r="AC1145" i="2"/>
  <c r="AB1145" i="2"/>
  <c r="AA1145" i="2"/>
  <c r="Z1145" i="2"/>
  <c r="Y1145" i="2"/>
  <c r="X1145" i="2"/>
  <c r="W1145" i="2"/>
  <c r="V1145" i="2"/>
  <c r="AE1144" i="2"/>
  <c r="AD1144" i="2"/>
  <c r="AC1144" i="2"/>
  <c r="AB1144" i="2"/>
  <c r="AA1144" i="2"/>
  <c r="Z1144" i="2"/>
  <c r="Y1144" i="2"/>
  <c r="X1144" i="2"/>
  <c r="W1144" i="2"/>
  <c r="V1144" i="2"/>
  <c r="AE1143" i="2"/>
  <c r="AD1143" i="2"/>
  <c r="AC1143" i="2"/>
  <c r="AB1143" i="2"/>
  <c r="AA1143" i="2"/>
  <c r="Z1143" i="2"/>
  <c r="Y1143" i="2"/>
  <c r="X1143" i="2"/>
  <c r="W1143" i="2"/>
  <c r="V1143" i="2"/>
  <c r="AE1142" i="2"/>
  <c r="AD1142" i="2"/>
  <c r="AC1142" i="2"/>
  <c r="AB1142" i="2"/>
  <c r="AA1142" i="2"/>
  <c r="Z1142" i="2"/>
  <c r="Y1142" i="2"/>
  <c r="X1142" i="2"/>
  <c r="W1142" i="2"/>
  <c r="V1142" i="2"/>
  <c r="AE1141" i="2"/>
  <c r="AD1141" i="2"/>
  <c r="AC1141" i="2"/>
  <c r="AB1141" i="2"/>
  <c r="AA1141" i="2"/>
  <c r="Z1141" i="2"/>
  <c r="Y1141" i="2"/>
  <c r="X1141" i="2"/>
  <c r="W1141" i="2"/>
  <c r="V1141" i="2"/>
  <c r="AE1140" i="2"/>
  <c r="AD1140" i="2"/>
  <c r="AC1140" i="2"/>
  <c r="AB1140" i="2"/>
  <c r="AA1140" i="2"/>
  <c r="Z1140" i="2"/>
  <c r="Y1140" i="2"/>
  <c r="X1140" i="2"/>
  <c r="W1140" i="2"/>
  <c r="V1140" i="2"/>
  <c r="AE1139" i="2"/>
  <c r="AD1139" i="2"/>
  <c r="AC1139" i="2"/>
  <c r="AB1139" i="2"/>
  <c r="AA1139" i="2"/>
  <c r="Z1139" i="2"/>
  <c r="Y1139" i="2"/>
  <c r="X1139" i="2"/>
  <c r="W1139" i="2"/>
  <c r="V1139" i="2"/>
  <c r="AE1138" i="2"/>
  <c r="AD1138" i="2"/>
  <c r="AC1138" i="2"/>
  <c r="AB1138" i="2"/>
  <c r="AA1138" i="2"/>
  <c r="Z1138" i="2"/>
  <c r="Y1138" i="2"/>
  <c r="X1138" i="2"/>
  <c r="W1138" i="2"/>
  <c r="V1138" i="2"/>
  <c r="AE1137" i="2"/>
  <c r="AD1137" i="2"/>
  <c r="AC1137" i="2"/>
  <c r="AB1137" i="2"/>
  <c r="AA1137" i="2"/>
  <c r="Z1137" i="2"/>
  <c r="Y1137" i="2"/>
  <c r="X1137" i="2"/>
  <c r="W1137" i="2"/>
  <c r="V1137" i="2"/>
  <c r="AE1136" i="2"/>
  <c r="AD1136" i="2"/>
  <c r="AC1136" i="2"/>
  <c r="AB1136" i="2"/>
  <c r="AA1136" i="2"/>
  <c r="Z1136" i="2"/>
  <c r="Y1136" i="2"/>
  <c r="X1136" i="2"/>
  <c r="W1136" i="2"/>
  <c r="V1136" i="2"/>
  <c r="AE1135" i="2"/>
  <c r="AD1135" i="2"/>
  <c r="AC1135" i="2"/>
  <c r="AB1135" i="2"/>
  <c r="AA1135" i="2"/>
  <c r="Z1135" i="2"/>
  <c r="Y1135" i="2"/>
  <c r="X1135" i="2"/>
  <c r="W1135" i="2"/>
  <c r="V1135" i="2"/>
  <c r="AE1134" i="2"/>
  <c r="AD1134" i="2"/>
  <c r="AC1134" i="2"/>
  <c r="AB1134" i="2"/>
  <c r="AA1134" i="2"/>
  <c r="Z1134" i="2"/>
  <c r="Y1134" i="2"/>
  <c r="X1134" i="2"/>
  <c r="W1134" i="2"/>
  <c r="V1134" i="2"/>
  <c r="AE1133" i="2"/>
  <c r="AD1133" i="2"/>
  <c r="AC1133" i="2"/>
  <c r="AB1133" i="2"/>
  <c r="AA1133" i="2"/>
  <c r="Z1133" i="2"/>
  <c r="Y1133" i="2"/>
  <c r="X1133" i="2"/>
  <c r="W1133" i="2"/>
  <c r="V1133" i="2"/>
  <c r="AE1132" i="2"/>
  <c r="AD1132" i="2"/>
  <c r="AC1132" i="2"/>
  <c r="AB1132" i="2"/>
  <c r="AA1132" i="2"/>
  <c r="Z1132" i="2"/>
  <c r="Y1132" i="2"/>
  <c r="X1132" i="2"/>
  <c r="W1132" i="2"/>
  <c r="V1132" i="2"/>
  <c r="AE1131" i="2"/>
  <c r="AD1131" i="2"/>
  <c r="AC1131" i="2"/>
  <c r="AB1131" i="2"/>
  <c r="AA1131" i="2"/>
  <c r="Z1131" i="2"/>
  <c r="Y1131" i="2"/>
  <c r="X1131" i="2"/>
  <c r="W1131" i="2"/>
  <c r="V1131" i="2"/>
  <c r="AE1130" i="2"/>
  <c r="AD1130" i="2"/>
  <c r="AC1130" i="2"/>
  <c r="AB1130" i="2"/>
  <c r="AA1130" i="2"/>
  <c r="Z1130" i="2"/>
  <c r="Y1130" i="2"/>
  <c r="X1130" i="2"/>
  <c r="W1130" i="2"/>
  <c r="V1130" i="2"/>
  <c r="AE1129" i="2"/>
  <c r="AD1129" i="2"/>
  <c r="AC1129" i="2"/>
  <c r="AB1129" i="2"/>
  <c r="AA1129" i="2"/>
  <c r="Z1129" i="2"/>
  <c r="Y1129" i="2"/>
  <c r="X1129" i="2"/>
  <c r="W1129" i="2"/>
  <c r="V1129" i="2"/>
  <c r="AE1128" i="2"/>
  <c r="AD1128" i="2"/>
  <c r="AC1128" i="2"/>
  <c r="AB1128" i="2"/>
  <c r="AA1128" i="2"/>
  <c r="Z1128" i="2"/>
  <c r="Y1128" i="2"/>
  <c r="X1128" i="2"/>
  <c r="W1128" i="2"/>
  <c r="V1128" i="2"/>
  <c r="AE1127" i="2"/>
  <c r="AD1127" i="2"/>
  <c r="AC1127" i="2"/>
  <c r="AB1127" i="2"/>
  <c r="AA1127" i="2"/>
  <c r="Z1127" i="2"/>
  <c r="Y1127" i="2"/>
  <c r="X1127" i="2"/>
  <c r="W1127" i="2"/>
  <c r="V1127" i="2"/>
  <c r="AE1126" i="2"/>
  <c r="AD1126" i="2"/>
  <c r="AC1126" i="2"/>
  <c r="AB1126" i="2"/>
  <c r="AA1126" i="2"/>
  <c r="Z1126" i="2"/>
  <c r="Y1126" i="2"/>
  <c r="X1126" i="2"/>
  <c r="W1126" i="2"/>
  <c r="V1126" i="2"/>
  <c r="AE1125" i="2"/>
  <c r="AD1125" i="2"/>
  <c r="AC1125" i="2"/>
  <c r="AB1125" i="2"/>
  <c r="AA1125" i="2"/>
  <c r="Z1125" i="2"/>
  <c r="Y1125" i="2"/>
  <c r="X1125" i="2"/>
  <c r="W1125" i="2"/>
  <c r="V1125" i="2"/>
  <c r="AE1124" i="2"/>
  <c r="AD1124" i="2"/>
  <c r="AC1124" i="2"/>
  <c r="AB1124" i="2"/>
  <c r="AA1124" i="2"/>
  <c r="Z1124" i="2"/>
  <c r="Y1124" i="2"/>
  <c r="X1124" i="2"/>
  <c r="W1124" i="2"/>
  <c r="V1124" i="2"/>
  <c r="AE1123" i="2"/>
  <c r="AD1123" i="2"/>
  <c r="AC1123" i="2"/>
  <c r="AB1123" i="2"/>
  <c r="AA1123" i="2"/>
  <c r="Z1123" i="2"/>
  <c r="Y1123" i="2"/>
  <c r="X1123" i="2"/>
  <c r="W1123" i="2"/>
  <c r="V1123" i="2"/>
  <c r="AE1122" i="2"/>
  <c r="AD1122" i="2"/>
  <c r="AC1122" i="2"/>
  <c r="AB1122" i="2"/>
  <c r="AA1122" i="2"/>
  <c r="Z1122" i="2"/>
  <c r="Y1122" i="2"/>
  <c r="X1122" i="2"/>
  <c r="W1122" i="2"/>
  <c r="V1122" i="2"/>
  <c r="AE1121" i="2"/>
  <c r="AD1121" i="2"/>
  <c r="AC1121" i="2"/>
  <c r="AB1121" i="2"/>
  <c r="AA1121" i="2"/>
  <c r="Z1121" i="2"/>
  <c r="Y1121" i="2"/>
  <c r="X1121" i="2"/>
  <c r="W1121" i="2"/>
  <c r="V1121" i="2"/>
  <c r="AE1120" i="2"/>
  <c r="AD1120" i="2"/>
  <c r="AC1120" i="2"/>
  <c r="AB1120" i="2"/>
  <c r="AA1120" i="2"/>
  <c r="Z1120" i="2"/>
  <c r="Y1120" i="2"/>
  <c r="X1120" i="2"/>
  <c r="W1120" i="2"/>
  <c r="V1120" i="2"/>
  <c r="AE1119" i="2"/>
  <c r="AD1119" i="2"/>
  <c r="AC1119" i="2"/>
  <c r="AB1119" i="2"/>
  <c r="AA1119" i="2"/>
  <c r="Z1119" i="2"/>
  <c r="Y1119" i="2"/>
  <c r="X1119" i="2"/>
  <c r="W1119" i="2"/>
  <c r="V1119" i="2"/>
  <c r="AE1118" i="2"/>
  <c r="AD1118" i="2"/>
  <c r="AC1118" i="2"/>
  <c r="AB1118" i="2"/>
  <c r="AA1118" i="2"/>
  <c r="Z1118" i="2"/>
  <c r="Y1118" i="2"/>
  <c r="X1118" i="2"/>
  <c r="W1118" i="2"/>
  <c r="V1118" i="2"/>
  <c r="AE1117" i="2"/>
  <c r="AD1117" i="2"/>
  <c r="AC1117" i="2"/>
  <c r="AB1117" i="2"/>
  <c r="AA1117" i="2"/>
  <c r="Z1117" i="2"/>
  <c r="Y1117" i="2"/>
  <c r="X1117" i="2"/>
  <c r="W1117" i="2"/>
  <c r="V1117" i="2"/>
  <c r="AE1116" i="2"/>
  <c r="AD1116" i="2"/>
  <c r="AC1116" i="2"/>
  <c r="AB1116" i="2"/>
  <c r="AA1116" i="2"/>
  <c r="Z1116" i="2"/>
  <c r="Y1116" i="2"/>
  <c r="X1116" i="2"/>
  <c r="W1116" i="2"/>
  <c r="V1116" i="2"/>
  <c r="AE1115" i="2"/>
  <c r="AD1115" i="2"/>
  <c r="AC1115" i="2"/>
  <c r="AB1115" i="2"/>
  <c r="AA1115" i="2"/>
  <c r="Z1115" i="2"/>
  <c r="Y1115" i="2"/>
  <c r="X1115" i="2"/>
  <c r="W1115" i="2"/>
  <c r="V1115" i="2"/>
  <c r="AE1114" i="2"/>
  <c r="AD1114" i="2"/>
  <c r="AC1114" i="2"/>
  <c r="AB1114" i="2"/>
  <c r="AA1114" i="2"/>
  <c r="Z1114" i="2"/>
  <c r="Y1114" i="2"/>
  <c r="X1114" i="2"/>
  <c r="W1114" i="2"/>
  <c r="V1114" i="2"/>
  <c r="AE1113" i="2"/>
  <c r="AD1113" i="2"/>
  <c r="AC1113" i="2"/>
  <c r="AB1113" i="2"/>
  <c r="AA1113" i="2"/>
  <c r="Z1113" i="2"/>
  <c r="Y1113" i="2"/>
  <c r="X1113" i="2"/>
  <c r="W1113" i="2"/>
  <c r="V1113" i="2"/>
  <c r="AE1112" i="2"/>
  <c r="AD1112" i="2"/>
  <c r="AC1112" i="2"/>
  <c r="AB1112" i="2"/>
  <c r="AA1112" i="2"/>
  <c r="Z1112" i="2"/>
  <c r="Y1112" i="2"/>
  <c r="X1112" i="2"/>
  <c r="W1112" i="2"/>
  <c r="V1112" i="2"/>
  <c r="AE1111" i="2"/>
  <c r="AD1111" i="2"/>
  <c r="AC1111" i="2"/>
  <c r="AB1111" i="2"/>
  <c r="AA1111" i="2"/>
  <c r="Z1111" i="2"/>
  <c r="Y1111" i="2"/>
  <c r="X1111" i="2"/>
  <c r="W1111" i="2"/>
  <c r="V1111" i="2"/>
  <c r="AE1110" i="2"/>
  <c r="AD1110" i="2"/>
  <c r="AC1110" i="2"/>
  <c r="AB1110" i="2"/>
  <c r="AA1110" i="2"/>
  <c r="Z1110" i="2"/>
  <c r="Y1110" i="2"/>
  <c r="X1110" i="2"/>
  <c r="W1110" i="2"/>
  <c r="V1110" i="2"/>
  <c r="AE1109" i="2"/>
  <c r="AD1109" i="2"/>
  <c r="AC1109" i="2"/>
  <c r="AB1109" i="2"/>
  <c r="AA1109" i="2"/>
  <c r="Z1109" i="2"/>
  <c r="Y1109" i="2"/>
  <c r="X1109" i="2"/>
  <c r="W1109" i="2"/>
  <c r="V1109" i="2"/>
  <c r="AE1108" i="2"/>
  <c r="AD1108" i="2"/>
  <c r="AC1108" i="2"/>
  <c r="AB1108" i="2"/>
  <c r="AA1108" i="2"/>
  <c r="Z1108" i="2"/>
  <c r="Y1108" i="2"/>
  <c r="X1108" i="2"/>
  <c r="W1108" i="2"/>
  <c r="V1108" i="2"/>
  <c r="AE1107" i="2"/>
  <c r="AD1107" i="2"/>
  <c r="AC1107" i="2"/>
  <c r="AB1107" i="2"/>
  <c r="AA1107" i="2"/>
  <c r="Z1107" i="2"/>
  <c r="Y1107" i="2"/>
  <c r="X1107" i="2"/>
  <c r="W1107" i="2"/>
  <c r="V1107" i="2"/>
  <c r="AE1106" i="2"/>
  <c r="AD1106" i="2"/>
  <c r="AC1106" i="2"/>
  <c r="AB1106" i="2"/>
  <c r="AA1106" i="2"/>
  <c r="Z1106" i="2"/>
  <c r="Y1106" i="2"/>
  <c r="X1106" i="2"/>
  <c r="W1106" i="2"/>
  <c r="V1106" i="2"/>
  <c r="AE1105" i="2"/>
  <c r="AD1105" i="2"/>
  <c r="AC1105" i="2"/>
  <c r="AB1105" i="2"/>
  <c r="AA1105" i="2"/>
  <c r="Z1105" i="2"/>
  <c r="Y1105" i="2"/>
  <c r="X1105" i="2"/>
  <c r="W1105" i="2"/>
  <c r="V1105" i="2"/>
  <c r="AE1104" i="2"/>
  <c r="AD1104" i="2"/>
  <c r="AC1104" i="2"/>
  <c r="AB1104" i="2"/>
  <c r="AA1104" i="2"/>
  <c r="Z1104" i="2"/>
  <c r="Y1104" i="2"/>
  <c r="X1104" i="2"/>
  <c r="W1104" i="2"/>
  <c r="V1104" i="2"/>
  <c r="AE1103" i="2"/>
  <c r="AD1103" i="2"/>
  <c r="AC1103" i="2"/>
  <c r="AB1103" i="2"/>
  <c r="AA1103" i="2"/>
  <c r="Z1103" i="2"/>
  <c r="Y1103" i="2"/>
  <c r="X1103" i="2"/>
  <c r="W1103" i="2"/>
  <c r="V1103" i="2"/>
  <c r="AE1102" i="2"/>
  <c r="AD1102" i="2"/>
  <c r="AC1102" i="2"/>
  <c r="AB1102" i="2"/>
  <c r="AA1102" i="2"/>
  <c r="Z1102" i="2"/>
  <c r="Y1102" i="2"/>
  <c r="X1102" i="2"/>
  <c r="W1102" i="2"/>
  <c r="V1102" i="2"/>
  <c r="AE1101" i="2"/>
  <c r="AD1101" i="2"/>
  <c r="AC1101" i="2"/>
  <c r="AB1101" i="2"/>
  <c r="AA1101" i="2"/>
  <c r="Z1101" i="2"/>
  <c r="Y1101" i="2"/>
  <c r="X1101" i="2"/>
  <c r="W1101" i="2"/>
  <c r="V1101" i="2"/>
  <c r="AE1100" i="2"/>
  <c r="AD1100" i="2"/>
  <c r="AC1100" i="2"/>
  <c r="AB1100" i="2"/>
  <c r="AA1100" i="2"/>
  <c r="Z1100" i="2"/>
  <c r="Y1100" i="2"/>
  <c r="X1100" i="2"/>
  <c r="W1100" i="2"/>
  <c r="V1100" i="2"/>
  <c r="AE1099" i="2"/>
  <c r="AD1099" i="2"/>
  <c r="AC1099" i="2"/>
  <c r="AB1099" i="2"/>
  <c r="AA1099" i="2"/>
  <c r="Z1099" i="2"/>
  <c r="Y1099" i="2"/>
  <c r="X1099" i="2"/>
  <c r="W1099" i="2"/>
  <c r="V1099" i="2"/>
  <c r="AE1098" i="2"/>
  <c r="AD1098" i="2"/>
  <c r="AC1098" i="2"/>
  <c r="AB1098" i="2"/>
  <c r="AA1098" i="2"/>
  <c r="Z1098" i="2"/>
  <c r="Y1098" i="2"/>
  <c r="X1098" i="2"/>
  <c r="W1098" i="2"/>
  <c r="V1098" i="2"/>
  <c r="AE1097" i="2"/>
  <c r="AD1097" i="2"/>
  <c r="AC1097" i="2"/>
  <c r="AB1097" i="2"/>
  <c r="AA1097" i="2"/>
  <c r="Z1097" i="2"/>
  <c r="Y1097" i="2"/>
  <c r="X1097" i="2"/>
  <c r="W1097" i="2"/>
  <c r="V1097" i="2"/>
  <c r="AE1096" i="2"/>
  <c r="AD1096" i="2"/>
  <c r="AC1096" i="2"/>
  <c r="AB1096" i="2"/>
  <c r="AA1096" i="2"/>
  <c r="Z1096" i="2"/>
  <c r="Y1096" i="2"/>
  <c r="X1096" i="2"/>
  <c r="W1096" i="2"/>
  <c r="V1096" i="2"/>
  <c r="AE1095" i="2"/>
  <c r="AD1095" i="2"/>
  <c r="AC1095" i="2"/>
  <c r="AB1095" i="2"/>
  <c r="AA1095" i="2"/>
  <c r="Z1095" i="2"/>
  <c r="Y1095" i="2"/>
  <c r="X1095" i="2"/>
  <c r="W1095" i="2"/>
  <c r="V1095" i="2"/>
  <c r="AE1094" i="2"/>
  <c r="AD1094" i="2"/>
  <c r="AC1094" i="2"/>
  <c r="AB1094" i="2"/>
  <c r="AA1094" i="2"/>
  <c r="Z1094" i="2"/>
  <c r="Y1094" i="2"/>
  <c r="X1094" i="2"/>
  <c r="W1094" i="2"/>
  <c r="V1094" i="2"/>
  <c r="AE1093" i="2"/>
  <c r="AD1093" i="2"/>
  <c r="AC1093" i="2"/>
  <c r="AB1093" i="2"/>
  <c r="AA1093" i="2"/>
  <c r="Z1093" i="2"/>
  <c r="Y1093" i="2"/>
  <c r="X1093" i="2"/>
  <c r="W1093" i="2"/>
  <c r="V1093" i="2"/>
  <c r="AE1092" i="2"/>
  <c r="AD1092" i="2"/>
  <c r="AC1092" i="2"/>
  <c r="AB1092" i="2"/>
  <c r="AA1092" i="2"/>
  <c r="Z1092" i="2"/>
  <c r="Y1092" i="2"/>
  <c r="X1092" i="2"/>
  <c r="W1092" i="2"/>
  <c r="V1092" i="2"/>
  <c r="AE1091" i="2"/>
  <c r="AD1091" i="2"/>
  <c r="AC1091" i="2"/>
  <c r="AB1091" i="2"/>
  <c r="AA1091" i="2"/>
  <c r="Z1091" i="2"/>
  <c r="Y1091" i="2"/>
  <c r="X1091" i="2"/>
  <c r="W1091" i="2"/>
  <c r="V1091" i="2"/>
  <c r="AE1090" i="2"/>
  <c r="AD1090" i="2"/>
  <c r="AC1090" i="2"/>
  <c r="AB1090" i="2"/>
  <c r="AA1090" i="2"/>
  <c r="Z1090" i="2"/>
  <c r="Y1090" i="2"/>
  <c r="X1090" i="2"/>
  <c r="W1090" i="2"/>
  <c r="V1090" i="2"/>
  <c r="AE1089" i="2"/>
  <c r="AD1089" i="2"/>
  <c r="AC1089" i="2"/>
  <c r="AB1089" i="2"/>
  <c r="AA1089" i="2"/>
  <c r="Z1089" i="2"/>
  <c r="Y1089" i="2"/>
  <c r="X1089" i="2"/>
  <c r="W1089" i="2"/>
  <c r="V1089" i="2"/>
  <c r="AE1088" i="2"/>
  <c r="AD1088" i="2"/>
  <c r="AC1088" i="2"/>
  <c r="AB1088" i="2"/>
  <c r="AA1088" i="2"/>
  <c r="Z1088" i="2"/>
  <c r="Y1088" i="2"/>
  <c r="X1088" i="2"/>
  <c r="W1088" i="2"/>
  <c r="V1088" i="2"/>
  <c r="AE1087" i="2"/>
  <c r="AD1087" i="2"/>
  <c r="AC1087" i="2"/>
  <c r="AB1087" i="2"/>
  <c r="AA1087" i="2"/>
  <c r="Z1087" i="2"/>
  <c r="Y1087" i="2"/>
  <c r="X1087" i="2"/>
  <c r="W1087" i="2"/>
  <c r="V1087" i="2"/>
  <c r="AE1086" i="2"/>
  <c r="AD1086" i="2"/>
  <c r="AC1086" i="2"/>
  <c r="AB1086" i="2"/>
  <c r="AA1086" i="2"/>
  <c r="Z1086" i="2"/>
  <c r="Y1086" i="2"/>
  <c r="X1086" i="2"/>
  <c r="W1086" i="2"/>
  <c r="V1086" i="2"/>
  <c r="AE1085" i="2"/>
  <c r="AD1085" i="2"/>
  <c r="AC1085" i="2"/>
  <c r="AB1085" i="2"/>
  <c r="AA1085" i="2"/>
  <c r="Z1085" i="2"/>
  <c r="Y1085" i="2"/>
  <c r="X1085" i="2"/>
  <c r="W1085" i="2"/>
  <c r="V1085" i="2"/>
  <c r="AE1084" i="2"/>
  <c r="AD1084" i="2"/>
  <c r="AC1084" i="2"/>
  <c r="AB1084" i="2"/>
  <c r="AA1084" i="2"/>
  <c r="Z1084" i="2"/>
  <c r="Y1084" i="2"/>
  <c r="X1084" i="2"/>
  <c r="W1084" i="2"/>
  <c r="V1084" i="2"/>
  <c r="AE1083" i="2"/>
  <c r="AD1083" i="2"/>
  <c r="AC1083" i="2"/>
  <c r="AB1083" i="2"/>
  <c r="AA1083" i="2"/>
  <c r="Z1083" i="2"/>
  <c r="Y1083" i="2"/>
  <c r="X1083" i="2"/>
  <c r="W1083" i="2"/>
  <c r="V1083" i="2"/>
  <c r="AE1082" i="2"/>
  <c r="AD1082" i="2"/>
  <c r="AC1082" i="2"/>
  <c r="AB1082" i="2"/>
  <c r="AA1082" i="2"/>
  <c r="Z1082" i="2"/>
  <c r="Y1082" i="2"/>
  <c r="X1082" i="2"/>
  <c r="W1082" i="2"/>
  <c r="V1082" i="2"/>
  <c r="AE1081" i="2"/>
  <c r="AD1081" i="2"/>
  <c r="AC1081" i="2"/>
  <c r="AB1081" i="2"/>
  <c r="AA1081" i="2"/>
  <c r="Z1081" i="2"/>
  <c r="Y1081" i="2"/>
  <c r="X1081" i="2"/>
  <c r="W1081" i="2"/>
  <c r="V1081" i="2"/>
  <c r="AE1080" i="2"/>
  <c r="AD1080" i="2"/>
  <c r="AC1080" i="2"/>
  <c r="AB1080" i="2"/>
  <c r="AA1080" i="2"/>
  <c r="Z1080" i="2"/>
  <c r="Y1080" i="2"/>
  <c r="X1080" i="2"/>
  <c r="W1080" i="2"/>
  <c r="V1080" i="2"/>
  <c r="AE1079" i="2"/>
  <c r="AD1079" i="2"/>
  <c r="AC1079" i="2"/>
  <c r="AB1079" i="2"/>
  <c r="AA1079" i="2"/>
  <c r="Z1079" i="2"/>
  <c r="Y1079" i="2"/>
  <c r="X1079" i="2"/>
  <c r="W1079" i="2"/>
  <c r="V1079" i="2"/>
  <c r="AE1078" i="2"/>
  <c r="AD1078" i="2"/>
  <c r="AC1078" i="2"/>
  <c r="AB1078" i="2"/>
  <c r="AA1078" i="2"/>
  <c r="Z1078" i="2"/>
  <c r="Y1078" i="2"/>
  <c r="X1078" i="2"/>
  <c r="W1078" i="2"/>
  <c r="V1078" i="2"/>
  <c r="AE1077" i="2"/>
  <c r="AD1077" i="2"/>
  <c r="AC1077" i="2"/>
  <c r="AB1077" i="2"/>
  <c r="AA1077" i="2"/>
  <c r="Z1077" i="2"/>
  <c r="Y1077" i="2"/>
  <c r="X1077" i="2"/>
  <c r="W1077" i="2"/>
  <c r="V1077" i="2"/>
  <c r="AE1076" i="2"/>
  <c r="AD1076" i="2"/>
  <c r="AC1076" i="2"/>
  <c r="AB1076" i="2"/>
  <c r="AA1076" i="2"/>
  <c r="Z1076" i="2"/>
  <c r="Y1076" i="2"/>
  <c r="X1076" i="2"/>
  <c r="W1076" i="2"/>
  <c r="V1076" i="2"/>
  <c r="AE1075" i="2"/>
  <c r="AD1075" i="2"/>
  <c r="AC1075" i="2"/>
  <c r="AB1075" i="2"/>
  <c r="AA1075" i="2"/>
  <c r="Z1075" i="2"/>
  <c r="Y1075" i="2"/>
  <c r="X1075" i="2"/>
  <c r="W1075" i="2"/>
  <c r="V1075" i="2"/>
  <c r="AE1074" i="2"/>
  <c r="AD1074" i="2"/>
  <c r="AC1074" i="2"/>
  <c r="AB1074" i="2"/>
  <c r="AA1074" i="2"/>
  <c r="Z1074" i="2"/>
  <c r="Y1074" i="2"/>
  <c r="X1074" i="2"/>
  <c r="W1074" i="2"/>
  <c r="V1074" i="2"/>
  <c r="AE1073" i="2"/>
  <c r="AD1073" i="2"/>
  <c r="AC1073" i="2"/>
  <c r="AB1073" i="2"/>
  <c r="AA1073" i="2"/>
  <c r="Z1073" i="2"/>
  <c r="Y1073" i="2"/>
  <c r="X1073" i="2"/>
  <c r="W1073" i="2"/>
  <c r="V1073" i="2"/>
  <c r="AE1072" i="2"/>
  <c r="AD1072" i="2"/>
  <c r="AC1072" i="2"/>
  <c r="AB1072" i="2"/>
  <c r="AA1072" i="2"/>
  <c r="Z1072" i="2"/>
  <c r="Y1072" i="2"/>
  <c r="X1072" i="2"/>
  <c r="W1072" i="2"/>
  <c r="V1072" i="2"/>
  <c r="AE1071" i="2"/>
  <c r="AD1071" i="2"/>
  <c r="AC1071" i="2"/>
  <c r="AB1071" i="2"/>
  <c r="AA1071" i="2"/>
  <c r="Z1071" i="2"/>
  <c r="Y1071" i="2"/>
  <c r="X1071" i="2"/>
  <c r="W1071" i="2"/>
  <c r="V1071" i="2"/>
  <c r="AE1070" i="2"/>
  <c r="AD1070" i="2"/>
  <c r="AC1070" i="2"/>
  <c r="AB1070" i="2"/>
  <c r="AA1070" i="2"/>
  <c r="Z1070" i="2"/>
  <c r="Y1070" i="2"/>
  <c r="X1070" i="2"/>
  <c r="W1070" i="2"/>
  <c r="V1070" i="2"/>
  <c r="AE1069" i="2"/>
  <c r="AD1069" i="2"/>
  <c r="AC1069" i="2"/>
  <c r="AB1069" i="2"/>
  <c r="AA1069" i="2"/>
  <c r="Z1069" i="2"/>
  <c r="Y1069" i="2"/>
  <c r="X1069" i="2"/>
  <c r="W1069" i="2"/>
  <c r="V1069" i="2"/>
  <c r="AE1068" i="2"/>
  <c r="AD1068" i="2"/>
  <c r="AC1068" i="2"/>
  <c r="AB1068" i="2"/>
  <c r="AA1068" i="2"/>
  <c r="Z1068" i="2"/>
  <c r="Y1068" i="2"/>
  <c r="X1068" i="2"/>
  <c r="W1068" i="2"/>
  <c r="V1068" i="2"/>
  <c r="AE1067" i="2"/>
  <c r="AD1067" i="2"/>
  <c r="AC1067" i="2"/>
  <c r="AB1067" i="2"/>
  <c r="AA1067" i="2"/>
  <c r="Z1067" i="2"/>
  <c r="Y1067" i="2"/>
  <c r="X1067" i="2"/>
  <c r="W1067" i="2"/>
  <c r="V1067" i="2"/>
  <c r="AE1066" i="2"/>
  <c r="AD1066" i="2"/>
  <c r="AC1066" i="2"/>
  <c r="AB1066" i="2"/>
  <c r="AA1066" i="2"/>
  <c r="Z1066" i="2"/>
  <c r="Y1066" i="2"/>
  <c r="X1066" i="2"/>
  <c r="W1066" i="2"/>
  <c r="V1066" i="2"/>
  <c r="AE1065" i="2"/>
  <c r="AD1065" i="2"/>
  <c r="AC1065" i="2"/>
  <c r="AB1065" i="2"/>
  <c r="AA1065" i="2"/>
  <c r="Z1065" i="2"/>
  <c r="Y1065" i="2"/>
  <c r="X1065" i="2"/>
  <c r="W1065" i="2"/>
  <c r="V1065" i="2"/>
  <c r="AE1064" i="2"/>
  <c r="AD1064" i="2"/>
  <c r="AC1064" i="2"/>
  <c r="AB1064" i="2"/>
  <c r="AA1064" i="2"/>
  <c r="Z1064" i="2"/>
  <c r="Y1064" i="2"/>
  <c r="X1064" i="2"/>
  <c r="W1064" i="2"/>
  <c r="V1064" i="2"/>
  <c r="AE1063" i="2"/>
  <c r="AD1063" i="2"/>
  <c r="AC1063" i="2"/>
  <c r="AB1063" i="2"/>
  <c r="AA1063" i="2"/>
  <c r="Z1063" i="2"/>
  <c r="Y1063" i="2"/>
  <c r="X1063" i="2"/>
  <c r="W1063" i="2"/>
  <c r="V1063" i="2"/>
  <c r="AE1062" i="2"/>
  <c r="AD1062" i="2"/>
  <c r="AC1062" i="2"/>
  <c r="AB1062" i="2"/>
  <c r="AA1062" i="2"/>
  <c r="Z1062" i="2"/>
  <c r="Y1062" i="2"/>
  <c r="X1062" i="2"/>
  <c r="W1062" i="2"/>
  <c r="V1062" i="2"/>
  <c r="AE1061" i="2"/>
  <c r="AD1061" i="2"/>
  <c r="AC1061" i="2"/>
  <c r="AB1061" i="2"/>
  <c r="AA1061" i="2"/>
  <c r="Z1061" i="2"/>
  <c r="Y1061" i="2"/>
  <c r="X1061" i="2"/>
  <c r="W1061" i="2"/>
  <c r="V1061" i="2"/>
  <c r="AE1060" i="2"/>
  <c r="AD1060" i="2"/>
  <c r="AC1060" i="2"/>
  <c r="AB1060" i="2"/>
  <c r="AA1060" i="2"/>
  <c r="Z1060" i="2"/>
  <c r="Y1060" i="2"/>
  <c r="X1060" i="2"/>
  <c r="W1060" i="2"/>
  <c r="V1060" i="2"/>
  <c r="AE1059" i="2"/>
  <c r="AD1059" i="2"/>
  <c r="AC1059" i="2"/>
  <c r="AB1059" i="2"/>
  <c r="AA1059" i="2"/>
  <c r="Z1059" i="2"/>
  <c r="Y1059" i="2"/>
  <c r="X1059" i="2"/>
  <c r="W1059" i="2"/>
  <c r="V1059" i="2"/>
  <c r="AE1058" i="2"/>
  <c r="AD1058" i="2"/>
  <c r="AC1058" i="2"/>
  <c r="AB1058" i="2"/>
  <c r="AA1058" i="2"/>
  <c r="Z1058" i="2"/>
  <c r="Y1058" i="2"/>
  <c r="X1058" i="2"/>
  <c r="W1058" i="2"/>
  <c r="V1058" i="2"/>
  <c r="AE1057" i="2"/>
  <c r="AD1057" i="2"/>
  <c r="AC1057" i="2"/>
  <c r="AB1057" i="2"/>
  <c r="AA1057" i="2"/>
  <c r="Z1057" i="2"/>
  <c r="Y1057" i="2"/>
  <c r="X1057" i="2"/>
  <c r="W1057" i="2"/>
  <c r="V1057" i="2"/>
  <c r="AE1056" i="2"/>
  <c r="AD1056" i="2"/>
  <c r="AC1056" i="2"/>
  <c r="AB1056" i="2"/>
  <c r="AA1056" i="2"/>
  <c r="Z1056" i="2"/>
  <c r="Y1056" i="2"/>
  <c r="X1056" i="2"/>
  <c r="W1056" i="2"/>
  <c r="V1056" i="2"/>
  <c r="AE1055" i="2"/>
  <c r="AD1055" i="2"/>
  <c r="AC1055" i="2"/>
  <c r="AB1055" i="2"/>
  <c r="AA1055" i="2"/>
  <c r="Z1055" i="2"/>
  <c r="Y1055" i="2"/>
  <c r="X1055" i="2"/>
  <c r="W1055" i="2"/>
  <c r="V1055" i="2"/>
  <c r="AE1054" i="2"/>
  <c r="AD1054" i="2"/>
  <c r="AC1054" i="2"/>
  <c r="AB1054" i="2"/>
  <c r="AA1054" i="2"/>
  <c r="Z1054" i="2"/>
  <c r="Y1054" i="2"/>
  <c r="X1054" i="2"/>
  <c r="W1054" i="2"/>
  <c r="V1054" i="2"/>
  <c r="AE1053" i="2"/>
  <c r="AD1053" i="2"/>
  <c r="AC1053" i="2"/>
  <c r="AB1053" i="2"/>
  <c r="AA1053" i="2"/>
  <c r="Z1053" i="2"/>
  <c r="Y1053" i="2"/>
  <c r="X1053" i="2"/>
  <c r="W1053" i="2"/>
  <c r="V1053" i="2"/>
  <c r="AE1052" i="2"/>
  <c r="AD1052" i="2"/>
  <c r="AC1052" i="2"/>
  <c r="AB1052" i="2"/>
  <c r="AA1052" i="2"/>
  <c r="Z1052" i="2"/>
  <c r="Y1052" i="2"/>
  <c r="X1052" i="2"/>
  <c r="W1052" i="2"/>
  <c r="V1052" i="2"/>
  <c r="AE1051" i="2"/>
  <c r="AD1051" i="2"/>
  <c r="AC1051" i="2"/>
  <c r="AB1051" i="2"/>
  <c r="AA1051" i="2"/>
  <c r="Z1051" i="2"/>
  <c r="Y1051" i="2"/>
  <c r="X1051" i="2"/>
  <c r="W1051" i="2"/>
  <c r="V1051" i="2"/>
  <c r="AE1050" i="2"/>
  <c r="AD1050" i="2"/>
  <c r="AC1050" i="2"/>
  <c r="AB1050" i="2"/>
  <c r="AA1050" i="2"/>
  <c r="Z1050" i="2"/>
  <c r="Y1050" i="2"/>
  <c r="X1050" i="2"/>
  <c r="W1050" i="2"/>
  <c r="V1050" i="2"/>
  <c r="AE1049" i="2"/>
  <c r="AD1049" i="2"/>
  <c r="AC1049" i="2"/>
  <c r="AB1049" i="2"/>
  <c r="AA1049" i="2"/>
  <c r="Z1049" i="2"/>
  <c r="Y1049" i="2"/>
  <c r="X1049" i="2"/>
  <c r="W1049" i="2"/>
  <c r="V1049" i="2"/>
  <c r="AE1048" i="2"/>
  <c r="AD1048" i="2"/>
  <c r="AC1048" i="2"/>
  <c r="AB1048" i="2"/>
  <c r="AA1048" i="2"/>
  <c r="Z1048" i="2"/>
  <c r="Y1048" i="2"/>
  <c r="X1048" i="2"/>
  <c r="W1048" i="2"/>
  <c r="V1048" i="2"/>
  <c r="AE1047" i="2"/>
  <c r="AD1047" i="2"/>
  <c r="AC1047" i="2"/>
  <c r="AB1047" i="2"/>
  <c r="AA1047" i="2"/>
  <c r="Z1047" i="2"/>
  <c r="Y1047" i="2"/>
  <c r="X1047" i="2"/>
  <c r="W1047" i="2"/>
  <c r="V1047" i="2"/>
  <c r="AE1046" i="2"/>
  <c r="AD1046" i="2"/>
  <c r="AC1046" i="2"/>
  <c r="AB1046" i="2"/>
  <c r="AA1046" i="2"/>
  <c r="Z1046" i="2"/>
  <c r="Y1046" i="2"/>
  <c r="X1046" i="2"/>
  <c r="W1046" i="2"/>
  <c r="V1046" i="2"/>
  <c r="AE1045" i="2"/>
  <c r="AD1045" i="2"/>
  <c r="AC1045" i="2"/>
  <c r="AB1045" i="2"/>
  <c r="AA1045" i="2"/>
  <c r="Z1045" i="2"/>
  <c r="Y1045" i="2"/>
  <c r="X1045" i="2"/>
  <c r="W1045" i="2"/>
  <c r="V1045" i="2"/>
  <c r="AE1044" i="2"/>
  <c r="AD1044" i="2"/>
  <c r="AC1044" i="2"/>
  <c r="AB1044" i="2"/>
  <c r="AA1044" i="2"/>
  <c r="Z1044" i="2"/>
  <c r="Y1044" i="2"/>
  <c r="X1044" i="2"/>
  <c r="W1044" i="2"/>
  <c r="V1044" i="2"/>
  <c r="AE1043" i="2"/>
  <c r="AD1043" i="2"/>
  <c r="AC1043" i="2"/>
  <c r="AB1043" i="2"/>
  <c r="AA1043" i="2"/>
  <c r="Z1043" i="2"/>
  <c r="Y1043" i="2"/>
  <c r="X1043" i="2"/>
  <c r="W1043" i="2"/>
  <c r="V1043" i="2"/>
  <c r="AE1042" i="2"/>
  <c r="AD1042" i="2"/>
  <c r="AC1042" i="2"/>
  <c r="AB1042" i="2"/>
  <c r="AA1042" i="2"/>
  <c r="Z1042" i="2"/>
  <c r="Y1042" i="2"/>
  <c r="X1042" i="2"/>
  <c r="W1042" i="2"/>
  <c r="V1042" i="2"/>
  <c r="AE1041" i="2"/>
  <c r="AD1041" i="2"/>
  <c r="AC1041" i="2"/>
  <c r="AB1041" i="2"/>
  <c r="AA1041" i="2"/>
  <c r="Z1041" i="2"/>
  <c r="Y1041" i="2"/>
  <c r="X1041" i="2"/>
  <c r="W1041" i="2"/>
  <c r="V1041" i="2"/>
  <c r="AE1040" i="2"/>
  <c r="AD1040" i="2"/>
  <c r="AC1040" i="2"/>
  <c r="AB1040" i="2"/>
  <c r="AA1040" i="2"/>
  <c r="Z1040" i="2"/>
  <c r="Y1040" i="2"/>
  <c r="X1040" i="2"/>
  <c r="W1040" i="2"/>
  <c r="V1040" i="2"/>
  <c r="AE1039" i="2"/>
  <c r="AD1039" i="2"/>
  <c r="AC1039" i="2"/>
  <c r="AB1039" i="2"/>
  <c r="AA1039" i="2"/>
  <c r="Z1039" i="2"/>
  <c r="Y1039" i="2"/>
  <c r="X1039" i="2"/>
  <c r="W1039" i="2"/>
  <c r="V1039" i="2"/>
  <c r="AE1038" i="2"/>
  <c r="AD1038" i="2"/>
  <c r="AC1038" i="2"/>
  <c r="AB1038" i="2"/>
  <c r="AA1038" i="2"/>
  <c r="Z1038" i="2"/>
  <c r="Y1038" i="2"/>
  <c r="X1038" i="2"/>
  <c r="W1038" i="2"/>
  <c r="V1038" i="2"/>
  <c r="AE1037" i="2"/>
  <c r="AD1037" i="2"/>
  <c r="AC1037" i="2"/>
  <c r="AB1037" i="2"/>
  <c r="AA1037" i="2"/>
  <c r="Z1037" i="2"/>
  <c r="Y1037" i="2"/>
  <c r="X1037" i="2"/>
  <c r="W1037" i="2"/>
  <c r="V1037" i="2"/>
  <c r="AE1036" i="2"/>
  <c r="AD1036" i="2"/>
  <c r="AC1036" i="2"/>
  <c r="AB1036" i="2"/>
  <c r="AA1036" i="2"/>
  <c r="Z1036" i="2"/>
  <c r="Y1036" i="2"/>
  <c r="X1036" i="2"/>
  <c r="W1036" i="2"/>
  <c r="V1036" i="2"/>
  <c r="AE1035" i="2"/>
  <c r="AD1035" i="2"/>
  <c r="AC1035" i="2"/>
  <c r="AB1035" i="2"/>
  <c r="AA1035" i="2"/>
  <c r="Z1035" i="2"/>
  <c r="Y1035" i="2"/>
  <c r="X1035" i="2"/>
  <c r="W1035" i="2"/>
  <c r="V1035" i="2"/>
  <c r="AE1034" i="2"/>
  <c r="AD1034" i="2"/>
  <c r="AC1034" i="2"/>
  <c r="AB1034" i="2"/>
  <c r="AA1034" i="2"/>
  <c r="Z1034" i="2"/>
  <c r="Y1034" i="2"/>
  <c r="X1034" i="2"/>
  <c r="W1034" i="2"/>
  <c r="V1034" i="2"/>
  <c r="AE1033" i="2"/>
  <c r="AD1033" i="2"/>
  <c r="AC1033" i="2"/>
  <c r="AB1033" i="2"/>
  <c r="AA1033" i="2"/>
  <c r="Z1033" i="2"/>
  <c r="Y1033" i="2"/>
  <c r="X1033" i="2"/>
  <c r="W1033" i="2"/>
  <c r="V1033" i="2"/>
  <c r="AE1032" i="2"/>
  <c r="AD1032" i="2"/>
  <c r="AC1032" i="2"/>
  <c r="AB1032" i="2"/>
  <c r="AA1032" i="2"/>
  <c r="Z1032" i="2"/>
  <c r="Y1032" i="2"/>
  <c r="X1032" i="2"/>
  <c r="W1032" i="2"/>
  <c r="V1032" i="2"/>
  <c r="AE1031" i="2"/>
  <c r="AD1031" i="2"/>
  <c r="AC1031" i="2"/>
  <c r="AB1031" i="2"/>
  <c r="AA1031" i="2"/>
  <c r="Z1031" i="2"/>
  <c r="Y1031" i="2"/>
  <c r="X1031" i="2"/>
  <c r="W1031" i="2"/>
  <c r="V1031" i="2"/>
  <c r="AE1030" i="2"/>
  <c r="AD1030" i="2"/>
  <c r="AC1030" i="2"/>
  <c r="AB1030" i="2"/>
  <c r="AA1030" i="2"/>
  <c r="Z1030" i="2"/>
  <c r="Y1030" i="2"/>
  <c r="X1030" i="2"/>
  <c r="W1030" i="2"/>
  <c r="V1030" i="2"/>
  <c r="AE1029" i="2"/>
  <c r="AD1029" i="2"/>
  <c r="AC1029" i="2"/>
  <c r="AB1029" i="2"/>
  <c r="AA1029" i="2"/>
  <c r="Z1029" i="2"/>
  <c r="Y1029" i="2"/>
  <c r="X1029" i="2"/>
  <c r="W1029" i="2"/>
  <c r="V1029" i="2"/>
  <c r="AE1028" i="2"/>
  <c r="AD1028" i="2"/>
  <c r="AC1028" i="2"/>
  <c r="AB1028" i="2"/>
  <c r="AA1028" i="2"/>
  <c r="Z1028" i="2"/>
  <c r="Y1028" i="2"/>
  <c r="X1028" i="2"/>
  <c r="W1028" i="2"/>
  <c r="V1028" i="2"/>
  <c r="AE1027" i="2"/>
  <c r="AD1027" i="2"/>
  <c r="AC1027" i="2"/>
  <c r="AB1027" i="2"/>
  <c r="AA1027" i="2"/>
  <c r="Z1027" i="2"/>
  <c r="Y1027" i="2"/>
  <c r="X1027" i="2"/>
  <c r="W1027" i="2"/>
  <c r="V1027" i="2"/>
  <c r="AE1026" i="2"/>
  <c r="AD1026" i="2"/>
  <c r="AC1026" i="2"/>
  <c r="AB1026" i="2"/>
  <c r="AA1026" i="2"/>
  <c r="Z1026" i="2"/>
  <c r="Y1026" i="2"/>
  <c r="X1026" i="2"/>
  <c r="W1026" i="2"/>
  <c r="V1026" i="2"/>
  <c r="AE1025" i="2"/>
  <c r="AD1025" i="2"/>
  <c r="AC1025" i="2"/>
  <c r="AB1025" i="2"/>
  <c r="AA1025" i="2"/>
  <c r="Z1025" i="2"/>
  <c r="Y1025" i="2"/>
  <c r="X1025" i="2"/>
  <c r="W1025" i="2"/>
  <c r="V1025" i="2"/>
  <c r="AE1024" i="2"/>
  <c r="AD1024" i="2"/>
  <c r="AC1024" i="2"/>
  <c r="AB1024" i="2"/>
  <c r="AA1024" i="2"/>
  <c r="Z1024" i="2"/>
  <c r="Y1024" i="2"/>
  <c r="X1024" i="2"/>
  <c r="W1024" i="2"/>
  <c r="V1024" i="2"/>
  <c r="AE1023" i="2"/>
  <c r="AD1023" i="2"/>
  <c r="AC1023" i="2"/>
  <c r="AB1023" i="2"/>
  <c r="AA1023" i="2"/>
  <c r="Z1023" i="2"/>
  <c r="Y1023" i="2"/>
  <c r="X1023" i="2"/>
  <c r="W1023" i="2"/>
  <c r="V1023" i="2"/>
  <c r="AE1022" i="2"/>
  <c r="AD1022" i="2"/>
  <c r="AC1022" i="2"/>
  <c r="AB1022" i="2"/>
  <c r="AA1022" i="2"/>
  <c r="Z1022" i="2"/>
  <c r="Y1022" i="2"/>
  <c r="X1022" i="2"/>
  <c r="W1022" i="2"/>
  <c r="V1022" i="2"/>
  <c r="AE1021" i="2"/>
  <c r="AD1021" i="2"/>
  <c r="AC1021" i="2"/>
  <c r="AB1021" i="2"/>
  <c r="AA1021" i="2"/>
  <c r="Z1021" i="2"/>
  <c r="Y1021" i="2"/>
  <c r="X1021" i="2"/>
  <c r="W1021" i="2"/>
  <c r="V1021" i="2"/>
  <c r="AE1020" i="2"/>
  <c r="AD1020" i="2"/>
  <c r="AC1020" i="2"/>
  <c r="AB1020" i="2"/>
  <c r="AA1020" i="2"/>
  <c r="Z1020" i="2"/>
  <c r="Y1020" i="2"/>
  <c r="X1020" i="2"/>
  <c r="W1020" i="2"/>
  <c r="V1020" i="2"/>
  <c r="AE1019" i="2"/>
  <c r="AD1019" i="2"/>
  <c r="AC1019" i="2"/>
  <c r="AB1019" i="2"/>
  <c r="AA1019" i="2"/>
  <c r="Z1019" i="2"/>
  <c r="Y1019" i="2"/>
  <c r="X1019" i="2"/>
  <c r="W1019" i="2"/>
  <c r="V1019" i="2"/>
  <c r="AE1018" i="2"/>
  <c r="AD1018" i="2"/>
  <c r="AC1018" i="2"/>
  <c r="AB1018" i="2"/>
  <c r="AA1018" i="2"/>
  <c r="Z1018" i="2"/>
  <c r="Y1018" i="2"/>
  <c r="X1018" i="2"/>
  <c r="W1018" i="2"/>
  <c r="V1018" i="2"/>
  <c r="AE1017" i="2"/>
  <c r="AD1017" i="2"/>
  <c r="AC1017" i="2"/>
  <c r="AB1017" i="2"/>
  <c r="AA1017" i="2"/>
  <c r="Z1017" i="2"/>
  <c r="Y1017" i="2"/>
  <c r="X1017" i="2"/>
  <c r="W1017" i="2"/>
  <c r="V1017" i="2"/>
  <c r="AE1016" i="2"/>
  <c r="AD1016" i="2"/>
  <c r="AC1016" i="2"/>
  <c r="AB1016" i="2"/>
  <c r="AA1016" i="2"/>
  <c r="Z1016" i="2"/>
  <c r="Y1016" i="2"/>
  <c r="X1016" i="2"/>
  <c r="W1016" i="2"/>
  <c r="V1016" i="2"/>
  <c r="AE1015" i="2"/>
  <c r="AD1015" i="2"/>
  <c r="AC1015" i="2"/>
  <c r="AB1015" i="2"/>
  <c r="AA1015" i="2"/>
  <c r="Z1015" i="2"/>
  <c r="Y1015" i="2"/>
  <c r="X1015" i="2"/>
  <c r="W1015" i="2"/>
  <c r="V1015" i="2"/>
  <c r="AE1014" i="2"/>
  <c r="AD1014" i="2"/>
  <c r="AC1014" i="2"/>
  <c r="AB1014" i="2"/>
  <c r="AA1014" i="2"/>
  <c r="Z1014" i="2"/>
  <c r="Y1014" i="2"/>
  <c r="X1014" i="2"/>
  <c r="W1014" i="2"/>
  <c r="V1014" i="2"/>
  <c r="AE1013" i="2"/>
  <c r="AD1013" i="2"/>
  <c r="AC1013" i="2"/>
  <c r="AB1013" i="2"/>
  <c r="AA1013" i="2"/>
  <c r="Z1013" i="2"/>
  <c r="Y1013" i="2"/>
  <c r="X1013" i="2"/>
  <c r="W1013" i="2"/>
  <c r="V1013" i="2"/>
  <c r="AE1012" i="2"/>
  <c r="AD1012" i="2"/>
  <c r="AC1012" i="2"/>
  <c r="AB1012" i="2"/>
  <c r="AA1012" i="2"/>
  <c r="Z1012" i="2"/>
  <c r="Y1012" i="2"/>
  <c r="X1012" i="2"/>
  <c r="W1012" i="2"/>
  <c r="V1012" i="2"/>
  <c r="AE1011" i="2"/>
  <c r="AD1011" i="2"/>
  <c r="AC1011" i="2"/>
  <c r="AB1011" i="2"/>
  <c r="AA1011" i="2"/>
  <c r="Z1011" i="2"/>
  <c r="Y1011" i="2"/>
  <c r="X1011" i="2"/>
  <c r="W1011" i="2"/>
  <c r="V1011" i="2"/>
  <c r="AE1010" i="2"/>
  <c r="AD1010" i="2"/>
  <c r="AC1010" i="2"/>
  <c r="AB1010" i="2"/>
  <c r="AA1010" i="2"/>
  <c r="Z1010" i="2"/>
  <c r="Y1010" i="2"/>
  <c r="X1010" i="2"/>
  <c r="W1010" i="2"/>
  <c r="V1010" i="2"/>
  <c r="AE1009" i="2"/>
  <c r="AD1009" i="2"/>
  <c r="AC1009" i="2"/>
  <c r="AB1009" i="2"/>
  <c r="AA1009" i="2"/>
  <c r="Z1009" i="2"/>
  <c r="Y1009" i="2"/>
  <c r="X1009" i="2"/>
  <c r="W1009" i="2"/>
  <c r="V1009" i="2"/>
  <c r="AE1008" i="2"/>
  <c r="AD1008" i="2"/>
  <c r="AC1008" i="2"/>
  <c r="AB1008" i="2"/>
  <c r="AA1008" i="2"/>
  <c r="Z1008" i="2"/>
  <c r="Y1008" i="2"/>
  <c r="X1008" i="2"/>
  <c r="W1008" i="2"/>
  <c r="V1008" i="2"/>
  <c r="AE1007" i="2"/>
  <c r="AD1007" i="2"/>
  <c r="AC1007" i="2"/>
  <c r="AB1007" i="2"/>
  <c r="AA1007" i="2"/>
  <c r="Z1007" i="2"/>
  <c r="Y1007" i="2"/>
  <c r="X1007" i="2"/>
  <c r="W1007" i="2"/>
  <c r="V1007" i="2"/>
  <c r="AE1006" i="2"/>
  <c r="AD1006" i="2"/>
  <c r="AC1006" i="2"/>
  <c r="AB1006" i="2"/>
  <c r="AA1006" i="2"/>
  <c r="Z1006" i="2"/>
  <c r="Y1006" i="2"/>
  <c r="X1006" i="2"/>
  <c r="W1006" i="2"/>
  <c r="V1006" i="2"/>
  <c r="AE1005" i="2"/>
  <c r="AD1005" i="2"/>
  <c r="AC1005" i="2"/>
  <c r="AB1005" i="2"/>
  <c r="AA1005" i="2"/>
  <c r="Z1005" i="2"/>
  <c r="Y1005" i="2"/>
  <c r="X1005" i="2"/>
  <c r="W1005" i="2"/>
  <c r="V1005" i="2"/>
  <c r="AE1004" i="2"/>
  <c r="AD1004" i="2"/>
  <c r="AC1004" i="2"/>
  <c r="AB1004" i="2"/>
  <c r="AA1004" i="2"/>
  <c r="Z1004" i="2"/>
  <c r="Y1004" i="2"/>
  <c r="X1004" i="2"/>
  <c r="W1004" i="2"/>
  <c r="V1004" i="2"/>
  <c r="AE1003" i="2"/>
  <c r="AD1003" i="2"/>
  <c r="AC1003" i="2"/>
  <c r="AB1003" i="2"/>
  <c r="AA1003" i="2"/>
  <c r="Z1003" i="2"/>
  <c r="Y1003" i="2"/>
  <c r="X1003" i="2"/>
  <c r="W1003" i="2"/>
  <c r="V1003" i="2"/>
  <c r="AE1002" i="2"/>
  <c r="AD1002" i="2"/>
  <c r="AC1002" i="2"/>
  <c r="AB1002" i="2"/>
  <c r="AA1002" i="2"/>
  <c r="Z1002" i="2"/>
  <c r="Y1002" i="2"/>
  <c r="X1002" i="2"/>
  <c r="W1002" i="2"/>
  <c r="V1002" i="2"/>
  <c r="AE1001" i="2"/>
  <c r="AD1001" i="2"/>
  <c r="AC1001" i="2"/>
  <c r="AB1001" i="2"/>
  <c r="AA1001" i="2"/>
  <c r="Z1001" i="2"/>
  <c r="Y1001" i="2"/>
  <c r="X1001" i="2"/>
  <c r="W1001" i="2"/>
  <c r="V1001" i="2"/>
  <c r="AE1000" i="2"/>
  <c r="AD1000" i="2"/>
  <c r="AC1000" i="2"/>
  <c r="AB1000" i="2"/>
  <c r="AA1000" i="2"/>
  <c r="Z1000" i="2"/>
  <c r="Y1000" i="2"/>
  <c r="X1000" i="2"/>
  <c r="W1000" i="2"/>
  <c r="V1000" i="2"/>
  <c r="AE999" i="2"/>
  <c r="AD999" i="2"/>
  <c r="AC999" i="2"/>
  <c r="AB999" i="2"/>
  <c r="AA999" i="2"/>
  <c r="Z999" i="2"/>
  <c r="Y999" i="2"/>
  <c r="X999" i="2"/>
  <c r="W999" i="2"/>
  <c r="V999" i="2"/>
  <c r="AE998" i="2"/>
  <c r="AD998" i="2"/>
  <c r="AC998" i="2"/>
  <c r="AB998" i="2"/>
  <c r="AA998" i="2"/>
  <c r="Z998" i="2"/>
  <c r="Y998" i="2"/>
  <c r="X998" i="2"/>
  <c r="W998" i="2"/>
  <c r="V998" i="2"/>
  <c r="AE997" i="2"/>
  <c r="AD997" i="2"/>
  <c r="AC997" i="2"/>
  <c r="AB997" i="2"/>
  <c r="AA997" i="2"/>
  <c r="Z997" i="2"/>
  <c r="Y997" i="2"/>
  <c r="X997" i="2"/>
  <c r="W997" i="2"/>
  <c r="V997" i="2"/>
  <c r="AE996" i="2"/>
  <c r="AD996" i="2"/>
  <c r="AC996" i="2"/>
  <c r="AB996" i="2"/>
  <c r="AA996" i="2"/>
  <c r="Z996" i="2"/>
  <c r="Y996" i="2"/>
  <c r="X996" i="2"/>
  <c r="W996" i="2"/>
  <c r="V996" i="2"/>
  <c r="AE995" i="2"/>
  <c r="AD995" i="2"/>
  <c r="AC995" i="2"/>
  <c r="AB995" i="2"/>
  <c r="AA995" i="2"/>
  <c r="Z995" i="2"/>
  <c r="Y995" i="2"/>
  <c r="X995" i="2"/>
  <c r="W995" i="2"/>
  <c r="V995" i="2"/>
  <c r="AE994" i="2"/>
  <c r="AD994" i="2"/>
  <c r="AC994" i="2"/>
  <c r="AB994" i="2"/>
  <c r="AA994" i="2"/>
  <c r="Z994" i="2"/>
  <c r="Y994" i="2"/>
  <c r="X994" i="2"/>
  <c r="W994" i="2"/>
  <c r="V994" i="2"/>
  <c r="AE993" i="2"/>
  <c r="AD993" i="2"/>
  <c r="AC993" i="2"/>
  <c r="AB993" i="2"/>
  <c r="AA993" i="2"/>
  <c r="Z993" i="2"/>
  <c r="Y993" i="2"/>
  <c r="X993" i="2"/>
  <c r="W993" i="2"/>
  <c r="V993" i="2"/>
  <c r="AE992" i="2"/>
  <c r="AD992" i="2"/>
  <c r="AC992" i="2"/>
  <c r="AB992" i="2"/>
  <c r="AA992" i="2"/>
  <c r="Z992" i="2"/>
  <c r="Y992" i="2"/>
  <c r="X992" i="2"/>
  <c r="W992" i="2"/>
  <c r="V992" i="2"/>
  <c r="AE991" i="2"/>
  <c r="AD991" i="2"/>
  <c r="AC991" i="2"/>
  <c r="AB991" i="2"/>
  <c r="AA991" i="2"/>
  <c r="Z991" i="2"/>
  <c r="Y991" i="2"/>
  <c r="X991" i="2"/>
  <c r="W991" i="2"/>
  <c r="V991" i="2"/>
  <c r="AE990" i="2"/>
  <c r="AD990" i="2"/>
  <c r="AC990" i="2"/>
  <c r="AB990" i="2"/>
  <c r="AA990" i="2"/>
  <c r="Z990" i="2"/>
  <c r="Y990" i="2"/>
  <c r="X990" i="2"/>
  <c r="W990" i="2"/>
  <c r="V990" i="2"/>
  <c r="AE989" i="2"/>
  <c r="AD989" i="2"/>
  <c r="AC989" i="2"/>
  <c r="AB989" i="2"/>
  <c r="AA989" i="2"/>
  <c r="Z989" i="2"/>
  <c r="Y989" i="2"/>
  <c r="X989" i="2"/>
  <c r="W989" i="2"/>
  <c r="V989" i="2"/>
  <c r="AE988" i="2"/>
  <c r="AD988" i="2"/>
  <c r="AC988" i="2"/>
  <c r="AB988" i="2"/>
  <c r="AA988" i="2"/>
  <c r="Z988" i="2"/>
  <c r="Y988" i="2"/>
  <c r="X988" i="2"/>
  <c r="W988" i="2"/>
  <c r="V988" i="2"/>
  <c r="AE987" i="2"/>
  <c r="AD987" i="2"/>
  <c r="AC987" i="2"/>
  <c r="AB987" i="2"/>
  <c r="AA987" i="2"/>
  <c r="Z987" i="2"/>
  <c r="Y987" i="2"/>
  <c r="X987" i="2"/>
  <c r="W987" i="2"/>
  <c r="V987" i="2"/>
  <c r="AE986" i="2"/>
  <c r="AD986" i="2"/>
  <c r="AC986" i="2"/>
  <c r="AB986" i="2"/>
  <c r="AA986" i="2"/>
  <c r="Z986" i="2"/>
  <c r="Y986" i="2"/>
  <c r="X986" i="2"/>
  <c r="W986" i="2"/>
  <c r="V986" i="2"/>
  <c r="AE985" i="2"/>
  <c r="AD985" i="2"/>
  <c r="AC985" i="2"/>
  <c r="AB985" i="2"/>
  <c r="AA985" i="2"/>
  <c r="Z985" i="2"/>
  <c r="Y985" i="2"/>
  <c r="X985" i="2"/>
  <c r="W985" i="2"/>
  <c r="V985" i="2"/>
  <c r="AE984" i="2"/>
  <c r="AD984" i="2"/>
  <c r="AC984" i="2"/>
  <c r="AB984" i="2"/>
  <c r="AA984" i="2"/>
  <c r="Z984" i="2"/>
  <c r="Y984" i="2"/>
  <c r="X984" i="2"/>
  <c r="W984" i="2"/>
  <c r="V984" i="2"/>
  <c r="AE983" i="2"/>
  <c r="AD983" i="2"/>
  <c r="AC983" i="2"/>
  <c r="AB983" i="2"/>
  <c r="AA983" i="2"/>
  <c r="Z983" i="2"/>
  <c r="Y983" i="2"/>
  <c r="X983" i="2"/>
  <c r="W983" i="2"/>
  <c r="V983" i="2"/>
  <c r="AE982" i="2"/>
  <c r="AD982" i="2"/>
  <c r="AC982" i="2"/>
  <c r="AB982" i="2"/>
  <c r="AA982" i="2"/>
  <c r="Z982" i="2"/>
  <c r="Y982" i="2"/>
  <c r="X982" i="2"/>
  <c r="W982" i="2"/>
  <c r="V982" i="2"/>
  <c r="AE981" i="2"/>
  <c r="AD981" i="2"/>
  <c r="AC981" i="2"/>
  <c r="AB981" i="2"/>
  <c r="AA981" i="2"/>
  <c r="Z981" i="2"/>
  <c r="Y981" i="2"/>
  <c r="X981" i="2"/>
  <c r="W981" i="2"/>
  <c r="V981" i="2"/>
  <c r="AE980" i="2"/>
  <c r="AD980" i="2"/>
  <c r="AC980" i="2"/>
  <c r="AB980" i="2"/>
  <c r="AA980" i="2"/>
  <c r="Z980" i="2"/>
  <c r="Y980" i="2"/>
  <c r="X980" i="2"/>
  <c r="W980" i="2"/>
  <c r="V980" i="2"/>
  <c r="AE979" i="2"/>
  <c r="AD979" i="2"/>
  <c r="AC979" i="2"/>
  <c r="AB979" i="2"/>
  <c r="AA979" i="2"/>
  <c r="Z979" i="2"/>
  <c r="Y979" i="2"/>
  <c r="X979" i="2"/>
  <c r="W979" i="2"/>
  <c r="V979" i="2"/>
  <c r="AE978" i="2"/>
  <c r="AD978" i="2"/>
  <c r="AC978" i="2"/>
  <c r="AB978" i="2"/>
  <c r="AA978" i="2"/>
  <c r="Z978" i="2"/>
  <c r="Y978" i="2"/>
  <c r="X978" i="2"/>
  <c r="W978" i="2"/>
  <c r="V978" i="2"/>
  <c r="AE977" i="2"/>
  <c r="AD977" i="2"/>
  <c r="AC977" i="2"/>
  <c r="AB977" i="2"/>
  <c r="AA977" i="2"/>
  <c r="Z977" i="2"/>
  <c r="Y977" i="2"/>
  <c r="X977" i="2"/>
  <c r="W977" i="2"/>
  <c r="V977" i="2"/>
  <c r="AE976" i="2"/>
  <c r="AD976" i="2"/>
  <c r="AC976" i="2"/>
  <c r="AB976" i="2"/>
  <c r="AA976" i="2"/>
  <c r="Z976" i="2"/>
  <c r="Y976" i="2"/>
  <c r="X976" i="2"/>
  <c r="W976" i="2"/>
  <c r="V976" i="2"/>
  <c r="AE975" i="2"/>
  <c r="AD975" i="2"/>
  <c r="AC975" i="2"/>
  <c r="AB975" i="2"/>
  <c r="AA975" i="2"/>
  <c r="Z975" i="2"/>
  <c r="Y975" i="2"/>
  <c r="X975" i="2"/>
  <c r="W975" i="2"/>
  <c r="V975" i="2"/>
  <c r="AE974" i="2"/>
  <c r="AD974" i="2"/>
  <c r="AC974" i="2"/>
  <c r="AB974" i="2"/>
  <c r="AA974" i="2"/>
  <c r="Z974" i="2"/>
  <c r="Y974" i="2"/>
  <c r="X974" i="2"/>
  <c r="W974" i="2"/>
  <c r="V974" i="2"/>
  <c r="AE973" i="2"/>
  <c r="AD973" i="2"/>
  <c r="AC973" i="2"/>
  <c r="AB973" i="2"/>
  <c r="AA973" i="2"/>
  <c r="Z973" i="2"/>
  <c r="Y973" i="2"/>
  <c r="X973" i="2"/>
  <c r="W973" i="2"/>
  <c r="V973" i="2"/>
  <c r="AE972" i="2"/>
  <c r="AD972" i="2"/>
  <c r="AC972" i="2"/>
  <c r="AB972" i="2"/>
  <c r="AA972" i="2"/>
  <c r="Z972" i="2"/>
  <c r="Y972" i="2"/>
  <c r="X972" i="2"/>
  <c r="W972" i="2"/>
  <c r="V972" i="2"/>
  <c r="AE971" i="2"/>
  <c r="AD971" i="2"/>
  <c r="AC971" i="2"/>
  <c r="AB971" i="2"/>
  <c r="AA971" i="2"/>
  <c r="Z971" i="2"/>
  <c r="Y971" i="2"/>
  <c r="X971" i="2"/>
  <c r="W971" i="2"/>
  <c r="V971" i="2"/>
  <c r="AE970" i="2"/>
  <c r="AD970" i="2"/>
  <c r="AC970" i="2"/>
  <c r="AB970" i="2"/>
  <c r="AA970" i="2"/>
  <c r="Z970" i="2"/>
  <c r="Y970" i="2"/>
  <c r="X970" i="2"/>
  <c r="W970" i="2"/>
  <c r="V970" i="2"/>
  <c r="AE969" i="2"/>
  <c r="AD969" i="2"/>
  <c r="AC969" i="2"/>
  <c r="AB969" i="2"/>
  <c r="AA969" i="2"/>
  <c r="Z969" i="2"/>
  <c r="Y969" i="2"/>
  <c r="X969" i="2"/>
  <c r="W969" i="2"/>
  <c r="V969" i="2"/>
  <c r="AE968" i="2"/>
  <c r="AD968" i="2"/>
  <c r="AC968" i="2"/>
  <c r="AB968" i="2"/>
  <c r="AA968" i="2"/>
  <c r="Z968" i="2"/>
  <c r="Y968" i="2"/>
  <c r="X968" i="2"/>
  <c r="W968" i="2"/>
  <c r="V968" i="2"/>
  <c r="AE967" i="2"/>
  <c r="AD967" i="2"/>
  <c r="AC967" i="2"/>
  <c r="AB967" i="2"/>
  <c r="AA967" i="2"/>
  <c r="Z967" i="2"/>
  <c r="Y967" i="2"/>
  <c r="X967" i="2"/>
  <c r="W967" i="2"/>
  <c r="V967" i="2"/>
  <c r="AE966" i="2"/>
  <c r="AD966" i="2"/>
  <c r="AC966" i="2"/>
  <c r="AB966" i="2"/>
  <c r="AA966" i="2"/>
  <c r="Z966" i="2"/>
  <c r="Y966" i="2"/>
  <c r="X966" i="2"/>
  <c r="W966" i="2"/>
  <c r="V966" i="2"/>
  <c r="AE965" i="2"/>
  <c r="AD965" i="2"/>
  <c r="AC965" i="2"/>
  <c r="AB965" i="2"/>
  <c r="AA965" i="2"/>
  <c r="Z965" i="2"/>
  <c r="Y965" i="2"/>
  <c r="X965" i="2"/>
  <c r="W965" i="2"/>
  <c r="V965" i="2"/>
  <c r="AE964" i="2"/>
  <c r="AD964" i="2"/>
  <c r="AC964" i="2"/>
  <c r="AB964" i="2"/>
  <c r="AA964" i="2"/>
  <c r="Z964" i="2"/>
  <c r="Y964" i="2"/>
  <c r="X964" i="2"/>
  <c r="W964" i="2"/>
  <c r="V964" i="2"/>
  <c r="AE963" i="2"/>
  <c r="AD963" i="2"/>
  <c r="AC963" i="2"/>
  <c r="AB963" i="2"/>
  <c r="AA963" i="2"/>
  <c r="Z963" i="2"/>
  <c r="Y963" i="2"/>
  <c r="X963" i="2"/>
  <c r="W963" i="2"/>
  <c r="V963" i="2"/>
  <c r="AE962" i="2"/>
  <c r="AD962" i="2"/>
  <c r="AC962" i="2"/>
  <c r="AB962" i="2"/>
  <c r="AA962" i="2"/>
  <c r="Z962" i="2"/>
  <c r="Y962" i="2"/>
  <c r="X962" i="2"/>
  <c r="W962" i="2"/>
  <c r="V962" i="2"/>
  <c r="AE961" i="2"/>
  <c r="AD961" i="2"/>
  <c r="AC961" i="2"/>
  <c r="AB961" i="2"/>
  <c r="AA961" i="2"/>
  <c r="Z961" i="2"/>
  <c r="Y961" i="2"/>
  <c r="X961" i="2"/>
  <c r="W961" i="2"/>
  <c r="V961" i="2"/>
  <c r="AE960" i="2"/>
  <c r="AD960" i="2"/>
  <c r="AC960" i="2"/>
  <c r="AB960" i="2"/>
  <c r="AA960" i="2"/>
  <c r="Z960" i="2"/>
  <c r="Y960" i="2"/>
  <c r="X960" i="2"/>
  <c r="W960" i="2"/>
  <c r="V960" i="2"/>
  <c r="AE959" i="2"/>
  <c r="AD959" i="2"/>
  <c r="AC959" i="2"/>
  <c r="AB959" i="2"/>
  <c r="AA959" i="2"/>
  <c r="Z959" i="2"/>
  <c r="Y959" i="2"/>
  <c r="X959" i="2"/>
  <c r="W959" i="2"/>
  <c r="V959" i="2"/>
  <c r="AE958" i="2"/>
  <c r="AD958" i="2"/>
  <c r="AC958" i="2"/>
  <c r="AB958" i="2"/>
  <c r="AA958" i="2"/>
  <c r="Z958" i="2"/>
  <c r="Y958" i="2"/>
  <c r="X958" i="2"/>
  <c r="W958" i="2"/>
  <c r="V958" i="2"/>
  <c r="AE957" i="2"/>
  <c r="AD957" i="2"/>
  <c r="AC957" i="2"/>
  <c r="AB957" i="2"/>
  <c r="AA957" i="2"/>
  <c r="Z957" i="2"/>
  <c r="Y957" i="2"/>
  <c r="X957" i="2"/>
  <c r="W957" i="2"/>
  <c r="V957" i="2"/>
  <c r="AE956" i="2"/>
  <c r="AD956" i="2"/>
  <c r="AC956" i="2"/>
  <c r="AB956" i="2"/>
  <c r="AA956" i="2"/>
  <c r="Z956" i="2"/>
  <c r="Y956" i="2"/>
  <c r="X956" i="2"/>
  <c r="W956" i="2"/>
  <c r="V956" i="2"/>
  <c r="AE955" i="2"/>
  <c r="AD955" i="2"/>
  <c r="AC955" i="2"/>
  <c r="AB955" i="2"/>
  <c r="AA955" i="2"/>
  <c r="Z955" i="2"/>
  <c r="Y955" i="2"/>
  <c r="X955" i="2"/>
  <c r="W955" i="2"/>
  <c r="V955" i="2"/>
  <c r="AE954" i="2"/>
  <c r="AD954" i="2"/>
  <c r="AC954" i="2"/>
  <c r="AB954" i="2"/>
  <c r="AA954" i="2"/>
  <c r="Z954" i="2"/>
  <c r="Y954" i="2"/>
  <c r="X954" i="2"/>
  <c r="W954" i="2"/>
  <c r="V954" i="2"/>
  <c r="AE953" i="2"/>
  <c r="AD953" i="2"/>
  <c r="AC953" i="2"/>
  <c r="AB953" i="2"/>
  <c r="AA953" i="2"/>
  <c r="Z953" i="2"/>
  <c r="Y953" i="2"/>
  <c r="X953" i="2"/>
  <c r="W953" i="2"/>
  <c r="V953" i="2"/>
  <c r="AE952" i="2"/>
  <c r="AD952" i="2"/>
  <c r="AC952" i="2"/>
  <c r="AB952" i="2"/>
  <c r="AA952" i="2"/>
  <c r="Z952" i="2"/>
  <c r="Y952" i="2"/>
  <c r="X952" i="2"/>
  <c r="W952" i="2"/>
  <c r="V952" i="2"/>
  <c r="AE951" i="2"/>
  <c r="AD951" i="2"/>
  <c r="AC951" i="2"/>
  <c r="AB951" i="2"/>
  <c r="AA951" i="2"/>
  <c r="Z951" i="2"/>
  <c r="Y951" i="2"/>
  <c r="X951" i="2"/>
  <c r="W951" i="2"/>
  <c r="V951" i="2"/>
  <c r="AE950" i="2"/>
  <c r="AD950" i="2"/>
  <c r="AC950" i="2"/>
  <c r="AB950" i="2"/>
  <c r="AA950" i="2"/>
  <c r="Z950" i="2"/>
  <c r="Y950" i="2"/>
  <c r="X950" i="2"/>
  <c r="W950" i="2"/>
  <c r="V950" i="2"/>
  <c r="AE949" i="2"/>
  <c r="AD949" i="2"/>
  <c r="AC949" i="2"/>
  <c r="AB949" i="2"/>
  <c r="AA949" i="2"/>
  <c r="Z949" i="2"/>
  <c r="Y949" i="2"/>
  <c r="X949" i="2"/>
  <c r="W949" i="2"/>
  <c r="V949" i="2"/>
  <c r="AE948" i="2"/>
  <c r="AD948" i="2"/>
  <c r="AC948" i="2"/>
  <c r="AB948" i="2"/>
  <c r="AA948" i="2"/>
  <c r="Z948" i="2"/>
  <c r="Y948" i="2"/>
  <c r="X948" i="2"/>
  <c r="W948" i="2"/>
  <c r="V948" i="2"/>
  <c r="AE947" i="2"/>
  <c r="AD947" i="2"/>
  <c r="AC947" i="2"/>
  <c r="AB947" i="2"/>
  <c r="AA947" i="2"/>
  <c r="Z947" i="2"/>
  <c r="Y947" i="2"/>
  <c r="X947" i="2"/>
  <c r="W947" i="2"/>
  <c r="V947" i="2"/>
  <c r="AE946" i="2"/>
  <c r="AD946" i="2"/>
  <c r="AC946" i="2"/>
  <c r="AB946" i="2"/>
  <c r="AA946" i="2"/>
  <c r="Z946" i="2"/>
  <c r="Y946" i="2"/>
  <c r="X946" i="2"/>
  <c r="W946" i="2"/>
  <c r="V946" i="2"/>
  <c r="AE945" i="2"/>
  <c r="AD945" i="2"/>
  <c r="AC945" i="2"/>
  <c r="AB945" i="2"/>
  <c r="AA945" i="2"/>
  <c r="Z945" i="2"/>
  <c r="Y945" i="2"/>
  <c r="X945" i="2"/>
  <c r="W945" i="2"/>
  <c r="V945" i="2"/>
  <c r="AE944" i="2"/>
  <c r="AD944" i="2"/>
  <c r="AC944" i="2"/>
  <c r="AB944" i="2"/>
  <c r="AA944" i="2"/>
  <c r="Z944" i="2"/>
  <c r="Y944" i="2"/>
  <c r="X944" i="2"/>
  <c r="W944" i="2"/>
  <c r="V944" i="2"/>
  <c r="AE943" i="2"/>
  <c r="AD943" i="2"/>
  <c r="AC943" i="2"/>
  <c r="AB943" i="2"/>
  <c r="AA943" i="2"/>
  <c r="Z943" i="2"/>
  <c r="Y943" i="2"/>
  <c r="X943" i="2"/>
  <c r="W943" i="2"/>
  <c r="V943" i="2"/>
  <c r="AE942" i="2"/>
  <c r="AD942" i="2"/>
  <c r="AC942" i="2"/>
  <c r="AB942" i="2"/>
  <c r="AA942" i="2"/>
  <c r="Z942" i="2"/>
  <c r="Y942" i="2"/>
  <c r="X942" i="2"/>
  <c r="W942" i="2"/>
  <c r="V942" i="2"/>
  <c r="AE941" i="2"/>
  <c r="AD941" i="2"/>
  <c r="AC941" i="2"/>
  <c r="AB941" i="2"/>
  <c r="AA941" i="2"/>
  <c r="Z941" i="2"/>
  <c r="Y941" i="2"/>
  <c r="X941" i="2"/>
  <c r="W941" i="2"/>
  <c r="V941" i="2"/>
  <c r="AE940" i="2"/>
  <c r="AD940" i="2"/>
  <c r="AC940" i="2"/>
  <c r="AB940" i="2"/>
  <c r="AA940" i="2"/>
  <c r="Z940" i="2"/>
  <c r="Y940" i="2"/>
  <c r="X940" i="2"/>
  <c r="W940" i="2"/>
  <c r="V940" i="2"/>
  <c r="AE939" i="2"/>
  <c r="AD939" i="2"/>
  <c r="AC939" i="2"/>
  <c r="AB939" i="2"/>
  <c r="AA939" i="2"/>
  <c r="Z939" i="2"/>
  <c r="Y939" i="2"/>
  <c r="X939" i="2"/>
  <c r="W939" i="2"/>
  <c r="V939" i="2"/>
  <c r="AE938" i="2"/>
  <c r="AD938" i="2"/>
  <c r="AC938" i="2"/>
  <c r="AB938" i="2"/>
  <c r="AA938" i="2"/>
  <c r="Z938" i="2"/>
  <c r="Y938" i="2"/>
  <c r="X938" i="2"/>
  <c r="W938" i="2"/>
  <c r="V938" i="2"/>
  <c r="AE937" i="2"/>
  <c r="AD937" i="2"/>
  <c r="AC937" i="2"/>
  <c r="AB937" i="2"/>
  <c r="AA937" i="2"/>
  <c r="Z937" i="2"/>
  <c r="Y937" i="2"/>
  <c r="X937" i="2"/>
  <c r="W937" i="2"/>
  <c r="V937" i="2"/>
  <c r="AE936" i="2"/>
  <c r="AD936" i="2"/>
  <c r="AC936" i="2"/>
  <c r="AB936" i="2"/>
  <c r="AA936" i="2"/>
  <c r="Z936" i="2"/>
  <c r="Y936" i="2"/>
  <c r="X936" i="2"/>
  <c r="W936" i="2"/>
  <c r="V936" i="2"/>
  <c r="AE935" i="2"/>
  <c r="AD935" i="2"/>
  <c r="AC935" i="2"/>
  <c r="AB935" i="2"/>
  <c r="AA935" i="2"/>
  <c r="Z935" i="2"/>
  <c r="Y935" i="2"/>
  <c r="X935" i="2"/>
  <c r="W935" i="2"/>
  <c r="V935" i="2"/>
  <c r="AE934" i="2"/>
  <c r="AD934" i="2"/>
  <c r="AC934" i="2"/>
  <c r="AB934" i="2"/>
  <c r="AA934" i="2"/>
  <c r="Z934" i="2"/>
  <c r="Y934" i="2"/>
  <c r="X934" i="2"/>
  <c r="W934" i="2"/>
  <c r="V934" i="2"/>
  <c r="AE933" i="2"/>
  <c r="AD933" i="2"/>
  <c r="AC933" i="2"/>
  <c r="AB933" i="2"/>
  <c r="AA933" i="2"/>
  <c r="Z933" i="2"/>
  <c r="Y933" i="2"/>
  <c r="X933" i="2"/>
  <c r="W933" i="2"/>
  <c r="V933" i="2"/>
  <c r="AE932" i="2"/>
  <c r="AD932" i="2"/>
  <c r="AC932" i="2"/>
  <c r="AB932" i="2"/>
  <c r="AA932" i="2"/>
  <c r="Z932" i="2"/>
  <c r="Y932" i="2"/>
  <c r="X932" i="2"/>
  <c r="W932" i="2"/>
  <c r="V932" i="2"/>
  <c r="AE931" i="2"/>
  <c r="AD931" i="2"/>
  <c r="AC931" i="2"/>
  <c r="AB931" i="2"/>
  <c r="AA931" i="2"/>
  <c r="Z931" i="2"/>
  <c r="Y931" i="2"/>
  <c r="X931" i="2"/>
  <c r="W931" i="2"/>
  <c r="V931" i="2"/>
  <c r="AE930" i="2"/>
  <c r="AD930" i="2"/>
  <c r="AC930" i="2"/>
  <c r="AB930" i="2"/>
  <c r="AA930" i="2"/>
  <c r="Z930" i="2"/>
  <c r="Y930" i="2"/>
  <c r="X930" i="2"/>
  <c r="W930" i="2"/>
  <c r="V930" i="2"/>
  <c r="AE929" i="2"/>
  <c r="AD929" i="2"/>
  <c r="AC929" i="2"/>
  <c r="AB929" i="2"/>
  <c r="AA929" i="2"/>
  <c r="Z929" i="2"/>
  <c r="Y929" i="2"/>
  <c r="X929" i="2"/>
  <c r="W929" i="2"/>
  <c r="V929" i="2"/>
  <c r="AE928" i="2"/>
  <c r="AD928" i="2"/>
  <c r="AC928" i="2"/>
  <c r="AB928" i="2"/>
  <c r="AA928" i="2"/>
  <c r="Z928" i="2"/>
  <c r="Y928" i="2"/>
  <c r="X928" i="2"/>
  <c r="W928" i="2"/>
  <c r="V928" i="2"/>
  <c r="AE927" i="2"/>
  <c r="AD927" i="2"/>
  <c r="AC927" i="2"/>
  <c r="AB927" i="2"/>
  <c r="AA927" i="2"/>
  <c r="Z927" i="2"/>
  <c r="Y927" i="2"/>
  <c r="X927" i="2"/>
  <c r="W927" i="2"/>
  <c r="V927" i="2"/>
  <c r="AE926" i="2"/>
  <c r="AD926" i="2"/>
  <c r="AC926" i="2"/>
  <c r="AB926" i="2"/>
  <c r="AA926" i="2"/>
  <c r="Z926" i="2"/>
  <c r="Y926" i="2"/>
  <c r="X926" i="2"/>
  <c r="W926" i="2"/>
  <c r="V926" i="2"/>
  <c r="AE925" i="2"/>
  <c r="AD925" i="2"/>
  <c r="AC925" i="2"/>
  <c r="AB925" i="2"/>
  <c r="AA925" i="2"/>
  <c r="Z925" i="2"/>
  <c r="Y925" i="2"/>
  <c r="X925" i="2"/>
  <c r="W925" i="2"/>
  <c r="V925" i="2"/>
  <c r="AE924" i="2"/>
  <c r="AD924" i="2"/>
  <c r="AC924" i="2"/>
  <c r="AB924" i="2"/>
  <c r="AA924" i="2"/>
  <c r="Z924" i="2"/>
  <c r="Y924" i="2"/>
  <c r="X924" i="2"/>
  <c r="W924" i="2"/>
  <c r="V924" i="2"/>
  <c r="AE923" i="2"/>
  <c r="AD923" i="2"/>
  <c r="AC923" i="2"/>
  <c r="AB923" i="2"/>
  <c r="AA923" i="2"/>
  <c r="Z923" i="2"/>
  <c r="Y923" i="2"/>
  <c r="X923" i="2"/>
  <c r="W923" i="2"/>
  <c r="V923" i="2"/>
  <c r="AE922" i="2"/>
  <c r="AD922" i="2"/>
  <c r="AC922" i="2"/>
  <c r="AB922" i="2"/>
  <c r="AA922" i="2"/>
  <c r="Z922" i="2"/>
  <c r="Y922" i="2"/>
  <c r="X922" i="2"/>
  <c r="W922" i="2"/>
  <c r="V922" i="2"/>
  <c r="AE921" i="2"/>
  <c r="AD921" i="2"/>
  <c r="AC921" i="2"/>
  <c r="AB921" i="2"/>
  <c r="AA921" i="2"/>
  <c r="Z921" i="2"/>
  <c r="Y921" i="2"/>
  <c r="X921" i="2"/>
  <c r="W921" i="2"/>
  <c r="V921" i="2"/>
  <c r="AE920" i="2"/>
  <c r="AD920" i="2"/>
  <c r="AC920" i="2"/>
  <c r="AB920" i="2"/>
  <c r="AA920" i="2"/>
  <c r="Z920" i="2"/>
  <c r="Y920" i="2"/>
  <c r="X920" i="2"/>
  <c r="W920" i="2"/>
  <c r="V920" i="2"/>
  <c r="AE919" i="2"/>
  <c r="AD919" i="2"/>
  <c r="AC919" i="2"/>
  <c r="AB919" i="2"/>
  <c r="AA919" i="2"/>
  <c r="Z919" i="2"/>
  <c r="Y919" i="2"/>
  <c r="X919" i="2"/>
  <c r="W919" i="2"/>
  <c r="V919" i="2"/>
  <c r="AE918" i="2"/>
  <c r="AD918" i="2"/>
  <c r="AC918" i="2"/>
  <c r="AB918" i="2"/>
  <c r="AA918" i="2"/>
  <c r="Z918" i="2"/>
  <c r="Y918" i="2"/>
  <c r="X918" i="2"/>
  <c r="W918" i="2"/>
  <c r="V918" i="2"/>
  <c r="AE917" i="2"/>
  <c r="AD917" i="2"/>
  <c r="AC917" i="2"/>
  <c r="AB917" i="2"/>
  <c r="AA917" i="2"/>
  <c r="Z917" i="2"/>
  <c r="Y917" i="2"/>
  <c r="X917" i="2"/>
  <c r="W917" i="2"/>
  <c r="V917" i="2"/>
  <c r="AE916" i="2"/>
  <c r="AD916" i="2"/>
  <c r="AC916" i="2"/>
  <c r="AB916" i="2"/>
  <c r="AA916" i="2"/>
  <c r="Z916" i="2"/>
  <c r="Y916" i="2"/>
  <c r="X916" i="2"/>
  <c r="W916" i="2"/>
  <c r="V916" i="2"/>
  <c r="AE915" i="2"/>
  <c r="AD915" i="2"/>
  <c r="AC915" i="2"/>
  <c r="AB915" i="2"/>
  <c r="AA915" i="2"/>
  <c r="Z915" i="2"/>
  <c r="Y915" i="2"/>
  <c r="X915" i="2"/>
  <c r="W915" i="2"/>
  <c r="V915" i="2"/>
  <c r="AE914" i="2"/>
  <c r="AD914" i="2"/>
  <c r="AC914" i="2"/>
  <c r="AB914" i="2"/>
  <c r="AA914" i="2"/>
  <c r="Z914" i="2"/>
  <c r="Y914" i="2"/>
  <c r="X914" i="2"/>
  <c r="W914" i="2"/>
  <c r="V914" i="2"/>
  <c r="AE913" i="2"/>
  <c r="AD913" i="2"/>
  <c r="AC913" i="2"/>
  <c r="AB913" i="2"/>
  <c r="AA913" i="2"/>
  <c r="Z913" i="2"/>
  <c r="Y913" i="2"/>
  <c r="X913" i="2"/>
  <c r="W913" i="2"/>
  <c r="V913" i="2"/>
  <c r="AE912" i="2"/>
  <c r="AD912" i="2"/>
  <c r="AC912" i="2"/>
  <c r="AB912" i="2"/>
  <c r="AA912" i="2"/>
  <c r="Z912" i="2"/>
  <c r="Y912" i="2"/>
  <c r="X912" i="2"/>
  <c r="W912" i="2"/>
  <c r="V912" i="2"/>
  <c r="AE911" i="2"/>
  <c r="AD911" i="2"/>
  <c r="AC911" i="2"/>
  <c r="AB911" i="2"/>
  <c r="AA911" i="2"/>
  <c r="Z911" i="2"/>
  <c r="Y911" i="2"/>
  <c r="X911" i="2"/>
  <c r="W911" i="2"/>
  <c r="V911" i="2"/>
  <c r="AE910" i="2"/>
  <c r="AD910" i="2"/>
  <c r="AC910" i="2"/>
  <c r="AB910" i="2"/>
  <c r="AA910" i="2"/>
  <c r="Z910" i="2"/>
  <c r="Y910" i="2"/>
  <c r="X910" i="2"/>
  <c r="W910" i="2"/>
  <c r="V910" i="2"/>
  <c r="AE909" i="2"/>
  <c r="AD909" i="2"/>
  <c r="AC909" i="2"/>
  <c r="AB909" i="2"/>
  <c r="AA909" i="2"/>
  <c r="Z909" i="2"/>
  <c r="Y909" i="2"/>
  <c r="X909" i="2"/>
  <c r="W909" i="2"/>
  <c r="V909" i="2"/>
  <c r="AE908" i="2"/>
  <c r="AD908" i="2"/>
  <c r="AC908" i="2"/>
  <c r="AB908" i="2"/>
  <c r="AA908" i="2"/>
  <c r="Z908" i="2"/>
  <c r="Y908" i="2"/>
  <c r="X908" i="2"/>
  <c r="W908" i="2"/>
  <c r="V908" i="2"/>
  <c r="AE907" i="2"/>
  <c r="AD907" i="2"/>
  <c r="AC907" i="2"/>
  <c r="AB907" i="2"/>
  <c r="AA907" i="2"/>
  <c r="Z907" i="2"/>
  <c r="Y907" i="2"/>
  <c r="X907" i="2"/>
  <c r="W907" i="2"/>
  <c r="V907" i="2"/>
  <c r="AE906" i="2"/>
  <c r="AD906" i="2"/>
  <c r="AC906" i="2"/>
  <c r="AB906" i="2"/>
  <c r="AA906" i="2"/>
  <c r="Z906" i="2"/>
  <c r="Y906" i="2"/>
  <c r="X906" i="2"/>
  <c r="W906" i="2"/>
  <c r="V906" i="2"/>
  <c r="AE905" i="2"/>
  <c r="AD905" i="2"/>
  <c r="AC905" i="2"/>
  <c r="AB905" i="2"/>
  <c r="AA905" i="2"/>
  <c r="Z905" i="2"/>
  <c r="Y905" i="2"/>
  <c r="X905" i="2"/>
  <c r="W905" i="2"/>
  <c r="V905" i="2"/>
  <c r="AE904" i="2"/>
  <c r="AD904" i="2"/>
  <c r="AC904" i="2"/>
  <c r="AB904" i="2"/>
  <c r="AA904" i="2"/>
  <c r="Z904" i="2"/>
  <c r="Y904" i="2"/>
  <c r="X904" i="2"/>
  <c r="W904" i="2"/>
  <c r="V904" i="2"/>
  <c r="AE903" i="2"/>
  <c r="AD903" i="2"/>
  <c r="AC903" i="2"/>
  <c r="AB903" i="2"/>
  <c r="AA903" i="2"/>
  <c r="Z903" i="2"/>
  <c r="Y903" i="2"/>
  <c r="X903" i="2"/>
  <c r="W903" i="2"/>
  <c r="V903" i="2"/>
  <c r="AE902" i="2"/>
  <c r="AD902" i="2"/>
  <c r="AC902" i="2"/>
  <c r="AB902" i="2"/>
  <c r="AA902" i="2"/>
  <c r="Z902" i="2"/>
  <c r="Y902" i="2"/>
  <c r="X902" i="2"/>
  <c r="W902" i="2"/>
  <c r="V902" i="2"/>
  <c r="AE901" i="2"/>
  <c r="AD901" i="2"/>
  <c r="AC901" i="2"/>
  <c r="AB901" i="2"/>
  <c r="AA901" i="2"/>
  <c r="Z901" i="2"/>
  <c r="Y901" i="2"/>
  <c r="X901" i="2"/>
  <c r="W901" i="2"/>
  <c r="V901" i="2"/>
  <c r="AE900" i="2"/>
  <c r="AD900" i="2"/>
  <c r="AC900" i="2"/>
  <c r="AB900" i="2"/>
  <c r="AA900" i="2"/>
  <c r="Z900" i="2"/>
  <c r="Y900" i="2"/>
  <c r="X900" i="2"/>
  <c r="W900" i="2"/>
  <c r="V900" i="2"/>
  <c r="AE899" i="2"/>
  <c r="AD899" i="2"/>
  <c r="AC899" i="2"/>
  <c r="AB899" i="2"/>
  <c r="AA899" i="2"/>
  <c r="Z899" i="2"/>
  <c r="Y899" i="2"/>
  <c r="X899" i="2"/>
  <c r="W899" i="2"/>
  <c r="V899" i="2"/>
  <c r="AE898" i="2"/>
  <c r="AD898" i="2"/>
  <c r="AC898" i="2"/>
  <c r="AB898" i="2"/>
  <c r="AA898" i="2"/>
  <c r="Z898" i="2"/>
  <c r="Y898" i="2"/>
  <c r="X898" i="2"/>
  <c r="W898" i="2"/>
  <c r="V898" i="2"/>
  <c r="AE897" i="2"/>
  <c r="AD897" i="2"/>
  <c r="AC897" i="2"/>
  <c r="AB897" i="2"/>
  <c r="AA897" i="2"/>
  <c r="Z897" i="2"/>
  <c r="Y897" i="2"/>
  <c r="X897" i="2"/>
  <c r="W897" i="2"/>
  <c r="V897" i="2"/>
  <c r="AE896" i="2"/>
  <c r="AD896" i="2"/>
  <c r="AC896" i="2"/>
  <c r="AB896" i="2"/>
  <c r="AA896" i="2"/>
  <c r="Z896" i="2"/>
  <c r="Y896" i="2"/>
  <c r="X896" i="2"/>
  <c r="W896" i="2"/>
  <c r="V896" i="2"/>
  <c r="AE895" i="2"/>
  <c r="AD895" i="2"/>
  <c r="AC895" i="2"/>
  <c r="AB895" i="2"/>
  <c r="AA895" i="2"/>
  <c r="Z895" i="2"/>
  <c r="Y895" i="2"/>
  <c r="X895" i="2"/>
  <c r="W895" i="2"/>
  <c r="V895" i="2"/>
  <c r="AE894" i="2"/>
  <c r="AD894" i="2"/>
  <c r="AC894" i="2"/>
  <c r="AB894" i="2"/>
  <c r="AA894" i="2"/>
  <c r="Z894" i="2"/>
  <c r="Y894" i="2"/>
  <c r="X894" i="2"/>
  <c r="W894" i="2"/>
  <c r="V894" i="2"/>
  <c r="AE893" i="2"/>
  <c r="AD893" i="2"/>
  <c r="AC893" i="2"/>
  <c r="AB893" i="2"/>
  <c r="AA893" i="2"/>
  <c r="Z893" i="2"/>
  <c r="Y893" i="2"/>
  <c r="X893" i="2"/>
  <c r="W893" i="2"/>
  <c r="V893" i="2"/>
  <c r="AE892" i="2"/>
  <c r="AD892" i="2"/>
  <c r="AC892" i="2"/>
  <c r="AB892" i="2"/>
  <c r="AA892" i="2"/>
  <c r="Z892" i="2"/>
  <c r="Y892" i="2"/>
  <c r="X892" i="2"/>
  <c r="W892" i="2"/>
  <c r="V892" i="2"/>
  <c r="AE891" i="2"/>
  <c r="AD891" i="2"/>
  <c r="AC891" i="2"/>
  <c r="AB891" i="2"/>
  <c r="AA891" i="2"/>
  <c r="Z891" i="2"/>
  <c r="Y891" i="2"/>
  <c r="X891" i="2"/>
  <c r="W891" i="2"/>
  <c r="V891" i="2"/>
  <c r="AE890" i="2"/>
  <c r="AD890" i="2"/>
  <c r="AC890" i="2"/>
  <c r="AB890" i="2"/>
  <c r="AA890" i="2"/>
  <c r="Z890" i="2"/>
  <c r="Y890" i="2"/>
  <c r="X890" i="2"/>
  <c r="W890" i="2"/>
  <c r="V890" i="2"/>
  <c r="AE889" i="2"/>
  <c r="AD889" i="2"/>
  <c r="AC889" i="2"/>
  <c r="AB889" i="2"/>
  <c r="AA889" i="2"/>
  <c r="Z889" i="2"/>
  <c r="Y889" i="2"/>
  <c r="X889" i="2"/>
  <c r="W889" i="2"/>
  <c r="V889" i="2"/>
  <c r="AE888" i="2"/>
  <c r="AD888" i="2"/>
  <c r="AC888" i="2"/>
  <c r="AB888" i="2"/>
  <c r="AA888" i="2"/>
  <c r="Z888" i="2"/>
  <c r="Y888" i="2"/>
  <c r="X888" i="2"/>
  <c r="W888" i="2"/>
  <c r="V888" i="2"/>
  <c r="AE887" i="2"/>
  <c r="AD887" i="2"/>
  <c r="AC887" i="2"/>
  <c r="AB887" i="2"/>
  <c r="AA887" i="2"/>
  <c r="Z887" i="2"/>
  <c r="Y887" i="2"/>
  <c r="X887" i="2"/>
  <c r="W887" i="2"/>
  <c r="V887" i="2"/>
  <c r="AE886" i="2"/>
  <c r="AD886" i="2"/>
  <c r="AC886" i="2"/>
  <c r="AB886" i="2"/>
  <c r="AA886" i="2"/>
  <c r="Z886" i="2"/>
  <c r="Y886" i="2"/>
  <c r="X886" i="2"/>
  <c r="W886" i="2"/>
  <c r="V886" i="2"/>
  <c r="AE885" i="2"/>
  <c r="AD885" i="2"/>
  <c r="AC885" i="2"/>
  <c r="AB885" i="2"/>
  <c r="AA885" i="2"/>
  <c r="Z885" i="2"/>
  <c r="Y885" i="2"/>
  <c r="X885" i="2"/>
  <c r="W885" i="2"/>
  <c r="V885" i="2"/>
  <c r="AE884" i="2"/>
  <c r="AD884" i="2"/>
  <c r="AC884" i="2"/>
  <c r="AB884" i="2"/>
  <c r="AA884" i="2"/>
  <c r="Z884" i="2"/>
  <c r="Y884" i="2"/>
  <c r="X884" i="2"/>
  <c r="W884" i="2"/>
  <c r="V884" i="2"/>
  <c r="AE883" i="2"/>
  <c r="AD883" i="2"/>
  <c r="AC883" i="2"/>
  <c r="AB883" i="2"/>
  <c r="AA883" i="2"/>
  <c r="Z883" i="2"/>
  <c r="Y883" i="2"/>
  <c r="X883" i="2"/>
  <c r="W883" i="2"/>
  <c r="V883" i="2"/>
  <c r="AE882" i="2"/>
  <c r="AD882" i="2"/>
  <c r="AC882" i="2"/>
  <c r="AB882" i="2"/>
  <c r="AA882" i="2"/>
  <c r="Z882" i="2"/>
  <c r="Y882" i="2"/>
  <c r="X882" i="2"/>
  <c r="W882" i="2"/>
  <c r="V882" i="2"/>
  <c r="AE881" i="2"/>
  <c r="AD881" i="2"/>
  <c r="AC881" i="2"/>
  <c r="AB881" i="2"/>
  <c r="AA881" i="2"/>
  <c r="Z881" i="2"/>
  <c r="Y881" i="2"/>
  <c r="X881" i="2"/>
  <c r="W881" i="2"/>
  <c r="V881" i="2"/>
  <c r="AE880" i="2"/>
  <c r="AD880" i="2"/>
  <c r="AC880" i="2"/>
  <c r="AB880" i="2"/>
  <c r="AA880" i="2"/>
  <c r="Z880" i="2"/>
  <c r="Y880" i="2"/>
  <c r="X880" i="2"/>
  <c r="W880" i="2"/>
  <c r="V880" i="2"/>
  <c r="AE879" i="2"/>
  <c r="AD879" i="2"/>
  <c r="AC879" i="2"/>
  <c r="AB879" i="2"/>
  <c r="AA879" i="2"/>
  <c r="Z879" i="2"/>
  <c r="Y879" i="2"/>
  <c r="X879" i="2"/>
  <c r="W879" i="2"/>
  <c r="V879" i="2"/>
  <c r="AE878" i="2"/>
  <c r="AD878" i="2"/>
  <c r="AC878" i="2"/>
  <c r="AB878" i="2"/>
  <c r="AA878" i="2"/>
  <c r="Z878" i="2"/>
  <c r="Y878" i="2"/>
  <c r="X878" i="2"/>
  <c r="W878" i="2"/>
  <c r="V878" i="2"/>
  <c r="AE877" i="2"/>
  <c r="AD877" i="2"/>
  <c r="AC877" i="2"/>
  <c r="AB877" i="2"/>
  <c r="AA877" i="2"/>
  <c r="Z877" i="2"/>
  <c r="Y877" i="2"/>
  <c r="X877" i="2"/>
  <c r="W877" i="2"/>
  <c r="V877" i="2"/>
  <c r="AE876" i="2"/>
  <c r="AD876" i="2"/>
  <c r="AC876" i="2"/>
  <c r="AB876" i="2"/>
  <c r="AA876" i="2"/>
  <c r="Z876" i="2"/>
  <c r="Y876" i="2"/>
  <c r="X876" i="2"/>
  <c r="W876" i="2"/>
  <c r="V876" i="2"/>
  <c r="AE875" i="2"/>
  <c r="AD875" i="2"/>
  <c r="AC875" i="2"/>
  <c r="AB875" i="2"/>
  <c r="AA875" i="2"/>
  <c r="Z875" i="2"/>
  <c r="Y875" i="2"/>
  <c r="X875" i="2"/>
  <c r="W875" i="2"/>
  <c r="V875" i="2"/>
  <c r="AE874" i="2"/>
  <c r="AD874" i="2"/>
  <c r="AC874" i="2"/>
  <c r="AB874" i="2"/>
  <c r="AA874" i="2"/>
  <c r="Z874" i="2"/>
  <c r="Y874" i="2"/>
  <c r="X874" i="2"/>
  <c r="W874" i="2"/>
  <c r="V874" i="2"/>
  <c r="AE873" i="2"/>
  <c r="AD873" i="2"/>
  <c r="AC873" i="2"/>
  <c r="AB873" i="2"/>
  <c r="AA873" i="2"/>
  <c r="Z873" i="2"/>
  <c r="Y873" i="2"/>
  <c r="X873" i="2"/>
  <c r="W873" i="2"/>
  <c r="V873" i="2"/>
  <c r="AE872" i="2"/>
  <c r="AD872" i="2"/>
  <c r="AC872" i="2"/>
  <c r="AB872" i="2"/>
  <c r="AA872" i="2"/>
  <c r="Z872" i="2"/>
  <c r="Y872" i="2"/>
  <c r="X872" i="2"/>
  <c r="W872" i="2"/>
  <c r="V872" i="2"/>
  <c r="AE871" i="2"/>
  <c r="AD871" i="2"/>
  <c r="AC871" i="2"/>
  <c r="AB871" i="2"/>
  <c r="AA871" i="2"/>
  <c r="Z871" i="2"/>
  <c r="Y871" i="2"/>
  <c r="X871" i="2"/>
  <c r="W871" i="2"/>
  <c r="V871" i="2"/>
  <c r="AE870" i="2"/>
  <c r="AD870" i="2"/>
  <c r="AC870" i="2"/>
  <c r="AB870" i="2"/>
  <c r="AA870" i="2"/>
  <c r="Z870" i="2"/>
  <c r="Y870" i="2"/>
  <c r="X870" i="2"/>
  <c r="W870" i="2"/>
  <c r="V870" i="2"/>
  <c r="AE869" i="2"/>
  <c r="AD869" i="2"/>
  <c r="AC869" i="2"/>
  <c r="AB869" i="2"/>
  <c r="AA869" i="2"/>
  <c r="Z869" i="2"/>
  <c r="Y869" i="2"/>
  <c r="X869" i="2"/>
  <c r="W869" i="2"/>
  <c r="V869" i="2"/>
  <c r="AE868" i="2"/>
  <c r="AD868" i="2"/>
  <c r="AC868" i="2"/>
  <c r="AB868" i="2"/>
  <c r="AA868" i="2"/>
  <c r="Z868" i="2"/>
  <c r="Y868" i="2"/>
  <c r="X868" i="2"/>
  <c r="W868" i="2"/>
  <c r="V868" i="2"/>
  <c r="AE867" i="2"/>
  <c r="AD867" i="2"/>
  <c r="AC867" i="2"/>
  <c r="AB867" i="2"/>
  <c r="AA867" i="2"/>
  <c r="Z867" i="2"/>
  <c r="Y867" i="2"/>
  <c r="X867" i="2"/>
  <c r="W867" i="2"/>
  <c r="V867" i="2"/>
  <c r="AE866" i="2"/>
  <c r="AD866" i="2"/>
  <c r="AC866" i="2"/>
  <c r="AB866" i="2"/>
  <c r="AA866" i="2"/>
  <c r="Z866" i="2"/>
  <c r="Y866" i="2"/>
  <c r="X866" i="2"/>
  <c r="W866" i="2"/>
  <c r="V866" i="2"/>
  <c r="AE865" i="2"/>
  <c r="AD865" i="2"/>
  <c r="AC865" i="2"/>
  <c r="AB865" i="2"/>
  <c r="AA865" i="2"/>
  <c r="Z865" i="2"/>
  <c r="Y865" i="2"/>
  <c r="X865" i="2"/>
  <c r="W865" i="2"/>
  <c r="V865" i="2"/>
  <c r="AE864" i="2"/>
  <c r="AD864" i="2"/>
  <c r="AC864" i="2"/>
  <c r="AB864" i="2"/>
  <c r="AA864" i="2"/>
  <c r="Z864" i="2"/>
  <c r="Y864" i="2"/>
  <c r="X864" i="2"/>
  <c r="W864" i="2"/>
  <c r="V864" i="2"/>
  <c r="AE863" i="2"/>
  <c r="AD863" i="2"/>
  <c r="AC863" i="2"/>
  <c r="AB863" i="2"/>
  <c r="AA863" i="2"/>
  <c r="Z863" i="2"/>
  <c r="Y863" i="2"/>
  <c r="X863" i="2"/>
  <c r="W863" i="2"/>
  <c r="V863" i="2"/>
  <c r="AE862" i="2"/>
  <c r="AD862" i="2"/>
  <c r="AC862" i="2"/>
  <c r="AB862" i="2"/>
  <c r="AA862" i="2"/>
  <c r="Z862" i="2"/>
  <c r="Y862" i="2"/>
  <c r="X862" i="2"/>
  <c r="W862" i="2"/>
  <c r="V862" i="2"/>
  <c r="AE861" i="2"/>
  <c r="AD861" i="2"/>
  <c r="AC861" i="2"/>
  <c r="AB861" i="2"/>
  <c r="AA861" i="2"/>
  <c r="Z861" i="2"/>
  <c r="Y861" i="2"/>
  <c r="X861" i="2"/>
  <c r="W861" i="2"/>
  <c r="V861" i="2"/>
  <c r="AE860" i="2"/>
  <c r="AD860" i="2"/>
  <c r="AC860" i="2"/>
  <c r="AB860" i="2"/>
  <c r="AA860" i="2"/>
  <c r="Z860" i="2"/>
  <c r="Y860" i="2"/>
  <c r="X860" i="2"/>
  <c r="W860" i="2"/>
  <c r="V860" i="2"/>
  <c r="AE859" i="2"/>
  <c r="AD859" i="2"/>
  <c r="AC859" i="2"/>
  <c r="AB859" i="2"/>
  <c r="AA859" i="2"/>
  <c r="Z859" i="2"/>
  <c r="Y859" i="2"/>
  <c r="X859" i="2"/>
  <c r="W859" i="2"/>
  <c r="V859" i="2"/>
  <c r="AE858" i="2"/>
  <c r="AD858" i="2"/>
  <c r="AC858" i="2"/>
  <c r="AB858" i="2"/>
  <c r="AA858" i="2"/>
  <c r="Z858" i="2"/>
  <c r="Y858" i="2"/>
  <c r="X858" i="2"/>
  <c r="W858" i="2"/>
  <c r="V858" i="2"/>
  <c r="AE857" i="2"/>
  <c r="AD857" i="2"/>
  <c r="AC857" i="2"/>
  <c r="AB857" i="2"/>
  <c r="AA857" i="2"/>
  <c r="Z857" i="2"/>
  <c r="Y857" i="2"/>
  <c r="X857" i="2"/>
  <c r="W857" i="2"/>
  <c r="V857" i="2"/>
  <c r="AE856" i="2"/>
  <c r="AD856" i="2"/>
  <c r="AC856" i="2"/>
  <c r="AB856" i="2"/>
  <c r="AA856" i="2"/>
  <c r="Z856" i="2"/>
  <c r="Y856" i="2"/>
  <c r="X856" i="2"/>
  <c r="W856" i="2"/>
  <c r="V856" i="2"/>
  <c r="AE855" i="2"/>
  <c r="AD855" i="2"/>
  <c r="AC855" i="2"/>
  <c r="AB855" i="2"/>
  <c r="AA855" i="2"/>
  <c r="Z855" i="2"/>
  <c r="Y855" i="2"/>
  <c r="X855" i="2"/>
  <c r="W855" i="2"/>
  <c r="V855" i="2"/>
  <c r="AE854" i="2"/>
  <c r="AD854" i="2"/>
  <c r="AC854" i="2"/>
  <c r="AB854" i="2"/>
  <c r="AA854" i="2"/>
  <c r="Z854" i="2"/>
  <c r="Y854" i="2"/>
  <c r="X854" i="2"/>
  <c r="W854" i="2"/>
  <c r="V854" i="2"/>
  <c r="AE853" i="2"/>
  <c r="AD853" i="2"/>
  <c r="AC853" i="2"/>
  <c r="AB853" i="2"/>
  <c r="AA853" i="2"/>
  <c r="Z853" i="2"/>
  <c r="Y853" i="2"/>
  <c r="X853" i="2"/>
  <c r="W853" i="2"/>
  <c r="V853" i="2"/>
  <c r="AE852" i="2"/>
  <c r="AD852" i="2"/>
  <c r="AC852" i="2"/>
  <c r="AB852" i="2"/>
  <c r="AA852" i="2"/>
  <c r="Z852" i="2"/>
  <c r="Y852" i="2"/>
  <c r="X852" i="2"/>
  <c r="W852" i="2"/>
  <c r="V852" i="2"/>
  <c r="AE851" i="2"/>
  <c r="AD851" i="2"/>
  <c r="AC851" i="2"/>
  <c r="AB851" i="2"/>
  <c r="AA851" i="2"/>
  <c r="Z851" i="2"/>
  <c r="Y851" i="2"/>
  <c r="X851" i="2"/>
  <c r="W851" i="2"/>
  <c r="V851" i="2"/>
  <c r="AE850" i="2"/>
  <c r="AD850" i="2"/>
  <c r="AC850" i="2"/>
  <c r="AB850" i="2"/>
  <c r="AA850" i="2"/>
  <c r="Z850" i="2"/>
  <c r="Y850" i="2"/>
  <c r="X850" i="2"/>
  <c r="W850" i="2"/>
  <c r="V850" i="2"/>
  <c r="AE849" i="2"/>
  <c r="AD849" i="2"/>
  <c r="AC849" i="2"/>
  <c r="AB849" i="2"/>
  <c r="AA849" i="2"/>
  <c r="Z849" i="2"/>
  <c r="Y849" i="2"/>
  <c r="X849" i="2"/>
  <c r="W849" i="2"/>
  <c r="V849" i="2"/>
  <c r="AE848" i="2"/>
  <c r="AD848" i="2"/>
  <c r="AC848" i="2"/>
  <c r="AB848" i="2"/>
  <c r="AA848" i="2"/>
  <c r="Z848" i="2"/>
  <c r="Y848" i="2"/>
  <c r="X848" i="2"/>
  <c r="W848" i="2"/>
  <c r="V848" i="2"/>
  <c r="AE847" i="2"/>
  <c r="AD847" i="2"/>
  <c r="AC847" i="2"/>
  <c r="AB847" i="2"/>
  <c r="AA847" i="2"/>
  <c r="Z847" i="2"/>
  <c r="Y847" i="2"/>
  <c r="X847" i="2"/>
  <c r="W847" i="2"/>
  <c r="V847" i="2"/>
  <c r="AE846" i="2"/>
  <c r="AD846" i="2"/>
  <c r="AC846" i="2"/>
  <c r="AB846" i="2"/>
  <c r="AA846" i="2"/>
  <c r="Z846" i="2"/>
  <c r="Y846" i="2"/>
  <c r="X846" i="2"/>
  <c r="W846" i="2"/>
  <c r="V846" i="2"/>
  <c r="AE845" i="2"/>
  <c r="AD845" i="2"/>
  <c r="AC845" i="2"/>
  <c r="AB845" i="2"/>
  <c r="AA845" i="2"/>
  <c r="Z845" i="2"/>
  <c r="Y845" i="2"/>
  <c r="X845" i="2"/>
  <c r="W845" i="2"/>
  <c r="V845" i="2"/>
  <c r="AE844" i="2"/>
  <c r="AD844" i="2"/>
  <c r="AC844" i="2"/>
  <c r="AB844" i="2"/>
  <c r="AA844" i="2"/>
  <c r="Z844" i="2"/>
  <c r="Y844" i="2"/>
  <c r="X844" i="2"/>
  <c r="W844" i="2"/>
  <c r="V844" i="2"/>
  <c r="AE843" i="2"/>
  <c r="AD843" i="2"/>
  <c r="AC843" i="2"/>
  <c r="AB843" i="2"/>
  <c r="AA843" i="2"/>
  <c r="Z843" i="2"/>
  <c r="Y843" i="2"/>
  <c r="X843" i="2"/>
  <c r="W843" i="2"/>
  <c r="V843" i="2"/>
  <c r="AE842" i="2"/>
  <c r="AD842" i="2"/>
  <c r="AC842" i="2"/>
  <c r="AB842" i="2"/>
  <c r="AA842" i="2"/>
  <c r="Z842" i="2"/>
  <c r="Y842" i="2"/>
  <c r="X842" i="2"/>
  <c r="W842" i="2"/>
  <c r="V842" i="2"/>
  <c r="AE841" i="2"/>
  <c r="AD841" i="2"/>
  <c r="AC841" i="2"/>
  <c r="AB841" i="2"/>
  <c r="AA841" i="2"/>
  <c r="Z841" i="2"/>
  <c r="Y841" i="2"/>
  <c r="X841" i="2"/>
  <c r="W841" i="2"/>
  <c r="V841" i="2"/>
  <c r="AE840" i="2"/>
  <c r="AD840" i="2"/>
  <c r="AC840" i="2"/>
  <c r="AB840" i="2"/>
  <c r="AA840" i="2"/>
  <c r="Z840" i="2"/>
  <c r="Y840" i="2"/>
  <c r="X840" i="2"/>
  <c r="W840" i="2"/>
  <c r="V840" i="2"/>
  <c r="AE839" i="2"/>
  <c r="AD839" i="2"/>
  <c r="AC839" i="2"/>
  <c r="AB839" i="2"/>
  <c r="AA839" i="2"/>
  <c r="Z839" i="2"/>
  <c r="Y839" i="2"/>
  <c r="X839" i="2"/>
  <c r="W839" i="2"/>
  <c r="V839" i="2"/>
  <c r="AE838" i="2"/>
  <c r="AD838" i="2"/>
  <c r="AC838" i="2"/>
  <c r="AB838" i="2"/>
  <c r="AA838" i="2"/>
  <c r="Z838" i="2"/>
  <c r="Y838" i="2"/>
  <c r="X838" i="2"/>
  <c r="W838" i="2"/>
  <c r="V838" i="2"/>
  <c r="AE837" i="2"/>
  <c r="AD837" i="2"/>
  <c r="AC837" i="2"/>
  <c r="AB837" i="2"/>
  <c r="AA837" i="2"/>
  <c r="Z837" i="2"/>
  <c r="Y837" i="2"/>
  <c r="X837" i="2"/>
  <c r="W837" i="2"/>
  <c r="V837" i="2"/>
  <c r="AE836" i="2"/>
  <c r="AD836" i="2"/>
  <c r="AC836" i="2"/>
  <c r="AB836" i="2"/>
  <c r="AA836" i="2"/>
  <c r="Z836" i="2"/>
  <c r="Y836" i="2"/>
  <c r="X836" i="2"/>
  <c r="W836" i="2"/>
  <c r="V836" i="2"/>
  <c r="AE835" i="2"/>
  <c r="AD835" i="2"/>
  <c r="AC835" i="2"/>
  <c r="AB835" i="2"/>
  <c r="AA835" i="2"/>
  <c r="Z835" i="2"/>
  <c r="Y835" i="2"/>
  <c r="X835" i="2"/>
  <c r="W835" i="2"/>
  <c r="V835" i="2"/>
  <c r="AE834" i="2"/>
  <c r="AD834" i="2"/>
  <c r="AC834" i="2"/>
  <c r="AB834" i="2"/>
  <c r="AA834" i="2"/>
  <c r="Z834" i="2"/>
  <c r="Y834" i="2"/>
  <c r="X834" i="2"/>
  <c r="W834" i="2"/>
  <c r="V834" i="2"/>
  <c r="AE833" i="2"/>
  <c r="AD833" i="2"/>
  <c r="AC833" i="2"/>
  <c r="AB833" i="2"/>
  <c r="AA833" i="2"/>
  <c r="Z833" i="2"/>
  <c r="Y833" i="2"/>
  <c r="X833" i="2"/>
  <c r="W833" i="2"/>
  <c r="V833" i="2"/>
  <c r="AE832" i="2"/>
  <c r="AD832" i="2"/>
  <c r="AC832" i="2"/>
  <c r="AB832" i="2"/>
  <c r="AA832" i="2"/>
  <c r="Z832" i="2"/>
  <c r="Y832" i="2"/>
  <c r="X832" i="2"/>
  <c r="W832" i="2"/>
  <c r="V832" i="2"/>
  <c r="AE831" i="2"/>
  <c r="AD831" i="2"/>
  <c r="AC831" i="2"/>
  <c r="AB831" i="2"/>
  <c r="AA831" i="2"/>
  <c r="Z831" i="2"/>
  <c r="Y831" i="2"/>
  <c r="X831" i="2"/>
  <c r="W831" i="2"/>
  <c r="V831" i="2"/>
  <c r="AE830" i="2"/>
  <c r="AD830" i="2"/>
  <c r="AC830" i="2"/>
  <c r="AB830" i="2"/>
  <c r="AA830" i="2"/>
  <c r="Z830" i="2"/>
  <c r="Y830" i="2"/>
  <c r="X830" i="2"/>
  <c r="W830" i="2"/>
  <c r="V830" i="2"/>
  <c r="AE829" i="2"/>
  <c r="AD829" i="2"/>
  <c r="AC829" i="2"/>
  <c r="AB829" i="2"/>
  <c r="AA829" i="2"/>
  <c r="Z829" i="2"/>
  <c r="Y829" i="2"/>
  <c r="X829" i="2"/>
  <c r="W829" i="2"/>
  <c r="V829" i="2"/>
  <c r="AE828" i="2"/>
  <c r="AD828" i="2"/>
  <c r="AC828" i="2"/>
  <c r="AB828" i="2"/>
  <c r="AA828" i="2"/>
  <c r="Z828" i="2"/>
  <c r="Y828" i="2"/>
  <c r="X828" i="2"/>
  <c r="W828" i="2"/>
  <c r="V828" i="2"/>
  <c r="AE827" i="2"/>
  <c r="AD827" i="2"/>
  <c r="AC827" i="2"/>
  <c r="AB827" i="2"/>
  <c r="AA827" i="2"/>
  <c r="Z827" i="2"/>
  <c r="Y827" i="2"/>
  <c r="X827" i="2"/>
  <c r="W827" i="2"/>
  <c r="V827" i="2"/>
  <c r="AE826" i="2"/>
  <c r="AD826" i="2"/>
  <c r="AC826" i="2"/>
  <c r="AB826" i="2"/>
  <c r="AA826" i="2"/>
  <c r="Z826" i="2"/>
  <c r="Y826" i="2"/>
  <c r="X826" i="2"/>
  <c r="W826" i="2"/>
  <c r="V826" i="2"/>
  <c r="AE825" i="2"/>
  <c r="AD825" i="2"/>
  <c r="AC825" i="2"/>
  <c r="AB825" i="2"/>
  <c r="AA825" i="2"/>
  <c r="Z825" i="2"/>
  <c r="Y825" i="2"/>
  <c r="X825" i="2"/>
  <c r="W825" i="2"/>
  <c r="V825" i="2"/>
  <c r="AE824" i="2"/>
  <c r="AD824" i="2"/>
  <c r="AC824" i="2"/>
  <c r="AB824" i="2"/>
  <c r="AA824" i="2"/>
  <c r="Z824" i="2"/>
  <c r="Y824" i="2"/>
  <c r="X824" i="2"/>
  <c r="W824" i="2"/>
  <c r="V824" i="2"/>
  <c r="AE823" i="2"/>
  <c r="AD823" i="2"/>
  <c r="AC823" i="2"/>
  <c r="AB823" i="2"/>
  <c r="AA823" i="2"/>
  <c r="Z823" i="2"/>
  <c r="Y823" i="2"/>
  <c r="X823" i="2"/>
  <c r="W823" i="2"/>
  <c r="V823" i="2"/>
  <c r="AE822" i="2"/>
  <c r="AD822" i="2"/>
  <c r="AC822" i="2"/>
  <c r="AB822" i="2"/>
  <c r="AA822" i="2"/>
  <c r="Z822" i="2"/>
  <c r="Y822" i="2"/>
  <c r="X822" i="2"/>
  <c r="W822" i="2"/>
  <c r="V822" i="2"/>
  <c r="AE821" i="2"/>
  <c r="AD821" i="2"/>
  <c r="AC821" i="2"/>
  <c r="AB821" i="2"/>
  <c r="AA821" i="2"/>
  <c r="Z821" i="2"/>
  <c r="Y821" i="2"/>
  <c r="X821" i="2"/>
  <c r="W821" i="2"/>
  <c r="V821" i="2"/>
  <c r="AE820" i="2"/>
  <c r="AD820" i="2"/>
  <c r="AC820" i="2"/>
  <c r="AB820" i="2"/>
  <c r="AA820" i="2"/>
  <c r="Z820" i="2"/>
  <c r="Y820" i="2"/>
  <c r="X820" i="2"/>
  <c r="W820" i="2"/>
  <c r="V820" i="2"/>
  <c r="AE819" i="2"/>
  <c r="AD819" i="2"/>
  <c r="AC819" i="2"/>
  <c r="AB819" i="2"/>
  <c r="AA819" i="2"/>
  <c r="Z819" i="2"/>
  <c r="Y819" i="2"/>
  <c r="X819" i="2"/>
  <c r="W819" i="2"/>
  <c r="V819" i="2"/>
  <c r="AE818" i="2"/>
  <c r="AD818" i="2"/>
  <c r="AC818" i="2"/>
  <c r="AB818" i="2"/>
  <c r="AA818" i="2"/>
  <c r="Z818" i="2"/>
  <c r="Y818" i="2"/>
  <c r="X818" i="2"/>
  <c r="W818" i="2"/>
  <c r="V818" i="2"/>
  <c r="AE817" i="2"/>
  <c r="AD817" i="2"/>
  <c r="AC817" i="2"/>
  <c r="AB817" i="2"/>
  <c r="AA817" i="2"/>
  <c r="Z817" i="2"/>
  <c r="Y817" i="2"/>
  <c r="X817" i="2"/>
  <c r="W817" i="2"/>
  <c r="V817" i="2"/>
  <c r="AE816" i="2"/>
  <c r="AD816" i="2"/>
  <c r="AC816" i="2"/>
  <c r="AB816" i="2"/>
  <c r="AA816" i="2"/>
  <c r="Z816" i="2"/>
  <c r="Y816" i="2"/>
  <c r="X816" i="2"/>
  <c r="W816" i="2"/>
  <c r="V816" i="2"/>
  <c r="AE815" i="2"/>
  <c r="AD815" i="2"/>
  <c r="AC815" i="2"/>
  <c r="AB815" i="2"/>
  <c r="AA815" i="2"/>
  <c r="Z815" i="2"/>
  <c r="Y815" i="2"/>
  <c r="X815" i="2"/>
  <c r="W815" i="2"/>
  <c r="V815" i="2"/>
  <c r="AE814" i="2"/>
  <c r="AD814" i="2"/>
  <c r="AC814" i="2"/>
  <c r="AB814" i="2"/>
  <c r="AA814" i="2"/>
  <c r="Z814" i="2"/>
  <c r="Y814" i="2"/>
  <c r="X814" i="2"/>
  <c r="W814" i="2"/>
  <c r="V814" i="2"/>
  <c r="AE813" i="2"/>
  <c r="AD813" i="2"/>
  <c r="AC813" i="2"/>
  <c r="AB813" i="2"/>
  <c r="AA813" i="2"/>
  <c r="Z813" i="2"/>
  <c r="Y813" i="2"/>
  <c r="X813" i="2"/>
  <c r="W813" i="2"/>
  <c r="V813" i="2"/>
  <c r="AE812" i="2"/>
  <c r="AD812" i="2"/>
  <c r="AC812" i="2"/>
  <c r="AB812" i="2"/>
  <c r="AA812" i="2"/>
  <c r="Z812" i="2"/>
  <c r="Y812" i="2"/>
  <c r="X812" i="2"/>
  <c r="W812" i="2"/>
  <c r="V812" i="2"/>
  <c r="AE811" i="2"/>
  <c r="AD811" i="2"/>
  <c r="AC811" i="2"/>
  <c r="AB811" i="2"/>
  <c r="AA811" i="2"/>
  <c r="Z811" i="2"/>
  <c r="Y811" i="2"/>
  <c r="X811" i="2"/>
  <c r="W811" i="2"/>
  <c r="V811" i="2"/>
  <c r="AE810" i="2"/>
  <c r="AD810" i="2"/>
  <c r="AC810" i="2"/>
  <c r="AB810" i="2"/>
  <c r="AA810" i="2"/>
  <c r="Z810" i="2"/>
  <c r="Y810" i="2"/>
  <c r="X810" i="2"/>
  <c r="W810" i="2"/>
  <c r="V810" i="2"/>
  <c r="AE809" i="2"/>
  <c r="AD809" i="2"/>
  <c r="AC809" i="2"/>
  <c r="AB809" i="2"/>
  <c r="AA809" i="2"/>
  <c r="Z809" i="2"/>
  <c r="Y809" i="2"/>
  <c r="X809" i="2"/>
  <c r="W809" i="2"/>
  <c r="V809" i="2"/>
  <c r="AE808" i="2"/>
  <c r="AD808" i="2"/>
  <c r="AC808" i="2"/>
  <c r="AB808" i="2"/>
  <c r="AA808" i="2"/>
  <c r="Z808" i="2"/>
  <c r="Y808" i="2"/>
  <c r="X808" i="2"/>
  <c r="W808" i="2"/>
  <c r="V808" i="2"/>
  <c r="AE807" i="2"/>
  <c r="AD807" i="2"/>
  <c r="AC807" i="2"/>
  <c r="AB807" i="2"/>
  <c r="AA807" i="2"/>
  <c r="Z807" i="2"/>
  <c r="Y807" i="2"/>
  <c r="X807" i="2"/>
  <c r="W807" i="2"/>
  <c r="V807" i="2"/>
  <c r="AE806" i="2"/>
  <c r="AD806" i="2"/>
  <c r="AC806" i="2"/>
  <c r="AB806" i="2"/>
  <c r="AA806" i="2"/>
  <c r="Z806" i="2"/>
  <c r="Y806" i="2"/>
  <c r="X806" i="2"/>
  <c r="W806" i="2"/>
  <c r="V806" i="2"/>
  <c r="AE805" i="2"/>
  <c r="AD805" i="2"/>
  <c r="AC805" i="2"/>
  <c r="AB805" i="2"/>
  <c r="AA805" i="2"/>
  <c r="Z805" i="2"/>
  <c r="Y805" i="2"/>
  <c r="X805" i="2"/>
  <c r="W805" i="2"/>
  <c r="V805" i="2"/>
  <c r="AE804" i="2"/>
  <c r="AD804" i="2"/>
  <c r="AC804" i="2"/>
  <c r="AB804" i="2"/>
  <c r="AA804" i="2"/>
  <c r="Z804" i="2"/>
  <c r="Y804" i="2"/>
  <c r="X804" i="2"/>
  <c r="W804" i="2"/>
  <c r="V804" i="2"/>
  <c r="AE803" i="2"/>
  <c r="AD803" i="2"/>
  <c r="AC803" i="2"/>
  <c r="AB803" i="2"/>
  <c r="AA803" i="2"/>
  <c r="Z803" i="2"/>
  <c r="Y803" i="2"/>
  <c r="X803" i="2"/>
  <c r="W803" i="2"/>
  <c r="V803" i="2"/>
  <c r="AE802" i="2"/>
  <c r="AD802" i="2"/>
  <c r="AC802" i="2"/>
  <c r="AB802" i="2"/>
  <c r="AA802" i="2"/>
  <c r="Z802" i="2"/>
  <c r="Y802" i="2"/>
  <c r="X802" i="2"/>
  <c r="W802" i="2"/>
  <c r="V802" i="2"/>
  <c r="AE801" i="2"/>
  <c r="AD801" i="2"/>
  <c r="AC801" i="2"/>
  <c r="AB801" i="2"/>
  <c r="AA801" i="2"/>
  <c r="Z801" i="2"/>
  <c r="Y801" i="2"/>
  <c r="X801" i="2"/>
  <c r="W801" i="2"/>
  <c r="V801" i="2"/>
  <c r="AE800" i="2"/>
  <c r="AD800" i="2"/>
  <c r="AC800" i="2"/>
  <c r="AB800" i="2"/>
  <c r="AA800" i="2"/>
  <c r="Z800" i="2"/>
  <c r="Y800" i="2"/>
  <c r="X800" i="2"/>
  <c r="W800" i="2"/>
  <c r="V800" i="2"/>
  <c r="AE799" i="2"/>
  <c r="AD799" i="2"/>
  <c r="AC799" i="2"/>
  <c r="AB799" i="2"/>
  <c r="AA799" i="2"/>
  <c r="Z799" i="2"/>
  <c r="Y799" i="2"/>
  <c r="X799" i="2"/>
  <c r="W799" i="2"/>
  <c r="V799" i="2"/>
  <c r="AE798" i="2"/>
  <c r="AD798" i="2"/>
  <c r="AC798" i="2"/>
  <c r="AB798" i="2"/>
  <c r="AA798" i="2"/>
  <c r="Z798" i="2"/>
  <c r="Y798" i="2"/>
  <c r="X798" i="2"/>
  <c r="W798" i="2"/>
  <c r="V798" i="2"/>
  <c r="AE797" i="2"/>
  <c r="AD797" i="2"/>
  <c r="AC797" i="2"/>
  <c r="AB797" i="2"/>
  <c r="AA797" i="2"/>
  <c r="Z797" i="2"/>
  <c r="Y797" i="2"/>
  <c r="X797" i="2"/>
  <c r="W797" i="2"/>
  <c r="V797" i="2"/>
  <c r="AE796" i="2"/>
  <c r="AD796" i="2"/>
  <c r="AC796" i="2"/>
  <c r="AB796" i="2"/>
  <c r="AA796" i="2"/>
  <c r="Z796" i="2"/>
  <c r="Y796" i="2"/>
  <c r="X796" i="2"/>
  <c r="W796" i="2"/>
  <c r="V796" i="2"/>
  <c r="AE795" i="2"/>
  <c r="AD795" i="2"/>
  <c r="AC795" i="2"/>
  <c r="AB795" i="2"/>
  <c r="AA795" i="2"/>
  <c r="Z795" i="2"/>
  <c r="Y795" i="2"/>
  <c r="X795" i="2"/>
  <c r="W795" i="2"/>
  <c r="V795" i="2"/>
  <c r="AE794" i="2"/>
  <c r="AD794" i="2"/>
  <c r="AC794" i="2"/>
  <c r="AB794" i="2"/>
  <c r="AA794" i="2"/>
  <c r="Z794" i="2"/>
  <c r="Y794" i="2"/>
  <c r="X794" i="2"/>
  <c r="W794" i="2"/>
  <c r="V794" i="2"/>
  <c r="AE793" i="2"/>
  <c r="AD793" i="2"/>
  <c r="AC793" i="2"/>
  <c r="AB793" i="2"/>
  <c r="AA793" i="2"/>
  <c r="Z793" i="2"/>
  <c r="Y793" i="2"/>
  <c r="X793" i="2"/>
  <c r="W793" i="2"/>
  <c r="V793" i="2"/>
  <c r="AE792" i="2"/>
  <c r="AD792" i="2"/>
  <c r="AC792" i="2"/>
  <c r="AB792" i="2"/>
  <c r="AA792" i="2"/>
  <c r="Z792" i="2"/>
  <c r="Y792" i="2"/>
  <c r="X792" i="2"/>
  <c r="W792" i="2"/>
  <c r="V792" i="2"/>
  <c r="AE791" i="2"/>
  <c r="AD791" i="2"/>
  <c r="AC791" i="2"/>
  <c r="AB791" i="2"/>
  <c r="AA791" i="2"/>
  <c r="Z791" i="2"/>
  <c r="Y791" i="2"/>
  <c r="X791" i="2"/>
  <c r="W791" i="2"/>
  <c r="V791" i="2"/>
  <c r="AE790" i="2"/>
  <c r="AD790" i="2"/>
  <c r="AC790" i="2"/>
  <c r="AB790" i="2"/>
  <c r="AA790" i="2"/>
  <c r="Z790" i="2"/>
  <c r="Y790" i="2"/>
  <c r="X790" i="2"/>
  <c r="W790" i="2"/>
  <c r="V790" i="2"/>
  <c r="AE789" i="2"/>
  <c r="AD789" i="2"/>
  <c r="AC789" i="2"/>
  <c r="AB789" i="2"/>
  <c r="AA789" i="2"/>
  <c r="Z789" i="2"/>
  <c r="Y789" i="2"/>
  <c r="X789" i="2"/>
  <c r="W789" i="2"/>
  <c r="V789" i="2"/>
  <c r="AE788" i="2"/>
  <c r="AD788" i="2"/>
  <c r="AC788" i="2"/>
  <c r="AB788" i="2"/>
  <c r="AA788" i="2"/>
  <c r="Z788" i="2"/>
  <c r="Y788" i="2"/>
  <c r="X788" i="2"/>
  <c r="W788" i="2"/>
  <c r="V788" i="2"/>
  <c r="AE787" i="2"/>
  <c r="AD787" i="2"/>
  <c r="AC787" i="2"/>
  <c r="AB787" i="2"/>
  <c r="AA787" i="2"/>
  <c r="Z787" i="2"/>
  <c r="Y787" i="2"/>
  <c r="X787" i="2"/>
  <c r="W787" i="2"/>
  <c r="V787" i="2"/>
  <c r="AE786" i="2"/>
  <c r="AD786" i="2"/>
  <c r="AC786" i="2"/>
  <c r="AB786" i="2"/>
  <c r="AA786" i="2"/>
  <c r="Z786" i="2"/>
  <c r="Y786" i="2"/>
  <c r="X786" i="2"/>
  <c r="W786" i="2"/>
  <c r="V786" i="2"/>
  <c r="AE785" i="2"/>
  <c r="AD785" i="2"/>
  <c r="AC785" i="2"/>
  <c r="AB785" i="2"/>
  <c r="AA785" i="2"/>
  <c r="Z785" i="2"/>
  <c r="Y785" i="2"/>
  <c r="X785" i="2"/>
  <c r="W785" i="2"/>
  <c r="V785" i="2"/>
  <c r="AE784" i="2"/>
  <c r="AD784" i="2"/>
  <c r="AC784" i="2"/>
  <c r="AB784" i="2"/>
  <c r="AA784" i="2"/>
  <c r="Z784" i="2"/>
  <c r="Y784" i="2"/>
  <c r="X784" i="2"/>
  <c r="W784" i="2"/>
  <c r="V784" i="2"/>
  <c r="AE783" i="2"/>
  <c r="AD783" i="2"/>
  <c r="AC783" i="2"/>
  <c r="AB783" i="2"/>
  <c r="AA783" i="2"/>
  <c r="Z783" i="2"/>
  <c r="Y783" i="2"/>
  <c r="X783" i="2"/>
  <c r="W783" i="2"/>
  <c r="V783" i="2"/>
  <c r="AE782" i="2"/>
  <c r="AD782" i="2"/>
  <c r="AC782" i="2"/>
  <c r="AB782" i="2"/>
  <c r="AA782" i="2"/>
  <c r="Z782" i="2"/>
  <c r="Y782" i="2"/>
  <c r="X782" i="2"/>
  <c r="W782" i="2"/>
  <c r="V782" i="2"/>
  <c r="AE781" i="2"/>
  <c r="AD781" i="2"/>
  <c r="AC781" i="2"/>
  <c r="AB781" i="2"/>
  <c r="AA781" i="2"/>
  <c r="Z781" i="2"/>
  <c r="Y781" i="2"/>
  <c r="X781" i="2"/>
  <c r="W781" i="2"/>
  <c r="V781" i="2"/>
  <c r="AE780" i="2"/>
  <c r="AD780" i="2"/>
  <c r="AC780" i="2"/>
  <c r="AB780" i="2"/>
  <c r="AA780" i="2"/>
  <c r="Z780" i="2"/>
  <c r="Y780" i="2"/>
  <c r="X780" i="2"/>
  <c r="W780" i="2"/>
  <c r="V780" i="2"/>
  <c r="AE779" i="2"/>
  <c r="AD779" i="2"/>
  <c r="AC779" i="2"/>
  <c r="AB779" i="2"/>
  <c r="AA779" i="2"/>
  <c r="Z779" i="2"/>
  <c r="Y779" i="2"/>
  <c r="X779" i="2"/>
  <c r="W779" i="2"/>
  <c r="V779" i="2"/>
  <c r="AE778" i="2"/>
  <c r="AD778" i="2"/>
  <c r="AC778" i="2"/>
  <c r="AB778" i="2"/>
  <c r="AA778" i="2"/>
  <c r="Z778" i="2"/>
  <c r="Y778" i="2"/>
  <c r="X778" i="2"/>
  <c r="W778" i="2"/>
  <c r="V778" i="2"/>
  <c r="AE777" i="2"/>
  <c r="AD777" i="2"/>
  <c r="AC777" i="2"/>
  <c r="AB777" i="2"/>
  <c r="AA777" i="2"/>
  <c r="Z777" i="2"/>
  <c r="Y777" i="2"/>
  <c r="X777" i="2"/>
  <c r="W777" i="2"/>
  <c r="V777" i="2"/>
  <c r="AE776" i="2"/>
  <c r="AD776" i="2"/>
  <c r="AC776" i="2"/>
  <c r="AB776" i="2"/>
  <c r="AA776" i="2"/>
  <c r="Z776" i="2"/>
  <c r="Y776" i="2"/>
  <c r="X776" i="2"/>
  <c r="W776" i="2"/>
  <c r="V776" i="2"/>
  <c r="AE775" i="2"/>
  <c r="AD775" i="2"/>
  <c r="AC775" i="2"/>
  <c r="AB775" i="2"/>
  <c r="AA775" i="2"/>
  <c r="Z775" i="2"/>
  <c r="Y775" i="2"/>
  <c r="X775" i="2"/>
  <c r="W775" i="2"/>
  <c r="V775" i="2"/>
  <c r="AE774" i="2"/>
  <c r="AD774" i="2"/>
  <c r="AC774" i="2"/>
  <c r="AB774" i="2"/>
  <c r="AA774" i="2"/>
  <c r="Z774" i="2"/>
  <c r="Y774" i="2"/>
  <c r="X774" i="2"/>
  <c r="W774" i="2"/>
  <c r="V774" i="2"/>
  <c r="AE773" i="2"/>
  <c r="AD773" i="2"/>
  <c r="AC773" i="2"/>
  <c r="AB773" i="2"/>
  <c r="AA773" i="2"/>
  <c r="Z773" i="2"/>
  <c r="Y773" i="2"/>
  <c r="X773" i="2"/>
  <c r="W773" i="2"/>
  <c r="V773" i="2"/>
  <c r="AE772" i="2"/>
  <c r="AD772" i="2"/>
  <c r="AC772" i="2"/>
  <c r="AB772" i="2"/>
  <c r="AA772" i="2"/>
  <c r="Z772" i="2"/>
  <c r="Y772" i="2"/>
  <c r="X772" i="2"/>
  <c r="W772" i="2"/>
  <c r="V772" i="2"/>
  <c r="AE771" i="2"/>
  <c r="AD771" i="2"/>
  <c r="AC771" i="2"/>
  <c r="AB771" i="2"/>
  <c r="AA771" i="2"/>
  <c r="Z771" i="2"/>
  <c r="Y771" i="2"/>
  <c r="X771" i="2"/>
  <c r="W771" i="2"/>
  <c r="V771" i="2"/>
  <c r="AE770" i="2"/>
  <c r="AD770" i="2"/>
  <c r="AC770" i="2"/>
  <c r="AB770" i="2"/>
  <c r="AA770" i="2"/>
  <c r="Z770" i="2"/>
  <c r="Y770" i="2"/>
  <c r="X770" i="2"/>
  <c r="W770" i="2"/>
  <c r="V770" i="2"/>
  <c r="AE769" i="2"/>
  <c r="AD769" i="2"/>
  <c r="AC769" i="2"/>
  <c r="AB769" i="2"/>
  <c r="AA769" i="2"/>
  <c r="Z769" i="2"/>
  <c r="Y769" i="2"/>
  <c r="X769" i="2"/>
  <c r="W769" i="2"/>
  <c r="V769" i="2"/>
  <c r="AE768" i="2"/>
  <c r="AD768" i="2"/>
  <c r="AC768" i="2"/>
  <c r="AB768" i="2"/>
  <c r="AA768" i="2"/>
  <c r="Z768" i="2"/>
  <c r="Y768" i="2"/>
  <c r="X768" i="2"/>
  <c r="W768" i="2"/>
  <c r="V768" i="2"/>
  <c r="AE767" i="2"/>
  <c r="AD767" i="2"/>
  <c r="AC767" i="2"/>
  <c r="AB767" i="2"/>
  <c r="AA767" i="2"/>
  <c r="Z767" i="2"/>
  <c r="Y767" i="2"/>
  <c r="X767" i="2"/>
  <c r="W767" i="2"/>
  <c r="V767" i="2"/>
  <c r="AE766" i="2"/>
  <c r="AD766" i="2"/>
  <c r="AC766" i="2"/>
  <c r="AB766" i="2"/>
  <c r="AA766" i="2"/>
  <c r="Z766" i="2"/>
  <c r="Y766" i="2"/>
  <c r="X766" i="2"/>
  <c r="W766" i="2"/>
  <c r="V766" i="2"/>
  <c r="AE765" i="2"/>
  <c r="AD765" i="2"/>
  <c r="AC765" i="2"/>
  <c r="AB765" i="2"/>
  <c r="AA765" i="2"/>
  <c r="Z765" i="2"/>
  <c r="Y765" i="2"/>
  <c r="X765" i="2"/>
  <c r="W765" i="2"/>
  <c r="V765" i="2"/>
  <c r="AE764" i="2"/>
  <c r="AD764" i="2"/>
  <c r="AC764" i="2"/>
  <c r="AB764" i="2"/>
  <c r="AA764" i="2"/>
  <c r="Z764" i="2"/>
  <c r="Y764" i="2"/>
  <c r="X764" i="2"/>
  <c r="W764" i="2"/>
  <c r="V764" i="2"/>
  <c r="AE763" i="2"/>
  <c r="AD763" i="2"/>
  <c r="AC763" i="2"/>
  <c r="AB763" i="2"/>
  <c r="AA763" i="2"/>
  <c r="Z763" i="2"/>
  <c r="Y763" i="2"/>
  <c r="X763" i="2"/>
  <c r="W763" i="2"/>
  <c r="V763" i="2"/>
  <c r="AE762" i="2"/>
  <c r="AD762" i="2"/>
  <c r="AC762" i="2"/>
  <c r="AB762" i="2"/>
  <c r="AA762" i="2"/>
  <c r="Z762" i="2"/>
  <c r="Y762" i="2"/>
  <c r="X762" i="2"/>
  <c r="W762" i="2"/>
  <c r="V762" i="2"/>
  <c r="AE761" i="2"/>
  <c r="AD761" i="2"/>
  <c r="AC761" i="2"/>
  <c r="AB761" i="2"/>
  <c r="AA761" i="2"/>
  <c r="Z761" i="2"/>
  <c r="Y761" i="2"/>
  <c r="X761" i="2"/>
  <c r="W761" i="2"/>
  <c r="V761" i="2"/>
  <c r="AE760" i="2"/>
  <c r="AD760" i="2"/>
  <c r="AC760" i="2"/>
  <c r="AB760" i="2"/>
  <c r="AA760" i="2"/>
  <c r="Z760" i="2"/>
  <c r="Y760" i="2"/>
  <c r="X760" i="2"/>
  <c r="W760" i="2"/>
  <c r="V760" i="2"/>
  <c r="AE759" i="2"/>
  <c r="AD759" i="2"/>
  <c r="AC759" i="2"/>
  <c r="AB759" i="2"/>
  <c r="AA759" i="2"/>
  <c r="Z759" i="2"/>
  <c r="Y759" i="2"/>
  <c r="X759" i="2"/>
  <c r="W759" i="2"/>
  <c r="V759" i="2"/>
  <c r="AE758" i="2"/>
  <c r="AD758" i="2"/>
  <c r="AC758" i="2"/>
  <c r="AB758" i="2"/>
  <c r="AA758" i="2"/>
  <c r="Z758" i="2"/>
  <c r="Y758" i="2"/>
  <c r="X758" i="2"/>
  <c r="W758" i="2"/>
  <c r="V758" i="2"/>
  <c r="AE757" i="2"/>
  <c r="AD757" i="2"/>
  <c r="AC757" i="2"/>
  <c r="AB757" i="2"/>
  <c r="AA757" i="2"/>
  <c r="Z757" i="2"/>
  <c r="Y757" i="2"/>
  <c r="X757" i="2"/>
  <c r="W757" i="2"/>
  <c r="V757" i="2"/>
  <c r="AE756" i="2"/>
  <c r="AD756" i="2"/>
  <c r="AC756" i="2"/>
  <c r="AB756" i="2"/>
  <c r="AA756" i="2"/>
  <c r="Z756" i="2"/>
  <c r="Y756" i="2"/>
  <c r="X756" i="2"/>
  <c r="W756" i="2"/>
  <c r="V756" i="2"/>
  <c r="AE755" i="2"/>
  <c r="AD755" i="2"/>
  <c r="AC755" i="2"/>
  <c r="AB755" i="2"/>
  <c r="AA755" i="2"/>
  <c r="Z755" i="2"/>
  <c r="Y755" i="2"/>
  <c r="X755" i="2"/>
  <c r="W755" i="2"/>
  <c r="V755" i="2"/>
  <c r="AE754" i="2"/>
  <c r="AD754" i="2"/>
  <c r="AC754" i="2"/>
  <c r="AB754" i="2"/>
  <c r="AA754" i="2"/>
  <c r="Z754" i="2"/>
  <c r="Y754" i="2"/>
  <c r="X754" i="2"/>
  <c r="W754" i="2"/>
  <c r="V754" i="2"/>
  <c r="AE753" i="2"/>
  <c r="AD753" i="2"/>
  <c r="AC753" i="2"/>
  <c r="AB753" i="2"/>
  <c r="AA753" i="2"/>
  <c r="Z753" i="2"/>
  <c r="Y753" i="2"/>
  <c r="X753" i="2"/>
  <c r="W753" i="2"/>
  <c r="V753" i="2"/>
  <c r="AE752" i="2"/>
  <c r="AD752" i="2"/>
  <c r="AC752" i="2"/>
  <c r="AB752" i="2"/>
  <c r="AA752" i="2"/>
  <c r="Z752" i="2"/>
  <c r="Y752" i="2"/>
  <c r="X752" i="2"/>
  <c r="W752" i="2"/>
  <c r="V752" i="2"/>
  <c r="AE751" i="2"/>
  <c r="AD751" i="2"/>
  <c r="AC751" i="2"/>
  <c r="AB751" i="2"/>
  <c r="AA751" i="2"/>
  <c r="Z751" i="2"/>
  <c r="Y751" i="2"/>
  <c r="X751" i="2"/>
  <c r="W751" i="2"/>
  <c r="V751" i="2"/>
  <c r="AE750" i="2"/>
  <c r="AD750" i="2"/>
  <c r="AC750" i="2"/>
  <c r="AB750" i="2"/>
  <c r="AA750" i="2"/>
  <c r="Z750" i="2"/>
  <c r="Y750" i="2"/>
  <c r="X750" i="2"/>
  <c r="W750" i="2"/>
  <c r="V750" i="2"/>
  <c r="AE749" i="2"/>
  <c r="AD749" i="2"/>
  <c r="AC749" i="2"/>
  <c r="AB749" i="2"/>
  <c r="AA749" i="2"/>
  <c r="Z749" i="2"/>
  <c r="Y749" i="2"/>
  <c r="X749" i="2"/>
  <c r="W749" i="2"/>
  <c r="V749" i="2"/>
  <c r="AE748" i="2"/>
  <c r="AD748" i="2"/>
  <c r="AC748" i="2"/>
  <c r="AB748" i="2"/>
  <c r="AA748" i="2"/>
  <c r="Z748" i="2"/>
  <c r="Y748" i="2"/>
  <c r="X748" i="2"/>
  <c r="W748" i="2"/>
  <c r="V748" i="2"/>
  <c r="AE747" i="2"/>
  <c r="AD747" i="2"/>
  <c r="AC747" i="2"/>
  <c r="AB747" i="2"/>
  <c r="AA747" i="2"/>
  <c r="Z747" i="2"/>
  <c r="Y747" i="2"/>
  <c r="X747" i="2"/>
  <c r="W747" i="2"/>
  <c r="V747" i="2"/>
  <c r="AE746" i="2"/>
  <c r="AD746" i="2"/>
  <c r="AC746" i="2"/>
  <c r="AB746" i="2"/>
  <c r="AA746" i="2"/>
  <c r="Z746" i="2"/>
  <c r="Y746" i="2"/>
  <c r="X746" i="2"/>
  <c r="W746" i="2"/>
  <c r="V746" i="2"/>
  <c r="AE745" i="2"/>
  <c r="AD745" i="2"/>
  <c r="AC745" i="2"/>
  <c r="AB745" i="2"/>
  <c r="AA745" i="2"/>
  <c r="Z745" i="2"/>
  <c r="Y745" i="2"/>
  <c r="X745" i="2"/>
  <c r="W745" i="2"/>
  <c r="V745" i="2"/>
  <c r="AE744" i="2"/>
  <c r="AD744" i="2"/>
  <c r="AC744" i="2"/>
  <c r="AB744" i="2"/>
  <c r="AA744" i="2"/>
  <c r="Z744" i="2"/>
  <c r="Y744" i="2"/>
  <c r="X744" i="2"/>
  <c r="W744" i="2"/>
  <c r="V744" i="2"/>
  <c r="AE743" i="2"/>
  <c r="AD743" i="2"/>
  <c r="AC743" i="2"/>
  <c r="AB743" i="2"/>
  <c r="AA743" i="2"/>
  <c r="Z743" i="2"/>
  <c r="Y743" i="2"/>
  <c r="X743" i="2"/>
  <c r="W743" i="2"/>
  <c r="V743" i="2"/>
  <c r="AE742" i="2"/>
  <c r="AD742" i="2"/>
  <c r="AC742" i="2"/>
  <c r="AB742" i="2"/>
  <c r="AA742" i="2"/>
  <c r="Z742" i="2"/>
  <c r="Y742" i="2"/>
  <c r="X742" i="2"/>
  <c r="W742" i="2"/>
  <c r="V742" i="2"/>
  <c r="AE741" i="2"/>
  <c r="AD741" i="2"/>
  <c r="AC741" i="2"/>
  <c r="AB741" i="2"/>
  <c r="AA741" i="2"/>
  <c r="Z741" i="2"/>
  <c r="Y741" i="2"/>
  <c r="X741" i="2"/>
  <c r="W741" i="2"/>
  <c r="V741" i="2"/>
  <c r="AE740" i="2"/>
  <c r="AD740" i="2"/>
  <c r="AC740" i="2"/>
  <c r="AB740" i="2"/>
  <c r="AA740" i="2"/>
  <c r="Z740" i="2"/>
  <c r="Y740" i="2"/>
  <c r="X740" i="2"/>
  <c r="W740" i="2"/>
  <c r="V740" i="2"/>
  <c r="AE739" i="2"/>
  <c r="AD739" i="2"/>
  <c r="AC739" i="2"/>
  <c r="AB739" i="2"/>
  <c r="AA739" i="2"/>
  <c r="Z739" i="2"/>
  <c r="Y739" i="2"/>
  <c r="X739" i="2"/>
  <c r="W739" i="2"/>
  <c r="V739" i="2"/>
  <c r="AE738" i="2"/>
  <c r="AD738" i="2"/>
  <c r="AC738" i="2"/>
  <c r="AB738" i="2"/>
  <c r="AA738" i="2"/>
  <c r="Z738" i="2"/>
  <c r="Y738" i="2"/>
  <c r="X738" i="2"/>
  <c r="W738" i="2"/>
  <c r="V738" i="2"/>
  <c r="AE737" i="2"/>
  <c r="AD737" i="2"/>
  <c r="AC737" i="2"/>
  <c r="AB737" i="2"/>
  <c r="AA737" i="2"/>
  <c r="Z737" i="2"/>
  <c r="Y737" i="2"/>
  <c r="X737" i="2"/>
  <c r="W737" i="2"/>
  <c r="V737" i="2"/>
  <c r="AE736" i="2"/>
  <c r="AD736" i="2"/>
  <c r="AC736" i="2"/>
  <c r="AB736" i="2"/>
  <c r="AA736" i="2"/>
  <c r="Z736" i="2"/>
  <c r="Y736" i="2"/>
  <c r="X736" i="2"/>
  <c r="W736" i="2"/>
  <c r="V736" i="2"/>
  <c r="AE735" i="2"/>
  <c r="AD735" i="2"/>
  <c r="AC735" i="2"/>
  <c r="AB735" i="2"/>
  <c r="AA735" i="2"/>
  <c r="Z735" i="2"/>
  <c r="Y735" i="2"/>
  <c r="X735" i="2"/>
  <c r="W735" i="2"/>
  <c r="V735" i="2"/>
  <c r="AE734" i="2"/>
  <c r="AD734" i="2"/>
  <c r="AC734" i="2"/>
  <c r="AB734" i="2"/>
  <c r="AA734" i="2"/>
  <c r="Z734" i="2"/>
  <c r="Y734" i="2"/>
  <c r="X734" i="2"/>
  <c r="W734" i="2"/>
  <c r="V734" i="2"/>
  <c r="AE733" i="2"/>
  <c r="AD733" i="2"/>
  <c r="AC733" i="2"/>
  <c r="AB733" i="2"/>
  <c r="AA733" i="2"/>
  <c r="Z733" i="2"/>
  <c r="Y733" i="2"/>
  <c r="X733" i="2"/>
  <c r="W733" i="2"/>
  <c r="V733" i="2"/>
  <c r="AE732" i="2"/>
  <c r="AD732" i="2"/>
  <c r="AC732" i="2"/>
  <c r="AB732" i="2"/>
  <c r="AA732" i="2"/>
  <c r="Z732" i="2"/>
  <c r="Y732" i="2"/>
  <c r="X732" i="2"/>
  <c r="W732" i="2"/>
  <c r="V732" i="2"/>
  <c r="AE731" i="2"/>
  <c r="AD731" i="2"/>
  <c r="AC731" i="2"/>
  <c r="AB731" i="2"/>
  <c r="AA731" i="2"/>
  <c r="Z731" i="2"/>
  <c r="Y731" i="2"/>
  <c r="X731" i="2"/>
  <c r="W731" i="2"/>
  <c r="V731" i="2"/>
  <c r="AE730" i="2"/>
  <c r="AD730" i="2"/>
  <c r="AC730" i="2"/>
  <c r="AB730" i="2"/>
  <c r="AA730" i="2"/>
  <c r="Z730" i="2"/>
  <c r="Y730" i="2"/>
  <c r="X730" i="2"/>
  <c r="W730" i="2"/>
  <c r="V730" i="2"/>
  <c r="AE729" i="2"/>
  <c r="AD729" i="2"/>
  <c r="AC729" i="2"/>
  <c r="AB729" i="2"/>
  <c r="AA729" i="2"/>
  <c r="Z729" i="2"/>
  <c r="Y729" i="2"/>
  <c r="X729" i="2"/>
  <c r="W729" i="2"/>
  <c r="V729" i="2"/>
  <c r="AE728" i="2"/>
  <c r="AD728" i="2"/>
  <c r="AC728" i="2"/>
  <c r="AB728" i="2"/>
  <c r="AA728" i="2"/>
  <c r="Z728" i="2"/>
  <c r="Y728" i="2"/>
  <c r="X728" i="2"/>
  <c r="W728" i="2"/>
  <c r="V728" i="2"/>
  <c r="AE727" i="2"/>
  <c r="AD727" i="2"/>
  <c r="AC727" i="2"/>
  <c r="AB727" i="2"/>
  <c r="AA727" i="2"/>
  <c r="Z727" i="2"/>
  <c r="Y727" i="2"/>
  <c r="X727" i="2"/>
  <c r="W727" i="2"/>
  <c r="V727" i="2"/>
  <c r="AE726" i="2"/>
  <c r="AD726" i="2"/>
  <c r="AC726" i="2"/>
  <c r="AB726" i="2"/>
  <c r="AA726" i="2"/>
  <c r="Z726" i="2"/>
  <c r="Y726" i="2"/>
  <c r="X726" i="2"/>
  <c r="W726" i="2"/>
  <c r="V726" i="2"/>
  <c r="AE725" i="2"/>
  <c r="AD725" i="2"/>
  <c r="AC725" i="2"/>
  <c r="AB725" i="2"/>
  <c r="AA725" i="2"/>
  <c r="Z725" i="2"/>
  <c r="Y725" i="2"/>
  <c r="X725" i="2"/>
  <c r="W725" i="2"/>
  <c r="V725" i="2"/>
  <c r="AE724" i="2"/>
  <c r="AD724" i="2"/>
  <c r="AC724" i="2"/>
  <c r="AB724" i="2"/>
  <c r="AA724" i="2"/>
  <c r="Z724" i="2"/>
  <c r="Y724" i="2"/>
  <c r="X724" i="2"/>
  <c r="W724" i="2"/>
  <c r="V724" i="2"/>
  <c r="AE723" i="2"/>
  <c r="AD723" i="2"/>
  <c r="AC723" i="2"/>
  <c r="AB723" i="2"/>
  <c r="AA723" i="2"/>
  <c r="Z723" i="2"/>
  <c r="Y723" i="2"/>
  <c r="X723" i="2"/>
  <c r="W723" i="2"/>
  <c r="V723" i="2"/>
  <c r="AE722" i="2"/>
  <c r="AD722" i="2"/>
  <c r="AC722" i="2"/>
  <c r="AB722" i="2"/>
  <c r="AA722" i="2"/>
  <c r="Z722" i="2"/>
  <c r="Y722" i="2"/>
  <c r="X722" i="2"/>
  <c r="W722" i="2"/>
  <c r="V722" i="2"/>
  <c r="AE721" i="2"/>
  <c r="AD721" i="2"/>
  <c r="AC721" i="2"/>
  <c r="AB721" i="2"/>
  <c r="AA721" i="2"/>
  <c r="Z721" i="2"/>
  <c r="Y721" i="2"/>
  <c r="X721" i="2"/>
  <c r="W721" i="2"/>
  <c r="V721" i="2"/>
  <c r="AE720" i="2"/>
  <c r="AD720" i="2"/>
  <c r="AC720" i="2"/>
  <c r="AB720" i="2"/>
  <c r="AA720" i="2"/>
  <c r="Z720" i="2"/>
  <c r="Y720" i="2"/>
  <c r="X720" i="2"/>
  <c r="W720" i="2"/>
  <c r="V720" i="2"/>
  <c r="AE719" i="2"/>
  <c r="AD719" i="2"/>
  <c r="AC719" i="2"/>
  <c r="AB719" i="2"/>
  <c r="AA719" i="2"/>
  <c r="Z719" i="2"/>
  <c r="Y719" i="2"/>
  <c r="X719" i="2"/>
  <c r="W719" i="2"/>
  <c r="V719" i="2"/>
  <c r="AE718" i="2"/>
  <c r="AD718" i="2"/>
  <c r="AC718" i="2"/>
  <c r="AB718" i="2"/>
  <c r="AA718" i="2"/>
  <c r="Z718" i="2"/>
  <c r="Y718" i="2"/>
  <c r="X718" i="2"/>
  <c r="W718" i="2"/>
  <c r="V718" i="2"/>
  <c r="AE717" i="2"/>
  <c r="AD717" i="2"/>
  <c r="AC717" i="2"/>
  <c r="AB717" i="2"/>
  <c r="AA717" i="2"/>
  <c r="Z717" i="2"/>
  <c r="Y717" i="2"/>
  <c r="X717" i="2"/>
  <c r="W717" i="2"/>
  <c r="V717" i="2"/>
  <c r="AE716" i="2"/>
  <c r="AD716" i="2"/>
  <c r="AC716" i="2"/>
  <c r="AB716" i="2"/>
  <c r="AA716" i="2"/>
  <c r="Z716" i="2"/>
  <c r="Y716" i="2"/>
  <c r="X716" i="2"/>
  <c r="W716" i="2"/>
  <c r="V716" i="2"/>
  <c r="AE715" i="2"/>
  <c r="AD715" i="2"/>
  <c r="AC715" i="2"/>
  <c r="AB715" i="2"/>
  <c r="AA715" i="2"/>
  <c r="Z715" i="2"/>
  <c r="Y715" i="2"/>
  <c r="X715" i="2"/>
  <c r="W715" i="2"/>
  <c r="V715" i="2"/>
  <c r="AE714" i="2"/>
  <c r="AD714" i="2"/>
  <c r="AC714" i="2"/>
  <c r="AB714" i="2"/>
  <c r="AA714" i="2"/>
  <c r="Z714" i="2"/>
  <c r="Y714" i="2"/>
  <c r="X714" i="2"/>
  <c r="W714" i="2"/>
  <c r="V714" i="2"/>
  <c r="AE713" i="2"/>
  <c r="AD713" i="2"/>
  <c r="AC713" i="2"/>
  <c r="AB713" i="2"/>
  <c r="AA713" i="2"/>
  <c r="Z713" i="2"/>
  <c r="Y713" i="2"/>
  <c r="X713" i="2"/>
  <c r="W713" i="2"/>
  <c r="V713" i="2"/>
  <c r="AE712" i="2"/>
  <c r="AD712" i="2"/>
  <c r="AC712" i="2"/>
  <c r="AB712" i="2"/>
  <c r="AA712" i="2"/>
  <c r="Z712" i="2"/>
  <c r="Y712" i="2"/>
  <c r="X712" i="2"/>
  <c r="W712" i="2"/>
  <c r="V712" i="2"/>
  <c r="AE711" i="2"/>
  <c r="AD711" i="2"/>
  <c r="AC711" i="2"/>
  <c r="AB711" i="2"/>
  <c r="AA711" i="2"/>
  <c r="Z711" i="2"/>
  <c r="Y711" i="2"/>
  <c r="X711" i="2"/>
  <c r="W711" i="2"/>
  <c r="V711" i="2"/>
  <c r="AE710" i="2"/>
  <c r="AD710" i="2"/>
  <c r="AC710" i="2"/>
  <c r="AB710" i="2"/>
  <c r="AA710" i="2"/>
  <c r="Z710" i="2"/>
  <c r="Y710" i="2"/>
  <c r="X710" i="2"/>
  <c r="W710" i="2"/>
  <c r="V710" i="2"/>
  <c r="AE709" i="2"/>
  <c r="AD709" i="2"/>
  <c r="AC709" i="2"/>
  <c r="AB709" i="2"/>
  <c r="AA709" i="2"/>
  <c r="Z709" i="2"/>
  <c r="Y709" i="2"/>
  <c r="X709" i="2"/>
  <c r="W709" i="2"/>
  <c r="V709" i="2"/>
  <c r="AE708" i="2"/>
  <c r="AD708" i="2"/>
  <c r="AC708" i="2"/>
  <c r="AB708" i="2"/>
  <c r="AA708" i="2"/>
  <c r="Z708" i="2"/>
  <c r="Y708" i="2"/>
  <c r="X708" i="2"/>
  <c r="W708" i="2"/>
  <c r="V708" i="2"/>
  <c r="AE707" i="2"/>
  <c r="AD707" i="2"/>
  <c r="AC707" i="2"/>
  <c r="AB707" i="2"/>
  <c r="AA707" i="2"/>
  <c r="Z707" i="2"/>
  <c r="Y707" i="2"/>
  <c r="X707" i="2"/>
  <c r="W707" i="2"/>
  <c r="V707" i="2"/>
  <c r="AE706" i="2"/>
  <c r="AD706" i="2"/>
  <c r="AC706" i="2"/>
  <c r="AB706" i="2"/>
  <c r="AA706" i="2"/>
  <c r="Z706" i="2"/>
  <c r="Y706" i="2"/>
  <c r="X706" i="2"/>
  <c r="W706" i="2"/>
  <c r="V706" i="2"/>
  <c r="AE705" i="2"/>
  <c r="AD705" i="2"/>
  <c r="AC705" i="2"/>
  <c r="AB705" i="2"/>
  <c r="AA705" i="2"/>
  <c r="Z705" i="2"/>
  <c r="Y705" i="2"/>
  <c r="X705" i="2"/>
  <c r="W705" i="2"/>
  <c r="V705" i="2"/>
  <c r="AE704" i="2"/>
  <c r="AD704" i="2"/>
  <c r="AC704" i="2"/>
  <c r="AB704" i="2"/>
  <c r="AA704" i="2"/>
  <c r="Z704" i="2"/>
  <c r="Y704" i="2"/>
  <c r="X704" i="2"/>
  <c r="W704" i="2"/>
  <c r="V704" i="2"/>
  <c r="AE703" i="2"/>
  <c r="AD703" i="2"/>
  <c r="AC703" i="2"/>
  <c r="AB703" i="2"/>
  <c r="AA703" i="2"/>
  <c r="Z703" i="2"/>
  <c r="Y703" i="2"/>
  <c r="X703" i="2"/>
  <c r="W703" i="2"/>
  <c r="V703" i="2"/>
  <c r="AE702" i="2"/>
  <c r="AD702" i="2"/>
  <c r="AC702" i="2"/>
  <c r="AB702" i="2"/>
  <c r="AA702" i="2"/>
  <c r="Z702" i="2"/>
  <c r="Y702" i="2"/>
  <c r="X702" i="2"/>
  <c r="W702" i="2"/>
  <c r="V702" i="2"/>
  <c r="AE701" i="2"/>
  <c r="AD701" i="2"/>
  <c r="AC701" i="2"/>
  <c r="AB701" i="2"/>
  <c r="AA701" i="2"/>
  <c r="Z701" i="2"/>
  <c r="Y701" i="2"/>
  <c r="X701" i="2"/>
  <c r="W701" i="2"/>
  <c r="V701" i="2"/>
  <c r="AE700" i="2"/>
  <c r="AD700" i="2"/>
  <c r="AC700" i="2"/>
  <c r="AB700" i="2"/>
  <c r="AA700" i="2"/>
  <c r="Z700" i="2"/>
  <c r="Y700" i="2"/>
  <c r="X700" i="2"/>
  <c r="W700" i="2"/>
  <c r="V700" i="2"/>
  <c r="AE699" i="2"/>
  <c r="AD699" i="2"/>
  <c r="AC699" i="2"/>
  <c r="AB699" i="2"/>
  <c r="AA699" i="2"/>
  <c r="Z699" i="2"/>
  <c r="Y699" i="2"/>
  <c r="X699" i="2"/>
  <c r="W699" i="2"/>
  <c r="V699" i="2"/>
  <c r="AE698" i="2"/>
  <c r="AD698" i="2"/>
  <c r="AC698" i="2"/>
  <c r="AB698" i="2"/>
  <c r="AA698" i="2"/>
  <c r="Z698" i="2"/>
  <c r="Y698" i="2"/>
  <c r="X698" i="2"/>
  <c r="W698" i="2"/>
  <c r="V698" i="2"/>
  <c r="AE697" i="2"/>
  <c r="AD697" i="2"/>
  <c r="AC697" i="2"/>
  <c r="AB697" i="2"/>
  <c r="AA697" i="2"/>
  <c r="Z697" i="2"/>
  <c r="Y697" i="2"/>
  <c r="X697" i="2"/>
  <c r="W697" i="2"/>
  <c r="V697" i="2"/>
  <c r="AE696" i="2"/>
  <c r="AD696" i="2"/>
  <c r="AC696" i="2"/>
  <c r="AB696" i="2"/>
  <c r="AA696" i="2"/>
  <c r="Z696" i="2"/>
  <c r="Y696" i="2"/>
  <c r="X696" i="2"/>
  <c r="W696" i="2"/>
  <c r="V696" i="2"/>
  <c r="AE695" i="2"/>
  <c r="AD695" i="2"/>
  <c r="AC695" i="2"/>
  <c r="AB695" i="2"/>
  <c r="AA695" i="2"/>
  <c r="Z695" i="2"/>
  <c r="Y695" i="2"/>
  <c r="X695" i="2"/>
  <c r="W695" i="2"/>
  <c r="V695" i="2"/>
  <c r="AE694" i="2"/>
  <c r="AD694" i="2"/>
  <c r="AC694" i="2"/>
  <c r="AB694" i="2"/>
  <c r="AA694" i="2"/>
  <c r="Z694" i="2"/>
  <c r="Y694" i="2"/>
  <c r="X694" i="2"/>
  <c r="W694" i="2"/>
  <c r="V694" i="2"/>
  <c r="AE693" i="2"/>
  <c r="AD693" i="2"/>
  <c r="AC693" i="2"/>
  <c r="AB693" i="2"/>
  <c r="AA693" i="2"/>
  <c r="Z693" i="2"/>
  <c r="Y693" i="2"/>
  <c r="X693" i="2"/>
  <c r="W693" i="2"/>
  <c r="V693" i="2"/>
  <c r="AE692" i="2"/>
  <c r="AD692" i="2"/>
  <c r="AC692" i="2"/>
  <c r="AB692" i="2"/>
  <c r="AA692" i="2"/>
  <c r="Z692" i="2"/>
  <c r="Y692" i="2"/>
  <c r="X692" i="2"/>
  <c r="W692" i="2"/>
  <c r="V692" i="2"/>
  <c r="AE691" i="2"/>
  <c r="AD691" i="2"/>
  <c r="AC691" i="2"/>
  <c r="AB691" i="2"/>
  <c r="AA691" i="2"/>
  <c r="Z691" i="2"/>
  <c r="Y691" i="2"/>
  <c r="X691" i="2"/>
  <c r="W691" i="2"/>
  <c r="V691" i="2"/>
  <c r="AE690" i="2"/>
  <c r="AD690" i="2"/>
  <c r="AC690" i="2"/>
  <c r="AB690" i="2"/>
  <c r="AA690" i="2"/>
  <c r="Z690" i="2"/>
  <c r="Y690" i="2"/>
  <c r="X690" i="2"/>
  <c r="W690" i="2"/>
  <c r="V690" i="2"/>
  <c r="AE689" i="2"/>
  <c r="AD689" i="2"/>
  <c r="AC689" i="2"/>
  <c r="AB689" i="2"/>
  <c r="AA689" i="2"/>
  <c r="Z689" i="2"/>
  <c r="Y689" i="2"/>
  <c r="X689" i="2"/>
  <c r="W689" i="2"/>
  <c r="V689" i="2"/>
  <c r="AE688" i="2"/>
  <c r="AD688" i="2"/>
  <c r="AC688" i="2"/>
  <c r="AB688" i="2"/>
  <c r="AA688" i="2"/>
  <c r="Z688" i="2"/>
  <c r="Y688" i="2"/>
  <c r="X688" i="2"/>
  <c r="W688" i="2"/>
  <c r="V688" i="2"/>
  <c r="AE687" i="2"/>
  <c r="AD687" i="2"/>
  <c r="AC687" i="2"/>
  <c r="AB687" i="2"/>
  <c r="AA687" i="2"/>
  <c r="Z687" i="2"/>
  <c r="Y687" i="2"/>
  <c r="X687" i="2"/>
  <c r="W687" i="2"/>
  <c r="V687" i="2"/>
  <c r="AE686" i="2"/>
  <c r="AD686" i="2"/>
  <c r="AC686" i="2"/>
  <c r="AB686" i="2"/>
  <c r="AA686" i="2"/>
  <c r="Z686" i="2"/>
  <c r="Y686" i="2"/>
  <c r="X686" i="2"/>
  <c r="W686" i="2"/>
  <c r="V686" i="2"/>
  <c r="AE685" i="2"/>
  <c r="AD685" i="2"/>
  <c r="AC685" i="2"/>
  <c r="AB685" i="2"/>
  <c r="AA685" i="2"/>
  <c r="Z685" i="2"/>
  <c r="Y685" i="2"/>
  <c r="X685" i="2"/>
  <c r="W685" i="2"/>
  <c r="V685" i="2"/>
  <c r="AE684" i="2"/>
  <c r="AD684" i="2"/>
  <c r="AC684" i="2"/>
  <c r="AB684" i="2"/>
  <c r="AA684" i="2"/>
  <c r="Z684" i="2"/>
  <c r="Y684" i="2"/>
  <c r="X684" i="2"/>
  <c r="W684" i="2"/>
  <c r="V684" i="2"/>
  <c r="AE683" i="2"/>
  <c r="AD683" i="2"/>
  <c r="AC683" i="2"/>
  <c r="AB683" i="2"/>
  <c r="AA683" i="2"/>
  <c r="Z683" i="2"/>
  <c r="Y683" i="2"/>
  <c r="X683" i="2"/>
  <c r="W683" i="2"/>
  <c r="V683" i="2"/>
  <c r="AE682" i="2"/>
  <c r="AD682" i="2"/>
  <c r="AC682" i="2"/>
  <c r="AB682" i="2"/>
  <c r="AA682" i="2"/>
  <c r="Z682" i="2"/>
  <c r="Y682" i="2"/>
  <c r="X682" i="2"/>
  <c r="W682" i="2"/>
  <c r="V682" i="2"/>
  <c r="AE681" i="2"/>
  <c r="AD681" i="2"/>
  <c r="AC681" i="2"/>
  <c r="AB681" i="2"/>
  <c r="AA681" i="2"/>
  <c r="Z681" i="2"/>
  <c r="Y681" i="2"/>
  <c r="X681" i="2"/>
  <c r="W681" i="2"/>
  <c r="V681" i="2"/>
  <c r="AE680" i="2"/>
  <c r="AD680" i="2"/>
  <c r="AC680" i="2"/>
  <c r="AB680" i="2"/>
  <c r="AA680" i="2"/>
  <c r="Z680" i="2"/>
  <c r="Y680" i="2"/>
  <c r="X680" i="2"/>
  <c r="W680" i="2"/>
  <c r="V680" i="2"/>
  <c r="AE679" i="2"/>
  <c r="AD679" i="2"/>
  <c r="AC679" i="2"/>
  <c r="AB679" i="2"/>
  <c r="AA679" i="2"/>
  <c r="Z679" i="2"/>
  <c r="Y679" i="2"/>
  <c r="X679" i="2"/>
  <c r="W679" i="2"/>
  <c r="V679" i="2"/>
  <c r="AE678" i="2"/>
  <c r="AD678" i="2"/>
  <c r="AC678" i="2"/>
  <c r="AB678" i="2"/>
  <c r="AA678" i="2"/>
  <c r="Z678" i="2"/>
  <c r="Y678" i="2"/>
  <c r="X678" i="2"/>
  <c r="W678" i="2"/>
  <c r="V678" i="2"/>
  <c r="AE677" i="2"/>
  <c r="AD677" i="2"/>
  <c r="AC677" i="2"/>
  <c r="AB677" i="2"/>
  <c r="AA677" i="2"/>
  <c r="Z677" i="2"/>
  <c r="Y677" i="2"/>
  <c r="X677" i="2"/>
  <c r="W677" i="2"/>
  <c r="V677" i="2"/>
  <c r="AE676" i="2"/>
  <c r="AD676" i="2"/>
  <c r="AC676" i="2"/>
  <c r="AB676" i="2"/>
  <c r="AA676" i="2"/>
  <c r="Z676" i="2"/>
  <c r="Y676" i="2"/>
  <c r="X676" i="2"/>
  <c r="W676" i="2"/>
  <c r="V676" i="2"/>
  <c r="AE675" i="2"/>
  <c r="AD675" i="2"/>
  <c r="AC675" i="2"/>
  <c r="AB675" i="2"/>
  <c r="AA675" i="2"/>
  <c r="Z675" i="2"/>
  <c r="Y675" i="2"/>
  <c r="X675" i="2"/>
  <c r="W675" i="2"/>
  <c r="V675" i="2"/>
  <c r="AE674" i="2"/>
  <c r="AD674" i="2"/>
  <c r="AC674" i="2"/>
  <c r="AB674" i="2"/>
  <c r="AA674" i="2"/>
  <c r="Z674" i="2"/>
  <c r="Y674" i="2"/>
  <c r="X674" i="2"/>
  <c r="W674" i="2"/>
  <c r="V674" i="2"/>
  <c r="AE673" i="2"/>
  <c r="AD673" i="2"/>
  <c r="AC673" i="2"/>
  <c r="AB673" i="2"/>
  <c r="AA673" i="2"/>
  <c r="Z673" i="2"/>
  <c r="Y673" i="2"/>
  <c r="X673" i="2"/>
  <c r="W673" i="2"/>
  <c r="V673" i="2"/>
  <c r="AE672" i="2"/>
  <c r="AD672" i="2"/>
  <c r="AC672" i="2"/>
  <c r="AB672" i="2"/>
  <c r="AA672" i="2"/>
  <c r="Z672" i="2"/>
  <c r="Y672" i="2"/>
  <c r="X672" i="2"/>
  <c r="W672" i="2"/>
  <c r="V672" i="2"/>
  <c r="AE671" i="2"/>
  <c r="AD671" i="2"/>
  <c r="AC671" i="2"/>
  <c r="AB671" i="2"/>
  <c r="AA671" i="2"/>
  <c r="Z671" i="2"/>
  <c r="Y671" i="2"/>
  <c r="X671" i="2"/>
  <c r="W671" i="2"/>
  <c r="V671" i="2"/>
  <c r="AE670" i="2"/>
  <c r="AD670" i="2"/>
  <c r="AC670" i="2"/>
  <c r="AB670" i="2"/>
  <c r="AA670" i="2"/>
  <c r="Z670" i="2"/>
  <c r="Y670" i="2"/>
  <c r="X670" i="2"/>
  <c r="W670" i="2"/>
  <c r="V670" i="2"/>
  <c r="AE669" i="2"/>
  <c r="AD669" i="2"/>
  <c r="AC669" i="2"/>
  <c r="AB669" i="2"/>
  <c r="AA669" i="2"/>
  <c r="Z669" i="2"/>
  <c r="Y669" i="2"/>
  <c r="X669" i="2"/>
  <c r="W669" i="2"/>
  <c r="V669" i="2"/>
  <c r="AE668" i="2"/>
  <c r="AD668" i="2"/>
  <c r="AC668" i="2"/>
  <c r="AB668" i="2"/>
  <c r="AA668" i="2"/>
  <c r="Z668" i="2"/>
  <c r="Y668" i="2"/>
  <c r="X668" i="2"/>
  <c r="W668" i="2"/>
  <c r="V668" i="2"/>
  <c r="AE667" i="2"/>
  <c r="AD667" i="2"/>
  <c r="AC667" i="2"/>
  <c r="AB667" i="2"/>
  <c r="AA667" i="2"/>
  <c r="Z667" i="2"/>
  <c r="Y667" i="2"/>
  <c r="X667" i="2"/>
  <c r="W667" i="2"/>
  <c r="V667" i="2"/>
  <c r="AE666" i="2"/>
  <c r="AD666" i="2"/>
  <c r="AC666" i="2"/>
  <c r="AB666" i="2"/>
  <c r="AA666" i="2"/>
  <c r="Z666" i="2"/>
  <c r="Y666" i="2"/>
  <c r="X666" i="2"/>
  <c r="W666" i="2"/>
  <c r="V666" i="2"/>
  <c r="AE665" i="2"/>
  <c r="AD665" i="2"/>
  <c r="AC665" i="2"/>
  <c r="AB665" i="2"/>
  <c r="AA665" i="2"/>
  <c r="Z665" i="2"/>
  <c r="Y665" i="2"/>
  <c r="X665" i="2"/>
  <c r="W665" i="2"/>
  <c r="V665" i="2"/>
  <c r="AE664" i="2"/>
  <c r="AD664" i="2"/>
  <c r="AC664" i="2"/>
  <c r="AB664" i="2"/>
  <c r="AA664" i="2"/>
  <c r="Z664" i="2"/>
  <c r="Y664" i="2"/>
  <c r="X664" i="2"/>
  <c r="W664" i="2"/>
  <c r="V664" i="2"/>
  <c r="AE663" i="2"/>
  <c r="AD663" i="2"/>
  <c r="AC663" i="2"/>
  <c r="AB663" i="2"/>
  <c r="AA663" i="2"/>
  <c r="Z663" i="2"/>
  <c r="Y663" i="2"/>
  <c r="X663" i="2"/>
  <c r="W663" i="2"/>
  <c r="V663" i="2"/>
  <c r="AE662" i="2"/>
  <c r="AD662" i="2"/>
  <c r="AC662" i="2"/>
  <c r="AB662" i="2"/>
  <c r="AA662" i="2"/>
  <c r="Z662" i="2"/>
  <c r="Y662" i="2"/>
  <c r="X662" i="2"/>
  <c r="W662" i="2"/>
  <c r="V662" i="2"/>
  <c r="AE661" i="2"/>
  <c r="AD661" i="2"/>
  <c r="AC661" i="2"/>
  <c r="AB661" i="2"/>
  <c r="AA661" i="2"/>
  <c r="Z661" i="2"/>
  <c r="Y661" i="2"/>
  <c r="X661" i="2"/>
  <c r="W661" i="2"/>
  <c r="V661" i="2"/>
  <c r="AE660" i="2"/>
  <c r="AD660" i="2"/>
  <c r="AC660" i="2"/>
  <c r="AB660" i="2"/>
  <c r="AA660" i="2"/>
  <c r="Z660" i="2"/>
  <c r="Y660" i="2"/>
  <c r="X660" i="2"/>
  <c r="W660" i="2"/>
  <c r="V660" i="2"/>
  <c r="AE659" i="2"/>
  <c r="AD659" i="2"/>
  <c r="AC659" i="2"/>
  <c r="AB659" i="2"/>
  <c r="AA659" i="2"/>
  <c r="Z659" i="2"/>
  <c r="Y659" i="2"/>
  <c r="X659" i="2"/>
  <c r="W659" i="2"/>
  <c r="V659" i="2"/>
  <c r="AE658" i="2"/>
  <c r="AD658" i="2"/>
  <c r="AC658" i="2"/>
  <c r="AB658" i="2"/>
  <c r="AA658" i="2"/>
  <c r="Z658" i="2"/>
  <c r="Y658" i="2"/>
  <c r="X658" i="2"/>
  <c r="W658" i="2"/>
  <c r="V658" i="2"/>
  <c r="AE657" i="2"/>
  <c r="AD657" i="2"/>
  <c r="AC657" i="2"/>
  <c r="AB657" i="2"/>
  <c r="AA657" i="2"/>
  <c r="Z657" i="2"/>
  <c r="Y657" i="2"/>
  <c r="X657" i="2"/>
  <c r="W657" i="2"/>
  <c r="V657" i="2"/>
  <c r="AE656" i="2"/>
  <c r="AD656" i="2"/>
  <c r="AC656" i="2"/>
  <c r="AB656" i="2"/>
  <c r="AA656" i="2"/>
  <c r="Z656" i="2"/>
  <c r="Y656" i="2"/>
  <c r="X656" i="2"/>
  <c r="W656" i="2"/>
  <c r="V656" i="2"/>
  <c r="AE655" i="2"/>
  <c r="AD655" i="2"/>
  <c r="AC655" i="2"/>
  <c r="AB655" i="2"/>
  <c r="AA655" i="2"/>
  <c r="Z655" i="2"/>
  <c r="Y655" i="2"/>
  <c r="X655" i="2"/>
  <c r="W655" i="2"/>
  <c r="V655" i="2"/>
  <c r="AE654" i="2"/>
  <c r="AD654" i="2"/>
  <c r="AC654" i="2"/>
  <c r="AB654" i="2"/>
  <c r="AA654" i="2"/>
  <c r="Z654" i="2"/>
  <c r="Y654" i="2"/>
  <c r="X654" i="2"/>
  <c r="W654" i="2"/>
  <c r="V654" i="2"/>
  <c r="AE653" i="2"/>
  <c r="AD653" i="2"/>
  <c r="AC653" i="2"/>
  <c r="AB653" i="2"/>
  <c r="AA653" i="2"/>
  <c r="Z653" i="2"/>
  <c r="Y653" i="2"/>
  <c r="X653" i="2"/>
  <c r="W653" i="2"/>
  <c r="V653" i="2"/>
  <c r="AE652" i="2"/>
  <c r="AD652" i="2"/>
  <c r="AC652" i="2"/>
  <c r="AB652" i="2"/>
  <c r="AA652" i="2"/>
  <c r="Z652" i="2"/>
  <c r="Y652" i="2"/>
  <c r="X652" i="2"/>
  <c r="W652" i="2"/>
  <c r="V652" i="2"/>
  <c r="AE651" i="2"/>
  <c r="AD651" i="2"/>
  <c r="AC651" i="2"/>
  <c r="AB651" i="2"/>
  <c r="AA651" i="2"/>
  <c r="Z651" i="2"/>
  <c r="Y651" i="2"/>
  <c r="X651" i="2"/>
  <c r="W651" i="2"/>
  <c r="V651" i="2"/>
  <c r="AE650" i="2"/>
  <c r="AD650" i="2"/>
  <c r="AC650" i="2"/>
  <c r="AB650" i="2"/>
  <c r="AA650" i="2"/>
  <c r="Z650" i="2"/>
  <c r="Y650" i="2"/>
  <c r="X650" i="2"/>
  <c r="W650" i="2"/>
  <c r="V650" i="2"/>
  <c r="AE649" i="2"/>
  <c r="AD649" i="2"/>
  <c r="AC649" i="2"/>
  <c r="AB649" i="2"/>
  <c r="AA649" i="2"/>
  <c r="Z649" i="2"/>
  <c r="Y649" i="2"/>
  <c r="X649" i="2"/>
  <c r="W649" i="2"/>
  <c r="V649" i="2"/>
  <c r="AE648" i="2"/>
  <c r="AD648" i="2"/>
  <c r="AC648" i="2"/>
  <c r="AB648" i="2"/>
  <c r="AA648" i="2"/>
  <c r="Z648" i="2"/>
  <c r="Y648" i="2"/>
  <c r="X648" i="2"/>
  <c r="W648" i="2"/>
  <c r="V648" i="2"/>
  <c r="AE647" i="2"/>
  <c r="AD647" i="2"/>
  <c r="AC647" i="2"/>
  <c r="AB647" i="2"/>
  <c r="AA647" i="2"/>
  <c r="Z647" i="2"/>
  <c r="Y647" i="2"/>
  <c r="X647" i="2"/>
  <c r="W647" i="2"/>
  <c r="V647" i="2"/>
  <c r="AE646" i="2"/>
  <c r="AD646" i="2"/>
  <c r="AC646" i="2"/>
  <c r="AB646" i="2"/>
  <c r="AA646" i="2"/>
  <c r="Z646" i="2"/>
  <c r="Y646" i="2"/>
  <c r="X646" i="2"/>
  <c r="W646" i="2"/>
  <c r="V646" i="2"/>
  <c r="AE645" i="2"/>
  <c r="AD645" i="2"/>
  <c r="AC645" i="2"/>
  <c r="AB645" i="2"/>
  <c r="AA645" i="2"/>
  <c r="Z645" i="2"/>
  <c r="Y645" i="2"/>
  <c r="X645" i="2"/>
  <c r="W645" i="2"/>
  <c r="V645" i="2"/>
  <c r="AE644" i="2"/>
  <c r="AD644" i="2"/>
  <c r="AC644" i="2"/>
  <c r="AB644" i="2"/>
  <c r="AA644" i="2"/>
  <c r="Z644" i="2"/>
  <c r="Y644" i="2"/>
  <c r="X644" i="2"/>
  <c r="W644" i="2"/>
  <c r="V644" i="2"/>
  <c r="AE643" i="2"/>
  <c r="AD643" i="2"/>
  <c r="AC643" i="2"/>
  <c r="AB643" i="2"/>
  <c r="AA643" i="2"/>
  <c r="Z643" i="2"/>
  <c r="Y643" i="2"/>
  <c r="X643" i="2"/>
  <c r="W643" i="2"/>
  <c r="V643" i="2"/>
  <c r="AE642" i="2"/>
  <c r="AD642" i="2"/>
  <c r="AC642" i="2"/>
  <c r="AB642" i="2"/>
  <c r="AA642" i="2"/>
  <c r="Z642" i="2"/>
  <c r="Y642" i="2"/>
  <c r="X642" i="2"/>
  <c r="W642" i="2"/>
  <c r="V642" i="2"/>
  <c r="AE641" i="2"/>
  <c r="AD641" i="2"/>
  <c r="AC641" i="2"/>
  <c r="AB641" i="2"/>
  <c r="AA641" i="2"/>
  <c r="Z641" i="2"/>
  <c r="Y641" i="2"/>
  <c r="X641" i="2"/>
  <c r="W641" i="2"/>
  <c r="V641" i="2"/>
  <c r="AE640" i="2"/>
  <c r="AD640" i="2"/>
  <c r="AC640" i="2"/>
  <c r="AB640" i="2"/>
  <c r="AA640" i="2"/>
  <c r="Z640" i="2"/>
  <c r="Y640" i="2"/>
  <c r="X640" i="2"/>
  <c r="W640" i="2"/>
  <c r="V640" i="2"/>
  <c r="AE639" i="2"/>
  <c r="AD639" i="2"/>
  <c r="AC639" i="2"/>
  <c r="AB639" i="2"/>
  <c r="AA639" i="2"/>
  <c r="Z639" i="2"/>
  <c r="Y639" i="2"/>
  <c r="X639" i="2"/>
  <c r="W639" i="2"/>
  <c r="V639" i="2"/>
  <c r="AE638" i="2"/>
  <c r="AD638" i="2"/>
  <c r="AC638" i="2"/>
  <c r="AB638" i="2"/>
  <c r="AA638" i="2"/>
  <c r="Z638" i="2"/>
  <c r="Y638" i="2"/>
  <c r="X638" i="2"/>
  <c r="W638" i="2"/>
  <c r="V638" i="2"/>
  <c r="AE637" i="2"/>
  <c r="AD637" i="2"/>
  <c r="AC637" i="2"/>
  <c r="AB637" i="2"/>
  <c r="AA637" i="2"/>
  <c r="Z637" i="2"/>
  <c r="Y637" i="2"/>
  <c r="X637" i="2"/>
  <c r="W637" i="2"/>
  <c r="V637" i="2"/>
  <c r="AE636" i="2"/>
  <c r="AD636" i="2"/>
  <c r="AC636" i="2"/>
  <c r="AB636" i="2"/>
  <c r="AA636" i="2"/>
  <c r="Z636" i="2"/>
  <c r="Y636" i="2"/>
  <c r="X636" i="2"/>
  <c r="W636" i="2"/>
  <c r="V636" i="2"/>
  <c r="AE635" i="2"/>
  <c r="AD635" i="2"/>
  <c r="AC635" i="2"/>
  <c r="AB635" i="2"/>
  <c r="AA635" i="2"/>
  <c r="Z635" i="2"/>
  <c r="Y635" i="2"/>
  <c r="X635" i="2"/>
  <c r="W635" i="2"/>
  <c r="V635" i="2"/>
  <c r="AE634" i="2"/>
  <c r="AD634" i="2"/>
  <c r="AC634" i="2"/>
  <c r="AB634" i="2"/>
  <c r="AA634" i="2"/>
  <c r="Z634" i="2"/>
  <c r="Y634" i="2"/>
  <c r="X634" i="2"/>
  <c r="W634" i="2"/>
  <c r="V634" i="2"/>
  <c r="AE633" i="2"/>
  <c r="AD633" i="2"/>
  <c r="AC633" i="2"/>
  <c r="AB633" i="2"/>
  <c r="AA633" i="2"/>
  <c r="Z633" i="2"/>
  <c r="Y633" i="2"/>
  <c r="X633" i="2"/>
  <c r="W633" i="2"/>
  <c r="V633" i="2"/>
  <c r="AE632" i="2"/>
  <c r="AD632" i="2"/>
  <c r="AC632" i="2"/>
  <c r="AB632" i="2"/>
  <c r="AA632" i="2"/>
  <c r="Z632" i="2"/>
  <c r="Y632" i="2"/>
  <c r="X632" i="2"/>
  <c r="W632" i="2"/>
  <c r="V632" i="2"/>
  <c r="AE631" i="2"/>
  <c r="AD631" i="2"/>
  <c r="AC631" i="2"/>
  <c r="AB631" i="2"/>
  <c r="AA631" i="2"/>
  <c r="Z631" i="2"/>
  <c r="Y631" i="2"/>
  <c r="X631" i="2"/>
  <c r="W631" i="2"/>
  <c r="V631" i="2"/>
  <c r="AE630" i="2"/>
  <c r="AD630" i="2"/>
  <c r="AC630" i="2"/>
  <c r="AB630" i="2"/>
  <c r="AA630" i="2"/>
  <c r="Z630" i="2"/>
  <c r="Y630" i="2"/>
  <c r="X630" i="2"/>
  <c r="W630" i="2"/>
  <c r="V630" i="2"/>
  <c r="AE629" i="2"/>
  <c r="AD629" i="2"/>
  <c r="AC629" i="2"/>
  <c r="AB629" i="2"/>
  <c r="AA629" i="2"/>
  <c r="Z629" i="2"/>
  <c r="Y629" i="2"/>
  <c r="X629" i="2"/>
  <c r="W629" i="2"/>
  <c r="V629" i="2"/>
  <c r="AE628" i="2"/>
  <c r="AD628" i="2"/>
  <c r="AC628" i="2"/>
  <c r="AB628" i="2"/>
  <c r="AA628" i="2"/>
  <c r="Z628" i="2"/>
  <c r="Y628" i="2"/>
  <c r="X628" i="2"/>
  <c r="W628" i="2"/>
  <c r="V628" i="2"/>
  <c r="AE627" i="2"/>
  <c r="AD627" i="2"/>
  <c r="AC627" i="2"/>
  <c r="AB627" i="2"/>
  <c r="AA627" i="2"/>
  <c r="Z627" i="2"/>
  <c r="Y627" i="2"/>
  <c r="X627" i="2"/>
  <c r="W627" i="2"/>
  <c r="V627" i="2"/>
  <c r="AE626" i="2"/>
  <c r="AD626" i="2"/>
  <c r="AC626" i="2"/>
  <c r="AB626" i="2"/>
  <c r="AA626" i="2"/>
  <c r="Z626" i="2"/>
  <c r="Y626" i="2"/>
  <c r="X626" i="2"/>
  <c r="W626" i="2"/>
  <c r="V626" i="2"/>
  <c r="AE625" i="2"/>
  <c r="AD625" i="2"/>
  <c r="AC625" i="2"/>
  <c r="AB625" i="2"/>
  <c r="AA625" i="2"/>
  <c r="Z625" i="2"/>
  <c r="Y625" i="2"/>
  <c r="X625" i="2"/>
  <c r="W625" i="2"/>
  <c r="V625" i="2"/>
  <c r="AE624" i="2"/>
  <c r="AD624" i="2"/>
  <c r="AC624" i="2"/>
  <c r="AB624" i="2"/>
  <c r="AA624" i="2"/>
  <c r="Z624" i="2"/>
  <c r="Y624" i="2"/>
  <c r="X624" i="2"/>
  <c r="W624" i="2"/>
  <c r="V624" i="2"/>
  <c r="AE623" i="2"/>
  <c r="AD623" i="2"/>
  <c r="AC623" i="2"/>
  <c r="AB623" i="2"/>
  <c r="AA623" i="2"/>
  <c r="Z623" i="2"/>
  <c r="Y623" i="2"/>
  <c r="X623" i="2"/>
  <c r="W623" i="2"/>
  <c r="V623" i="2"/>
  <c r="AE622" i="2"/>
  <c r="AD622" i="2"/>
  <c r="AC622" i="2"/>
  <c r="AB622" i="2"/>
  <c r="AA622" i="2"/>
  <c r="Z622" i="2"/>
  <c r="Y622" i="2"/>
  <c r="X622" i="2"/>
  <c r="W622" i="2"/>
  <c r="V622" i="2"/>
  <c r="AE621" i="2"/>
  <c r="AD621" i="2"/>
  <c r="AC621" i="2"/>
  <c r="AB621" i="2"/>
  <c r="AA621" i="2"/>
  <c r="Z621" i="2"/>
  <c r="Y621" i="2"/>
  <c r="X621" i="2"/>
  <c r="W621" i="2"/>
  <c r="V621" i="2"/>
  <c r="AE620" i="2"/>
  <c r="AD620" i="2"/>
  <c r="AC620" i="2"/>
  <c r="AB620" i="2"/>
  <c r="AA620" i="2"/>
  <c r="Z620" i="2"/>
  <c r="Y620" i="2"/>
  <c r="X620" i="2"/>
  <c r="W620" i="2"/>
  <c r="V620" i="2"/>
  <c r="AE619" i="2"/>
  <c r="AD619" i="2"/>
  <c r="AC619" i="2"/>
  <c r="AB619" i="2"/>
  <c r="AA619" i="2"/>
  <c r="Z619" i="2"/>
  <c r="Y619" i="2"/>
  <c r="X619" i="2"/>
  <c r="W619" i="2"/>
  <c r="V619" i="2"/>
  <c r="AE618" i="2"/>
  <c r="AD618" i="2"/>
  <c r="AC618" i="2"/>
  <c r="AB618" i="2"/>
  <c r="AA618" i="2"/>
  <c r="Z618" i="2"/>
  <c r="Y618" i="2"/>
  <c r="X618" i="2"/>
  <c r="W618" i="2"/>
  <c r="V618" i="2"/>
  <c r="AE617" i="2"/>
  <c r="AD617" i="2"/>
  <c r="AC617" i="2"/>
  <c r="AB617" i="2"/>
  <c r="AA617" i="2"/>
  <c r="Z617" i="2"/>
  <c r="Y617" i="2"/>
  <c r="X617" i="2"/>
  <c r="W617" i="2"/>
  <c r="V617" i="2"/>
  <c r="AE616" i="2"/>
  <c r="AD616" i="2"/>
  <c r="AC616" i="2"/>
  <c r="AB616" i="2"/>
  <c r="AA616" i="2"/>
  <c r="Z616" i="2"/>
  <c r="Y616" i="2"/>
  <c r="X616" i="2"/>
  <c r="W616" i="2"/>
  <c r="V616" i="2"/>
  <c r="AE615" i="2"/>
  <c r="AD615" i="2"/>
  <c r="AC615" i="2"/>
  <c r="AB615" i="2"/>
  <c r="AA615" i="2"/>
  <c r="Z615" i="2"/>
  <c r="Y615" i="2"/>
  <c r="X615" i="2"/>
  <c r="W615" i="2"/>
  <c r="V615" i="2"/>
  <c r="AE614" i="2"/>
  <c r="AD614" i="2"/>
  <c r="AC614" i="2"/>
  <c r="AB614" i="2"/>
  <c r="AA614" i="2"/>
  <c r="Z614" i="2"/>
  <c r="Y614" i="2"/>
  <c r="X614" i="2"/>
  <c r="W614" i="2"/>
  <c r="V614" i="2"/>
  <c r="AE613" i="2"/>
  <c r="AD613" i="2"/>
  <c r="AC613" i="2"/>
  <c r="AB613" i="2"/>
  <c r="AA613" i="2"/>
  <c r="Z613" i="2"/>
  <c r="Y613" i="2"/>
  <c r="X613" i="2"/>
  <c r="W613" i="2"/>
  <c r="V613" i="2"/>
  <c r="AE612" i="2"/>
  <c r="AD612" i="2"/>
  <c r="AC612" i="2"/>
  <c r="AB612" i="2"/>
  <c r="AA612" i="2"/>
  <c r="Z612" i="2"/>
  <c r="Y612" i="2"/>
  <c r="X612" i="2"/>
  <c r="W612" i="2"/>
  <c r="V612" i="2"/>
  <c r="AE611" i="2"/>
  <c r="AD611" i="2"/>
  <c r="AC611" i="2"/>
  <c r="AB611" i="2"/>
  <c r="AA611" i="2"/>
  <c r="Z611" i="2"/>
  <c r="Y611" i="2"/>
  <c r="X611" i="2"/>
  <c r="W611" i="2"/>
  <c r="V611" i="2"/>
  <c r="AE610" i="2"/>
  <c r="AD610" i="2"/>
  <c r="AC610" i="2"/>
  <c r="AB610" i="2"/>
  <c r="AA610" i="2"/>
  <c r="Z610" i="2"/>
  <c r="Y610" i="2"/>
  <c r="X610" i="2"/>
  <c r="W610" i="2"/>
  <c r="V610" i="2"/>
  <c r="AE609" i="2"/>
  <c r="AD609" i="2"/>
  <c r="AC609" i="2"/>
  <c r="AB609" i="2"/>
  <c r="AA609" i="2"/>
  <c r="Z609" i="2"/>
  <c r="Y609" i="2"/>
  <c r="X609" i="2"/>
  <c r="W609" i="2"/>
  <c r="V609" i="2"/>
  <c r="AE608" i="2"/>
  <c r="AD608" i="2"/>
  <c r="AC608" i="2"/>
  <c r="AB608" i="2"/>
  <c r="AA608" i="2"/>
  <c r="Z608" i="2"/>
  <c r="Y608" i="2"/>
  <c r="X608" i="2"/>
  <c r="W608" i="2"/>
  <c r="V608" i="2"/>
  <c r="AE607" i="2"/>
  <c r="AD607" i="2"/>
  <c r="AC607" i="2"/>
  <c r="AB607" i="2"/>
  <c r="AA607" i="2"/>
  <c r="Z607" i="2"/>
  <c r="Y607" i="2"/>
  <c r="X607" i="2"/>
  <c r="W607" i="2"/>
  <c r="V607" i="2"/>
  <c r="AE606" i="2"/>
  <c r="AD606" i="2"/>
  <c r="AC606" i="2"/>
  <c r="AB606" i="2"/>
  <c r="AA606" i="2"/>
  <c r="Z606" i="2"/>
  <c r="Y606" i="2"/>
  <c r="X606" i="2"/>
  <c r="W606" i="2"/>
  <c r="V606" i="2"/>
  <c r="AE605" i="2"/>
  <c r="AD605" i="2"/>
  <c r="AC605" i="2"/>
  <c r="AB605" i="2"/>
  <c r="AA605" i="2"/>
  <c r="Z605" i="2"/>
  <c r="Y605" i="2"/>
  <c r="X605" i="2"/>
  <c r="W605" i="2"/>
  <c r="V605" i="2"/>
  <c r="AE604" i="2"/>
  <c r="AD604" i="2"/>
  <c r="AC604" i="2"/>
  <c r="AB604" i="2"/>
  <c r="AA604" i="2"/>
  <c r="Z604" i="2"/>
  <c r="Y604" i="2"/>
  <c r="X604" i="2"/>
  <c r="W604" i="2"/>
  <c r="V604" i="2"/>
  <c r="AE603" i="2"/>
  <c r="AD603" i="2"/>
  <c r="AC603" i="2"/>
  <c r="AB603" i="2"/>
  <c r="AA603" i="2"/>
  <c r="Z603" i="2"/>
  <c r="Y603" i="2"/>
  <c r="X603" i="2"/>
  <c r="W603" i="2"/>
  <c r="V603" i="2"/>
  <c r="AE602" i="2"/>
  <c r="AD602" i="2"/>
  <c r="AC602" i="2"/>
  <c r="AB602" i="2"/>
  <c r="AA602" i="2"/>
  <c r="Z602" i="2"/>
  <c r="Y602" i="2"/>
  <c r="X602" i="2"/>
  <c r="W602" i="2"/>
  <c r="V602" i="2"/>
  <c r="AE601" i="2"/>
  <c r="AD601" i="2"/>
  <c r="AC601" i="2"/>
  <c r="AB601" i="2"/>
  <c r="AA601" i="2"/>
  <c r="Z601" i="2"/>
  <c r="Y601" i="2"/>
  <c r="X601" i="2"/>
  <c r="W601" i="2"/>
  <c r="V601" i="2"/>
  <c r="AE600" i="2"/>
  <c r="AD600" i="2"/>
  <c r="AC600" i="2"/>
  <c r="AB600" i="2"/>
  <c r="AA600" i="2"/>
  <c r="Z600" i="2"/>
  <c r="Y600" i="2"/>
  <c r="X600" i="2"/>
  <c r="W600" i="2"/>
  <c r="V600" i="2"/>
  <c r="AE599" i="2"/>
  <c r="AD599" i="2"/>
  <c r="AC599" i="2"/>
  <c r="AB599" i="2"/>
  <c r="AA599" i="2"/>
  <c r="Z599" i="2"/>
  <c r="Y599" i="2"/>
  <c r="X599" i="2"/>
  <c r="W599" i="2"/>
  <c r="V599" i="2"/>
  <c r="AE598" i="2"/>
  <c r="AD598" i="2"/>
  <c r="AC598" i="2"/>
  <c r="AB598" i="2"/>
  <c r="AA598" i="2"/>
  <c r="Z598" i="2"/>
  <c r="Y598" i="2"/>
  <c r="X598" i="2"/>
  <c r="W598" i="2"/>
  <c r="V598" i="2"/>
  <c r="AE597" i="2"/>
  <c r="AD597" i="2"/>
  <c r="AC597" i="2"/>
  <c r="AB597" i="2"/>
  <c r="AA597" i="2"/>
  <c r="Z597" i="2"/>
  <c r="Y597" i="2"/>
  <c r="X597" i="2"/>
  <c r="W597" i="2"/>
  <c r="V597" i="2"/>
  <c r="AE596" i="2"/>
  <c r="AD596" i="2"/>
  <c r="AC596" i="2"/>
  <c r="AB596" i="2"/>
  <c r="AA596" i="2"/>
  <c r="Z596" i="2"/>
  <c r="Y596" i="2"/>
  <c r="X596" i="2"/>
  <c r="W596" i="2"/>
  <c r="V596" i="2"/>
  <c r="AE595" i="2"/>
  <c r="AD595" i="2"/>
  <c r="AC595" i="2"/>
  <c r="AB595" i="2"/>
  <c r="AA595" i="2"/>
  <c r="Z595" i="2"/>
  <c r="Y595" i="2"/>
  <c r="X595" i="2"/>
  <c r="W595" i="2"/>
  <c r="V595" i="2"/>
  <c r="AE594" i="2"/>
  <c r="AD594" i="2"/>
  <c r="AC594" i="2"/>
  <c r="AB594" i="2"/>
  <c r="AA594" i="2"/>
  <c r="Z594" i="2"/>
  <c r="Y594" i="2"/>
  <c r="X594" i="2"/>
  <c r="W594" i="2"/>
  <c r="V594" i="2"/>
  <c r="AE593" i="2"/>
  <c r="AD593" i="2"/>
  <c r="AC593" i="2"/>
  <c r="AB593" i="2"/>
  <c r="AA593" i="2"/>
  <c r="Z593" i="2"/>
  <c r="Y593" i="2"/>
  <c r="X593" i="2"/>
  <c r="W593" i="2"/>
  <c r="V593" i="2"/>
  <c r="AE592" i="2"/>
  <c r="AD592" i="2"/>
  <c r="AC592" i="2"/>
  <c r="AB592" i="2"/>
  <c r="AA592" i="2"/>
  <c r="Z592" i="2"/>
  <c r="Y592" i="2"/>
  <c r="X592" i="2"/>
  <c r="W592" i="2"/>
  <c r="V592" i="2"/>
  <c r="AE591" i="2"/>
  <c r="AD591" i="2"/>
  <c r="AC591" i="2"/>
  <c r="AB591" i="2"/>
  <c r="AA591" i="2"/>
  <c r="Z591" i="2"/>
  <c r="Y591" i="2"/>
  <c r="X591" i="2"/>
  <c r="W591" i="2"/>
  <c r="V591" i="2"/>
  <c r="AE590" i="2"/>
  <c r="AD590" i="2"/>
  <c r="AC590" i="2"/>
  <c r="AB590" i="2"/>
  <c r="AA590" i="2"/>
  <c r="Z590" i="2"/>
  <c r="Y590" i="2"/>
  <c r="X590" i="2"/>
  <c r="W590" i="2"/>
  <c r="V590" i="2"/>
  <c r="AE589" i="2"/>
  <c r="AD589" i="2"/>
  <c r="AC589" i="2"/>
  <c r="AB589" i="2"/>
  <c r="AA589" i="2"/>
  <c r="Z589" i="2"/>
  <c r="Y589" i="2"/>
  <c r="X589" i="2"/>
  <c r="W589" i="2"/>
  <c r="V589" i="2"/>
  <c r="AE588" i="2"/>
  <c r="AD588" i="2"/>
  <c r="AC588" i="2"/>
  <c r="AB588" i="2"/>
  <c r="AA588" i="2"/>
  <c r="Z588" i="2"/>
  <c r="Y588" i="2"/>
  <c r="X588" i="2"/>
  <c r="W588" i="2"/>
  <c r="V588" i="2"/>
  <c r="AE587" i="2"/>
  <c r="AD587" i="2"/>
  <c r="AC587" i="2"/>
  <c r="AB587" i="2"/>
  <c r="AA587" i="2"/>
  <c r="Z587" i="2"/>
  <c r="Y587" i="2"/>
  <c r="X587" i="2"/>
  <c r="W587" i="2"/>
  <c r="V587" i="2"/>
  <c r="AE586" i="2"/>
  <c r="AD586" i="2"/>
  <c r="AC586" i="2"/>
  <c r="AB586" i="2"/>
  <c r="AA586" i="2"/>
  <c r="Z586" i="2"/>
  <c r="Y586" i="2"/>
  <c r="X586" i="2"/>
  <c r="W586" i="2"/>
  <c r="V586" i="2"/>
  <c r="AE585" i="2"/>
  <c r="AD585" i="2"/>
  <c r="AC585" i="2"/>
  <c r="AB585" i="2"/>
  <c r="AA585" i="2"/>
  <c r="Z585" i="2"/>
  <c r="Y585" i="2"/>
  <c r="X585" i="2"/>
  <c r="W585" i="2"/>
  <c r="V585" i="2"/>
  <c r="AE584" i="2"/>
  <c r="AD584" i="2"/>
  <c r="AC584" i="2"/>
  <c r="AB584" i="2"/>
  <c r="AA584" i="2"/>
  <c r="Z584" i="2"/>
  <c r="Y584" i="2"/>
  <c r="X584" i="2"/>
  <c r="W584" i="2"/>
  <c r="V584" i="2"/>
  <c r="AE583" i="2"/>
  <c r="AD583" i="2"/>
  <c r="AC583" i="2"/>
  <c r="AB583" i="2"/>
  <c r="AA583" i="2"/>
  <c r="Z583" i="2"/>
  <c r="Y583" i="2"/>
  <c r="X583" i="2"/>
  <c r="W583" i="2"/>
  <c r="V583" i="2"/>
  <c r="AE582" i="2"/>
  <c r="AD582" i="2"/>
  <c r="AC582" i="2"/>
  <c r="AB582" i="2"/>
  <c r="AA582" i="2"/>
  <c r="Z582" i="2"/>
  <c r="Y582" i="2"/>
  <c r="X582" i="2"/>
  <c r="W582" i="2"/>
  <c r="V582" i="2"/>
  <c r="AE581" i="2"/>
  <c r="AD581" i="2"/>
  <c r="AC581" i="2"/>
  <c r="AB581" i="2"/>
  <c r="AA581" i="2"/>
  <c r="Z581" i="2"/>
  <c r="Y581" i="2"/>
  <c r="X581" i="2"/>
  <c r="W581" i="2"/>
  <c r="V581" i="2"/>
  <c r="AE580" i="2"/>
  <c r="AD580" i="2"/>
  <c r="AC580" i="2"/>
  <c r="AB580" i="2"/>
  <c r="AA580" i="2"/>
  <c r="Z580" i="2"/>
  <c r="Y580" i="2"/>
  <c r="X580" i="2"/>
  <c r="W580" i="2"/>
  <c r="V580" i="2"/>
  <c r="AE579" i="2"/>
  <c r="AD579" i="2"/>
  <c r="AC579" i="2"/>
  <c r="AB579" i="2"/>
  <c r="AA579" i="2"/>
  <c r="Z579" i="2"/>
  <c r="Y579" i="2"/>
  <c r="X579" i="2"/>
  <c r="W579" i="2"/>
  <c r="V579" i="2"/>
  <c r="AE578" i="2"/>
  <c r="AD578" i="2"/>
  <c r="AC578" i="2"/>
  <c r="AB578" i="2"/>
  <c r="AA578" i="2"/>
  <c r="Z578" i="2"/>
  <c r="Y578" i="2"/>
  <c r="X578" i="2"/>
  <c r="W578" i="2"/>
  <c r="V578" i="2"/>
  <c r="AE577" i="2"/>
  <c r="AD577" i="2"/>
  <c r="AC577" i="2"/>
  <c r="AB577" i="2"/>
  <c r="AA577" i="2"/>
  <c r="Z577" i="2"/>
  <c r="Y577" i="2"/>
  <c r="X577" i="2"/>
  <c r="W577" i="2"/>
  <c r="V577" i="2"/>
  <c r="AE576" i="2"/>
  <c r="AD576" i="2"/>
  <c r="AC576" i="2"/>
  <c r="AB576" i="2"/>
  <c r="AA576" i="2"/>
  <c r="Z576" i="2"/>
  <c r="Y576" i="2"/>
  <c r="X576" i="2"/>
  <c r="W576" i="2"/>
  <c r="V576" i="2"/>
  <c r="AE575" i="2"/>
  <c r="AD575" i="2"/>
  <c r="AC575" i="2"/>
  <c r="AB575" i="2"/>
  <c r="AA575" i="2"/>
  <c r="Z575" i="2"/>
  <c r="Y575" i="2"/>
  <c r="X575" i="2"/>
  <c r="W575" i="2"/>
  <c r="V575" i="2"/>
  <c r="AE574" i="2"/>
  <c r="AD574" i="2"/>
  <c r="AC574" i="2"/>
  <c r="AB574" i="2"/>
  <c r="AA574" i="2"/>
  <c r="Z574" i="2"/>
  <c r="Y574" i="2"/>
  <c r="X574" i="2"/>
  <c r="W574" i="2"/>
  <c r="V574" i="2"/>
  <c r="AE573" i="2"/>
  <c r="AD573" i="2"/>
  <c r="AC573" i="2"/>
  <c r="AB573" i="2"/>
  <c r="AA573" i="2"/>
  <c r="Z573" i="2"/>
  <c r="Y573" i="2"/>
  <c r="X573" i="2"/>
  <c r="W573" i="2"/>
  <c r="V573" i="2"/>
  <c r="AE572" i="2"/>
  <c r="AD572" i="2"/>
  <c r="AC572" i="2"/>
  <c r="AB572" i="2"/>
  <c r="AA572" i="2"/>
  <c r="Z572" i="2"/>
  <c r="Y572" i="2"/>
  <c r="X572" i="2"/>
  <c r="W572" i="2"/>
  <c r="V572" i="2"/>
  <c r="AE571" i="2"/>
  <c r="AD571" i="2"/>
  <c r="AC571" i="2"/>
  <c r="AB571" i="2"/>
  <c r="AA571" i="2"/>
  <c r="Z571" i="2"/>
  <c r="Y571" i="2"/>
  <c r="X571" i="2"/>
  <c r="W571" i="2"/>
  <c r="V571" i="2"/>
  <c r="AE570" i="2"/>
  <c r="AD570" i="2"/>
  <c r="AC570" i="2"/>
  <c r="AB570" i="2"/>
  <c r="AA570" i="2"/>
  <c r="Z570" i="2"/>
  <c r="Y570" i="2"/>
  <c r="X570" i="2"/>
  <c r="W570" i="2"/>
  <c r="V570" i="2"/>
  <c r="AE569" i="2"/>
  <c r="AD569" i="2"/>
  <c r="AC569" i="2"/>
  <c r="AB569" i="2"/>
  <c r="AA569" i="2"/>
  <c r="Z569" i="2"/>
  <c r="Y569" i="2"/>
  <c r="X569" i="2"/>
  <c r="W569" i="2"/>
  <c r="V569" i="2"/>
  <c r="AE568" i="2"/>
  <c r="AD568" i="2"/>
  <c r="AC568" i="2"/>
  <c r="AB568" i="2"/>
  <c r="AA568" i="2"/>
  <c r="Z568" i="2"/>
  <c r="Y568" i="2"/>
  <c r="X568" i="2"/>
  <c r="W568" i="2"/>
  <c r="V568" i="2"/>
  <c r="AE567" i="2"/>
  <c r="AD567" i="2"/>
  <c r="AC567" i="2"/>
  <c r="AB567" i="2"/>
  <c r="AA567" i="2"/>
  <c r="Z567" i="2"/>
  <c r="Y567" i="2"/>
  <c r="X567" i="2"/>
  <c r="W567" i="2"/>
  <c r="V567" i="2"/>
  <c r="AE566" i="2"/>
  <c r="AD566" i="2"/>
  <c r="AC566" i="2"/>
  <c r="AB566" i="2"/>
  <c r="AA566" i="2"/>
  <c r="Z566" i="2"/>
  <c r="Y566" i="2"/>
  <c r="X566" i="2"/>
  <c r="W566" i="2"/>
  <c r="V566" i="2"/>
  <c r="AE565" i="2"/>
  <c r="AD565" i="2"/>
  <c r="AC565" i="2"/>
  <c r="AB565" i="2"/>
  <c r="AA565" i="2"/>
  <c r="Z565" i="2"/>
  <c r="Y565" i="2"/>
  <c r="X565" i="2"/>
  <c r="W565" i="2"/>
  <c r="V565" i="2"/>
  <c r="AE564" i="2"/>
  <c r="AD564" i="2"/>
  <c r="AC564" i="2"/>
  <c r="AB564" i="2"/>
  <c r="AA564" i="2"/>
  <c r="Z564" i="2"/>
  <c r="Y564" i="2"/>
  <c r="X564" i="2"/>
  <c r="W564" i="2"/>
  <c r="V564" i="2"/>
  <c r="AE563" i="2"/>
  <c r="AD563" i="2"/>
  <c r="AC563" i="2"/>
  <c r="AB563" i="2"/>
  <c r="AA563" i="2"/>
  <c r="Z563" i="2"/>
  <c r="Y563" i="2"/>
  <c r="X563" i="2"/>
  <c r="W563" i="2"/>
  <c r="V563" i="2"/>
  <c r="AE562" i="2"/>
  <c r="AD562" i="2"/>
  <c r="AC562" i="2"/>
  <c r="AB562" i="2"/>
  <c r="AA562" i="2"/>
  <c r="Z562" i="2"/>
  <c r="Y562" i="2"/>
  <c r="X562" i="2"/>
  <c r="W562" i="2"/>
  <c r="V562" i="2"/>
  <c r="AE561" i="2"/>
  <c r="AD561" i="2"/>
  <c r="AC561" i="2"/>
  <c r="AB561" i="2"/>
  <c r="AA561" i="2"/>
  <c r="Z561" i="2"/>
  <c r="Y561" i="2"/>
  <c r="X561" i="2"/>
  <c r="W561" i="2"/>
  <c r="V561" i="2"/>
  <c r="AE560" i="2"/>
  <c r="AD560" i="2"/>
  <c r="AC560" i="2"/>
  <c r="AB560" i="2"/>
  <c r="AA560" i="2"/>
  <c r="Z560" i="2"/>
  <c r="Y560" i="2"/>
  <c r="X560" i="2"/>
  <c r="W560" i="2"/>
  <c r="V560" i="2"/>
  <c r="AE559" i="2"/>
  <c r="AD559" i="2"/>
  <c r="AC559" i="2"/>
  <c r="AB559" i="2"/>
  <c r="AA559" i="2"/>
  <c r="Z559" i="2"/>
  <c r="Y559" i="2"/>
  <c r="X559" i="2"/>
  <c r="W559" i="2"/>
  <c r="V559" i="2"/>
  <c r="AE558" i="2"/>
  <c r="AD558" i="2"/>
  <c r="AC558" i="2"/>
  <c r="AB558" i="2"/>
  <c r="AA558" i="2"/>
  <c r="Z558" i="2"/>
  <c r="Y558" i="2"/>
  <c r="X558" i="2"/>
  <c r="W558" i="2"/>
  <c r="V558" i="2"/>
  <c r="AE557" i="2"/>
  <c r="AD557" i="2"/>
  <c r="AC557" i="2"/>
  <c r="AB557" i="2"/>
  <c r="AA557" i="2"/>
  <c r="Z557" i="2"/>
  <c r="Y557" i="2"/>
  <c r="X557" i="2"/>
  <c r="W557" i="2"/>
  <c r="V557" i="2"/>
  <c r="AE556" i="2"/>
  <c r="AD556" i="2"/>
  <c r="AC556" i="2"/>
  <c r="AB556" i="2"/>
  <c r="AA556" i="2"/>
  <c r="Z556" i="2"/>
  <c r="Y556" i="2"/>
  <c r="X556" i="2"/>
  <c r="W556" i="2"/>
  <c r="V556" i="2"/>
  <c r="AE555" i="2"/>
  <c r="AD555" i="2"/>
  <c r="AC555" i="2"/>
  <c r="AB555" i="2"/>
  <c r="AA555" i="2"/>
  <c r="Z555" i="2"/>
  <c r="Y555" i="2"/>
  <c r="X555" i="2"/>
  <c r="W555" i="2"/>
  <c r="V555" i="2"/>
  <c r="AE554" i="2"/>
  <c r="AD554" i="2"/>
  <c r="AC554" i="2"/>
  <c r="AB554" i="2"/>
  <c r="AA554" i="2"/>
  <c r="Z554" i="2"/>
  <c r="Y554" i="2"/>
  <c r="X554" i="2"/>
  <c r="W554" i="2"/>
  <c r="V554" i="2"/>
  <c r="AE553" i="2"/>
  <c r="AD553" i="2"/>
  <c r="AC553" i="2"/>
  <c r="AB553" i="2"/>
  <c r="AA553" i="2"/>
  <c r="Z553" i="2"/>
  <c r="Y553" i="2"/>
  <c r="X553" i="2"/>
  <c r="W553" i="2"/>
  <c r="V553" i="2"/>
  <c r="AE552" i="2"/>
  <c r="AD552" i="2"/>
  <c r="AC552" i="2"/>
  <c r="AB552" i="2"/>
  <c r="AA552" i="2"/>
  <c r="Z552" i="2"/>
  <c r="Y552" i="2"/>
  <c r="X552" i="2"/>
  <c r="W552" i="2"/>
  <c r="V552" i="2"/>
  <c r="AE551" i="2"/>
  <c r="AD551" i="2"/>
  <c r="AC551" i="2"/>
  <c r="AB551" i="2"/>
  <c r="AA551" i="2"/>
  <c r="Z551" i="2"/>
  <c r="Y551" i="2"/>
  <c r="X551" i="2"/>
  <c r="W551" i="2"/>
  <c r="V551" i="2"/>
  <c r="AE550" i="2"/>
  <c r="AD550" i="2"/>
  <c r="AC550" i="2"/>
  <c r="AB550" i="2"/>
  <c r="AA550" i="2"/>
  <c r="Z550" i="2"/>
  <c r="Y550" i="2"/>
  <c r="X550" i="2"/>
  <c r="W550" i="2"/>
  <c r="V550" i="2"/>
  <c r="AE549" i="2"/>
  <c r="AD549" i="2"/>
  <c r="AC549" i="2"/>
  <c r="AB549" i="2"/>
  <c r="AA549" i="2"/>
  <c r="Z549" i="2"/>
  <c r="Y549" i="2"/>
  <c r="X549" i="2"/>
  <c r="W549" i="2"/>
  <c r="V549" i="2"/>
  <c r="AE548" i="2"/>
  <c r="AD548" i="2"/>
  <c r="AC548" i="2"/>
  <c r="AB548" i="2"/>
  <c r="AA548" i="2"/>
  <c r="Z548" i="2"/>
  <c r="Y548" i="2"/>
  <c r="X548" i="2"/>
  <c r="W548" i="2"/>
  <c r="V548" i="2"/>
  <c r="AE547" i="2"/>
  <c r="AD547" i="2"/>
  <c r="AC547" i="2"/>
  <c r="AB547" i="2"/>
  <c r="AA547" i="2"/>
  <c r="Z547" i="2"/>
  <c r="Y547" i="2"/>
  <c r="X547" i="2"/>
  <c r="W547" i="2"/>
  <c r="V547" i="2"/>
  <c r="AE546" i="2"/>
  <c r="AD546" i="2"/>
  <c r="AC546" i="2"/>
  <c r="AB546" i="2"/>
  <c r="AA546" i="2"/>
  <c r="Z546" i="2"/>
  <c r="Y546" i="2"/>
  <c r="X546" i="2"/>
  <c r="W546" i="2"/>
  <c r="V546" i="2"/>
  <c r="AE545" i="2"/>
  <c r="AD545" i="2"/>
  <c r="AC545" i="2"/>
  <c r="AB545" i="2"/>
  <c r="AA545" i="2"/>
  <c r="Z545" i="2"/>
  <c r="Y545" i="2"/>
  <c r="X545" i="2"/>
  <c r="W545" i="2"/>
  <c r="V545" i="2"/>
  <c r="AE544" i="2"/>
  <c r="AD544" i="2"/>
  <c r="AC544" i="2"/>
  <c r="AB544" i="2"/>
  <c r="AA544" i="2"/>
  <c r="Z544" i="2"/>
  <c r="Y544" i="2"/>
  <c r="X544" i="2"/>
  <c r="W544" i="2"/>
  <c r="V544" i="2"/>
  <c r="AE543" i="2"/>
  <c r="AD543" i="2"/>
  <c r="AC543" i="2"/>
  <c r="AB543" i="2"/>
  <c r="AA543" i="2"/>
  <c r="Z543" i="2"/>
  <c r="Y543" i="2"/>
  <c r="X543" i="2"/>
  <c r="W543" i="2"/>
  <c r="V543" i="2"/>
  <c r="AE542" i="2"/>
  <c r="AD542" i="2"/>
  <c r="AC542" i="2"/>
  <c r="AB542" i="2"/>
  <c r="AA542" i="2"/>
  <c r="Z542" i="2"/>
  <c r="Y542" i="2"/>
  <c r="X542" i="2"/>
  <c r="W542" i="2"/>
  <c r="V542" i="2"/>
  <c r="AE541" i="2"/>
  <c r="AD541" i="2"/>
  <c r="AC541" i="2"/>
  <c r="AB541" i="2"/>
  <c r="AA541" i="2"/>
  <c r="Z541" i="2"/>
  <c r="Y541" i="2"/>
  <c r="X541" i="2"/>
  <c r="W541" i="2"/>
  <c r="V541" i="2"/>
  <c r="AE540" i="2"/>
  <c r="AD540" i="2"/>
  <c r="AC540" i="2"/>
  <c r="AB540" i="2"/>
  <c r="AA540" i="2"/>
  <c r="Z540" i="2"/>
  <c r="Y540" i="2"/>
  <c r="X540" i="2"/>
  <c r="W540" i="2"/>
  <c r="V540" i="2"/>
  <c r="AE539" i="2"/>
  <c r="AD539" i="2"/>
  <c r="AC539" i="2"/>
  <c r="AB539" i="2"/>
  <c r="AA539" i="2"/>
  <c r="Z539" i="2"/>
  <c r="Y539" i="2"/>
  <c r="X539" i="2"/>
  <c r="W539" i="2"/>
  <c r="V539" i="2"/>
  <c r="AE538" i="2"/>
  <c r="AD538" i="2"/>
  <c r="AC538" i="2"/>
  <c r="AB538" i="2"/>
  <c r="AA538" i="2"/>
  <c r="Z538" i="2"/>
  <c r="Y538" i="2"/>
  <c r="X538" i="2"/>
  <c r="W538" i="2"/>
  <c r="V538" i="2"/>
  <c r="AE537" i="2"/>
  <c r="AD537" i="2"/>
  <c r="AC537" i="2"/>
  <c r="AB537" i="2"/>
  <c r="AA537" i="2"/>
  <c r="Z537" i="2"/>
  <c r="Y537" i="2"/>
  <c r="X537" i="2"/>
  <c r="W537" i="2"/>
  <c r="V537" i="2"/>
  <c r="AE536" i="2"/>
  <c r="AD536" i="2"/>
  <c r="AC536" i="2"/>
  <c r="AB536" i="2"/>
  <c r="AA536" i="2"/>
  <c r="Z536" i="2"/>
  <c r="Y536" i="2"/>
  <c r="X536" i="2"/>
  <c r="W536" i="2"/>
  <c r="V536" i="2"/>
  <c r="AE535" i="2"/>
  <c r="AD535" i="2"/>
  <c r="AC535" i="2"/>
  <c r="AB535" i="2"/>
  <c r="AA535" i="2"/>
  <c r="Z535" i="2"/>
  <c r="Y535" i="2"/>
  <c r="X535" i="2"/>
  <c r="W535" i="2"/>
  <c r="V535" i="2"/>
  <c r="AE534" i="2"/>
  <c r="AD534" i="2"/>
  <c r="AC534" i="2"/>
  <c r="AB534" i="2"/>
  <c r="AA534" i="2"/>
  <c r="Z534" i="2"/>
  <c r="Y534" i="2"/>
  <c r="X534" i="2"/>
  <c r="W534" i="2"/>
  <c r="V534" i="2"/>
  <c r="AE533" i="2"/>
  <c r="AD533" i="2"/>
  <c r="AC533" i="2"/>
  <c r="AB533" i="2"/>
  <c r="AA533" i="2"/>
  <c r="Z533" i="2"/>
  <c r="Y533" i="2"/>
  <c r="X533" i="2"/>
  <c r="W533" i="2"/>
  <c r="V533" i="2"/>
  <c r="AE532" i="2"/>
  <c r="AD532" i="2"/>
  <c r="AC532" i="2"/>
  <c r="AB532" i="2"/>
  <c r="AA532" i="2"/>
  <c r="Z532" i="2"/>
  <c r="Y532" i="2"/>
  <c r="X532" i="2"/>
  <c r="W532" i="2"/>
  <c r="V532" i="2"/>
  <c r="AE531" i="2"/>
  <c r="AD531" i="2"/>
  <c r="AC531" i="2"/>
  <c r="AB531" i="2"/>
  <c r="AA531" i="2"/>
  <c r="Z531" i="2"/>
  <c r="Y531" i="2"/>
  <c r="X531" i="2"/>
  <c r="W531" i="2"/>
  <c r="V531" i="2"/>
  <c r="AE530" i="2"/>
  <c r="AD530" i="2"/>
  <c r="AC530" i="2"/>
  <c r="AB530" i="2"/>
  <c r="AA530" i="2"/>
  <c r="Z530" i="2"/>
  <c r="Y530" i="2"/>
  <c r="X530" i="2"/>
  <c r="W530" i="2"/>
  <c r="V530" i="2"/>
  <c r="AE529" i="2"/>
  <c r="AD529" i="2"/>
  <c r="AC529" i="2"/>
  <c r="AB529" i="2"/>
  <c r="AA529" i="2"/>
  <c r="Z529" i="2"/>
  <c r="Y529" i="2"/>
  <c r="X529" i="2"/>
  <c r="W529" i="2"/>
  <c r="V529" i="2"/>
  <c r="AE528" i="2"/>
  <c r="AD528" i="2"/>
  <c r="AC528" i="2"/>
  <c r="AB528" i="2"/>
  <c r="AA528" i="2"/>
  <c r="Z528" i="2"/>
  <c r="Y528" i="2"/>
  <c r="X528" i="2"/>
  <c r="W528" i="2"/>
  <c r="V528" i="2"/>
  <c r="AE527" i="2"/>
  <c r="AD527" i="2"/>
  <c r="AC527" i="2"/>
  <c r="AB527" i="2"/>
  <c r="AA527" i="2"/>
  <c r="Z527" i="2"/>
  <c r="Y527" i="2"/>
  <c r="X527" i="2"/>
  <c r="W527" i="2"/>
  <c r="V527" i="2"/>
  <c r="AE526" i="2"/>
  <c r="AD526" i="2"/>
  <c r="AC526" i="2"/>
  <c r="AB526" i="2"/>
  <c r="AA526" i="2"/>
  <c r="Z526" i="2"/>
  <c r="Y526" i="2"/>
  <c r="X526" i="2"/>
  <c r="W526" i="2"/>
  <c r="V526" i="2"/>
  <c r="AE525" i="2"/>
  <c r="AD525" i="2"/>
  <c r="AC525" i="2"/>
  <c r="AB525" i="2"/>
  <c r="AA525" i="2"/>
  <c r="Z525" i="2"/>
  <c r="Y525" i="2"/>
  <c r="X525" i="2"/>
  <c r="W525" i="2"/>
  <c r="V525" i="2"/>
  <c r="AE524" i="2"/>
  <c r="AD524" i="2"/>
  <c r="AC524" i="2"/>
  <c r="AB524" i="2"/>
  <c r="AA524" i="2"/>
  <c r="Z524" i="2"/>
  <c r="Y524" i="2"/>
  <c r="X524" i="2"/>
  <c r="W524" i="2"/>
  <c r="V524" i="2"/>
  <c r="AE523" i="2"/>
  <c r="AD523" i="2"/>
  <c r="AC523" i="2"/>
  <c r="AB523" i="2"/>
  <c r="AA523" i="2"/>
  <c r="Z523" i="2"/>
  <c r="Y523" i="2"/>
  <c r="X523" i="2"/>
  <c r="W523" i="2"/>
  <c r="V523" i="2"/>
  <c r="AE522" i="2"/>
  <c r="AD522" i="2"/>
  <c r="AC522" i="2"/>
  <c r="AB522" i="2"/>
  <c r="AA522" i="2"/>
  <c r="Z522" i="2"/>
  <c r="Y522" i="2"/>
  <c r="X522" i="2"/>
  <c r="W522" i="2"/>
  <c r="V522" i="2"/>
  <c r="AE521" i="2"/>
  <c r="AD521" i="2"/>
  <c r="AC521" i="2"/>
  <c r="AB521" i="2"/>
  <c r="AA521" i="2"/>
  <c r="Z521" i="2"/>
  <c r="Y521" i="2"/>
  <c r="X521" i="2"/>
  <c r="W521" i="2"/>
  <c r="V521" i="2"/>
  <c r="AE520" i="2"/>
  <c r="AD520" i="2"/>
  <c r="AC520" i="2"/>
  <c r="AB520" i="2"/>
  <c r="AA520" i="2"/>
  <c r="Z520" i="2"/>
  <c r="Y520" i="2"/>
  <c r="X520" i="2"/>
  <c r="W520" i="2"/>
  <c r="V520" i="2"/>
  <c r="AE519" i="2"/>
  <c r="AD519" i="2"/>
  <c r="AC519" i="2"/>
  <c r="AB519" i="2"/>
  <c r="AA519" i="2"/>
  <c r="Z519" i="2"/>
  <c r="Y519" i="2"/>
  <c r="X519" i="2"/>
  <c r="W519" i="2"/>
  <c r="V519" i="2"/>
  <c r="AE518" i="2"/>
  <c r="AD518" i="2"/>
  <c r="AC518" i="2"/>
  <c r="AB518" i="2"/>
  <c r="AA518" i="2"/>
  <c r="Z518" i="2"/>
  <c r="Y518" i="2"/>
  <c r="X518" i="2"/>
  <c r="W518" i="2"/>
  <c r="V518" i="2"/>
  <c r="AE517" i="2"/>
  <c r="AD517" i="2"/>
  <c r="AC517" i="2"/>
  <c r="AB517" i="2"/>
  <c r="AA517" i="2"/>
  <c r="Z517" i="2"/>
  <c r="Y517" i="2"/>
  <c r="X517" i="2"/>
  <c r="W517" i="2"/>
  <c r="V517" i="2"/>
  <c r="AE516" i="2"/>
  <c r="AD516" i="2"/>
  <c r="AC516" i="2"/>
  <c r="AB516" i="2"/>
  <c r="AA516" i="2"/>
  <c r="Z516" i="2"/>
  <c r="Y516" i="2"/>
  <c r="X516" i="2"/>
  <c r="W516" i="2"/>
  <c r="V516" i="2"/>
  <c r="AE515" i="2"/>
  <c r="AD515" i="2"/>
  <c r="AC515" i="2"/>
  <c r="AB515" i="2"/>
  <c r="AA515" i="2"/>
  <c r="Z515" i="2"/>
  <c r="Y515" i="2"/>
  <c r="X515" i="2"/>
  <c r="W515" i="2"/>
  <c r="V515" i="2"/>
  <c r="AE514" i="2"/>
  <c r="AD514" i="2"/>
  <c r="AC514" i="2"/>
  <c r="AB514" i="2"/>
  <c r="AA514" i="2"/>
  <c r="Z514" i="2"/>
  <c r="Y514" i="2"/>
  <c r="X514" i="2"/>
  <c r="W514" i="2"/>
  <c r="V514" i="2"/>
  <c r="AE513" i="2"/>
  <c r="AD513" i="2"/>
  <c r="AC513" i="2"/>
  <c r="AB513" i="2"/>
  <c r="AA513" i="2"/>
  <c r="Z513" i="2"/>
  <c r="Y513" i="2"/>
  <c r="X513" i="2"/>
  <c r="W513" i="2"/>
  <c r="V513" i="2"/>
  <c r="AE512" i="2"/>
  <c r="AD512" i="2"/>
  <c r="AC512" i="2"/>
  <c r="AB512" i="2"/>
  <c r="AA512" i="2"/>
  <c r="Z512" i="2"/>
  <c r="Y512" i="2"/>
  <c r="X512" i="2"/>
  <c r="W512" i="2"/>
  <c r="V512" i="2"/>
  <c r="AE511" i="2"/>
  <c r="AD511" i="2"/>
  <c r="AC511" i="2"/>
  <c r="AB511" i="2"/>
  <c r="AA511" i="2"/>
  <c r="Z511" i="2"/>
  <c r="Y511" i="2"/>
  <c r="X511" i="2"/>
  <c r="W511" i="2"/>
  <c r="V511" i="2"/>
  <c r="AE510" i="2"/>
  <c r="AD510" i="2"/>
  <c r="AC510" i="2"/>
  <c r="AB510" i="2"/>
  <c r="AA510" i="2"/>
  <c r="Z510" i="2"/>
  <c r="Y510" i="2"/>
  <c r="X510" i="2"/>
  <c r="W510" i="2"/>
  <c r="V510" i="2"/>
  <c r="AE509" i="2"/>
  <c r="AD509" i="2"/>
  <c r="AC509" i="2"/>
  <c r="AB509" i="2"/>
  <c r="AA509" i="2"/>
  <c r="Z509" i="2"/>
  <c r="Y509" i="2"/>
  <c r="X509" i="2"/>
  <c r="W509" i="2"/>
  <c r="V509" i="2"/>
  <c r="AE508" i="2"/>
  <c r="AD508" i="2"/>
  <c r="AC508" i="2"/>
  <c r="AB508" i="2"/>
  <c r="AA508" i="2"/>
  <c r="Z508" i="2"/>
  <c r="Y508" i="2"/>
  <c r="X508" i="2"/>
  <c r="W508" i="2"/>
  <c r="V508" i="2"/>
  <c r="AE507" i="2"/>
  <c r="AD507" i="2"/>
  <c r="AC507" i="2"/>
  <c r="AB507" i="2"/>
  <c r="AA507" i="2"/>
  <c r="Z507" i="2"/>
  <c r="Y507" i="2"/>
  <c r="X507" i="2"/>
  <c r="W507" i="2"/>
  <c r="V507" i="2"/>
  <c r="AE506" i="2"/>
  <c r="AD506" i="2"/>
  <c r="AC506" i="2"/>
  <c r="AB506" i="2"/>
  <c r="AA506" i="2"/>
  <c r="Z506" i="2"/>
  <c r="Y506" i="2"/>
  <c r="X506" i="2"/>
  <c r="W506" i="2"/>
  <c r="V506" i="2"/>
  <c r="AE505" i="2"/>
  <c r="AD505" i="2"/>
  <c r="AC505" i="2"/>
  <c r="AB505" i="2"/>
  <c r="AA505" i="2"/>
  <c r="Z505" i="2"/>
  <c r="Y505" i="2"/>
  <c r="X505" i="2"/>
  <c r="W505" i="2"/>
  <c r="V505" i="2"/>
  <c r="AE504" i="2"/>
  <c r="AD504" i="2"/>
  <c r="AC504" i="2"/>
  <c r="AB504" i="2"/>
  <c r="AA504" i="2"/>
  <c r="Z504" i="2"/>
  <c r="Y504" i="2"/>
  <c r="X504" i="2"/>
  <c r="W504" i="2"/>
  <c r="V504" i="2"/>
  <c r="AE503" i="2"/>
  <c r="AD503" i="2"/>
  <c r="AC503" i="2"/>
  <c r="AB503" i="2"/>
  <c r="AA503" i="2"/>
  <c r="Z503" i="2"/>
  <c r="Y503" i="2"/>
  <c r="X503" i="2"/>
  <c r="W503" i="2"/>
  <c r="V503" i="2"/>
  <c r="AE502" i="2"/>
  <c r="AD502" i="2"/>
  <c r="AC502" i="2"/>
  <c r="AB502" i="2"/>
  <c r="AA502" i="2"/>
  <c r="Z502" i="2"/>
  <c r="Y502" i="2"/>
  <c r="X502" i="2"/>
  <c r="W502" i="2"/>
  <c r="V502" i="2"/>
  <c r="AE501" i="2"/>
  <c r="AD501" i="2"/>
  <c r="AC501" i="2"/>
  <c r="AB501" i="2"/>
  <c r="AA501" i="2"/>
  <c r="Z501" i="2"/>
  <c r="Y501" i="2"/>
  <c r="X501" i="2"/>
  <c r="W501" i="2"/>
  <c r="V501" i="2"/>
  <c r="AE500" i="2"/>
  <c r="AD500" i="2"/>
  <c r="AC500" i="2"/>
  <c r="AB500" i="2"/>
  <c r="AA500" i="2"/>
  <c r="Z500" i="2"/>
  <c r="Y500" i="2"/>
  <c r="X500" i="2"/>
  <c r="W500" i="2"/>
  <c r="V500" i="2"/>
  <c r="AE499" i="2"/>
  <c r="AD499" i="2"/>
  <c r="AC499" i="2"/>
  <c r="AB499" i="2"/>
  <c r="AA499" i="2"/>
  <c r="Z499" i="2"/>
  <c r="Y499" i="2"/>
  <c r="X499" i="2"/>
  <c r="W499" i="2"/>
  <c r="V499" i="2"/>
  <c r="AE498" i="2"/>
  <c r="AD498" i="2"/>
  <c r="AC498" i="2"/>
  <c r="AB498" i="2"/>
  <c r="AA498" i="2"/>
  <c r="Z498" i="2"/>
  <c r="Y498" i="2"/>
  <c r="X498" i="2"/>
  <c r="W498" i="2"/>
  <c r="V498" i="2"/>
  <c r="AE497" i="2"/>
  <c r="AD497" i="2"/>
  <c r="AC497" i="2"/>
  <c r="AB497" i="2"/>
  <c r="AA497" i="2"/>
  <c r="Z497" i="2"/>
  <c r="Y497" i="2"/>
  <c r="X497" i="2"/>
  <c r="W497" i="2"/>
  <c r="V497" i="2"/>
  <c r="AE496" i="2"/>
  <c r="AD496" i="2"/>
  <c r="AC496" i="2"/>
  <c r="AB496" i="2"/>
  <c r="AA496" i="2"/>
  <c r="Z496" i="2"/>
  <c r="Y496" i="2"/>
  <c r="X496" i="2"/>
  <c r="W496" i="2"/>
  <c r="V496" i="2"/>
  <c r="AE495" i="2"/>
  <c r="AD495" i="2"/>
  <c r="AC495" i="2"/>
  <c r="AB495" i="2"/>
  <c r="AA495" i="2"/>
  <c r="Z495" i="2"/>
  <c r="Y495" i="2"/>
  <c r="X495" i="2"/>
  <c r="W495" i="2"/>
  <c r="V495" i="2"/>
  <c r="AE494" i="2"/>
  <c r="AD494" i="2"/>
  <c r="AC494" i="2"/>
  <c r="AB494" i="2"/>
  <c r="AA494" i="2"/>
  <c r="Z494" i="2"/>
  <c r="Y494" i="2"/>
  <c r="X494" i="2"/>
  <c r="W494" i="2"/>
  <c r="V494" i="2"/>
  <c r="AE493" i="2"/>
  <c r="AD493" i="2"/>
  <c r="AC493" i="2"/>
  <c r="AB493" i="2"/>
  <c r="AA493" i="2"/>
  <c r="Z493" i="2"/>
  <c r="Y493" i="2"/>
  <c r="X493" i="2"/>
  <c r="W493" i="2"/>
  <c r="V493" i="2"/>
  <c r="AE492" i="2"/>
  <c r="AD492" i="2"/>
  <c r="AC492" i="2"/>
  <c r="AB492" i="2"/>
  <c r="AA492" i="2"/>
  <c r="Z492" i="2"/>
  <c r="Y492" i="2"/>
  <c r="X492" i="2"/>
  <c r="W492" i="2"/>
  <c r="V492" i="2"/>
  <c r="AE491" i="2"/>
  <c r="AD491" i="2"/>
  <c r="AC491" i="2"/>
  <c r="AB491" i="2"/>
  <c r="AA491" i="2"/>
  <c r="Z491" i="2"/>
  <c r="Y491" i="2"/>
  <c r="X491" i="2"/>
  <c r="W491" i="2"/>
  <c r="V491" i="2"/>
  <c r="AE490" i="2"/>
  <c r="AD490" i="2"/>
  <c r="AC490" i="2"/>
  <c r="AB490" i="2"/>
  <c r="AA490" i="2"/>
  <c r="Z490" i="2"/>
  <c r="Y490" i="2"/>
  <c r="X490" i="2"/>
  <c r="W490" i="2"/>
  <c r="V490" i="2"/>
  <c r="AE489" i="2"/>
  <c r="AD489" i="2"/>
  <c r="AC489" i="2"/>
  <c r="AB489" i="2"/>
  <c r="AA489" i="2"/>
  <c r="Z489" i="2"/>
  <c r="Y489" i="2"/>
  <c r="X489" i="2"/>
  <c r="W489" i="2"/>
  <c r="V489" i="2"/>
  <c r="AE488" i="2"/>
  <c r="AD488" i="2"/>
  <c r="AC488" i="2"/>
  <c r="AB488" i="2"/>
  <c r="AA488" i="2"/>
  <c r="Z488" i="2"/>
  <c r="Y488" i="2"/>
  <c r="X488" i="2"/>
  <c r="W488" i="2"/>
  <c r="V488" i="2"/>
  <c r="AE487" i="2"/>
  <c r="AD487" i="2"/>
  <c r="AC487" i="2"/>
  <c r="AB487" i="2"/>
  <c r="AA487" i="2"/>
  <c r="Z487" i="2"/>
  <c r="Y487" i="2"/>
  <c r="X487" i="2"/>
  <c r="W487" i="2"/>
  <c r="V487" i="2"/>
  <c r="AE486" i="2"/>
  <c r="AD486" i="2"/>
  <c r="AC486" i="2"/>
  <c r="AB486" i="2"/>
  <c r="AA486" i="2"/>
  <c r="Z486" i="2"/>
  <c r="Y486" i="2"/>
  <c r="X486" i="2"/>
  <c r="W486" i="2"/>
  <c r="V486" i="2"/>
  <c r="AE485" i="2"/>
  <c r="AD485" i="2"/>
  <c r="AC485" i="2"/>
  <c r="AB485" i="2"/>
  <c r="AA485" i="2"/>
  <c r="Z485" i="2"/>
  <c r="Y485" i="2"/>
  <c r="X485" i="2"/>
  <c r="W485" i="2"/>
  <c r="V485" i="2"/>
  <c r="AE484" i="2"/>
  <c r="AD484" i="2"/>
  <c r="AC484" i="2"/>
  <c r="AB484" i="2"/>
  <c r="AA484" i="2"/>
  <c r="Z484" i="2"/>
  <c r="Y484" i="2"/>
  <c r="X484" i="2"/>
  <c r="W484" i="2"/>
  <c r="V484" i="2"/>
  <c r="AE483" i="2"/>
  <c r="AD483" i="2"/>
  <c r="AC483" i="2"/>
  <c r="AB483" i="2"/>
  <c r="AA483" i="2"/>
  <c r="Z483" i="2"/>
  <c r="Y483" i="2"/>
  <c r="X483" i="2"/>
  <c r="W483" i="2"/>
  <c r="V483" i="2"/>
  <c r="AE482" i="2"/>
  <c r="AD482" i="2"/>
  <c r="AC482" i="2"/>
  <c r="AB482" i="2"/>
  <c r="AA482" i="2"/>
  <c r="Z482" i="2"/>
  <c r="Y482" i="2"/>
  <c r="X482" i="2"/>
  <c r="W482" i="2"/>
  <c r="V482" i="2"/>
  <c r="AE481" i="2"/>
  <c r="AD481" i="2"/>
  <c r="AC481" i="2"/>
  <c r="AB481" i="2"/>
  <c r="AA481" i="2"/>
  <c r="Z481" i="2"/>
  <c r="Y481" i="2"/>
  <c r="X481" i="2"/>
  <c r="W481" i="2"/>
  <c r="V481" i="2"/>
  <c r="AE480" i="2"/>
  <c r="AD480" i="2"/>
  <c r="AC480" i="2"/>
  <c r="AB480" i="2"/>
  <c r="AA480" i="2"/>
  <c r="Z480" i="2"/>
  <c r="Y480" i="2"/>
  <c r="X480" i="2"/>
  <c r="W480" i="2"/>
  <c r="V480" i="2"/>
  <c r="AE479" i="2"/>
  <c r="AD479" i="2"/>
  <c r="AC479" i="2"/>
  <c r="AB479" i="2"/>
  <c r="AA479" i="2"/>
  <c r="Z479" i="2"/>
  <c r="Y479" i="2"/>
  <c r="X479" i="2"/>
  <c r="W479" i="2"/>
  <c r="V479" i="2"/>
  <c r="AE478" i="2"/>
  <c r="AD478" i="2"/>
  <c r="AC478" i="2"/>
  <c r="AB478" i="2"/>
  <c r="AA478" i="2"/>
  <c r="Z478" i="2"/>
  <c r="Y478" i="2"/>
  <c r="X478" i="2"/>
  <c r="W478" i="2"/>
  <c r="V478" i="2"/>
  <c r="AE477" i="2"/>
  <c r="AD477" i="2"/>
  <c r="AC477" i="2"/>
  <c r="AB477" i="2"/>
  <c r="AA477" i="2"/>
  <c r="Z477" i="2"/>
  <c r="Y477" i="2"/>
  <c r="X477" i="2"/>
  <c r="W477" i="2"/>
  <c r="V477" i="2"/>
  <c r="AE476" i="2"/>
  <c r="AD476" i="2"/>
  <c r="AC476" i="2"/>
  <c r="AB476" i="2"/>
  <c r="AA476" i="2"/>
  <c r="Z476" i="2"/>
  <c r="Y476" i="2"/>
  <c r="X476" i="2"/>
  <c r="W476" i="2"/>
  <c r="V476" i="2"/>
  <c r="AE475" i="2"/>
  <c r="AD475" i="2"/>
  <c r="AC475" i="2"/>
  <c r="AB475" i="2"/>
  <c r="AA475" i="2"/>
  <c r="Z475" i="2"/>
  <c r="Y475" i="2"/>
  <c r="X475" i="2"/>
  <c r="W475" i="2"/>
  <c r="V475" i="2"/>
  <c r="AE474" i="2"/>
  <c r="AD474" i="2"/>
  <c r="AC474" i="2"/>
  <c r="AB474" i="2"/>
  <c r="AA474" i="2"/>
  <c r="Z474" i="2"/>
  <c r="Y474" i="2"/>
  <c r="X474" i="2"/>
  <c r="W474" i="2"/>
  <c r="V474" i="2"/>
  <c r="AE473" i="2"/>
  <c r="AD473" i="2"/>
  <c r="AC473" i="2"/>
  <c r="AB473" i="2"/>
  <c r="AA473" i="2"/>
  <c r="Z473" i="2"/>
  <c r="Y473" i="2"/>
  <c r="X473" i="2"/>
  <c r="W473" i="2"/>
  <c r="V473" i="2"/>
  <c r="AE472" i="2"/>
  <c r="AD472" i="2"/>
  <c r="AC472" i="2"/>
  <c r="AB472" i="2"/>
  <c r="AA472" i="2"/>
  <c r="Z472" i="2"/>
  <c r="Y472" i="2"/>
  <c r="X472" i="2"/>
  <c r="W472" i="2"/>
  <c r="V472" i="2"/>
  <c r="AE471" i="2"/>
  <c r="AD471" i="2"/>
  <c r="AC471" i="2"/>
  <c r="AB471" i="2"/>
  <c r="AA471" i="2"/>
  <c r="Z471" i="2"/>
  <c r="Y471" i="2"/>
  <c r="X471" i="2"/>
  <c r="W471" i="2"/>
  <c r="V471" i="2"/>
  <c r="AE470" i="2"/>
  <c r="AD470" i="2"/>
  <c r="AC470" i="2"/>
  <c r="AB470" i="2"/>
  <c r="AA470" i="2"/>
  <c r="Z470" i="2"/>
  <c r="Y470" i="2"/>
  <c r="X470" i="2"/>
  <c r="W470" i="2"/>
  <c r="V470" i="2"/>
  <c r="AE469" i="2"/>
  <c r="AD469" i="2"/>
  <c r="AC469" i="2"/>
  <c r="AB469" i="2"/>
  <c r="AA469" i="2"/>
  <c r="Z469" i="2"/>
  <c r="Y469" i="2"/>
  <c r="X469" i="2"/>
  <c r="W469" i="2"/>
  <c r="V469" i="2"/>
  <c r="AE468" i="2"/>
  <c r="AD468" i="2"/>
  <c r="AC468" i="2"/>
  <c r="AB468" i="2"/>
  <c r="AA468" i="2"/>
  <c r="Z468" i="2"/>
  <c r="Y468" i="2"/>
  <c r="X468" i="2"/>
  <c r="W468" i="2"/>
  <c r="V468" i="2"/>
  <c r="AE467" i="2"/>
  <c r="AD467" i="2"/>
  <c r="AC467" i="2"/>
  <c r="AB467" i="2"/>
  <c r="AA467" i="2"/>
  <c r="Z467" i="2"/>
  <c r="Y467" i="2"/>
  <c r="X467" i="2"/>
  <c r="W467" i="2"/>
  <c r="V467" i="2"/>
  <c r="AE466" i="2"/>
  <c r="AD466" i="2"/>
  <c r="AC466" i="2"/>
  <c r="AB466" i="2"/>
  <c r="AA466" i="2"/>
  <c r="Z466" i="2"/>
  <c r="Y466" i="2"/>
  <c r="X466" i="2"/>
  <c r="W466" i="2"/>
  <c r="V466" i="2"/>
  <c r="AE465" i="2"/>
  <c r="AD465" i="2"/>
  <c r="AC465" i="2"/>
  <c r="AB465" i="2"/>
  <c r="AA465" i="2"/>
  <c r="Z465" i="2"/>
  <c r="Y465" i="2"/>
  <c r="X465" i="2"/>
  <c r="W465" i="2"/>
  <c r="V465" i="2"/>
  <c r="AE464" i="2"/>
  <c r="AD464" i="2"/>
  <c r="AC464" i="2"/>
  <c r="AB464" i="2"/>
  <c r="AA464" i="2"/>
  <c r="Z464" i="2"/>
  <c r="Y464" i="2"/>
  <c r="X464" i="2"/>
  <c r="W464" i="2"/>
  <c r="V464" i="2"/>
  <c r="AE463" i="2"/>
  <c r="AD463" i="2"/>
  <c r="AC463" i="2"/>
  <c r="AB463" i="2"/>
  <c r="AA463" i="2"/>
  <c r="Z463" i="2"/>
  <c r="Y463" i="2"/>
  <c r="X463" i="2"/>
  <c r="W463" i="2"/>
  <c r="V463" i="2"/>
  <c r="AE462" i="2"/>
  <c r="AD462" i="2"/>
  <c r="AC462" i="2"/>
  <c r="AB462" i="2"/>
  <c r="AA462" i="2"/>
  <c r="Z462" i="2"/>
  <c r="Y462" i="2"/>
  <c r="X462" i="2"/>
  <c r="W462" i="2"/>
  <c r="V462" i="2"/>
  <c r="AE461" i="2"/>
  <c r="AD461" i="2"/>
  <c r="AC461" i="2"/>
  <c r="AB461" i="2"/>
  <c r="AA461" i="2"/>
  <c r="Z461" i="2"/>
  <c r="Y461" i="2"/>
  <c r="X461" i="2"/>
  <c r="W461" i="2"/>
  <c r="V461" i="2"/>
  <c r="AE460" i="2"/>
  <c r="AD460" i="2"/>
  <c r="AC460" i="2"/>
  <c r="AB460" i="2"/>
  <c r="AA460" i="2"/>
  <c r="Z460" i="2"/>
  <c r="Y460" i="2"/>
  <c r="X460" i="2"/>
  <c r="W460" i="2"/>
  <c r="V460" i="2"/>
  <c r="AE459" i="2"/>
  <c r="AD459" i="2"/>
  <c r="AC459" i="2"/>
  <c r="AB459" i="2"/>
  <c r="AA459" i="2"/>
  <c r="Z459" i="2"/>
  <c r="Y459" i="2"/>
  <c r="X459" i="2"/>
  <c r="W459" i="2"/>
  <c r="V459" i="2"/>
  <c r="AE458" i="2"/>
  <c r="AD458" i="2"/>
  <c r="AC458" i="2"/>
  <c r="AB458" i="2"/>
  <c r="AA458" i="2"/>
  <c r="Z458" i="2"/>
  <c r="Y458" i="2"/>
  <c r="X458" i="2"/>
  <c r="W458" i="2"/>
  <c r="V458" i="2"/>
  <c r="AE457" i="2"/>
  <c r="AD457" i="2"/>
  <c r="AC457" i="2"/>
  <c r="AB457" i="2"/>
  <c r="AA457" i="2"/>
  <c r="Z457" i="2"/>
  <c r="Y457" i="2"/>
  <c r="X457" i="2"/>
  <c r="W457" i="2"/>
  <c r="V457" i="2"/>
  <c r="AE456" i="2"/>
  <c r="AD456" i="2"/>
  <c r="AC456" i="2"/>
  <c r="AB456" i="2"/>
  <c r="AA456" i="2"/>
  <c r="Z456" i="2"/>
  <c r="Y456" i="2"/>
  <c r="X456" i="2"/>
  <c r="W456" i="2"/>
  <c r="V456" i="2"/>
  <c r="AE455" i="2"/>
  <c r="AD455" i="2"/>
  <c r="AC455" i="2"/>
  <c r="AB455" i="2"/>
  <c r="AA455" i="2"/>
  <c r="Z455" i="2"/>
  <c r="Y455" i="2"/>
  <c r="X455" i="2"/>
  <c r="W455" i="2"/>
  <c r="V455" i="2"/>
  <c r="AE454" i="2"/>
  <c r="AD454" i="2"/>
  <c r="AC454" i="2"/>
  <c r="AB454" i="2"/>
  <c r="AA454" i="2"/>
  <c r="Z454" i="2"/>
  <c r="Y454" i="2"/>
  <c r="X454" i="2"/>
  <c r="W454" i="2"/>
  <c r="V454" i="2"/>
  <c r="AE453" i="2"/>
  <c r="AD453" i="2"/>
  <c r="AC453" i="2"/>
  <c r="AB453" i="2"/>
  <c r="AA453" i="2"/>
  <c r="Z453" i="2"/>
  <c r="Y453" i="2"/>
  <c r="X453" i="2"/>
  <c r="W453" i="2"/>
  <c r="V453" i="2"/>
  <c r="AE452" i="2"/>
  <c r="AD452" i="2"/>
  <c r="AC452" i="2"/>
  <c r="AB452" i="2"/>
  <c r="AA452" i="2"/>
  <c r="Z452" i="2"/>
  <c r="Y452" i="2"/>
  <c r="X452" i="2"/>
  <c r="W452" i="2"/>
  <c r="V452" i="2"/>
  <c r="AE451" i="2"/>
  <c r="AD451" i="2"/>
  <c r="AC451" i="2"/>
  <c r="AB451" i="2"/>
  <c r="AA451" i="2"/>
  <c r="Z451" i="2"/>
  <c r="Y451" i="2"/>
  <c r="X451" i="2"/>
  <c r="W451" i="2"/>
  <c r="V451" i="2"/>
  <c r="AE450" i="2"/>
  <c r="AD450" i="2"/>
  <c r="AC450" i="2"/>
  <c r="AB450" i="2"/>
  <c r="AA450" i="2"/>
  <c r="Z450" i="2"/>
  <c r="Y450" i="2"/>
  <c r="X450" i="2"/>
  <c r="W450" i="2"/>
  <c r="V450" i="2"/>
  <c r="AE449" i="2"/>
  <c r="AD449" i="2"/>
  <c r="AC449" i="2"/>
  <c r="AB449" i="2"/>
  <c r="AA449" i="2"/>
  <c r="Z449" i="2"/>
  <c r="Y449" i="2"/>
  <c r="X449" i="2"/>
  <c r="W449" i="2"/>
  <c r="V449" i="2"/>
  <c r="AE448" i="2"/>
  <c r="AD448" i="2"/>
  <c r="AC448" i="2"/>
  <c r="AB448" i="2"/>
  <c r="AA448" i="2"/>
  <c r="Z448" i="2"/>
  <c r="Y448" i="2"/>
  <c r="X448" i="2"/>
  <c r="W448" i="2"/>
  <c r="V448" i="2"/>
  <c r="AE447" i="2"/>
  <c r="AD447" i="2"/>
  <c r="AC447" i="2"/>
  <c r="AB447" i="2"/>
  <c r="AA447" i="2"/>
  <c r="Z447" i="2"/>
  <c r="Y447" i="2"/>
  <c r="X447" i="2"/>
  <c r="W447" i="2"/>
  <c r="V447" i="2"/>
  <c r="AE446" i="2"/>
  <c r="AD446" i="2"/>
  <c r="AC446" i="2"/>
  <c r="AB446" i="2"/>
  <c r="AA446" i="2"/>
  <c r="Z446" i="2"/>
  <c r="Y446" i="2"/>
  <c r="X446" i="2"/>
  <c r="W446" i="2"/>
  <c r="V446" i="2"/>
  <c r="AE445" i="2"/>
  <c r="AD445" i="2"/>
  <c r="AC445" i="2"/>
  <c r="AB445" i="2"/>
  <c r="AA445" i="2"/>
  <c r="Z445" i="2"/>
  <c r="Y445" i="2"/>
  <c r="X445" i="2"/>
  <c r="W445" i="2"/>
  <c r="V445" i="2"/>
  <c r="AE444" i="2"/>
  <c r="AD444" i="2"/>
  <c r="AC444" i="2"/>
  <c r="AB444" i="2"/>
  <c r="AA444" i="2"/>
  <c r="Z444" i="2"/>
  <c r="Y444" i="2"/>
  <c r="X444" i="2"/>
  <c r="W444" i="2"/>
  <c r="V444" i="2"/>
  <c r="AE443" i="2"/>
  <c r="AD443" i="2"/>
  <c r="AC443" i="2"/>
  <c r="AB443" i="2"/>
  <c r="AA443" i="2"/>
  <c r="Z443" i="2"/>
  <c r="Y443" i="2"/>
  <c r="X443" i="2"/>
  <c r="W443" i="2"/>
  <c r="V443" i="2"/>
  <c r="AE442" i="2"/>
  <c r="AD442" i="2"/>
  <c r="AC442" i="2"/>
  <c r="AB442" i="2"/>
  <c r="AA442" i="2"/>
  <c r="Z442" i="2"/>
  <c r="Y442" i="2"/>
  <c r="X442" i="2"/>
  <c r="W442" i="2"/>
  <c r="V442" i="2"/>
  <c r="AE441" i="2"/>
  <c r="AD441" i="2"/>
  <c r="AC441" i="2"/>
  <c r="AB441" i="2"/>
  <c r="AA441" i="2"/>
  <c r="Z441" i="2"/>
  <c r="Y441" i="2"/>
  <c r="X441" i="2"/>
  <c r="W441" i="2"/>
  <c r="V441" i="2"/>
  <c r="AE440" i="2"/>
  <c r="AD440" i="2"/>
  <c r="AC440" i="2"/>
  <c r="AB440" i="2"/>
  <c r="AA440" i="2"/>
  <c r="Z440" i="2"/>
  <c r="Y440" i="2"/>
  <c r="X440" i="2"/>
  <c r="W440" i="2"/>
  <c r="V440" i="2"/>
  <c r="AE439" i="2"/>
  <c r="AD439" i="2"/>
  <c r="AC439" i="2"/>
  <c r="AB439" i="2"/>
  <c r="AA439" i="2"/>
  <c r="Z439" i="2"/>
  <c r="Y439" i="2"/>
  <c r="X439" i="2"/>
  <c r="W439" i="2"/>
  <c r="V439" i="2"/>
  <c r="AE438" i="2"/>
  <c r="AD438" i="2"/>
  <c r="AC438" i="2"/>
  <c r="AB438" i="2"/>
  <c r="AA438" i="2"/>
  <c r="Z438" i="2"/>
  <c r="Y438" i="2"/>
  <c r="X438" i="2"/>
  <c r="W438" i="2"/>
  <c r="V438" i="2"/>
  <c r="AE437" i="2"/>
  <c r="AD437" i="2"/>
  <c r="AC437" i="2"/>
  <c r="AB437" i="2"/>
  <c r="AA437" i="2"/>
  <c r="Z437" i="2"/>
  <c r="Y437" i="2"/>
  <c r="X437" i="2"/>
  <c r="W437" i="2"/>
  <c r="V437" i="2"/>
  <c r="AE436" i="2"/>
  <c r="AD436" i="2"/>
  <c r="AC436" i="2"/>
  <c r="AB436" i="2"/>
  <c r="AA436" i="2"/>
  <c r="Z436" i="2"/>
  <c r="Y436" i="2"/>
  <c r="X436" i="2"/>
  <c r="W436" i="2"/>
  <c r="V436" i="2"/>
  <c r="AE435" i="2"/>
  <c r="AD435" i="2"/>
  <c r="AC435" i="2"/>
  <c r="AB435" i="2"/>
  <c r="AA435" i="2"/>
  <c r="Z435" i="2"/>
  <c r="Y435" i="2"/>
  <c r="X435" i="2"/>
  <c r="W435" i="2"/>
  <c r="V435" i="2"/>
  <c r="AE434" i="2"/>
  <c r="AD434" i="2"/>
  <c r="AC434" i="2"/>
  <c r="AB434" i="2"/>
  <c r="AA434" i="2"/>
  <c r="Z434" i="2"/>
  <c r="Y434" i="2"/>
  <c r="X434" i="2"/>
  <c r="W434" i="2"/>
  <c r="V434" i="2"/>
  <c r="AE433" i="2"/>
  <c r="AD433" i="2"/>
  <c r="AC433" i="2"/>
  <c r="AB433" i="2"/>
  <c r="AA433" i="2"/>
  <c r="Z433" i="2"/>
  <c r="Y433" i="2"/>
  <c r="X433" i="2"/>
  <c r="W433" i="2"/>
  <c r="V433" i="2"/>
  <c r="AE432" i="2"/>
  <c r="AD432" i="2"/>
  <c r="AC432" i="2"/>
  <c r="AB432" i="2"/>
  <c r="AA432" i="2"/>
  <c r="Z432" i="2"/>
  <c r="Y432" i="2"/>
  <c r="X432" i="2"/>
  <c r="W432" i="2"/>
  <c r="V432" i="2"/>
  <c r="AE431" i="2"/>
  <c r="AD431" i="2"/>
  <c r="AC431" i="2"/>
  <c r="AB431" i="2"/>
  <c r="AA431" i="2"/>
  <c r="Z431" i="2"/>
  <c r="Y431" i="2"/>
  <c r="X431" i="2"/>
  <c r="W431" i="2"/>
  <c r="V431" i="2"/>
  <c r="AE430" i="2"/>
  <c r="AD430" i="2"/>
  <c r="AC430" i="2"/>
  <c r="AB430" i="2"/>
  <c r="AA430" i="2"/>
  <c r="Z430" i="2"/>
  <c r="Y430" i="2"/>
  <c r="X430" i="2"/>
  <c r="W430" i="2"/>
  <c r="V430" i="2"/>
  <c r="AE429" i="2"/>
  <c r="AD429" i="2"/>
  <c r="AC429" i="2"/>
  <c r="AB429" i="2"/>
  <c r="AA429" i="2"/>
  <c r="Z429" i="2"/>
  <c r="Y429" i="2"/>
  <c r="X429" i="2"/>
  <c r="W429" i="2"/>
  <c r="V429" i="2"/>
  <c r="AE428" i="2"/>
  <c r="AD428" i="2"/>
  <c r="AC428" i="2"/>
  <c r="AB428" i="2"/>
  <c r="AA428" i="2"/>
  <c r="Z428" i="2"/>
  <c r="Y428" i="2"/>
  <c r="X428" i="2"/>
  <c r="W428" i="2"/>
  <c r="V428" i="2"/>
  <c r="AE427" i="2"/>
  <c r="AD427" i="2"/>
  <c r="AC427" i="2"/>
  <c r="AB427" i="2"/>
  <c r="AA427" i="2"/>
  <c r="Z427" i="2"/>
  <c r="Y427" i="2"/>
  <c r="X427" i="2"/>
  <c r="W427" i="2"/>
  <c r="V427" i="2"/>
  <c r="AE426" i="2"/>
  <c r="AD426" i="2"/>
  <c r="AC426" i="2"/>
  <c r="AB426" i="2"/>
  <c r="AA426" i="2"/>
  <c r="Z426" i="2"/>
  <c r="Y426" i="2"/>
  <c r="X426" i="2"/>
  <c r="W426" i="2"/>
  <c r="V426" i="2"/>
  <c r="AE425" i="2"/>
  <c r="AD425" i="2"/>
  <c r="AC425" i="2"/>
  <c r="AB425" i="2"/>
  <c r="AA425" i="2"/>
  <c r="Z425" i="2"/>
  <c r="Y425" i="2"/>
  <c r="X425" i="2"/>
  <c r="W425" i="2"/>
  <c r="V425" i="2"/>
  <c r="AE424" i="2"/>
  <c r="AD424" i="2"/>
  <c r="AC424" i="2"/>
  <c r="AB424" i="2"/>
  <c r="AA424" i="2"/>
  <c r="Z424" i="2"/>
  <c r="Y424" i="2"/>
  <c r="X424" i="2"/>
  <c r="W424" i="2"/>
  <c r="V424" i="2"/>
  <c r="AE423" i="2"/>
  <c r="AD423" i="2"/>
  <c r="AC423" i="2"/>
  <c r="AB423" i="2"/>
  <c r="AA423" i="2"/>
  <c r="Z423" i="2"/>
  <c r="Y423" i="2"/>
  <c r="X423" i="2"/>
  <c r="W423" i="2"/>
  <c r="V423" i="2"/>
  <c r="AE422" i="2"/>
  <c r="AD422" i="2"/>
  <c r="AC422" i="2"/>
  <c r="AB422" i="2"/>
  <c r="AA422" i="2"/>
  <c r="Z422" i="2"/>
  <c r="Y422" i="2"/>
  <c r="X422" i="2"/>
  <c r="W422" i="2"/>
  <c r="V422" i="2"/>
  <c r="AE421" i="2"/>
  <c r="AD421" i="2"/>
  <c r="AC421" i="2"/>
  <c r="AB421" i="2"/>
  <c r="AA421" i="2"/>
  <c r="Z421" i="2"/>
  <c r="Y421" i="2"/>
  <c r="X421" i="2"/>
  <c r="W421" i="2"/>
  <c r="V421" i="2"/>
  <c r="AE420" i="2"/>
  <c r="AD420" i="2"/>
  <c r="AC420" i="2"/>
  <c r="AB420" i="2"/>
  <c r="AA420" i="2"/>
  <c r="Z420" i="2"/>
  <c r="Y420" i="2"/>
  <c r="X420" i="2"/>
  <c r="W420" i="2"/>
  <c r="V420" i="2"/>
  <c r="AE419" i="2"/>
  <c r="AD419" i="2"/>
  <c r="AC419" i="2"/>
  <c r="AB419" i="2"/>
  <c r="AA419" i="2"/>
  <c r="Z419" i="2"/>
  <c r="Y419" i="2"/>
  <c r="X419" i="2"/>
  <c r="W419" i="2"/>
  <c r="V419" i="2"/>
  <c r="AE418" i="2"/>
  <c r="AD418" i="2"/>
  <c r="AC418" i="2"/>
  <c r="AB418" i="2"/>
  <c r="AA418" i="2"/>
  <c r="Z418" i="2"/>
  <c r="Y418" i="2"/>
  <c r="X418" i="2"/>
  <c r="W418" i="2"/>
  <c r="V418" i="2"/>
  <c r="AE417" i="2"/>
  <c r="AD417" i="2"/>
  <c r="AC417" i="2"/>
  <c r="AB417" i="2"/>
  <c r="AA417" i="2"/>
  <c r="Z417" i="2"/>
  <c r="Y417" i="2"/>
  <c r="X417" i="2"/>
  <c r="W417" i="2"/>
  <c r="V417" i="2"/>
  <c r="AE416" i="2"/>
  <c r="AD416" i="2"/>
  <c r="AC416" i="2"/>
  <c r="AB416" i="2"/>
  <c r="AA416" i="2"/>
  <c r="Z416" i="2"/>
  <c r="Y416" i="2"/>
  <c r="X416" i="2"/>
  <c r="W416" i="2"/>
  <c r="V416" i="2"/>
  <c r="AE415" i="2"/>
  <c r="AD415" i="2"/>
  <c r="AC415" i="2"/>
  <c r="AB415" i="2"/>
  <c r="AA415" i="2"/>
  <c r="Z415" i="2"/>
  <c r="Y415" i="2"/>
  <c r="X415" i="2"/>
  <c r="W415" i="2"/>
  <c r="V415" i="2"/>
  <c r="AE414" i="2"/>
  <c r="AD414" i="2"/>
  <c r="AC414" i="2"/>
  <c r="AB414" i="2"/>
  <c r="AA414" i="2"/>
  <c r="Z414" i="2"/>
  <c r="Y414" i="2"/>
  <c r="X414" i="2"/>
  <c r="W414" i="2"/>
  <c r="V414" i="2"/>
  <c r="AE413" i="2"/>
  <c r="AD413" i="2"/>
  <c r="AC413" i="2"/>
  <c r="AB413" i="2"/>
  <c r="AA413" i="2"/>
  <c r="Z413" i="2"/>
  <c r="Y413" i="2"/>
  <c r="X413" i="2"/>
  <c r="W413" i="2"/>
  <c r="V413" i="2"/>
  <c r="AE412" i="2"/>
  <c r="AD412" i="2"/>
  <c r="AC412" i="2"/>
  <c r="AB412" i="2"/>
  <c r="AA412" i="2"/>
  <c r="Z412" i="2"/>
  <c r="Y412" i="2"/>
  <c r="X412" i="2"/>
  <c r="W412" i="2"/>
  <c r="V412" i="2"/>
  <c r="AE411" i="2"/>
  <c r="AD411" i="2"/>
  <c r="AC411" i="2"/>
  <c r="AB411" i="2"/>
  <c r="AA411" i="2"/>
  <c r="Z411" i="2"/>
  <c r="Y411" i="2"/>
  <c r="X411" i="2"/>
  <c r="W411" i="2"/>
  <c r="V411" i="2"/>
  <c r="AE410" i="2"/>
  <c r="AD410" i="2"/>
  <c r="AC410" i="2"/>
  <c r="AB410" i="2"/>
  <c r="AA410" i="2"/>
  <c r="Z410" i="2"/>
  <c r="Y410" i="2"/>
  <c r="X410" i="2"/>
  <c r="W410" i="2"/>
  <c r="V410" i="2"/>
  <c r="AE409" i="2"/>
  <c r="AD409" i="2"/>
  <c r="AC409" i="2"/>
  <c r="AB409" i="2"/>
  <c r="AA409" i="2"/>
  <c r="Z409" i="2"/>
  <c r="Y409" i="2"/>
  <c r="X409" i="2"/>
  <c r="W409" i="2"/>
  <c r="V409" i="2"/>
  <c r="AE408" i="2"/>
  <c r="AD408" i="2"/>
  <c r="AC408" i="2"/>
  <c r="AB408" i="2"/>
  <c r="AA408" i="2"/>
  <c r="Z408" i="2"/>
  <c r="Y408" i="2"/>
  <c r="X408" i="2"/>
  <c r="W408" i="2"/>
  <c r="V408" i="2"/>
  <c r="AE407" i="2"/>
  <c r="AD407" i="2"/>
  <c r="AC407" i="2"/>
  <c r="AB407" i="2"/>
  <c r="AA407" i="2"/>
  <c r="Z407" i="2"/>
  <c r="Y407" i="2"/>
  <c r="X407" i="2"/>
  <c r="W407" i="2"/>
  <c r="V407" i="2"/>
  <c r="AE406" i="2"/>
  <c r="AD406" i="2"/>
  <c r="AC406" i="2"/>
  <c r="AB406" i="2"/>
  <c r="AA406" i="2"/>
  <c r="Z406" i="2"/>
  <c r="Y406" i="2"/>
  <c r="X406" i="2"/>
  <c r="W406" i="2"/>
  <c r="V406" i="2"/>
  <c r="AE405" i="2"/>
  <c r="AD405" i="2"/>
  <c r="AC405" i="2"/>
  <c r="AB405" i="2"/>
  <c r="AA405" i="2"/>
  <c r="Z405" i="2"/>
  <c r="Y405" i="2"/>
  <c r="X405" i="2"/>
  <c r="W405" i="2"/>
  <c r="V405" i="2"/>
  <c r="AE404" i="2"/>
  <c r="AD404" i="2"/>
  <c r="AC404" i="2"/>
  <c r="AB404" i="2"/>
  <c r="AA404" i="2"/>
  <c r="Z404" i="2"/>
  <c r="Y404" i="2"/>
  <c r="X404" i="2"/>
  <c r="W404" i="2"/>
  <c r="V404" i="2"/>
  <c r="AE403" i="2"/>
  <c r="AD403" i="2"/>
  <c r="AC403" i="2"/>
  <c r="AB403" i="2"/>
  <c r="AA403" i="2"/>
  <c r="Z403" i="2"/>
  <c r="Y403" i="2"/>
  <c r="X403" i="2"/>
  <c r="W403" i="2"/>
  <c r="V403" i="2"/>
  <c r="AE402" i="2"/>
  <c r="AD402" i="2"/>
  <c r="AC402" i="2"/>
  <c r="AB402" i="2"/>
  <c r="AA402" i="2"/>
  <c r="Z402" i="2"/>
  <c r="Y402" i="2"/>
  <c r="X402" i="2"/>
  <c r="W402" i="2"/>
  <c r="V402" i="2"/>
  <c r="AE401" i="2"/>
  <c r="AD401" i="2"/>
  <c r="AC401" i="2"/>
  <c r="AB401" i="2"/>
  <c r="AA401" i="2"/>
  <c r="Z401" i="2"/>
  <c r="Y401" i="2"/>
  <c r="X401" i="2"/>
  <c r="W401" i="2"/>
  <c r="V401" i="2"/>
  <c r="AE400" i="2"/>
  <c r="AD400" i="2"/>
  <c r="AC400" i="2"/>
  <c r="AB400" i="2"/>
  <c r="AA400" i="2"/>
  <c r="Z400" i="2"/>
  <c r="Y400" i="2"/>
  <c r="X400" i="2"/>
  <c r="W400" i="2"/>
  <c r="V400" i="2"/>
  <c r="AE399" i="2"/>
  <c r="AD399" i="2"/>
  <c r="AC399" i="2"/>
  <c r="AB399" i="2"/>
  <c r="AA399" i="2"/>
  <c r="Z399" i="2"/>
  <c r="Y399" i="2"/>
  <c r="X399" i="2"/>
  <c r="W399" i="2"/>
  <c r="V399" i="2"/>
  <c r="AE398" i="2"/>
  <c r="AD398" i="2"/>
  <c r="AC398" i="2"/>
  <c r="AB398" i="2"/>
  <c r="AA398" i="2"/>
  <c r="Z398" i="2"/>
  <c r="Y398" i="2"/>
  <c r="X398" i="2"/>
  <c r="W398" i="2"/>
  <c r="V398" i="2"/>
  <c r="AE397" i="2"/>
  <c r="AD397" i="2"/>
  <c r="AC397" i="2"/>
  <c r="AB397" i="2"/>
  <c r="AA397" i="2"/>
  <c r="Z397" i="2"/>
  <c r="Y397" i="2"/>
  <c r="X397" i="2"/>
  <c r="W397" i="2"/>
  <c r="V397" i="2"/>
  <c r="AE396" i="2"/>
  <c r="AD396" i="2"/>
  <c r="AC396" i="2"/>
  <c r="AB396" i="2"/>
  <c r="AA396" i="2"/>
  <c r="Z396" i="2"/>
  <c r="Y396" i="2"/>
  <c r="X396" i="2"/>
  <c r="W396" i="2"/>
  <c r="V396" i="2"/>
  <c r="AE395" i="2"/>
  <c r="AD395" i="2"/>
  <c r="AC395" i="2"/>
  <c r="AB395" i="2"/>
  <c r="AA395" i="2"/>
  <c r="Z395" i="2"/>
  <c r="Y395" i="2"/>
  <c r="X395" i="2"/>
  <c r="W395" i="2"/>
  <c r="V395" i="2"/>
  <c r="AE394" i="2"/>
  <c r="AD394" i="2"/>
  <c r="AC394" i="2"/>
  <c r="AB394" i="2"/>
  <c r="AA394" i="2"/>
  <c r="Z394" i="2"/>
  <c r="Y394" i="2"/>
  <c r="X394" i="2"/>
  <c r="W394" i="2"/>
  <c r="V394" i="2"/>
  <c r="AE393" i="2"/>
  <c r="AD393" i="2"/>
  <c r="AC393" i="2"/>
  <c r="AB393" i="2"/>
  <c r="AA393" i="2"/>
  <c r="Z393" i="2"/>
  <c r="Y393" i="2"/>
  <c r="X393" i="2"/>
  <c r="W393" i="2"/>
  <c r="V393" i="2"/>
  <c r="AE392" i="2"/>
  <c r="AD392" i="2"/>
  <c r="AC392" i="2"/>
  <c r="AB392" i="2"/>
  <c r="AA392" i="2"/>
  <c r="Z392" i="2"/>
  <c r="Y392" i="2"/>
  <c r="X392" i="2"/>
  <c r="W392" i="2"/>
  <c r="V392" i="2"/>
  <c r="AE391" i="2"/>
  <c r="AD391" i="2"/>
  <c r="AC391" i="2"/>
  <c r="AB391" i="2"/>
  <c r="AA391" i="2"/>
  <c r="Z391" i="2"/>
  <c r="Y391" i="2"/>
  <c r="X391" i="2"/>
  <c r="W391" i="2"/>
  <c r="V391" i="2"/>
  <c r="AE390" i="2"/>
  <c r="AD390" i="2"/>
  <c r="AC390" i="2"/>
  <c r="AB390" i="2"/>
  <c r="AA390" i="2"/>
  <c r="Z390" i="2"/>
  <c r="Y390" i="2"/>
  <c r="X390" i="2"/>
  <c r="W390" i="2"/>
  <c r="V390" i="2"/>
  <c r="AE389" i="2"/>
  <c r="AD389" i="2"/>
  <c r="AC389" i="2"/>
  <c r="AB389" i="2"/>
  <c r="AA389" i="2"/>
  <c r="Z389" i="2"/>
  <c r="Y389" i="2"/>
  <c r="X389" i="2"/>
  <c r="W389" i="2"/>
  <c r="V389" i="2"/>
  <c r="AE388" i="2"/>
  <c r="AD388" i="2"/>
  <c r="AC388" i="2"/>
  <c r="AB388" i="2"/>
  <c r="AA388" i="2"/>
  <c r="Z388" i="2"/>
  <c r="Y388" i="2"/>
  <c r="X388" i="2"/>
  <c r="W388" i="2"/>
  <c r="V388" i="2"/>
  <c r="AE387" i="2"/>
  <c r="AD387" i="2"/>
  <c r="AC387" i="2"/>
  <c r="AB387" i="2"/>
  <c r="AA387" i="2"/>
  <c r="Z387" i="2"/>
  <c r="Y387" i="2"/>
  <c r="X387" i="2"/>
  <c r="W387" i="2"/>
  <c r="V387" i="2"/>
  <c r="AE386" i="2"/>
  <c r="AD386" i="2"/>
  <c r="AC386" i="2"/>
  <c r="AB386" i="2"/>
  <c r="AA386" i="2"/>
  <c r="Z386" i="2"/>
  <c r="Y386" i="2"/>
  <c r="X386" i="2"/>
  <c r="W386" i="2"/>
  <c r="V386" i="2"/>
  <c r="AE385" i="2"/>
  <c r="AD385" i="2"/>
  <c r="AC385" i="2"/>
  <c r="AB385" i="2"/>
  <c r="AA385" i="2"/>
  <c r="Z385" i="2"/>
  <c r="Y385" i="2"/>
  <c r="X385" i="2"/>
  <c r="W385" i="2"/>
  <c r="V385" i="2"/>
  <c r="AE384" i="2"/>
  <c r="AD384" i="2"/>
  <c r="AC384" i="2"/>
  <c r="AB384" i="2"/>
  <c r="AA384" i="2"/>
  <c r="Z384" i="2"/>
  <c r="Y384" i="2"/>
  <c r="X384" i="2"/>
  <c r="W384" i="2"/>
  <c r="V384" i="2"/>
  <c r="AE383" i="2"/>
  <c r="AD383" i="2"/>
  <c r="AC383" i="2"/>
  <c r="AB383" i="2"/>
  <c r="AA383" i="2"/>
  <c r="Z383" i="2"/>
  <c r="Y383" i="2"/>
  <c r="X383" i="2"/>
  <c r="W383" i="2"/>
  <c r="V383" i="2"/>
  <c r="AE382" i="2"/>
  <c r="AD382" i="2"/>
  <c r="AC382" i="2"/>
  <c r="AB382" i="2"/>
  <c r="AA382" i="2"/>
  <c r="Z382" i="2"/>
  <c r="Y382" i="2"/>
  <c r="X382" i="2"/>
  <c r="W382" i="2"/>
  <c r="V382" i="2"/>
  <c r="AE381" i="2"/>
  <c r="AD381" i="2"/>
  <c r="AC381" i="2"/>
  <c r="AB381" i="2"/>
  <c r="AA381" i="2"/>
  <c r="Z381" i="2"/>
  <c r="Y381" i="2"/>
  <c r="X381" i="2"/>
  <c r="W381" i="2"/>
  <c r="V381" i="2"/>
  <c r="AE380" i="2"/>
  <c r="AD380" i="2"/>
  <c r="AC380" i="2"/>
  <c r="AB380" i="2"/>
  <c r="AA380" i="2"/>
  <c r="Z380" i="2"/>
  <c r="Y380" i="2"/>
  <c r="X380" i="2"/>
  <c r="W380" i="2"/>
  <c r="V380" i="2"/>
  <c r="AE379" i="2"/>
  <c r="AD379" i="2"/>
  <c r="AC379" i="2"/>
  <c r="AB379" i="2"/>
  <c r="AA379" i="2"/>
  <c r="Z379" i="2"/>
  <c r="Y379" i="2"/>
  <c r="X379" i="2"/>
  <c r="W379" i="2"/>
  <c r="V379" i="2"/>
  <c r="AE378" i="2"/>
  <c r="AD378" i="2"/>
  <c r="AC378" i="2"/>
  <c r="AB378" i="2"/>
  <c r="AA378" i="2"/>
  <c r="Z378" i="2"/>
  <c r="Y378" i="2"/>
  <c r="X378" i="2"/>
  <c r="W378" i="2"/>
  <c r="V378" i="2"/>
  <c r="AE377" i="2"/>
  <c r="AD377" i="2"/>
  <c r="AC377" i="2"/>
  <c r="AB377" i="2"/>
  <c r="AA377" i="2"/>
  <c r="Z377" i="2"/>
  <c r="Y377" i="2"/>
  <c r="X377" i="2"/>
  <c r="W377" i="2"/>
  <c r="V377" i="2"/>
  <c r="AE376" i="2"/>
  <c r="AD376" i="2"/>
  <c r="AC376" i="2"/>
  <c r="AB376" i="2"/>
  <c r="AA376" i="2"/>
  <c r="Z376" i="2"/>
  <c r="Y376" i="2"/>
  <c r="X376" i="2"/>
  <c r="W376" i="2"/>
  <c r="V376" i="2"/>
  <c r="AE375" i="2"/>
  <c r="AD375" i="2"/>
  <c r="AC375" i="2"/>
  <c r="AB375" i="2"/>
  <c r="AA375" i="2"/>
  <c r="Z375" i="2"/>
  <c r="Y375" i="2"/>
  <c r="X375" i="2"/>
  <c r="W375" i="2"/>
  <c r="V375" i="2"/>
  <c r="AE374" i="2"/>
  <c r="AD374" i="2"/>
  <c r="AC374" i="2"/>
  <c r="AB374" i="2"/>
  <c r="AA374" i="2"/>
  <c r="Z374" i="2"/>
  <c r="Y374" i="2"/>
  <c r="X374" i="2"/>
  <c r="W374" i="2"/>
  <c r="V374" i="2"/>
  <c r="AE373" i="2"/>
  <c r="AD373" i="2"/>
  <c r="AC373" i="2"/>
  <c r="AB373" i="2"/>
  <c r="AA373" i="2"/>
  <c r="Z373" i="2"/>
  <c r="Y373" i="2"/>
  <c r="X373" i="2"/>
  <c r="W373" i="2"/>
  <c r="V373" i="2"/>
  <c r="AE372" i="2"/>
  <c r="AD372" i="2"/>
  <c r="AC372" i="2"/>
  <c r="AB372" i="2"/>
  <c r="AA372" i="2"/>
  <c r="Z372" i="2"/>
  <c r="Y372" i="2"/>
  <c r="X372" i="2"/>
  <c r="W372" i="2"/>
  <c r="V372" i="2"/>
  <c r="AE371" i="2"/>
  <c r="AD371" i="2"/>
  <c r="AC371" i="2"/>
  <c r="AB371" i="2"/>
  <c r="AA371" i="2"/>
  <c r="Z371" i="2"/>
  <c r="Y371" i="2"/>
  <c r="X371" i="2"/>
  <c r="W371" i="2"/>
  <c r="V371" i="2"/>
  <c r="AE370" i="2"/>
  <c r="AD370" i="2"/>
  <c r="AC370" i="2"/>
  <c r="AB370" i="2"/>
  <c r="AA370" i="2"/>
  <c r="Z370" i="2"/>
  <c r="Y370" i="2"/>
  <c r="X370" i="2"/>
  <c r="W370" i="2"/>
  <c r="V370" i="2"/>
  <c r="AE369" i="2"/>
  <c r="AD369" i="2"/>
  <c r="AC369" i="2"/>
  <c r="AB369" i="2"/>
  <c r="AA369" i="2"/>
  <c r="Z369" i="2"/>
  <c r="Y369" i="2"/>
  <c r="X369" i="2"/>
  <c r="W369" i="2"/>
  <c r="V369" i="2"/>
  <c r="AE368" i="2"/>
  <c r="AD368" i="2"/>
  <c r="AC368" i="2"/>
  <c r="AB368" i="2"/>
  <c r="AA368" i="2"/>
  <c r="Z368" i="2"/>
  <c r="Y368" i="2"/>
  <c r="X368" i="2"/>
  <c r="W368" i="2"/>
  <c r="V368" i="2"/>
  <c r="AE367" i="2"/>
  <c r="AD367" i="2"/>
  <c r="AC367" i="2"/>
  <c r="AB367" i="2"/>
  <c r="AA367" i="2"/>
  <c r="Z367" i="2"/>
  <c r="Y367" i="2"/>
  <c r="X367" i="2"/>
  <c r="W367" i="2"/>
  <c r="V367" i="2"/>
  <c r="AE366" i="2"/>
  <c r="AD366" i="2"/>
  <c r="AC366" i="2"/>
  <c r="AB366" i="2"/>
  <c r="AA366" i="2"/>
  <c r="Z366" i="2"/>
  <c r="Y366" i="2"/>
  <c r="X366" i="2"/>
  <c r="W366" i="2"/>
  <c r="V366" i="2"/>
  <c r="AE365" i="2"/>
  <c r="AD365" i="2"/>
  <c r="AC365" i="2"/>
  <c r="AB365" i="2"/>
  <c r="AA365" i="2"/>
  <c r="Z365" i="2"/>
  <c r="Y365" i="2"/>
  <c r="X365" i="2"/>
  <c r="W365" i="2"/>
  <c r="V365" i="2"/>
  <c r="AE364" i="2"/>
  <c r="AD364" i="2"/>
  <c r="AC364" i="2"/>
  <c r="AB364" i="2"/>
  <c r="AA364" i="2"/>
  <c r="Z364" i="2"/>
  <c r="Y364" i="2"/>
  <c r="X364" i="2"/>
  <c r="W364" i="2"/>
  <c r="V364" i="2"/>
  <c r="AE363" i="2"/>
  <c r="AD363" i="2"/>
  <c r="AC363" i="2"/>
  <c r="AB363" i="2"/>
  <c r="AA363" i="2"/>
  <c r="Z363" i="2"/>
  <c r="Y363" i="2"/>
  <c r="X363" i="2"/>
  <c r="W363" i="2"/>
  <c r="V363" i="2"/>
  <c r="AE362" i="2"/>
  <c r="AD362" i="2"/>
  <c r="AC362" i="2"/>
  <c r="AB362" i="2"/>
  <c r="AA362" i="2"/>
  <c r="Z362" i="2"/>
  <c r="Y362" i="2"/>
  <c r="X362" i="2"/>
  <c r="W362" i="2"/>
  <c r="V362" i="2"/>
  <c r="AE361" i="2"/>
  <c r="AD361" i="2"/>
  <c r="AC361" i="2"/>
  <c r="AB361" i="2"/>
  <c r="AA361" i="2"/>
  <c r="Z361" i="2"/>
  <c r="Y361" i="2"/>
  <c r="X361" i="2"/>
  <c r="W361" i="2"/>
  <c r="V361" i="2"/>
  <c r="AE360" i="2"/>
  <c r="AD360" i="2"/>
  <c r="AC360" i="2"/>
  <c r="AB360" i="2"/>
  <c r="AA360" i="2"/>
  <c r="Z360" i="2"/>
  <c r="Y360" i="2"/>
  <c r="X360" i="2"/>
  <c r="W360" i="2"/>
  <c r="V360" i="2"/>
  <c r="AE359" i="2"/>
  <c r="AD359" i="2"/>
  <c r="AC359" i="2"/>
  <c r="AB359" i="2"/>
  <c r="AA359" i="2"/>
  <c r="Z359" i="2"/>
  <c r="Y359" i="2"/>
  <c r="X359" i="2"/>
  <c r="W359" i="2"/>
  <c r="V359" i="2"/>
  <c r="AE358" i="2"/>
  <c r="AD358" i="2"/>
  <c r="AC358" i="2"/>
  <c r="AB358" i="2"/>
  <c r="AA358" i="2"/>
  <c r="Z358" i="2"/>
  <c r="Y358" i="2"/>
  <c r="X358" i="2"/>
  <c r="W358" i="2"/>
  <c r="V358" i="2"/>
  <c r="AE357" i="2"/>
  <c r="AD357" i="2"/>
  <c r="AC357" i="2"/>
  <c r="AB357" i="2"/>
  <c r="AA357" i="2"/>
  <c r="Z357" i="2"/>
  <c r="Y357" i="2"/>
  <c r="X357" i="2"/>
  <c r="W357" i="2"/>
  <c r="V357" i="2"/>
  <c r="AE356" i="2"/>
  <c r="AD356" i="2"/>
  <c r="AC356" i="2"/>
  <c r="AB356" i="2"/>
  <c r="AA356" i="2"/>
  <c r="Z356" i="2"/>
  <c r="Y356" i="2"/>
  <c r="X356" i="2"/>
  <c r="W356" i="2"/>
  <c r="V356" i="2"/>
  <c r="AE355" i="2"/>
  <c r="AD355" i="2"/>
  <c r="AC355" i="2"/>
  <c r="AB355" i="2"/>
  <c r="AA355" i="2"/>
  <c r="Z355" i="2"/>
  <c r="Y355" i="2"/>
  <c r="X355" i="2"/>
  <c r="W355" i="2"/>
  <c r="V355" i="2"/>
  <c r="AE354" i="2"/>
  <c r="AD354" i="2"/>
  <c r="AC354" i="2"/>
  <c r="AB354" i="2"/>
  <c r="AA354" i="2"/>
  <c r="Z354" i="2"/>
  <c r="Y354" i="2"/>
  <c r="X354" i="2"/>
  <c r="W354" i="2"/>
  <c r="V354" i="2"/>
  <c r="AE353" i="2"/>
  <c r="AD353" i="2"/>
  <c r="AC353" i="2"/>
  <c r="AB353" i="2"/>
  <c r="AA353" i="2"/>
  <c r="Z353" i="2"/>
  <c r="Y353" i="2"/>
  <c r="X353" i="2"/>
  <c r="W353" i="2"/>
  <c r="V353" i="2"/>
  <c r="AE352" i="2"/>
  <c r="AD352" i="2"/>
  <c r="AC352" i="2"/>
  <c r="AB352" i="2"/>
  <c r="AA352" i="2"/>
  <c r="Z352" i="2"/>
  <c r="Y352" i="2"/>
  <c r="X352" i="2"/>
  <c r="W352" i="2"/>
  <c r="V352" i="2"/>
  <c r="AE351" i="2"/>
  <c r="AD351" i="2"/>
  <c r="AC351" i="2"/>
  <c r="AB351" i="2"/>
  <c r="AA351" i="2"/>
  <c r="Z351" i="2"/>
  <c r="Y351" i="2"/>
  <c r="X351" i="2"/>
  <c r="W351" i="2"/>
  <c r="V351" i="2"/>
  <c r="AE350" i="2"/>
  <c r="AD350" i="2"/>
  <c r="AC350" i="2"/>
  <c r="AB350" i="2"/>
  <c r="AA350" i="2"/>
  <c r="Z350" i="2"/>
  <c r="Y350" i="2"/>
  <c r="X350" i="2"/>
  <c r="W350" i="2"/>
  <c r="V350" i="2"/>
  <c r="AE349" i="2"/>
  <c r="AD349" i="2"/>
  <c r="AC349" i="2"/>
  <c r="AB349" i="2"/>
  <c r="AA349" i="2"/>
  <c r="Z349" i="2"/>
  <c r="Y349" i="2"/>
  <c r="X349" i="2"/>
  <c r="W349" i="2"/>
  <c r="V349" i="2"/>
  <c r="AE348" i="2"/>
  <c r="AD348" i="2"/>
  <c r="AC348" i="2"/>
  <c r="AB348" i="2"/>
  <c r="AA348" i="2"/>
  <c r="Z348" i="2"/>
  <c r="Y348" i="2"/>
  <c r="X348" i="2"/>
  <c r="W348" i="2"/>
  <c r="V348" i="2"/>
  <c r="AE347" i="2"/>
  <c r="AD347" i="2"/>
  <c r="AC347" i="2"/>
  <c r="AB347" i="2"/>
  <c r="AA347" i="2"/>
  <c r="Z347" i="2"/>
  <c r="Y347" i="2"/>
  <c r="X347" i="2"/>
  <c r="W347" i="2"/>
  <c r="V347" i="2"/>
  <c r="AE346" i="2"/>
  <c r="AD346" i="2"/>
  <c r="AC346" i="2"/>
  <c r="AB346" i="2"/>
  <c r="AA346" i="2"/>
  <c r="Z346" i="2"/>
  <c r="Y346" i="2"/>
  <c r="X346" i="2"/>
  <c r="W346" i="2"/>
  <c r="V346" i="2"/>
  <c r="AE345" i="2"/>
  <c r="AD345" i="2"/>
  <c r="AC345" i="2"/>
  <c r="AB345" i="2"/>
  <c r="AA345" i="2"/>
  <c r="Z345" i="2"/>
  <c r="Y345" i="2"/>
  <c r="X345" i="2"/>
  <c r="W345" i="2"/>
  <c r="V345" i="2"/>
  <c r="AE344" i="2"/>
  <c r="AD344" i="2"/>
  <c r="AC344" i="2"/>
  <c r="AB344" i="2"/>
  <c r="AA344" i="2"/>
  <c r="Z344" i="2"/>
  <c r="Y344" i="2"/>
  <c r="X344" i="2"/>
  <c r="W344" i="2"/>
  <c r="V344" i="2"/>
  <c r="AE343" i="2"/>
  <c r="AD343" i="2"/>
  <c r="AC343" i="2"/>
  <c r="AB343" i="2"/>
  <c r="AA343" i="2"/>
  <c r="Z343" i="2"/>
  <c r="Y343" i="2"/>
  <c r="X343" i="2"/>
  <c r="W343" i="2"/>
  <c r="V343" i="2"/>
  <c r="AE342" i="2"/>
  <c r="AD342" i="2"/>
  <c r="AC342" i="2"/>
  <c r="AB342" i="2"/>
  <c r="AA342" i="2"/>
  <c r="Z342" i="2"/>
  <c r="Y342" i="2"/>
  <c r="X342" i="2"/>
  <c r="W342" i="2"/>
  <c r="V342" i="2"/>
  <c r="AE341" i="2"/>
  <c r="AD341" i="2"/>
  <c r="AC341" i="2"/>
  <c r="AB341" i="2"/>
  <c r="AA341" i="2"/>
  <c r="Z341" i="2"/>
  <c r="Y341" i="2"/>
  <c r="X341" i="2"/>
  <c r="W341" i="2"/>
  <c r="V341" i="2"/>
  <c r="AE340" i="2"/>
  <c r="AD340" i="2"/>
  <c r="AC340" i="2"/>
  <c r="AB340" i="2"/>
  <c r="AA340" i="2"/>
  <c r="Z340" i="2"/>
  <c r="Y340" i="2"/>
  <c r="X340" i="2"/>
  <c r="W340" i="2"/>
  <c r="V340" i="2"/>
  <c r="AE339" i="2"/>
  <c r="AD339" i="2"/>
  <c r="AC339" i="2"/>
  <c r="AB339" i="2"/>
  <c r="AA339" i="2"/>
  <c r="Z339" i="2"/>
  <c r="Y339" i="2"/>
  <c r="X339" i="2"/>
  <c r="W339" i="2"/>
  <c r="V339" i="2"/>
  <c r="AE338" i="2"/>
  <c r="AD338" i="2"/>
  <c r="AC338" i="2"/>
  <c r="AB338" i="2"/>
  <c r="AA338" i="2"/>
  <c r="Z338" i="2"/>
  <c r="Y338" i="2"/>
  <c r="X338" i="2"/>
  <c r="W338" i="2"/>
  <c r="V338" i="2"/>
  <c r="AE337" i="2"/>
  <c r="AD337" i="2"/>
  <c r="AC337" i="2"/>
  <c r="AB337" i="2"/>
  <c r="AA337" i="2"/>
  <c r="Z337" i="2"/>
  <c r="Y337" i="2"/>
  <c r="X337" i="2"/>
  <c r="W337" i="2"/>
  <c r="V337" i="2"/>
  <c r="AE336" i="2"/>
  <c r="AD336" i="2"/>
  <c r="AC336" i="2"/>
  <c r="AB336" i="2"/>
  <c r="AA336" i="2"/>
  <c r="Z336" i="2"/>
  <c r="Y336" i="2"/>
  <c r="X336" i="2"/>
  <c r="W336" i="2"/>
  <c r="V336" i="2"/>
  <c r="AE335" i="2"/>
  <c r="AD335" i="2"/>
  <c r="AC335" i="2"/>
  <c r="AB335" i="2"/>
  <c r="AA335" i="2"/>
  <c r="Z335" i="2"/>
  <c r="Y335" i="2"/>
  <c r="X335" i="2"/>
  <c r="W335" i="2"/>
  <c r="V335" i="2"/>
  <c r="AE334" i="2"/>
  <c r="AD334" i="2"/>
  <c r="AC334" i="2"/>
  <c r="AB334" i="2"/>
  <c r="AA334" i="2"/>
  <c r="Z334" i="2"/>
  <c r="Y334" i="2"/>
  <c r="X334" i="2"/>
  <c r="W334" i="2"/>
  <c r="V334" i="2"/>
  <c r="AE333" i="2"/>
  <c r="AD333" i="2"/>
  <c r="AC333" i="2"/>
  <c r="AB333" i="2"/>
  <c r="AA333" i="2"/>
  <c r="Z333" i="2"/>
  <c r="Y333" i="2"/>
  <c r="X333" i="2"/>
  <c r="W333" i="2"/>
  <c r="V333" i="2"/>
  <c r="AE332" i="2"/>
  <c r="AD332" i="2"/>
  <c r="AC332" i="2"/>
  <c r="AB332" i="2"/>
  <c r="AA332" i="2"/>
  <c r="Z332" i="2"/>
  <c r="Y332" i="2"/>
  <c r="X332" i="2"/>
  <c r="W332" i="2"/>
  <c r="V332" i="2"/>
  <c r="AE331" i="2"/>
  <c r="AD331" i="2"/>
  <c r="AC331" i="2"/>
  <c r="AB331" i="2"/>
  <c r="AA331" i="2"/>
  <c r="Z331" i="2"/>
  <c r="Y331" i="2"/>
  <c r="X331" i="2"/>
  <c r="W331" i="2"/>
  <c r="V331" i="2"/>
  <c r="AE330" i="2"/>
  <c r="AD330" i="2"/>
  <c r="AC330" i="2"/>
  <c r="AB330" i="2"/>
  <c r="AA330" i="2"/>
  <c r="Z330" i="2"/>
  <c r="Y330" i="2"/>
  <c r="X330" i="2"/>
  <c r="W330" i="2"/>
  <c r="V330" i="2"/>
  <c r="AE329" i="2"/>
  <c r="AD329" i="2"/>
  <c r="AC329" i="2"/>
  <c r="AB329" i="2"/>
  <c r="AA329" i="2"/>
  <c r="Z329" i="2"/>
  <c r="Y329" i="2"/>
  <c r="X329" i="2"/>
  <c r="W329" i="2"/>
  <c r="V329" i="2"/>
  <c r="AE328" i="2"/>
  <c r="AD328" i="2"/>
  <c r="AC328" i="2"/>
  <c r="AB328" i="2"/>
  <c r="AA328" i="2"/>
  <c r="Z328" i="2"/>
  <c r="Y328" i="2"/>
  <c r="X328" i="2"/>
  <c r="W328" i="2"/>
  <c r="V328" i="2"/>
  <c r="AE327" i="2"/>
  <c r="AD327" i="2"/>
  <c r="AC327" i="2"/>
  <c r="AB327" i="2"/>
  <c r="AA327" i="2"/>
  <c r="Z327" i="2"/>
  <c r="Y327" i="2"/>
  <c r="X327" i="2"/>
  <c r="W327" i="2"/>
  <c r="V327" i="2"/>
  <c r="AE326" i="2"/>
  <c r="AD326" i="2"/>
  <c r="AC326" i="2"/>
  <c r="AB326" i="2"/>
  <c r="AA326" i="2"/>
  <c r="Z326" i="2"/>
  <c r="Y326" i="2"/>
  <c r="X326" i="2"/>
  <c r="W326" i="2"/>
  <c r="V326" i="2"/>
  <c r="AE325" i="2"/>
  <c r="AD325" i="2"/>
  <c r="AC325" i="2"/>
  <c r="AB325" i="2"/>
  <c r="AA325" i="2"/>
  <c r="Z325" i="2"/>
  <c r="Y325" i="2"/>
  <c r="X325" i="2"/>
  <c r="W325" i="2"/>
  <c r="V325" i="2"/>
  <c r="AE324" i="2"/>
  <c r="AD324" i="2"/>
  <c r="AC324" i="2"/>
  <c r="AB324" i="2"/>
  <c r="AA324" i="2"/>
  <c r="Z324" i="2"/>
  <c r="Y324" i="2"/>
  <c r="X324" i="2"/>
  <c r="W324" i="2"/>
  <c r="V324" i="2"/>
  <c r="AE323" i="2"/>
  <c r="AD323" i="2"/>
  <c r="AC323" i="2"/>
  <c r="AB323" i="2"/>
  <c r="AA323" i="2"/>
  <c r="Z323" i="2"/>
  <c r="Y323" i="2"/>
  <c r="X323" i="2"/>
  <c r="W323" i="2"/>
  <c r="V323" i="2"/>
  <c r="AE322" i="2"/>
  <c r="AD322" i="2"/>
  <c r="AC322" i="2"/>
  <c r="AB322" i="2"/>
  <c r="AA322" i="2"/>
  <c r="Z322" i="2"/>
  <c r="Y322" i="2"/>
  <c r="X322" i="2"/>
  <c r="W322" i="2"/>
  <c r="V322" i="2"/>
  <c r="AE321" i="2"/>
  <c r="AD321" i="2"/>
  <c r="AC321" i="2"/>
  <c r="AB321" i="2"/>
  <c r="AA321" i="2"/>
  <c r="Z321" i="2"/>
  <c r="Y321" i="2"/>
  <c r="X321" i="2"/>
  <c r="W321" i="2"/>
  <c r="V321" i="2"/>
  <c r="AE320" i="2"/>
  <c r="AD320" i="2"/>
  <c r="AC320" i="2"/>
  <c r="AB320" i="2"/>
  <c r="AA320" i="2"/>
  <c r="Z320" i="2"/>
  <c r="Y320" i="2"/>
  <c r="X320" i="2"/>
  <c r="W320" i="2"/>
  <c r="V320" i="2"/>
  <c r="AE319" i="2"/>
  <c r="AD319" i="2"/>
  <c r="AC319" i="2"/>
  <c r="AB319" i="2"/>
  <c r="AA319" i="2"/>
  <c r="Z319" i="2"/>
  <c r="Y319" i="2"/>
  <c r="X319" i="2"/>
  <c r="W319" i="2"/>
  <c r="V319" i="2"/>
  <c r="AE318" i="2"/>
  <c r="AD318" i="2"/>
  <c r="AC318" i="2"/>
  <c r="AB318" i="2"/>
  <c r="AA318" i="2"/>
  <c r="Z318" i="2"/>
  <c r="Y318" i="2"/>
  <c r="X318" i="2"/>
  <c r="W318" i="2"/>
  <c r="V318" i="2"/>
  <c r="AE317" i="2"/>
  <c r="AD317" i="2"/>
  <c r="AC317" i="2"/>
  <c r="AB317" i="2"/>
  <c r="AA317" i="2"/>
  <c r="Z317" i="2"/>
  <c r="Y317" i="2"/>
  <c r="X317" i="2"/>
  <c r="W317" i="2"/>
  <c r="V317" i="2"/>
  <c r="AE316" i="2"/>
  <c r="AD316" i="2"/>
  <c r="AC316" i="2"/>
  <c r="AB316" i="2"/>
  <c r="AA316" i="2"/>
  <c r="Z316" i="2"/>
  <c r="Y316" i="2"/>
  <c r="X316" i="2"/>
  <c r="W316" i="2"/>
  <c r="V316" i="2"/>
  <c r="AE315" i="2"/>
  <c r="AD315" i="2"/>
  <c r="AC315" i="2"/>
  <c r="AB315" i="2"/>
  <c r="AA315" i="2"/>
  <c r="Z315" i="2"/>
  <c r="Y315" i="2"/>
  <c r="X315" i="2"/>
  <c r="W315" i="2"/>
  <c r="V315" i="2"/>
  <c r="AE314" i="2"/>
  <c r="AD314" i="2"/>
  <c r="AC314" i="2"/>
  <c r="AB314" i="2"/>
  <c r="AA314" i="2"/>
  <c r="Z314" i="2"/>
  <c r="Y314" i="2"/>
  <c r="X314" i="2"/>
  <c r="W314" i="2"/>
  <c r="V314" i="2"/>
  <c r="AE313" i="2"/>
  <c r="AD313" i="2"/>
  <c r="AC313" i="2"/>
  <c r="AB313" i="2"/>
  <c r="AA313" i="2"/>
  <c r="Z313" i="2"/>
  <c r="Y313" i="2"/>
  <c r="X313" i="2"/>
  <c r="W313" i="2"/>
  <c r="V313" i="2"/>
  <c r="AE312" i="2"/>
  <c r="AD312" i="2"/>
  <c r="AC312" i="2"/>
  <c r="AB312" i="2"/>
  <c r="AA312" i="2"/>
  <c r="Z312" i="2"/>
  <c r="Y312" i="2"/>
  <c r="X312" i="2"/>
  <c r="W312" i="2"/>
  <c r="V312" i="2"/>
  <c r="AE311" i="2"/>
  <c r="AD311" i="2"/>
  <c r="AC311" i="2"/>
  <c r="AB311" i="2"/>
  <c r="AA311" i="2"/>
  <c r="Z311" i="2"/>
  <c r="Y311" i="2"/>
  <c r="X311" i="2"/>
  <c r="W311" i="2"/>
  <c r="V311" i="2"/>
  <c r="AE310" i="2"/>
  <c r="AD310" i="2"/>
  <c r="AC310" i="2"/>
  <c r="AB310" i="2"/>
  <c r="AA310" i="2"/>
  <c r="Z310" i="2"/>
  <c r="Y310" i="2"/>
  <c r="X310" i="2"/>
  <c r="W310" i="2"/>
  <c r="V310" i="2"/>
  <c r="AE309" i="2"/>
  <c r="AD309" i="2"/>
  <c r="AC309" i="2"/>
  <c r="AB309" i="2"/>
  <c r="AA309" i="2"/>
  <c r="Z309" i="2"/>
  <c r="Y309" i="2"/>
  <c r="X309" i="2"/>
  <c r="W309" i="2"/>
  <c r="V309" i="2"/>
  <c r="AE308" i="2"/>
  <c r="AD308" i="2"/>
  <c r="AC308" i="2"/>
  <c r="AB308" i="2"/>
  <c r="AA308" i="2"/>
  <c r="Z308" i="2"/>
  <c r="Y308" i="2"/>
  <c r="X308" i="2"/>
  <c r="W308" i="2"/>
  <c r="V308" i="2"/>
  <c r="AE307" i="2"/>
  <c r="AD307" i="2"/>
  <c r="AC307" i="2"/>
  <c r="AB307" i="2"/>
  <c r="AA307" i="2"/>
  <c r="Z307" i="2"/>
  <c r="Y307" i="2"/>
  <c r="X307" i="2"/>
  <c r="W307" i="2"/>
  <c r="V307" i="2"/>
  <c r="AE306" i="2"/>
  <c r="AD306" i="2"/>
  <c r="AC306" i="2"/>
  <c r="AB306" i="2"/>
  <c r="AA306" i="2"/>
  <c r="Z306" i="2"/>
  <c r="Y306" i="2"/>
  <c r="X306" i="2"/>
  <c r="W306" i="2"/>
  <c r="V306" i="2"/>
  <c r="AE305" i="2"/>
  <c r="AD305" i="2"/>
  <c r="AC305" i="2"/>
  <c r="AB305" i="2"/>
  <c r="AA305" i="2"/>
  <c r="Z305" i="2"/>
  <c r="Y305" i="2"/>
  <c r="X305" i="2"/>
  <c r="W305" i="2"/>
  <c r="V305" i="2"/>
  <c r="AE304" i="2"/>
  <c r="AD304" i="2"/>
  <c r="AC304" i="2"/>
  <c r="AB304" i="2"/>
  <c r="AA304" i="2"/>
  <c r="Z304" i="2"/>
  <c r="Y304" i="2"/>
  <c r="X304" i="2"/>
  <c r="W304" i="2"/>
  <c r="V304" i="2"/>
  <c r="AE303" i="2"/>
  <c r="AD303" i="2"/>
  <c r="AC303" i="2"/>
  <c r="AB303" i="2"/>
  <c r="AA303" i="2"/>
  <c r="Z303" i="2"/>
  <c r="Y303" i="2"/>
  <c r="X303" i="2"/>
  <c r="W303" i="2"/>
  <c r="V303" i="2"/>
  <c r="AE302" i="2"/>
  <c r="AD302" i="2"/>
  <c r="AC302" i="2"/>
  <c r="AB302" i="2"/>
  <c r="AA302" i="2"/>
  <c r="Z302" i="2"/>
  <c r="Y302" i="2"/>
  <c r="X302" i="2"/>
  <c r="W302" i="2"/>
  <c r="V302" i="2"/>
  <c r="AE301" i="2"/>
  <c r="AD301" i="2"/>
  <c r="AC301" i="2"/>
  <c r="AB301" i="2"/>
  <c r="AA301" i="2"/>
  <c r="Z301" i="2"/>
  <c r="Y301" i="2"/>
  <c r="X301" i="2"/>
  <c r="W301" i="2"/>
  <c r="V301" i="2"/>
  <c r="AE300" i="2"/>
  <c r="AD300" i="2"/>
  <c r="AC300" i="2"/>
  <c r="AB300" i="2"/>
  <c r="AA300" i="2"/>
  <c r="Z300" i="2"/>
  <c r="Y300" i="2"/>
  <c r="X300" i="2"/>
  <c r="W300" i="2"/>
  <c r="V300" i="2"/>
  <c r="AE299" i="2"/>
  <c r="AD299" i="2"/>
  <c r="AC299" i="2"/>
  <c r="AB299" i="2"/>
  <c r="AA299" i="2"/>
  <c r="Z299" i="2"/>
  <c r="Y299" i="2"/>
  <c r="X299" i="2"/>
  <c r="W299" i="2"/>
  <c r="V299" i="2"/>
  <c r="AE298" i="2"/>
  <c r="AD298" i="2"/>
  <c r="AC298" i="2"/>
  <c r="AB298" i="2"/>
  <c r="AA298" i="2"/>
  <c r="Z298" i="2"/>
  <c r="Y298" i="2"/>
  <c r="X298" i="2"/>
  <c r="W298" i="2"/>
  <c r="V298" i="2"/>
  <c r="AE297" i="2"/>
  <c r="AD297" i="2"/>
  <c r="AC297" i="2"/>
  <c r="AB297" i="2"/>
  <c r="AA297" i="2"/>
  <c r="Z297" i="2"/>
  <c r="Y297" i="2"/>
  <c r="X297" i="2"/>
  <c r="W297" i="2"/>
  <c r="V297" i="2"/>
  <c r="AE296" i="2"/>
  <c r="AD296" i="2"/>
  <c r="AC296" i="2"/>
  <c r="AB296" i="2"/>
  <c r="AA296" i="2"/>
  <c r="Z296" i="2"/>
  <c r="Y296" i="2"/>
  <c r="X296" i="2"/>
  <c r="W296" i="2"/>
  <c r="V296" i="2"/>
  <c r="AE295" i="2"/>
  <c r="AD295" i="2"/>
  <c r="AC295" i="2"/>
  <c r="AB295" i="2"/>
  <c r="AA295" i="2"/>
  <c r="Z295" i="2"/>
  <c r="Y295" i="2"/>
  <c r="X295" i="2"/>
  <c r="W295" i="2"/>
  <c r="V295" i="2"/>
  <c r="AE294" i="2"/>
  <c r="AD294" i="2"/>
  <c r="AC294" i="2"/>
  <c r="AB294" i="2"/>
  <c r="AA294" i="2"/>
  <c r="Z294" i="2"/>
  <c r="Y294" i="2"/>
  <c r="X294" i="2"/>
  <c r="W294" i="2"/>
  <c r="V294" i="2"/>
  <c r="AE293" i="2"/>
  <c r="AD293" i="2"/>
  <c r="AC293" i="2"/>
  <c r="AB293" i="2"/>
  <c r="AA293" i="2"/>
  <c r="Z293" i="2"/>
  <c r="Y293" i="2"/>
  <c r="X293" i="2"/>
  <c r="W293" i="2"/>
  <c r="V293" i="2"/>
  <c r="AE292" i="2"/>
  <c r="AD292" i="2"/>
  <c r="AC292" i="2"/>
  <c r="AB292" i="2"/>
  <c r="AA292" i="2"/>
  <c r="Z292" i="2"/>
  <c r="Y292" i="2"/>
  <c r="X292" i="2"/>
  <c r="W292" i="2"/>
  <c r="V292" i="2"/>
  <c r="AE291" i="2"/>
  <c r="AD291" i="2"/>
  <c r="AC291" i="2"/>
  <c r="AB291" i="2"/>
  <c r="AA291" i="2"/>
  <c r="Z291" i="2"/>
  <c r="Y291" i="2"/>
  <c r="X291" i="2"/>
  <c r="W291" i="2"/>
  <c r="V291" i="2"/>
  <c r="AE290" i="2"/>
  <c r="AD290" i="2"/>
  <c r="AC290" i="2"/>
  <c r="AB290" i="2"/>
  <c r="AA290" i="2"/>
  <c r="Z290" i="2"/>
  <c r="Y290" i="2"/>
  <c r="X290" i="2"/>
  <c r="W290" i="2"/>
  <c r="V290" i="2"/>
  <c r="AE289" i="2"/>
  <c r="AD289" i="2"/>
  <c r="AC289" i="2"/>
  <c r="AB289" i="2"/>
  <c r="AA289" i="2"/>
  <c r="Z289" i="2"/>
  <c r="Y289" i="2"/>
  <c r="X289" i="2"/>
  <c r="W289" i="2"/>
  <c r="V289" i="2"/>
  <c r="AE288" i="2"/>
  <c r="AD288" i="2"/>
  <c r="AC288" i="2"/>
  <c r="AB288" i="2"/>
  <c r="AA288" i="2"/>
  <c r="Z288" i="2"/>
  <c r="Y288" i="2"/>
  <c r="X288" i="2"/>
  <c r="W288" i="2"/>
  <c r="V288" i="2"/>
  <c r="AE287" i="2"/>
  <c r="AD287" i="2"/>
  <c r="AC287" i="2"/>
  <c r="AB287" i="2"/>
  <c r="AA287" i="2"/>
  <c r="Z287" i="2"/>
  <c r="Y287" i="2"/>
  <c r="X287" i="2"/>
  <c r="W287" i="2"/>
  <c r="V287" i="2"/>
  <c r="AE286" i="2"/>
  <c r="AD286" i="2"/>
  <c r="AC286" i="2"/>
  <c r="AB286" i="2"/>
  <c r="AA286" i="2"/>
  <c r="Z286" i="2"/>
  <c r="Y286" i="2"/>
  <c r="X286" i="2"/>
  <c r="W286" i="2"/>
  <c r="V286" i="2"/>
  <c r="AE285" i="2"/>
  <c r="AD285" i="2"/>
  <c r="AC285" i="2"/>
  <c r="AB285" i="2"/>
  <c r="AA285" i="2"/>
  <c r="Z285" i="2"/>
  <c r="Y285" i="2"/>
  <c r="X285" i="2"/>
  <c r="W285" i="2"/>
  <c r="V285" i="2"/>
  <c r="AE284" i="2"/>
  <c r="AD284" i="2"/>
  <c r="AC284" i="2"/>
  <c r="AB284" i="2"/>
  <c r="AA284" i="2"/>
  <c r="Z284" i="2"/>
  <c r="Y284" i="2"/>
  <c r="X284" i="2"/>
  <c r="W284" i="2"/>
  <c r="V284" i="2"/>
  <c r="AE283" i="2"/>
  <c r="AD283" i="2"/>
  <c r="AC283" i="2"/>
  <c r="AB283" i="2"/>
  <c r="AA283" i="2"/>
  <c r="Z283" i="2"/>
  <c r="Y283" i="2"/>
  <c r="X283" i="2"/>
  <c r="W283" i="2"/>
  <c r="V283" i="2"/>
  <c r="AE282" i="2"/>
  <c r="AD282" i="2"/>
  <c r="AC282" i="2"/>
  <c r="AB282" i="2"/>
  <c r="AA282" i="2"/>
  <c r="Z282" i="2"/>
  <c r="Y282" i="2"/>
  <c r="X282" i="2"/>
  <c r="W282" i="2"/>
  <c r="V282" i="2"/>
  <c r="AE281" i="2"/>
  <c r="AD281" i="2"/>
  <c r="AC281" i="2"/>
  <c r="AB281" i="2"/>
  <c r="AA281" i="2"/>
  <c r="Z281" i="2"/>
  <c r="Y281" i="2"/>
  <c r="X281" i="2"/>
  <c r="W281" i="2"/>
  <c r="V281" i="2"/>
  <c r="AE280" i="2"/>
  <c r="AD280" i="2"/>
  <c r="AC280" i="2"/>
  <c r="AB280" i="2"/>
  <c r="AA280" i="2"/>
  <c r="Z280" i="2"/>
  <c r="Y280" i="2"/>
  <c r="X280" i="2"/>
  <c r="W280" i="2"/>
  <c r="V280" i="2"/>
  <c r="AE279" i="2"/>
  <c r="AD279" i="2"/>
  <c r="AC279" i="2"/>
  <c r="AB279" i="2"/>
  <c r="AA279" i="2"/>
  <c r="Z279" i="2"/>
  <c r="Y279" i="2"/>
  <c r="X279" i="2"/>
  <c r="W279" i="2"/>
  <c r="V279" i="2"/>
  <c r="AE278" i="2"/>
  <c r="AD278" i="2"/>
  <c r="AC278" i="2"/>
  <c r="AB278" i="2"/>
  <c r="AA278" i="2"/>
  <c r="Z278" i="2"/>
  <c r="Y278" i="2"/>
  <c r="X278" i="2"/>
  <c r="W278" i="2"/>
  <c r="V278" i="2"/>
  <c r="AE277" i="2"/>
  <c r="AD277" i="2"/>
  <c r="AC277" i="2"/>
  <c r="AB277" i="2"/>
  <c r="AA277" i="2"/>
  <c r="Z277" i="2"/>
  <c r="Y277" i="2"/>
  <c r="X277" i="2"/>
  <c r="W277" i="2"/>
  <c r="V277" i="2"/>
  <c r="AE276" i="2"/>
  <c r="AD276" i="2"/>
  <c r="AC276" i="2"/>
  <c r="AB276" i="2"/>
  <c r="AA276" i="2"/>
  <c r="Z276" i="2"/>
  <c r="Y276" i="2"/>
  <c r="X276" i="2"/>
  <c r="W276" i="2"/>
  <c r="V276" i="2"/>
  <c r="AE275" i="2"/>
  <c r="AD275" i="2"/>
  <c r="AC275" i="2"/>
  <c r="AB275" i="2"/>
  <c r="AA275" i="2"/>
  <c r="Z275" i="2"/>
  <c r="Y275" i="2"/>
  <c r="X275" i="2"/>
  <c r="W275" i="2"/>
  <c r="V275" i="2"/>
  <c r="AE274" i="2"/>
  <c r="AD274" i="2"/>
  <c r="AC274" i="2"/>
  <c r="AB274" i="2"/>
  <c r="AA274" i="2"/>
  <c r="Z274" i="2"/>
  <c r="Y274" i="2"/>
  <c r="X274" i="2"/>
  <c r="W274" i="2"/>
  <c r="V274" i="2"/>
  <c r="AE273" i="2"/>
  <c r="AD273" i="2"/>
  <c r="AC273" i="2"/>
  <c r="AB273" i="2"/>
  <c r="AA273" i="2"/>
  <c r="Z273" i="2"/>
  <c r="Y273" i="2"/>
  <c r="X273" i="2"/>
  <c r="W273" i="2"/>
  <c r="V273" i="2"/>
  <c r="AE272" i="2"/>
  <c r="AD272" i="2"/>
  <c r="AC272" i="2"/>
  <c r="AB272" i="2"/>
  <c r="AA272" i="2"/>
  <c r="Z272" i="2"/>
  <c r="Y272" i="2"/>
  <c r="X272" i="2"/>
  <c r="W272" i="2"/>
  <c r="V272" i="2"/>
  <c r="AE271" i="2"/>
  <c r="AD271" i="2"/>
  <c r="AC271" i="2"/>
  <c r="AB271" i="2"/>
  <c r="AA271" i="2"/>
  <c r="Z271" i="2"/>
  <c r="Y271" i="2"/>
  <c r="X271" i="2"/>
  <c r="W271" i="2"/>
  <c r="V271" i="2"/>
  <c r="AE270" i="2"/>
  <c r="AD270" i="2"/>
  <c r="AC270" i="2"/>
  <c r="AB270" i="2"/>
  <c r="AA270" i="2"/>
  <c r="Z270" i="2"/>
  <c r="Y270" i="2"/>
  <c r="X270" i="2"/>
  <c r="W270" i="2"/>
  <c r="V270" i="2"/>
  <c r="AE269" i="2"/>
  <c r="AD269" i="2"/>
  <c r="AC269" i="2"/>
  <c r="AB269" i="2"/>
  <c r="AA269" i="2"/>
  <c r="Z269" i="2"/>
  <c r="Y269" i="2"/>
  <c r="X269" i="2"/>
  <c r="W269" i="2"/>
  <c r="V269" i="2"/>
  <c r="AE268" i="2"/>
  <c r="AD268" i="2"/>
  <c r="AC268" i="2"/>
  <c r="AB268" i="2"/>
  <c r="AA268" i="2"/>
  <c r="Z268" i="2"/>
  <c r="Y268" i="2"/>
  <c r="X268" i="2"/>
  <c r="W268" i="2"/>
  <c r="V268" i="2"/>
  <c r="AE267" i="2"/>
  <c r="AD267" i="2"/>
  <c r="AC267" i="2"/>
  <c r="AB267" i="2"/>
  <c r="AA267" i="2"/>
  <c r="Z267" i="2"/>
  <c r="Y267" i="2"/>
  <c r="X267" i="2"/>
  <c r="W267" i="2"/>
  <c r="V267" i="2"/>
  <c r="AE266" i="2"/>
  <c r="AD266" i="2"/>
  <c r="AC266" i="2"/>
  <c r="AB266" i="2"/>
  <c r="AA266" i="2"/>
  <c r="Z266" i="2"/>
  <c r="Y266" i="2"/>
  <c r="X266" i="2"/>
  <c r="W266" i="2"/>
  <c r="V266" i="2"/>
  <c r="AE265" i="2"/>
  <c r="AD265" i="2"/>
  <c r="AC265" i="2"/>
  <c r="AB265" i="2"/>
  <c r="AA265" i="2"/>
  <c r="Z265" i="2"/>
  <c r="Y265" i="2"/>
  <c r="X265" i="2"/>
  <c r="W265" i="2"/>
  <c r="V265" i="2"/>
  <c r="AE264" i="2"/>
  <c r="AD264" i="2"/>
  <c r="AC264" i="2"/>
  <c r="AB264" i="2"/>
  <c r="AA264" i="2"/>
  <c r="Z264" i="2"/>
  <c r="Y264" i="2"/>
  <c r="X264" i="2"/>
  <c r="W264" i="2"/>
  <c r="V264" i="2"/>
  <c r="AE263" i="2"/>
  <c r="AD263" i="2"/>
  <c r="AC263" i="2"/>
  <c r="AB263" i="2"/>
  <c r="AA263" i="2"/>
  <c r="Z263" i="2"/>
  <c r="Y263" i="2"/>
  <c r="X263" i="2"/>
  <c r="W263" i="2"/>
  <c r="V263" i="2"/>
  <c r="AE262" i="2"/>
  <c r="AD262" i="2"/>
  <c r="AC262" i="2"/>
  <c r="AB262" i="2"/>
  <c r="AA262" i="2"/>
  <c r="Z262" i="2"/>
  <c r="Y262" i="2"/>
  <c r="X262" i="2"/>
  <c r="W262" i="2"/>
  <c r="V262" i="2"/>
  <c r="AE261" i="2"/>
  <c r="AD261" i="2"/>
  <c r="AC261" i="2"/>
  <c r="AB261" i="2"/>
  <c r="AA261" i="2"/>
  <c r="Z261" i="2"/>
  <c r="Y261" i="2"/>
  <c r="X261" i="2"/>
  <c r="W261" i="2"/>
  <c r="V261" i="2"/>
  <c r="AE260" i="2"/>
  <c r="AD260" i="2"/>
  <c r="AC260" i="2"/>
  <c r="AB260" i="2"/>
  <c r="AA260" i="2"/>
  <c r="Z260" i="2"/>
  <c r="Y260" i="2"/>
  <c r="X260" i="2"/>
  <c r="W260" i="2"/>
  <c r="V260" i="2"/>
  <c r="AE259" i="2"/>
  <c r="AD259" i="2"/>
  <c r="AC259" i="2"/>
  <c r="AB259" i="2"/>
  <c r="AA259" i="2"/>
  <c r="Z259" i="2"/>
  <c r="Y259" i="2"/>
  <c r="X259" i="2"/>
  <c r="W259" i="2"/>
  <c r="V259" i="2"/>
  <c r="AE258" i="2"/>
  <c r="AD258" i="2"/>
  <c r="AC258" i="2"/>
  <c r="AB258" i="2"/>
  <c r="AA258" i="2"/>
  <c r="Z258" i="2"/>
  <c r="Y258" i="2"/>
  <c r="X258" i="2"/>
  <c r="W258" i="2"/>
  <c r="V258" i="2"/>
  <c r="AE257" i="2"/>
  <c r="AD257" i="2"/>
  <c r="AC257" i="2"/>
  <c r="AB257" i="2"/>
  <c r="AA257" i="2"/>
  <c r="Z257" i="2"/>
  <c r="Y257" i="2"/>
  <c r="X257" i="2"/>
  <c r="W257" i="2"/>
  <c r="V257" i="2"/>
  <c r="AE256" i="2"/>
  <c r="AD256" i="2"/>
  <c r="AC256" i="2"/>
  <c r="AB256" i="2"/>
  <c r="AA256" i="2"/>
  <c r="Z256" i="2"/>
  <c r="Y256" i="2"/>
  <c r="X256" i="2"/>
  <c r="W256" i="2"/>
  <c r="V256" i="2"/>
  <c r="AE255" i="2"/>
  <c r="AD255" i="2"/>
  <c r="AC255" i="2"/>
  <c r="AB255" i="2"/>
  <c r="AA255" i="2"/>
  <c r="Z255" i="2"/>
  <c r="Y255" i="2"/>
  <c r="X255" i="2"/>
  <c r="W255" i="2"/>
  <c r="V255" i="2"/>
  <c r="AE254" i="2"/>
  <c r="AD254" i="2"/>
  <c r="AC254" i="2"/>
  <c r="AB254" i="2"/>
  <c r="AA254" i="2"/>
  <c r="Z254" i="2"/>
  <c r="Y254" i="2"/>
  <c r="X254" i="2"/>
  <c r="W254" i="2"/>
  <c r="V254" i="2"/>
  <c r="AE253" i="2"/>
  <c r="AD253" i="2"/>
  <c r="AC253" i="2"/>
  <c r="AB253" i="2"/>
  <c r="AA253" i="2"/>
  <c r="Z253" i="2"/>
  <c r="Y253" i="2"/>
  <c r="X253" i="2"/>
  <c r="W253" i="2"/>
  <c r="V253" i="2"/>
  <c r="AE252" i="2"/>
  <c r="AD252" i="2"/>
  <c r="AC252" i="2"/>
  <c r="AB252" i="2"/>
  <c r="AA252" i="2"/>
  <c r="Z252" i="2"/>
  <c r="Y252" i="2"/>
  <c r="X252" i="2"/>
  <c r="W252" i="2"/>
  <c r="V252" i="2"/>
  <c r="AE251" i="2"/>
  <c r="AD251" i="2"/>
  <c r="AC251" i="2"/>
  <c r="AB251" i="2"/>
  <c r="AA251" i="2"/>
  <c r="Z251" i="2"/>
  <c r="Y251" i="2"/>
  <c r="X251" i="2"/>
  <c r="W251" i="2"/>
  <c r="V251" i="2"/>
  <c r="AE250" i="2"/>
  <c r="AD250" i="2"/>
  <c r="AC250" i="2"/>
  <c r="AB250" i="2"/>
  <c r="AA250" i="2"/>
  <c r="Z250" i="2"/>
  <c r="Y250" i="2"/>
  <c r="X250" i="2"/>
  <c r="W250" i="2"/>
  <c r="V250" i="2"/>
  <c r="AE249" i="2"/>
  <c r="AD249" i="2"/>
  <c r="AC249" i="2"/>
  <c r="AB249" i="2"/>
  <c r="AA249" i="2"/>
  <c r="Z249" i="2"/>
  <c r="Y249" i="2"/>
  <c r="X249" i="2"/>
  <c r="W249" i="2"/>
  <c r="V249" i="2"/>
  <c r="AE248" i="2"/>
  <c r="AD248" i="2"/>
  <c r="AC248" i="2"/>
  <c r="AB248" i="2"/>
  <c r="AA248" i="2"/>
  <c r="Z248" i="2"/>
  <c r="Y248" i="2"/>
  <c r="X248" i="2"/>
  <c r="W248" i="2"/>
  <c r="V248" i="2"/>
  <c r="AE247" i="2"/>
  <c r="AD247" i="2"/>
  <c r="AC247" i="2"/>
  <c r="AB247" i="2"/>
  <c r="AA247" i="2"/>
  <c r="Z247" i="2"/>
  <c r="Y247" i="2"/>
  <c r="X247" i="2"/>
  <c r="W247" i="2"/>
  <c r="V247" i="2"/>
  <c r="AE246" i="2"/>
  <c r="AD246" i="2"/>
  <c r="AC246" i="2"/>
  <c r="AB246" i="2"/>
  <c r="AA246" i="2"/>
  <c r="Z246" i="2"/>
  <c r="Y246" i="2"/>
  <c r="X246" i="2"/>
  <c r="W246" i="2"/>
  <c r="V246" i="2"/>
  <c r="AE245" i="2"/>
  <c r="AD245" i="2"/>
  <c r="AC245" i="2"/>
  <c r="AB245" i="2"/>
  <c r="AA245" i="2"/>
  <c r="Z245" i="2"/>
  <c r="Y245" i="2"/>
  <c r="X245" i="2"/>
  <c r="W245" i="2"/>
  <c r="V245" i="2"/>
  <c r="AE244" i="2"/>
  <c r="AD244" i="2"/>
  <c r="AC244" i="2"/>
  <c r="AB244" i="2"/>
  <c r="AA244" i="2"/>
  <c r="Z244" i="2"/>
  <c r="Y244" i="2"/>
  <c r="X244" i="2"/>
  <c r="W244" i="2"/>
  <c r="V244" i="2"/>
  <c r="AE243" i="2"/>
  <c r="AD243" i="2"/>
  <c r="AC243" i="2"/>
  <c r="AB243" i="2"/>
  <c r="AA243" i="2"/>
  <c r="Z243" i="2"/>
  <c r="Y243" i="2"/>
  <c r="X243" i="2"/>
  <c r="W243" i="2"/>
  <c r="V243" i="2"/>
  <c r="AE242" i="2"/>
  <c r="AD242" i="2"/>
  <c r="AC242" i="2"/>
  <c r="AB242" i="2"/>
  <c r="AA242" i="2"/>
  <c r="Z242" i="2"/>
  <c r="Y242" i="2"/>
  <c r="X242" i="2"/>
  <c r="W242" i="2"/>
  <c r="V242" i="2"/>
  <c r="AE241" i="2"/>
  <c r="AD241" i="2"/>
  <c r="AC241" i="2"/>
  <c r="AB241" i="2"/>
  <c r="AA241" i="2"/>
  <c r="Z241" i="2"/>
  <c r="Y241" i="2"/>
  <c r="X241" i="2"/>
  <c r="W241" i="2"/>
  <c r="V241" i="2"/>
  <c r="AE240" i="2"/>
  <c r="AD240" i="2"/>
  <c r="AC240" i="2"/>
  <c r="AB240" i="2"/>
  <c r="AA240" i="2"/>
  <c r="Z240" i="2"/>
  <c r="Y240" i="2"/>
  <c r="X240" i="2"/>
  <c r="W240" i="2"/>
  <c r="V240" i="2"/>
  <c r="AE239" i="2"/>
  <c r="AD239" i="2"/>
  <c r="AC239" i="2"/>
  <c r="AB239" i="2"/>
  <c r="AA239" i="2"/>
  <c r="Z239" i="2"/>
  <c r="Y239" i="2"/>
  <c r="X239" i="2"/>
  <c r="W239" i="2"/>
  <c r="V239" i="2"/>
  <c r="AE238" i="2"/>
  <c r="AD238" i="2"/>
  <c r="AC238" i="2"/>
  <c r="AB238" i="2"/>
  <c r="AA238" i="2"/>
  <c r="Z238" i="2"/>
  <c r="Y238" i="2"/>
  <c r="X238" i="2"/>
  <c r="W238" i="2"/>
  <c r="V238" i="2"/>
  <c r="AE237" i="2"/>
  <c r="AD237" i="2"/>
  <c r="AC237" i="2"/>
  <c r="AB237" i="2"/>
  <c r="AA237" i="2"/>
  <c r="Z237" i="2"/>
  <c r="Y237" i="2"/>
  <c r="X237" i="2"/>
  <c r="W237" i="2"/>
  <c r="V237" i="2"/>
  <c r="AE236" i="2"/>
  <c r="AD236" i="2"/>
  <c r="AC236" i="2"/>
  <c r="AB236" i="2"/>
  <c r="AA236" i="2"/>
  <c r="Z236" i="2"/>
  <c r="Y236" i="2"/>
  <c r="X236" i="2"/>
  <c r="W236" i="2"/>
  <c r="V236" i="2"/>
  <c r="AE235" i="2"/>
  <c r="AD235" i="2"/>
  <c r="AC235" i="2"/>
  <c r="AB235" i="2"/>
  <c r="AA235" i="2"/>
  <c r="Z235" i="2"/>
  <c r="Y235" i="2"/>
  <c r="X235" i="2"/>
  <c r="W235" i="2"/>
  <c r="V235" i="2"/>
  <c r="AE234" i="2"/>
  <c r="AD234" i="2"/>
  <c r="AC234" i="2"/>
  <c r="AB234" i="2"/>
  <c r="AA234" i="2"/>
  <c r="Z234" i="2"/>
  <c r="Y234" i="2"/>
  <c r="X234" i="2"/>
  <c r="W234" i="2"/>
  <c r="V234" i="2"/>
  <c r="AE233" i="2"/>
  <c r="AD233" i="2"/>
  <c r="AC233" i="2"/>
  <c r="AB233" i="2"/>
  <c r="AA233" i="2"/>
  <c r="Z233" i="2"/>
  <c r="Y233" i="2"/>
  <c r="X233" i="2"/>
  <c r="W233" i="2"/>
  <c r="V233" i="2"/>
  <c r="AE232" i="2"/>
  <c r="AD232" i="2"/>
  <c r="AC232" i="2"/>
  <c r="AB232" i="2"/>
  <c r="AA232" i="2"/>
  <c r="Z232" i="2"/>
  <c r="Y232" i="2"/>
  <c r="X232" i="2"/>
  <c r="W232" i="2"/>
  <c r="V232" i="2"/>
  <c r="AE231" i="2"/>
  <c r="AD231" i="2"/>
  <c r="AC231" i="2"/>
  <c r="AB231" i="2"/>
  <c r="AA231" i="2"/>
  <c r="Z231" i="2"/>
  <c r="Y231" i="2"/>
  <c r="X231" i="2"/>
  <c r="W231" i="2"/>
  <c r="V231" i="2"/>
  <c r="AE230" i="2"/>
  <c r="AD230" i="2"/>
  <c r="AC230" i="2"/>
  <c r="AB230" i="2"/>
  <c r="AA230" i="2"/>
  <c r="Z230" i="2"/>
  <c r="Y230" i="2"/>
  <c r="X230" i="2"/>
  <c r="W230" i="2"/>
  <c r="V230" i="2"/>
  <c r="AE229" i="2"/>
  <c r="AD229" i="2"/>
  <c r="AC229" i="2"/>
  <c r="AB229" i="2"/>
  <c r="AA229" i="2"/>
  <c r="Z229" i="2"/>
  <c r="Y229" i="2"/>
  <c r="X229" i="2"/>
  <c r="W229" i="2"/>
  <c r="V229" i="2"/>
  <c r="AE228" i="2"/>
  <c r="AD228" i="2"/>
  <c r="AC228" i="2"/>
  <c r="AB228" i="2"/>
  <c r="AA228" i="2"/>
  <c r="Z228" i="2"/>
  <c r="Y228" i="2"/>
  <c r="X228" i="2"/>
  <c r="W228" i="2"/>
  <c r="V228" i="2"/>
  <c r="AE227" i="2"/>
  <c r="AD227" i="2"/>
  <c r="AC227" i="2"/>
  <c r="AB227" i="2"/>
  <c r="AA227" i="2"/>
  <c r="Z227" i="2"/>
  <c r="Y227" i="2"/>
  <c r="X227" i="2"/>
  <c r="W227" i="2"/>
  <c r="V227" i="2"/>
  <c r="AE226" i="2"/>
  <c r="AD226" i="2"/>
  <c r="AC226" i="2"/>
  <c r="AB226" i="2"/>
  <c r="AA226" i="2"/>
  <c r="Z226" i="2"/>
  <c r="Y226" i="2"/>
  <c r="X226" i="2"/>
  <c r="W226" i="2"/>
  <c r="V226" i="2"/>
  <c r="AE225" i="2"/>
  <c r="AD225" i="2"/>
  <c r="AC225" i="2"/>
  <c r="AB225" i="2"/>
  <c r="AA225" i="2"/>
  <c r="Z225" i="2"/>
  <c r="Y225" i="2"/>
  <c r="X225" i="2"/>
  <c r="W225" i="2"/>
  <c r="V225" i="2"/>
  <c r="AE224" i="2"/>
  <c r="AD224" i="2"/>
  <c r="AC224" i="2"/>
  <c r="AB224" i="2"/>
  <c r="AA224" i="2"/>
  <c r="Z224" i="2"/>
  <c r="Y224" i="2"/>
  <c r="X224" i="2"/>
  <c r="W224" i="2"/>
  <c r="V224" i="2"/>
  <c r="AE223" i="2"/>
  <c r="AD223" i="2"/>
  <c r="AC223" i="2"/>
  <c r="AB223" i="2"/>
  <c r="AA223" i="2"/>
  <c r="Z223" i="2"/>
  <c r="Y223" i="2"/>
  <c r="X223" i="2"/>
  <c r="W223" i="2"/>
  <c r="V223" i="2"/>
  <c r="AE222" i="2"/>
  <c r="AD222" i="2"/>
  <c r="AC222" i="2"/>
  <c r="AB222" i="2"/>
  <c r="AA222" i="2"/>
  <c r="Z222" i="2"/>
  <c r="Y222" i="2"/>
  <c r="X222" i="2"/>
  <c r="W222" i="2"/>
  <c r="V222" i="2"/>
  <c r="AE221" i="2"/>
  <c r="AD221" i="2"/>
  <c r="AC221" i="2"/>
  <c r="AB221" i="2"/>
  <c r="AA221" i="2"/>
  <c r="Z221" i="2"/>
  <c r="Y221" i="2"/>
  <c r="X221" i="2"/>
  <c r="W221" i="2"/>
  <c r="V221" i="2"/>
  <c r="AE220" i="2"/>
  <c r="AD220" i="2"/>
  <c r="AC220" i="2"/>
  <c r="AB220" i="2"/>
  <c r="AA220" i="2"/>
  <c r="Z220" i="2"/>
  <c r="Y220" i="2"/>
  <c r="X220" i="2"/>
  <c r="W220" i="2"/>
  <c r="V220" i="2"/>
  <c r="AE219" i="2"/>
  <c r="AD219" i="2"/>
  <c r="AC219" i="2"/>
  <c r="AB219" i="2"/>
  <c r="AA219" i="2"/>
  <c r="Z219" i="2"/>
  <c r="Y219" i="2"/>
  <c r="X219" i="2"/>
  <c r="W219" i="2"/>
  <c r="V219" i="2"/>
  <c r="AE218" i="2"/>
  <c r="AD218" i="2"/>
  <c r="AC218" i="2"/>
  <c r="AB218" i="2"/>
  <c r="AA218" i="2"/>
  <c r="Z218" i="2"/>
  <c r="Y218" i="2"/>
  <c r="X218" i="2"/>
  <c r="W218" i="2"/>
  <c r="V218" i="2"/>
  <c r="AE217" i="2"/>
  <c r="AD217" i="2"/>
  <c r="AC217" i="2"/>
  <c r="AB217" i="2"/>
  <c r="AA217" i="2"/>
  <c r="Z217" i="2"/>
  <c r="Y217" i="2"/>
  <c r="X217" i="2"/>
  <c r="W217" i="2"/>
  <c r="V217" i="2"/>
  <c r="AE216" i="2"/>
  <c r="AD216" i="2"/>
  <c r="AC216" i="2"/>
  <c r="AB216" i="2"/>
  <c r="AA216" i="2"/>
  <c r="Z216" i="2"/>
  <c r="Y216" i="2"/>
  <c r="X216" i="2"/>
  <c r="W216" i="2"/>
  <c r="V216" i="2"/>
  <c r="AE215" i="2"/>
  <c r="AD215" i="2"/>
  <c r="AC215" i="2"/>
  <c r="AB215" i="2"/>
  <c r="AA215" i="2"/>
  <c r="Z215" i="2"/>
  <c r="Y215" i="2"/>
  <c r="X215" i="2"/>
  <c r="W215" i="2"/>
  <c r="V215" i="2"/>
  <c r="AE214" i="2"/>
  <c r="AD214" i="2"/>
  <c r="AC214" i="2"/>
  <c r="AB214" i="2"/>
  <c r="AA214" i="2"/>
  <c r="Z214" i="2"/>
  <c r="Y214" i="2"/>
  <c r="X214" i="2"/>
  <c r="W214" i="2"/>
  <c r="V214" i="2"/>
  <c r="AE213" i="2"/>
  <c r="AD213" i="2"/>
  <c r="AC213" i="2"/>
  <c r="AB213" i="2"/>
  <c r="AA213" i="2"/>
  <c r="Z213" i="2"/>
  <c r="Y213" i="2"/>
  <c r="X213" i="2"/>
  <c r="W213" i="2"/>
  <c r="V213" i="2"/>
  <c r="AE212" i="2"/>
  <c r="AD212" i="2"/>
  <c r="AC212" i="2"/>
  <c r="AB212" i="2"/>
  <c r="AA212" i="2"/>
  <c r="Z212" i="2"/>
  <c r="Y212" i="2"/>
  <c r="X212" i="2"/>
  <c r="W212" i="2"/>
  <c r="V212" i="2"/>
  <c r="AE211" i="2"/>
  <c r="AD211" i="2"/>
  <c r="AC211" i="2"/>
  <c r="AB211" i="2"/>
  <c r="AA211" i="2"/>
  <c r="Z211" i="2"/>
  <c r="Y211" i="2"/>
  <c r="X211" i="2"/>
  <c r="W211" i="2"/>
  <c r="V211" i="2"/>
  <c r="AE210" i="2"/>
  <c r="AD210" i="2"/>
  <c r="AC210" i="2"/>
  <c r="AB210" i="2"/>
  <c r="AA210" i="2"/>
  <c r="Z210" i="2"/>
  <c r="Y210" i="2"/>
  <c r="X210" i="2"/>
  <c r="W210" i="2"/>
  <c r="V210" i="2"/>
  <c r="AE209" i="2"/>
  <c r="AD209" i="2"/>
  <c r="AC209" i="2"/>
  <c r="AB209" i="2"/>
  <c r="AA209" i="2"/>
  <c r="Z209" i="2"/>
  <c r="Y209" i="2"/>
  <c r="X209" i="2"/>
  <c r="W209" i="2"/>
  <c r="V209" i="2"/>
  <c r="AE208" i="2"/>
  <c r="AD208" i="2"/>
  <c r="AC208" i="2"/>
  <c r="AB208" i="2"/>
  <c r="AA208" i="2"/>
  <c r="Z208" i="2"/>
  <c r="Y208" i="2"/>
  <c r="X208" i="2"/>
  <c r="W208" i="2"/>
  <c r="V208" i="2"/>
  <c r="AE207" i="2"/>
  <c r="AD207" i="2"/>
  <c r="AC207" i="2"/>
  <c r="AB207" i="2"/>
  <c r="AA207" i="2"/>
  <c r="Z207" i="2"/>
  <c r="Y207" i="2"/>
  <c r="X207" i="2"/>
  <c r="W207" i="2"/>
  <c r="V207" i="2"/>
  <c r="AE206" i="2"/>
  <c r="AD206" i="2"/>
  <c r="AC206" i="2"/>
  <c r="AB206" i="2"/>
  <c r="AA206" i="2"/>
  <c r="Z206" i="2"/>
  <c r="Y206" i="2"/>
  <c r="X206" i="2"/>
  <c r="W206" i="2"/>
  <c r="V206" i="2"/>
  <c r="AE205" i="2"/>
  <c r="AD205" i="2"/>
  <c r="AC205" i="2"/>
  <c r="AB205" i="2"/>
  <c r="AA205" i="2"/>
  <c r="Z205" i="2"/>
  <c r="Y205" i="2"/>
  <c r="X205" i="2"/>
  <c r="W205" i="2"/>
  <c r="V205" i="2"/>
  <c r="AE204" i="2"/>
  <c r="AD204" i="2"/>
  <c r="AC204" i="2"/>
  <c r="AB204" i="2"/>
  <c r="AA204" i="2"/>
  <c r="Z204" i="2"/>
  <c r="Y204" i="2"/>
  <c r="X204" i="2"/>
  <c r="W204" i="2"/>
  <c r="V204" i="2"/>
  <c r="AE203" i="2"/>
  <c r="AD203" i="2"/>
  <c r="AC203" i="2"/>
  <c r="AB203" i="2"/>
  <c r="AA203" i="2"/>
  <c r="Z203" i="2"/>
  <c r="Y203" i="2"/>
  <c r="X203" i="2"/>
  <c r="W203" i="2"/>
  <c r="V203" i="2"/>
  <c r="AE202" i="2"/>
  <c r="AD202" i="2"/>
  <c r="AC202" i="2"/>
  <c r="AB202" i="2"/>
  <c r="AA202" i="2"/>
  <c r="Z202" i="2"/>
  <c r="Y202" i="2"/>
  <c r="X202" i="2"/>
  <c r="W202" i="2"/>
  <c r="V202" i="2"/>
  <c r="AE201" i="2"/>
  <c r="AD201" i="2"/>
  <c r="AC201" i="2"/>
  <c r="AB201" i="2"/>
  <c r="AA201" i="2"/>
  <c r="Z201" i="2"/>
  <c r="Y201" i="2"/>
  <c r="X201" i="2"/>
  <c r="W201" i="2"/>
  <c r="V201" i="2"/>
  <c r="AE200" i="2"/>
  <c r="AD200" i="2"/>
  <c r="AC200" i="2"/>
  <c r="AB200" i="2"/>
  <c r="AA200" i="2"/>
  <c r="Z200" i="2"/>
  <c r="Y200" i="2"/>
  <c r="X200" i="2"/>
  <c r="W200" i="2"/>
  <c r="V200" i="2"/>
  <c r="AE199" i="2"/>
  <c r="AD199" i="2"/>
  <c r="AC199" i="2"/>
  <c r="AB199" i="2"/>
  <c r="AA199" i="2"/>
  <c r="Z199" i="2"/>
  <c r="Y199" i="2"/>
  <c r="X199" i="2"/>
  <c r="W199" i="2"/>
  <c r="V199" i="2"/>
  <c r="AE198" i="2"/>
  <c r="AD198" i="2"/>
  <c r="AC198" i="2"/>
  <c r="AB198" i="2"/>
  <c r="AA198" i="2"/>
  <c r="Z198" i="2"/>
  <c r="Y198" i="2"/>
  <c r="X198" i="2"/>
  <c r="W198" i="2"/>
  <c r="V198" i="2"/>
  <c r="AE197" i="2"/>
  <c r="AD197" i="2"/>
  <c r="AC197" i="2"/>
  <c r="AB197" i="2"/>
  <c r="AA197" i="2"/>
  <c r="Z197" i="2"/>
  <c r="Y197" i="2"/>
  <c r="X197" i="2"/>
  <c r="W197" i="2"/>
  <c r="V197" i="2"/>
  <c r="AE196" i="2"/>
  <c r="AD196" i="2"/>
  <c r="AC196" i="2"/>
  <c r="AB196" i="2"/>
  <c r="AA196" i="2"/>
  <c r="Z196" i="2"/>
  <c r="Y196" i="2"/>
  <c r="X196" i="2"/>
  <c r="W196" i="2"/>
  <c r="V196" i="2"/>
  <c r="AE195" i="2"/>
  <c r="AD195" i="2"/>
  <c r="AC195" i="2"/>
  <c r="AB195" i="2"/>
  <c r="AA195" i="2"/>
  <c r="Z195" i="2"/>
  <c r="Y195" i="2"/>
  <c r="X195" i="2"/>
  <c r="W195" i="2"/>
  <c r="V195" i="2"/>
  <c r="AE194" i="2"/>
  <c r="AD194" i="2"/>
  <c r="AC194" i="2"/>
  <c r="AB194" i="2"/>
  <c r="AA194" i="2"/>
  <c r="Z194" i="2"/>
  <c r="Y194" i="2"/>
  <c r="X194" i="2"/>
  <c r="W194" i="2"/>
  <c r="V194" i="2"/>
  <c r="AE193" i="2"/>
  <c r="AD193" i="2"/>
  <c r="AC193" i="2"/>
  <c r="AB193" i="2"/>
  <c r="AA193" i="2"/>
  <c r="Z193" i="2"/>
  <c r="Y193" i="2"/>
  <c r="X193" i="2"/>
  <c r="W193" i="2"/>
  <c r="V193" i="2"/>
  <c r="AE192" i="2"/>
  <c r="AD192" i="2"/>
  <c r="AC192" i="2"/>
  <c r="AB192" i="2"/>
  <c r="AA192" i="2"/>
  <c r="Z192" i="2"/>
  <c r="Y192" i="2"/>
  <c r="X192" i="2"/>
  <c r="W192" i="2"/>
  <c r="V192" i="2"/>
  <c r="AE191" i="2"/>
  <c r="AD191" i="2"/>
  <c r="AC191" i="2"/>
  <c r="AB191" i="2"/>
  <c r="AA191" i="2"/>
  <c r="Z191" i="2"/>
  <c r="Y191" i="2"/>
  <c r="X191" i="2"/>
  <c r="W191" i="2"/>
  <c r="V191" i="2"/>
  <c r="AE190" i="2"/>
  <c r="AD190" i="2"/>
  <c r="AC190" i="2"/>
  <c r="AB190" i="2"/>
  <c r="AA190" i="2"/>
  <c r="Z190" i="2"/>
  <c r="Y190" i="2"/>
  <c r="X190" i="2"/>
  <c r="W190" i="2"/>
  <c r="V190" i="2"/>
  <c r="AE189" i="2"/>
  <c r="AD189" i="2"/>
  <c r="AC189" i="2"/>
  <c r="AB189" i="2"/>
  <c r="AA189" i="2"/>
  <c r="Z189" i="2"/>
  <c r="Y189" i="2"/>
  <c r="X189" i="2"/>
  <c r="W189" i="2"/>
  <c r="V189" i="2"/>
  <c r="AE188" i="2"/>
  <c r="AD188" i="2"/>
  <c r="AC188" i="2"/>
  <c r="AB188" i="2"/>
  <c r="AA188" i="2"/>
  <c r="Z188" i="2"/>
  <c r="Y188" i="2"/>
  <c r="X188" i="2"/>
  <c r="W188" i="2"/>
  <c r="V188" i="2"/>
  <c r="AE187" i="2"/>
  <c r="AD187" i="2"/>
  <c r="AC187" i="2"/>
  <c r="AB187" i="2"/>
  <c r="AA187" i="2"/>
  <c r="Z187" i="2"/>
  <c r="Y187" i="2"/>
  <c r="X187" i="2"/>
  <c r="W187" i="2"/>
  <c r="V187" i="2"/>
  <c r="AE186" i="2"/>
  <c r="AD186" i="2"/>
  <c r="AC186" i="2"/>
  <c r="AB186" i="2"/>
  <c r="AA186" i="2"/>
  <c r="Z186" i="2"/>
  <c r="Y186" i="2"/>
  <c r="X186" i="2"/>
  <c r="W186" i="2"/>
  <c r="V186" i="2"/>
  <c r="AE185" i="2"/>
  <c r="AD185" i="2"/>
  <c r="AC185" i="2"/>
  <c r="AB185" i="2"/>
  <c r="AA185" i="2"/>
  <c r="Z185" i="2"/>
  <c r="Y185" i="2"/>
  <c r="X185" i="2"/>
  <c r="W185" i="2"/>
  <c r="V185" i="2"/>
  <c r="AE184" i="2"/>
  <c r="AD184" i="2"/>
  <c r="AC184" i="2"/>
  <c r="AB184" i="2"/>
  <c r="AA184" i="2"/>
  <c r="Z184" i="2"/>
  <c r="Y184" i="2"/>
  <c r="X184" i="2"/>
  <c r="W184" i="2"/>
  <c r="V184" i="2"/>
  <c r="AE183" i="2"/>
  <c r="AD183" i="2"/>
  <c r="AC183" i="2"/>
  <c r="AB183" i="2"/>
  <c r="AA183" i="2"/>
  <c r="Z183" i="2"/>
  <c r="Y183" i="2"/>
  <c r="X183" i="2"/>
  <c r="W183" i="2"/>
  <c r="V183" i="2"/>
  <c r="AE182" i="2"/>
  <c r="AD182" i="2"/>
  <c r="AC182" i="2"/>
  <c r="AB182" i="2"/>
  <c r="AA182" i="2"/>
  <c r="Z182" i="2"/>
  <c r="Y182" i="2"/>
  <c r="X182" i="2"/>
  <c r="W182" i="2"/>
  <c r="V182" i="2"/>
  <c r="AE181" i="2"/>
  <c r="AD181" i="2"/>
  <c r="AC181" i="2"/>
  <c r="AB181" i="2"/>
  <c r="AA181" i="2"/>
  <c r="Z181" i="2"/>
  <c r="Y181" i="2"/>
  <c r="X181" i="2"/>
  <c r="W181" i="2"/>
  <c r="V181" i="2"/>
  <c r="AE180" i="2"/>
  <c r="AD180" i="2"/>
  <c r="AC180" i="2"/>
  <c r="AB180" i="2"/>
  <c r="AA180" i="2"/>
  <c r="Z180" i="2"/>
  <c r="Y180" i="2"/>
  <c r="X180" i="2"/>
  <c r="W180" i="2"/>
  <c r="V180" i="2"/>
  <c r="AE179" i="2"/>
  <c r="AD179" i="2"/>
  <c r="AC179" i="2"/>
  <c r="AB179" i="2"/>
  <c r="AA179" i="2"/>
  <c r="Z179" i="2"/>
  <c r="Y179" i="2"/>
  <c r="X179" i="2"/>
  <c r="W179" i="2"/>
  <c r="V179" i="2"/>
  <c r="AE178" i="2"/>
  <c r="AD178" i="2"/>
  <c r="AC178" i="2"/>
  <c r="AB178" i="2"/>
  <c r="AA178" i="2"/>
  <c r="Z178" i="2"/>
  <c r="Y178" i="2"/>
  <c r="X178" i="2"/>
  <c r="W178" i="2"/>
  <c r="V178" i="2"/>
  <c r="AE177" i="2"/>
  <c r="AD177" i="2"/>
  <c r="AC177" i="2"/>
  <c r="AB177" i="2"/>
  <c r="AA177" i="2"/>
  <c r="Z177" i="2"/>
  <c r="Y177" i="2"/>
  <c r="X177" i="2"/>
  <c r="W177" i="2"/>
  <c r="V177" i="2"/>
  <c r="AE176" i="2"/>
  <c r="AD176" i="2"/>
  <c r="AC176" i="2"/>
  <c r="AB176" i="2"/>
  <c r="AA176" i="2"/>
  <c r="Z176" i="2"/>
  <c r="Y176" i="2"/>
  <c r="X176" i="2"/>
  <c r="W176" i="2"/>
  <c r="V176" i="2"/>
  <c r="AE175" i="2"/>
  <c r="AD175" i="2"/>
  <c r="AC175" i="2"/>
  <c r="AB175" i="2"/>
  <c r="AA175" i="2"/>
  <c r="Z175" i="2"/>
  <c r="Y175" i="2"/>
  <c r="X175" i="2"/>
  <c r="W175" i="2"/>
  <c r="V175" i="2"/>
  <c r="AE174" i="2"/>
  <c r="AD174" i="2"/>
  <c r="AC174" i="2"/>
  <c r="AB174" i="2"/>
  <c r="AA174" i="2"/>
  <c r="Z174" i="2"/>
  <c r="Y174" i="2"/>
  <c r="X174" i="2"/>
  <c r="W174" i="2"/>
  <c r="V174" i="2"/>
  <c r="AE173" i="2"/>
  <c r="AD173" i="2"/>
  <c r="AC173" i="2"/>
  <c r="AB173" i="2"/>
  <c r="AA173" i="2"/>
  <c r="Z173" i="2"/>
  <c r="Y173" i="2"/>
  <c r="X173" i="2"/>
  <c r="W173" i="2"/>
  <c r="V173" i="2"/>
  <c r="AE172" i="2"/>
  <c r="AD172" i="2"/>
  <c r="AC172" i="2"/>
  <c r="AB172" i="2"/>
  <c r="AA172" i="2"/>
  <c r="Z172" i="2"/>
  <c r="Y172" i="2"/>
  <c r="X172" i="2"/>
  <c r="W172" i="2"/>
  <c r="V172" i="2"/>
  <c r="AE171" i="2"/>
  <c r="AD171" i="2"/>
  <c r="AC171" i="2"/>
  <c r="AB171" i="2"/>
  <c r="AA171" i="2"/>
  <c r="Z171" i="2"/>
  <c r="Y171" i="2"/>
  <c r="X171" i="2"/>
  <c r="W171" i="2"/>
  <c r="V171" i="2"/>
  <c r="AE170" i="2"/>
  <c r="AD170" i="2"/>
  <c r="AC170" i="2"/>
  <c r="AB170" i="2"/>
  <c r="AA170" i="2"/>
  <c r="Z170" i="2"/>
  <c r="Y170" i="2"/>
  <c r="X170" i="2"/>
  <c r="W170" i="2"/>
  <c r="V170" i="2"/>
  <c r="AE169" i="2"/>
  <c r="AD169" i="2"/>
  <c r="AC169" i="2"/>
  <c r="AB169" i="2"/>
  <c r="AA169" i="2"/>
  <c r="Z169" i="2"/>
  <c r="Y169" i="2"/>
  <c r="X169" i="2"/>
  <c r="W169" i="2"/>
  <c r="V169" i="2"/>
  <c r="AE168" i="2"/>
  <c r="AD168" i="2"/>
  <c r="AC168" i="2"/>
  <c r="AB168" i="2"/>
  <c r="AA168" i="2"/>
  <c r="Z168" i="2"/>
  <c r="Y168" i="2"/>
  <c r="X168" i="2"/>
  <c r="W168" i="2"/>
  <c r="V168" i="2"/>
  <c r="AE167" i="2"/>
  <c r="AD167" i="2"/>
  <c r="AC167" i="2"/>
  <c r="AB167" i="2"/>
  <c r="AA167" i="2"/>
  <c r="Z167" i="2"/>
  <c r="Y167" i="2"/>
  <c r="X167" i="2"/>
  <c r="W167" i="2"/>
  <c r="V167" i="2"/>
  <c r="AE166" i="2"/>
  <c r="AD166" i="2"/>
  <c r="AC166" i="2"/>
  <c r="AB166" i="2"/>
  <c r="AA166" i="2"/>
  <c r="Z166" i="2"/>
  <c r="Y166" i="2"/>
  <c r="X166" i="2"/>
  <c r="W166" i="2"/>
  <c r="V166" i="2"/>
  <c r="AE165" i="2"/>
  <c r="AD165" i="2"/>
  <c r="AC165" i="2"/>
  <c r="AB165" i="2"/>
  <c r="AA165" i="2"/>
  <c r="Z165" i="2"/>
  <c r="Y165" i="2"/>
  <c r="X165" i="2"/>
  <c r="W165" i="2"/>
  <c r="V165" i="2"/>
  <c r="AE164" i="2"/>
  <c r="AD164" i="2"/>
  <c r="AC164" i="2"/>
  <c r="AB164" i="2"/>
  <c r="AA164" i="2"/>
  <c r="Z164" i="2"/>
  <c r="Y164" i="2"/>
  <c r="X164" i="2"/>
  <c r="W164" i="2"/>
  <c r="V164" i="2"/>
  <c r="AE163" i="2"/>
  <c r="AD163" i="2"/>
  <c r="AC163" i="2"/>
  <c r="AB163" i="2"/>
  <c r="AA163" i="2"/>
  <c r="Z163" i="2"/>
  <c r="Y163" i="2"/>
  <c r="X163" i="2"/>
  <c r="W163" i="2"/>
  <c r="V163" i="2"/>
  <c r="AE162" i="2"/>
  <c r="AD162" i="2"/>
  <c r="AC162" i="2"/>
  <c r="AB162" i="2"/>
  <c r="AA162" i="2"/>
  <c r="Z162" i="2"/>
  <c r="Y162" i="2"/>
  <c r="X162" i="2"/>
  <c r="W162" i="2"/>
  <c r="V162" i="2"/>
  <c r="AE161" i="2"/>
  <c r="AD161" i="2"/>
  <c r="AC161" i="2"/>
  <c r="AB161" i="2"/>
  <c r="AA161" i="2"/>
  <c r="Z161" i="2"/>
  <c r="Y161" i="2"/>
  <c r="X161" i="2"/>
  <c r="W161" i="2"/>
  <c r="V161" i="2"/>
  <c r="AE160" i="2"/>
  <c r="AD160" i="2"/>
  <c r="AC160" i="2"/>
  <c r="AB160" i="2"/>
  <c r="AA160" i="2"/>
  <c r="Z160" i="2"/>
  <c r="Y160" i="2"/>
  <c r="X160" i="2"/>
  <c r="W160" i="2"/>
  <c r="V160" i="2"/>
  <c r="AE159" i="2"/>
  <c r="AD159" i="2"/>
  <c r="AC159" i="2"/>
  <c r="AB159" i="2"/>
  <c r="AA159" i="2"/>
  <c r="Z159" i="2"/>
  <c r="Y159" i="2"/>
  <c r="X159" i="2"/>
  <c r="W159" i="2"/>
  <c r="V159" i="2"/>
  <c r="AE158" i="2"/>
  <c r="AD158" i="2"/>
  <c r="AC158" i="2"/>
  <c r="AB158" i="2"/>
  <c r="AA158" i="2"/>
  <c r="Z158" i="2"/>
  <c r="Y158" i="2"/>
  <c r="X158" i="2"/>
  <c r="W158" i="2"/>
  <c r="V158" i="2"/>
  <c r="AE157" i="2"/>
  <c r="AD157" i="2"/>
  <c r="AC157" i="2"/>
  <c r="AB157" i="2"/>
  <c r="AA157" i="2"/>
  <c r="Z157" i="2"/>
  <c r="Y157" i="2"/>
  <c r="X157" i="2"/>
  <c r="W157" i="2"/>
  <c r="V157" i="2"/>
  <c r="AE156" i="2"/>
  <c r="AD156" i="2"/>
  <c r="AC156" i="2"/>
  <c r="AB156" i="2"/>
  <c r="AA156" i="2"/>
  <c r="Z156" i="2"/>
  <c r="Y156" i="2"/>
  <c r="X156" i="2"/>
  <c r="W156" i="2"/>
  <c r="V156" i="2"/>
  <c r="AE155" i="2"/>
  <c r="AD155" i="2"/>
  <c r="AC155" i="2"/>
  <c r="AB155" i="2"/>
  <c r="AA155" i="2"/>
  <c r="Z155" i="2"/>
  <c r="Y155" i="2"/>
  <c r="X155" i="2"/>
  <c r="W155" i="2"/>
  <c r="V155" i="2"/>
  <c r="AE154" i="2"/>
  <c r="AD154" i="2"/>
  <c r="AC154" i="2"/>
  <c r="AB154" i="2"/>
  <c r="AA154" i="2"/>
  <c r="Z154" i="2"/>
  <c r="Y154" i="2"/>
  <c r="X154" i="2"/>
  <c r="W154" i="2"/>
  <c r="V154" i="2"/>
  <c r="AE153" i="2"/>
  <c r="AD153" i="2"/>
  <c r="AC153" i="2"/>
  <c r="AB153" i="2"/>
  <c r="AA153" i="2"/>
  <c r="Z153" i="2"/>
  <c r="Y153" i="2"/>
  <c r="X153" i="2"/>
  <c r="W153" i="2"/>
  <c r="V153" i="2"/>
  <c r="AE152" i="2"/>
  <c r="AD152" i="2"/>
  <c r="AC152" i="2"/>
  <c r="AB152" i="2"/>
  <c r="AA152" i="2"/>
  <c r="Z152" i="2"/>
  <c r="Y152" i="2"/>
  <c r="X152" i="2"/>
  <c r="W152" i="2"/>
  <c r="V152" i="2"/>
  <c r="AE151" i="2"/>
  <c r="AD151" i="2"/>
  <c r="AC151" i="2"/>
  <c r="AB151" i="2"/>
  <c r="AA151" i="2"/>
  <c r="Z151" i="2"/>
  <c r="Y151" i="2"/>
  <c r="X151" i="2"/>
  <c r="W151" i="2"/>
  <c r="V151" i="2"/>
  <c r="AE150" i="2"/>
  <c r="AD150" i="2"/>
  <c r="AC150" i="2"/>
  <c r="AB150" i="2"/>
  <c r="AA150" i="2"/>
  <c r="Z150" i="2"/>
  <c r="Y150" i="2"/>
  <c r="X150" i="2"/>
  <c r="W150" i="2"/>
  <c r="V150" i="2"/>
  <c r="AE149" i="2"/>
  <c r="AD149" i="2"/>
  <c r="AC149" i="2"/>
  <c r="AB149" i="2"/>
  <c r="AA149" i="2"/>
  <c r="Z149" i="2"/>
  <c r="Y149" i="2"/>
  <c r="X149" i="2"/>
  <c r="W149" i="2"/>
  <c r="V149" i="2"/>
  <c r="AE148" i="2"/>
  <c r="AD148" i="2"/>
  <c r="AC148" i="2"/>
  <c r="AB148" i="2"/>
  <c r="AA148" i="2"/>
  <c r="Z148" i="2"/>
  <c r="Y148" i="2"/>
  <c r="X148" i="2"/>
  <c r="W148" i="2"/>
  <c r="V148" i="2"/>
  <c r="AE147" i="2"/>
  <c r="AD147" i="2"/>
  <c r="AC147" i="2"/>
  <c r="AB147" i="2"/>
  <c r="AA147" i="2"/>
  <c r="Z147" i="2"/>
  <c r="Y147" i="2"/>
  <c r="X147" i="2"/>
  <c r="W147" i="2"/>
  <c r="V147" i="2"/>
  <c r="AE146" i="2"/>
  <c r="AD146" i="2"/>
  <c r="AC146" i="2"/>
  <c r="AB146" i="2"/>
  <c r="AA146" i="2"/>
  <c r="Z146" i="2"/>
  <c r="Y146" i="2"/>
  <c r="X146" i="2"/>
  <c r="W146" i="2"/>
  <c r="V146" i="2"/>
  <c r="AE145" i="2"/>
  <c r="AD145" i="2"/>
  <c r="AC145" i="2"/>
  <c r="AB145" i="2"/>
  <c r="AA145" i="2"/>
  <c r="Z145" i="2"/>
  <c r="Y145" i="2"/>
  <c r="X145" i="2"/>
  <c r="W145" i="2"/>
  <c r="V145" i="2"/>
  <c r="AE144" i="2"/>
  <c r="AD144" i="2"/>
  <c r="AC144" i="2"/>
  <c r="AB144" i="2"/>
  <c r="AA144" i="2"/>
  <c r="Z144" i="2"/>
  <c r="Y144" i="2"/>
  <c r="X144" i="2"/>
  <c r="W144" i="2"/>
  <c r="V144" i="2"/>
  <c r="AE143" i="2"/>
  <c r="AD143" i="2"/>
  <c r="AC143" i="2"/>
  <c r="AB143" i="2"/>
  <c r="AA143" i="2"/>
  <c r="Z143" i="2"/>
  <c r="Y143" i="2"/>
  <c r="X143" i="2"/>
  <c r="W143" i="2"/>
  <c r="V143" i="2"/>
  <c r="AE142" i="2"/>
  <c r="AD142" i="2"/>
  <c r="AC142" i="2"/>
  <c r="AB142" i="2"/>
  <c r="AA142" i="2"/>
  <c r="Z142" i="2"/>
  <c r="Y142" i="2"/>
  <c r="X142" i="2"/>
  <c r="W142" i="2"/>
  <c r="V142" i="2"/>
  <c r="AE141" i="2"/>
  <c r="AD141" i="2"/>
  <c r="AC141" i="2"/>
  <c r="AB141" i="2"/>
  <c r="AA141" i="2"/>
  <c r="Z141" i="2"/>
  <c r="Y141" i="2"/>
  <c r="X141" i="2"/>
  <c r="W141" i="2"/>
  <c r="V141" i="2"/>
  <c r="AE140" i="2"/>
  <c r="AD140" i="2"/>
  <c r="AC140" i="2"/>
  <c r="AB140" i="2"/>
  <c r="AA140" i="2"/>
  <c r="Z140" i="2"/>
  <c r="Y140" i="2"/>
  <c r="X140" i="2"/>
  <c r="W140" i="2"/>
  <c r="V140" i="2"/>
  <c r="AE139" i="2"/>
  <c r="AD139" i="2"/>
  <c r="AC139" i="2"/>
  <c r="AB139" i="2"/>
  <c r="AA139" i="2"/>
  <c r="Z139" i="2"/>
  <c r="Y139" i="2"/>
  <c r="X139" i="2"/>
  <c r="W139" i="2"/>
  <c r="V139" i="2"/>
  <c r="AE138" i="2"/>
  <c r="AD138" i="2"/>
  <c r="AC138" i="2"/>
  <c r="AB138" i="2"/>
  <c r="AA138" i="2"/>
  <c r="Z138" i="2"/>
  <c r="Y138" i="2"/>
  <c r="X138" i="2"/>
  <c r="W138" i="2"/>
  <c r="V138" i="2"/>
  <c r="AE137" i="2"/>
  <c r="AD137" i="2"/>
  <c r="AC137" i="2"/>
  <c r="AB137" i="2"/>
  <c r="AA137" i="2"/>
  <c r="Z137" i="2"/>
  <c r="Y137" i="2"/>
  <c r="X137" i="2"/>
  <c r="W137" i="2"/>
  <c r="V137" i="2"/>
  <c r="AE136" i="2"/>
  <c r="AD136" i="2"/>
  <c r="AC136" i="2"/>
  <c r="AB136" i="2"/>
  <c r="AA136" i="2"/>
  <c r="Z136" i="2"/>
  <c r="Y136" i="2"/>
  <c r="X136" i="2"/>
  <c r="W136" i="2"/>
  <c r="V136" i="2"/>
  <c r="AE135" i="2"/>
  <c r="AD135" i="2"/>
  <c r="AC135" i="2"/>
  <c r="AB135" i="2"/>
  <c r="AA135" i="2"/>
  <c r="Z135" i="2"/>
  <c r="Y135" i="2"/>
  <c r="X135" i="2"/>
  <c r="W135" i="2"/>
  <c r="V135" i="2"/>
  <c r="AE134" i="2"/>
  <c r="AD134" i="2"/>
  <c r="AC134" i="2"/>
  <c r="AB134" i="2"/>
  <c r="AA134" i="2"/>
  <c r="Z134" i="2"/>
  <c r="Y134" i="2"/>
  <c r="X134" i="2"/>
  <c r="W134" i="2"/>
  <c r="V134" i="2"/>
  <c r="AE133" i="2"/>
  <c r="AD133" i="2"/>
  <c r="AC133" i="2"/>
  <c r="AB133" i="2"/>
  <c r="AA133" i="2"/>
  <c r="Z133" i="2"/>
  <c r="Y133" i="2"/>
  <c r="X133" i="2"/>
  <c r="W133" i="2"/>
  <c r="V133" i="2"/>
  <c r="AE132" i="2"/>
  <c r="AD132" i="2"/>
  <c r="AC132" i="2"/>
  <c r="AB132" i="2"/>
  <c r="AA132" i="2"/>
  <c r="Z132" i="2"/>
  <c r="Y132" i="2"/>
  <c r="X132" i="2"/>
  <c r="W132" i="2"/>
  <c r="V132" i="2"/>
  <c r="AE131" i="2"/>
  <c r="AD131" i="2"/>
  <c r="AC131" i="2"/>
  <c r="AB131" i="2"/>
  <c r="AA131" i="2"/>
  <c r="Z131" i="2"/>
  <c r="Y131" i="2"/>
  <c r="X131" i="2"/>
  <c r="W131" i="2"/>
  <c r="V131" i="2"/>
  <c r="AE130" i="2"/>
  <c r="AD130" i="2"/>
  <c r="AC130" i="2"/>
  <c r="AB130" i="2"/>
  <c r="AA130" i="2"/>
  <c r="Z130" i="2"/>
  <c r="Y130" i="2"/>
  <c r="X130" i="2"/>
  <c r="W130" i="2"/>
  <c r="V130" i="2"/>
  <c r="AE129" i="2"/>
  <c r="AD129" i="2"/>
  <c r="AC129" i="2"/>
  <c r="AB129" i="2"/>
  <c r="AA129" i="2"/>
  <c r="Z129" i="2"/>
  <c r="Y129" i="2"/>
  <c r="X129" i="2"/>
  <c r="W129" i="2"/>
  <c r="V129" i="2"/>
  <c r="AE128" i="2"/>
  <c r="AD128" i="2"/>
  <c r="AC128" i="2"/>
  <c r="AB128" i="2"/>
  <c r="AA128" i="2"/>
  <c r="Z128" i="2"/>
  <c r="Y128" i="2"/>
  <c r="X128" i="2"/>
  <c r="W128" i="2"/>
  <c r="V128" i="2"/>
  <c r="AE127" i="2"/>
  <c r="AD127" i="2"/>
  <c r="AC127" i="2"/>
  <c r="AB127" i="2"/>
  <c r="AA127" i="2"/>
  <c r="Z127" i="2"/>
  <c r="Y127" i="2"/>
  <c r="X127" i="2"/>
  <c r="W127" i="2"/>
  <c r="V127" i="2"/>
  <c r="AE126" i="2"/>
  <c r="AD126" i="2"/>
  <c r="AC126" i="2"/>
  <c r="AB126" i="2"/>
  <c r="AA126" i="2"/>
  <c r="Z126" i="2"/>
  <c r="Y126" i="2"/>
  <c r="X126" i="2"/>
  <c r="W126" i="2"/>
  <c r="V126" i="2"/>
  <c r="AE125" i="2"/>
  <c r="AD125" i="2"/>
  <c r="AC125" i="2"/>
  <c r="AB125" i="2"/>
  <c r="AA125" i="2"/>
  <c r="Z125" i="2"/>
  <c r="Y125" i="2"/>
  <c r="X125" i="2"/>
  <c r="W125" i="2"/>
  <c r="V125" i="2"/>
  <c r="AE124" i="2"/>
  <c r="AD124" i="2"/>
  <c r="AC124" i="2"/>
  <c r="AB124" i="2"/>
  <c r="AA124" i="2"/>
  <c r="Z124" i="2"/>
  <c r="Y124" i="2"/>
  <c r="X124" i="2"/>
  <c r="W124" i="2"/>
  <c r="V124" i="2"/>
  <c r="AE123" i="2"/>
  <c r="AD123" i="2"/>
  <c r="AC123" i="2"/>
  <c r="AB123" i="2"/>
  <c r="AA123" i="2"/>
  <c r="Z123" i="2"/>
  <c r="Y123" i="2"/>
  <c r="X123" i="2"/>
  <c r="W123" i="2"/>
  <c r="V123" i="2"/>
  <c r="AE122" i="2"/>
  <c r="AD122" i="2"/>
  <c r="AC122" i="2"/>
  <c r="AB122" i="2"/>
  <c r="AA122" i="2"/>
  <c r="Z122" i="2"/>
  <c r="Y122" i="2"/>
  <c r="X122" i="2"/>
  <c r="W122" i="2"/>
  <c r="V122" i="2"/>
  <c r="AE121" i="2"/>
  <c r="AD121" i="2"/>
  <c r="AC121" i="2"/>
  <c r="AB121" i="2"/>
  <c r="AA121" i="2"/>
  <c r="Z121" i="2"/>
  <c r="Y121" i="2"/>
  <c r="X121" i="2"/>
  <c r="W121" i="2"/>
  <c r="V121" i="2"/>
  <c r="AE120" i="2"/>
  <c r="AD120" i="2"/>
  <c r="AC120" i="2"/>
  <c r="AB120" i="2"/>
  <c r="AA120" i="2"/>
  <c r="Z120" i="2"/>
  <c r="Y120" i="2"/>
  <c r="X120" i="2"/>
  <c r="W120" i="2"/>
  <c r="V120" i="2"/>
  <c r="AE119" i="2"/>
  <c r="AD119" i="2"/>
  <c r="AC119" i="2"/>
  <c r="AB119" i="2"/>
  <c r="AA119" i="2"/>
  <c r="Z119" i="2"/>
  <c r="Y119" i="2"/>
  <c r="X119" i="2"/>
  <c r="W119" i="2"/>
  <c r="V119" i="2"/>
  <c r="AE118" i="2"/>
  <c r="AD118" i="2"/>
  <c r="AC118" i="2"/>
  <c r="AB118" i="2"/>
  <c r="AA118" i="2"/>
  <c r="Z118" i="2"/>
  <c r="Y118" i="2"/>
  <c r="X118" i="2"/>
  <c r="W118" i="2"/>
  <c r="V118" i="2"/>
  <c r="AE117" i="2"/>
  <c r="AD117" i="2"/>
  <c r="AC117" i="2"/>
  <c r="AB117" i="2"/>
  <c r="AA117" i="2"/>
  <c r="Z117" i="2"/>
  <c r="Y117" i="2"/>
  <c r="X117" i="2"/>
  <c r="W117" i="2"/>
  <c r="V117" i="2"/>
  <c r="AE116" i="2"/>
  <c r="AD116" i="2"/>
  <c r="AC116" i="2"/>
  <c r="AB116" i="2"/>
  <c r="AA116" i="2"/>
  <c r="Z116" i="2"/>
  <c r="Y116" i="2"/>
  <c r="X116" i="2"/>
  <c r="W116" i="2"/>
  <c r="V116" i="2"/>
  <c r="AE115" i="2"/>
  <c r="AD115" i="2"/>
  <c r="AC115" i="2"/>
  <c r="AB115" i="2"/>
  <c r="AA115" i="2"/>
  <c r="Z115" i="2"/>
  <c r="Y115" i="2"/>
  <c r="X115" i="2"/>
  <c r="W115" i="2"/>
  <c r="V115" i="2"/>
  <c r="AE114" i="2"/>
  <c r="AD114" i="2"/>
  <c r="AC114" i="2"/>
  <c r="AB114" i="2"/>
  <c r="AA114" i="2"/>
  <c r="Z114" i="2"/>
  <c r="Y114" i="2"/>
  <c r="X114" i="2"/>
  <c r="W114" i="2"/>
  <c r="V114" i="2"/>
  <c r="AE113" i="2"/>
  <c r="AD113" i="2"/>
  <c r="AC113" i="2"/>
  <c r="AB113" i="2"/>
  <c r="AA113" i="2"/>
  <c r="Z113" i="2"/>
  <c r="Y113" i="2"/>
  <c r="X113" i="2"/>
  <c r="W113" i="2"/>
  <c r="V113" i="2"/>
  <c r="AE112" i="2"/>
  <c r="AD112" i="2"/>
  <c r="AC112" i="2"/>
  <c r="AB112" i="2"/>
  <c r="AA112" i="2"/>
  <c r="Z112" i="2"/>
  <c r="Y112" i="2"/>
  <c r="X112" i="2"/>
  <c r="W112" i="2"/>
  <c r="V112" i="2"/>
  <c r="AE111" i="2"/>
  <c r="AD111" i="2"/>
  <c r="AC111" i="2"/>
  <c r="AB111" i="2"/>
  <c r="AA111" i="2"/>
  <c r="Z111" i="2"/>
  <c r="Y111" i="2"/>
  <c r="X111" i="2"/>
  <c r="W111" i="2"/>
  <c r="V111" i="2"/>
  <c r="AE110" i="2"/>
  <c r="AD110" i="2"/>
  <c r="AC110" i="2"/>
  <c r="AB110" i="2"/>
  <c r="AA110" i="2"/>
  <c r="Z110" i="2"/>
  <c r="Y110" i="2"/>
  <c r="X110" i="2"/>
  <c r="W110" i="2"/>
  <c r="V110" i="2"/>
  <c r="AE109" i="2"/>
  <c r="AD109" i="2"/>
  <c r="AC109" i="2"/>
  <c r="AB109" i="2"/>
  <c r="AA109" i="2"/>
  <c r="Z109" i="2"/>
  <c r="Y109" i="2"/>
  <c r="X109" i="2"/>
  <c r="W109" i="2"/>
  <c r="V109" i="2"/>
  <c r="AE108" i="2"/>
  <c r="AD108" i="2"/>
  <c r="AC108" i="2"/>
  <c r="AB108" i="2"/>
  <c r="AA108" i="2"/>
  <c r="Z108" i="2"/>
  <c r="Y108" i="2"/>
  <c r="X108" i="2"/>
  <c r="W108" i="2"/>
  <c r="V108" i="2"/>
  <c r="AE107" i="2"/>
  <c r="AD107" i="2"/>
  <c r="AC107" i="2"/>
  <c r="AB107" i="2"/>
  <c r="AA107" i="2"/>
  <c r="Z107" i="2"/>
  <c r="Y107" i="2"/>
  <c r="X107" i="2"/>
  <c r="W107" i="2"/>
  <c r="V107" i="2"/>
  <c r="AE106" i="2"/>
  <c r="AD106" i="2"/>
  <c r="AC106" i="2"/>
  <c r="AB106" i="2"/>
  <c r="AA106" i="2"/>
  <c r="Z106" i="2"/>
  <c r="Y106" i="2"/>
  <c r="X106" i="2"/>
  <c r="W106" i="2"/>
  <c r="V106" i="2"/>
  <c r="AE105" i="2"/>
  <c r="AD105" i="2"/>
  <c r="AC105" i="2"/>
  <c r="AB105" i="2"/>
  <c r="AA105" i="2"/>
  <c r="Z105" i="2"/>
  <c r="Y105" i="2"/>
  <c r="X105" i="2"/>
  <c r="W105" i="2"/>
  <c r="V105" i="2"/>
  <c r="AE104" i="2"/>
  <c r="AD104" i="2"/>
  <c r="AC104" i="2"/>
  <c r="AB104" i="2"/>
  <c r="AA104" i="2"/>
  <c r="Z104" i="2"/>
  <c r="Y104" i="2"/>
  <c r="X104" i="2"/>
  <c r="W104" i="2"/>
  <c r="V104" i="2"/>
  <c r="AE103" i="2"/>
  <c r="AD103" i="2"/>
  <c r="AC103" i="2"/>
  <c r="AB103" i="2"/>
  <c r="AA103" i="2"/>
  <c r="Z103" i="2"/>
  <c r="Y103" i="2"/>
  <c r="X103" i="2"/>
  <c r="W103" i="2"/>
  <c r="V103" i="2"/>
  <c r="AE102" i="2"/>
  <c r="AD102" i="2"/>
  <c r="AC102" i="2"/>
  <c r="AB102" i="2"/>
  <c r="AA102" i="2"/>
  <c r="Z102" i="2"/>
  <c r="Y102" i="2"/>
  <c r="X102" i="2"/>
  <c r="W102" i="2"/>
  <c r="V102" i="2"/>
  <c r="AE101" i="2"/>
  <c r="AD101" i="2"/>
  <c r="AC101" i="2"/>
  <c r="AB101" i="2"/>
  <c r="AA101" i="2"/>
  <c r="Z101" i="2"/>
  <c r="Y101" i="2"/>
  <c r="X101" i="2"/>
  <c r="W101" i="2"/>
  <c r="V101" i="2"/>
  <c r="AE100" i="2"/>
  <c r="AD100" i="2"/>
  <c r="AC100" i="2"/>
  <c r="AB100" i="2"/>
  <c r="AA100" i="2"/>
  <c r="Z100" i="2"/>
  <c r="Y100" i="2"/>
  <c r="X100" i="2"/>
  <c r="W100" i="2"/>
  <c r="V100" i="2"/>
  <c r="AE99" i="2"/>
  <c r="AD99" i="2"/>
  <c r="AC99" i="2"/>
  <c r="AB99" i="2"/>
  <c r="AA99" i="2"/>
  <c r="Z99" i="2"/>
  <c r="Y99" i="2"/>
  <c r="X99" i="2"/>
  <c r="W99" i="2"/>
  <c r="V99" i="2"/>
  <c r="AE98" i="2"/>
  <c r="AD98" i="2"/>
  <c r="AC98" i="2"/>
  <c r="AB98" i="2"/>
  <c r="AA98" i="2"/>
  <c r="Z98" i="2"/>
  <c r="Y98" i="2"/>
  <c r="X98" i="2"/>
  <c r="W98" i="2"/>
  <c r="V98" i="2"/>
  <c r="AE97" i="2"/>
  <c r="AD97" i="2"/>
  <c r="AC97" i="2"/>
  <c r="AB97" i="2"/>
  <c r="AA97" i="2"/>
  <c r="Z97" i="2"/>
  <c r="Y97" i="2"/>
  <c r="X97" i="2"/>
  <c r="W97" i="2"/>
  <c r="V97" i="2"/>
  <c r="AE96" i="2"/>
  <c r="AD96" i="2"/>
  <c r="AC96" i="2"/>
  <c r="AB96" i="2"/>
  <c r="AA96" i="2"/>
  <c r="Z96" i="2"/>
  <c r="Y96" i="2"/>
  <c r="X96" i="2"/>
  <c r="W96" i="2"/>
  <c r="V96" i="2"/>
  <c r="AE95" i="2"/>
  <c r="AD95" i="2"/>
  <c r="AC95" i="2"/>
  <c r="AB95" i="2"/>
  <c r="AA95" i="2"/>
  <c r="Z95" i="2"/>
  <c r="Y95" i="2"/>
  <c r="X95" i="2"/>
  <c r="W95" i="2"/>
  <c r="V95" i="2"/>
  <c r="AE94" i="2"/>
  <c r="AD94" i="2"/>
  <c r="AC94" i="2"/>
  <c r="AB94" i="2"/>
  <c r="AA94" i="2"/>
  <c r="Z94" i="2"/>
  <c r="Y94" i="2"/>
  <c r="X94" i="2"/>
  <c r="W94" i="2"/>
  <c r="V94" i="2"/>
  <c r="AE93" i="2"/>
  <c r="AD93" i="2"/>
  <c r="AC93" i="2"/>
  <c r="AB93" i="2"/>
  <c r="AA93" i="2"/>
  <c r="Z93" i="2"/>
  <c r="Y93" i="2"/>
  <c r="X93" i="2"/>
  <c r="W93" i="2"/>
  <c r="V93" i="2"/>
  <c r="AE92" i="2"/>
  <c r="AD92" i="2"/>
  <c r="AC92" i="2"/>
  <c r="AB92" i="2"/>
  <c r="AA92" i="2"/>
  <c r="Z92" i="2"/>
  <c r="Y92" i="2"/>
  <c r="X92" i="2"/>
  <c r="W92" i="2"/>
  <c r="V92" i="2"/>
  <c r="AE91" i="2"/>
  <c r="AD91" i="2"/>
  <c r="AC91" i="2"/>
  <c r="AB91" i="2"/>
  <c r="AA91" i="2"/>
  <c r="Z91" i="2"/>
  <c r="Y91" i="2"/>
  <c r="X91" i="2"/>
  <c r="W91" i="2"/>
  <c r="V91" i="2"/>
  <c r="AE90" i="2"/>
  <c r="AD90" i="2"/>
  <c r="AC90" i="2"/>
  <c r="AB90" i="2"/>
  <c r="AA90" i="2"/>
  <c r="Z90" i="2"/>
  <c r="Y90" i="2"/>
  <c r="X90" i="2"/>
  <c r="W90" i="2"/>
  <c r="V90" i="2"/>
  <c r="AE89" i="2"/>
  <c r="AD89" i="2"/>
  <c r="AC89" i="2"/>
  <c r="AB89" i="2"/>
  <c r="AA89" i="2"/>
  <c r="Z89" i="2"/>
  <c r="Y89" i="2"/>
  <c r="X89" i="2"/>
  <c r="W89" i="2"/>
  <c r="V89" i="2"/>
  <c r="AE88" i="2"/>
  <c r="AD88" i="2"/>
  <c r="AC88" i="2"/>
  <c r="AB88" i="2"/>
  <c r="AA88" i="2"/>
  <c r="Z88" i="2"/>
  <c r="Y88" i="2"/>
  <c r="X88" i="2"/>
  <c r="W88" i="2"/>
  <c r="V88" i="2"/>
  <c r="AE87" i="2"/>
  <c r="AD87" i="2"/>
  <c r="AC87" i="2"/>
  <c r="AB87" i="2"/>
  <c r="AA87" i="2"/>
  <c r="Z87" i="2"/>
  <c r="Y87" i="2"/>
  <c r="X87" i="2"/>
  <c r="W87" i="2"/>
  <c r="V87" i="2"/>
  <c r="AE86" i="2"/>
  <c r="AD86" i="2"/>
  <c r="AC86" i="2"/>
  <c r="AB86" i="2"/>
  <c r="AA86" i="2"/>
  <c r="Z86" i="2"/>
  <c r="Y86" i="2"/>
  <c r="X86" i="2"/>
  <c r="W86" i="2"/>
  <c r="V86" i="2"/>
  <c r="AE85" i="2"/>
  <c r="AD85" i="2"/>
  <c r="AC85" i="2"/>
  <c r="AB85" i="2"/>
  <c r="AA85" i="2"/>
  <c r="Z85" i="2"/>
  <c r="Y85" i="2"/>
  <c r="X85" i="2"/>
  <c r="W85" i="2"/>
  <c r="V85" i="2"/>
  <c r="AE84" i="2"/>
  <c r="AD84" i="2"/>
  <c r="AC84" i="2"/>
  <c r="AB84" i="2"/>
  <c r="AA84" i="2"/>
  <c r="Z84" i="2"/>
  <c r="Y84" i="2"/>
  <c r="X84" i="2"/>
  <c r="W84" i="2"/>
  <c r="V84" i="2"/>
  <c r="AE83" i="2"/>
  <c r="AD83" i="2"/>
  <c r="AC83" i="2"/>
  <c r="AB83" i="2"/>
  <c r="AA83" i="2"/>
  <c r="Z83" i="2"/>
  <c r="Y83" i="2"/>
  <c r="X83" i="2"/>
  <c r="W83" i="2"/>
  <c r="V83" i="2"/>
  <c r="AE82" i="2"/>
  <c r="AD82" i="2"/>
  <c r="AC82" i="2"/>
  <c r="AB82" i="2"/>
  <c r="AA82" i="2"/>
  <c r="Z82" i="2"/>
  <c r="Y82" i="2"/>
  <c r="X82" i="2"/>
  <c r="W82" i="2"/>
  <c r="V82" i="2"/>
  <c r="AE81" i="2"/>
  <c r="AD81" i="2"/>
  <c r="AC81" i="2"/>
  <c r="AB81" i="2"/>
  <c r="AA81" i="2"/>
  <c r="Z81" i="2"/>
  <c r="Y81" i="2"/>
  <c r="X81" i="2"/>
  <c r="W81" i="2"/>
  <c r="V81" i="2"/>
  <c r="AE80" i="2"/>
  <c r="AD80" i="2"/>
  <c r="AC80" i="2"/>
  <c r="AB80" i="2"/>
  <c r="AA80" i="2"/>
  <c r="Z80" i="2"/>
  <c r="Y80" i="2"/>
  <c r="X80" i="2"/>
  <c r="W80" i="2"/>
  <c r="V80" i="2"/>
  <c r="AE79" i="2"/>
  <c r="AD79" i="2"/>
  <c r="AC79" i="2"/>
  <c r="AB79" i="2"/>
  <c r="AA79" i="2"/>
  <c r="Z79" i="2"/>
  <c r="Y79" i="2"/>
  <c r="X79" i="2"/>
  <c r="W79" i="2"/>
  <c r="V79" i="2"/>
  <c r="AE78" i="2"/>
  <c r="AD78" i="2"/>
  <c r="AC78" i="2"/>
  <c r="AB78" i="2"/>
  <c r="AA78" i="2"/>
  <c r="Z78" i="2"/>
  <c r="Y78" i="2"/>
  <c r="X78" i="2"/>
  <c r="W78" i="2"/>
  <c r="V78" i="2"/>
  <c r="AE77" i="2"/>
  <c r="AD77" i="2"/>
  <c r="AC77" i="2"/>
  <c r="AB77" i="2"/>
  <c r="AA77" i="2"/>
  <c r="Z77" i="2"/>
  <c r="Y77" i="2"/>
  <c r="X77" i="2"/>
  <c r="W77" i="2"/>
  <c r="V77" i="2"/>
  <c r="AE76" i="2"/>
  <c r="AD76" i="2"/>
  <c r="AC76" i="2"/>
  <c r="AB76" i="2"/>
  <c r="AA76" i="2"/>
  <c r="Z76" i="2"/>
  <c r="Y76" i="2"/>
  <c r="X76" i="2"/>
  <c r="W76" i="2"/>
  <c r="V76" i="2"/>
  <c r="AE75" i="2"/>
  <c r="AD75" i="2"/>
  <c r="AC75" i="2"/>
  <c r="AB75" i="2"/>
  <c r="AA75" i="2"/>
  <c r="Z75" i="2"/>
  <c r="Y75" i="2"/>
  <c r="X75" i="2"/>
  <c r="W75" i="2"/>
  <c r="V75" i="2"/>
  <c r="AE74" i="2"/>
  <c r="AD74" i="2"/>
  <c r="AC74" i="2"/>
  <c r="AB74" i="2"/>
  <c r="AA74" i="2"/>
  <c r="Z74" i="2"/>
  <c r="Y74" i="2"/>
  <c r="X74" i="2"/>
  <c r="W74" i="2"/>
  <c r="V74" i="2"/>
  <c r="AE73" i="2"/>
  <c r="AD73" i="2"/>
  <c r="AC73" i="2"/>
  <c r="AB73" i="2"/>
  <c r="AA73" i="2"/>
  <c r="Z73" i="2"/>
  <c r="Y73" i="2"/>
  <c r="X73" i="2"/>
  <c r="W73" i="2"/>
  <c r="V73" i="2"/>
  <c r="AE72" i="2"/>
  <c r="AD72" i="2"/>
  <c r="AC72" i="2"/>
  <c r="AB72" i="2"/>
  <c r="AA72" i="2"/>
  <c r="Z72" i="2"/>
  <c r="Y72" i="2"/>
  <c r="X72" i="2"/>
  <c r="W72" i="2"/>
  <c r="V72" i="2"/>
  <c r="AE71" i="2"/>
  <c r="AD71" i="2"/>
  <c r="AC71" i="2"/>
  <c r="AB71" i="2"/>
  <c r="AA71" i="2"/>
  <c r="Z71" i="2"/>
  <c r="Y71" i="2"/>
  <c r="X71" i="2"/>
  <c r="W71" i="2"/>
  <c r="V71" i="2"/>
  <c r="AE70" i="2"/>
  <c r="AD70" i="2"/>
  <c r="AC70" i="2"/>
  <c r="AB70" i="2"/>
  <c r="AA70" i="2"/>
  <c r="Z70" i="2"/>
  <c r="Y70" i="2"/>
  <c r="X70" i="2"/>
  <c r="W70" i="2"/>
  <c r="V70" i="2"/>
  <c r="AE69" i="2"/>
  <c r="AD69" i="2"/>
  <c r="AC69" i="2"/>
  <c r="AB69" i="2"/>
  <c r="AA69" i="2"/>
  <c r="Z69" i="2"/>
  <c r="Y69" i="2"/>
  <c r="X69" i="2"/>
  <c r="W69" i="2"/>
  <c r="V69" i="2"/>
  <c r="AE68" i="2"/>
  <c r="AD68" i="2"/>
  <c r="AC68" i="2"/>
  <c r="AB68" i="2"/>
  <c r="AA68" i="2"/>
  <c r="Z68" i="2"/>
  <c r="Y68" i="2"/>
  <c r="X68" i="2"/>
  <c r="W68" i="2"/>
  <c r="V68" i="2"/>
  <c r="AE67" i="2"/>
  <c r="AD67" i="2"/>
  <c r="AC67" i="2"/>
  <c r="AB67" i="2"/>
  <c r="AA67" i="2"/>
  <c r="Z67" i="2"/>
  <c r="Y67" i="2"/>
  <c r="X67" i="2"/>
  <c r="W67" i="2"/>
  <c r="V67" i="2"/>
  <c r="AE66" i="2"/>
  <c r="AD66" i="2"/>
  <c r="AC66" i="2"/>
  <c r="AB66" i="2"/>
  <c r="AA66" i="2"/>
  <c r="Z66" i="2"/>
  <c r="Y66" i="2"/>
  <c r="X66" i="2"/>
  <c r="W66" i="2"/>
  <c r="V66" i="2"/>
  <c r="AE65" i="2"/>
  <c r="AD65" i="2"/>
  <c r="AC65" i="2"/>
  <c r="AB65" i="2"/>
  <c r="AA65" i="2"/>
  <c r="Z65" i="2"/>
  <c r="Y65" i="2"/>
  <c r="X65" i="2"/>
  <c r="W65" i="2"/>
  <c r="V65" i="2"/>
  <c r="AE64" i="2"/>
  <c r="AD64" i="2"/>
  <c r="AC64" i="2"/>
  <c r="AB64" i="2"/>
  <c r="AA64" i="2"/>
  <c r="Z64" i="2"/>
  <c r="Y64" i="2"/>
  <c r="X64" i="2"/>
  <c r="W64" i="2"/>
  <c r="V64" i="2"/>
  <c r="AE63" i="2"/>
  <c r="AD63" i="2"/>
  <c r="AC63" i="2"/>
  <c r="AB63" i="2"/>
  <c r="AA63" i="2"/>
  <c r="Z63" i="2"/>
  <c r="Y63" i="2"/>
  <c r="X63" i="2"/>
  <c r="W63" i="2"/>
  <c r="V63" i="2"/>
  <c r="AE62" i="2"/>
  <c r="AD62" i="2"/>
  <c r="AC62" i="2"/>
  <c r="AB62" i="2"/>
  <c r="AA62" i="2"/>
  <c r="Z62" i="2"/>
  <c r="Y62" i="2"/>
  <c r="X62" i="2"/>
  <c r="W62" i="2"/>
  <c r="V62" i="2"/>
  <c r="AE61" i="2"/>
  <c r="AD61" i="2"/>
  <c r="AC61" i="2"/>
  <c r="AB61" i="2"/>
  <c r="AA61" i="2"/>
  <c r="Z61" i="2"/>
  <c r="Y61" i="2"/>
  <c r="X61" i="2"/>
  <c r="W61" i="2"/>
  <c r="V61" i="2"/>
  <c r="AE60" i="2"/>
  <c r="AD60" i="2"/>
  <c r="AC60" i="2"/>
  <c r="AB60" i="2"/>
  <c r="AA60" i="2"/>
  <c r="Z60" i="2"/>
  <c r="Y60" i="2"/>
  <c r="X60" i="2"/>
  <c r="W60" i="2"/>
  <c r="V60" i="2"/>
  <c r="AE59" i="2"/>
  <c r="AD59" i="2"/>
  <c r="AC59" i="2"/>
  <c r="AB59" i="2"/>
  <c r="AA59" i="2"/>
  <c r="Z59" i="2"/>
  <c r="Y59" i="2"/>
  <c r="X59" i="2"/>
  <c r="W59" i="2"/>
  <c r="V59" i="2"/>
  <c r="AE58" i="2"/>
  <c r="AD58" i="2"/>
  <c r="AC58" i="2"/>
  <c r="AB58" i="2"/>
  <c r="AA58" i="2"/>
  <c r="Z58" i="2"/>
  <c r="Y58" i="2"/>
  <c r="X58" i="2"/>
  <c r="W58" i="2"/>
  <c r="V58" i="2"/>
  <c r="AE57" i="2"/>
  <c r="AD57" i="2"/>
  <c r="AC57" i="2"/>
  <c r="AB57" i="2"/>
  <c r="AA57" i="2"/>
  <c r="Z57" i="2"/>
  <c r="Y57" i="2"/>
  <c r="X57" i="2"/>
  <c r="W57" i="2"/>
  <c r="V57" i="2"/>
  <c r="AE56" i="2"/>
  <c r="AD56" i="2"/>
  <c r="AC56" i="2"/>
  <c r="AB56" i="2"/>
  <c r="AA56" i="2"/>
  <c r="Z56" i="2"/>
  <c r="Y56" i="2"/>
  <c r="X56" i="2"/>
  <c r="W56" i="2"/>
  <c r="V56" i="2"/>
  <c r="AE55" i="2"/>
  <c r="AD55" i="2"/>
  <c r="AC55" i="2"/>
  <c r="AB55" i="2"/>
  <c r="AA55" i="2"/>
  <c r="Z55" i="2"/>
  <c r="Y55" i="2"/>
  <c r="X55" i="2"/>
  <c r="W55" i="2"/>
  <c r="V55" i="2"/>
  <c r="AE54" i="2"/>
  <c r="AD54" i="2"/>
  <c r="AC54" i="2"/>
  <c r="AB54" i="2"/>
  <c r="AA54" i="2"/>
  <c r="Z54" i="2"/>
  <c r="Y54" i="2"/>
  <c r="X54" i="2"/>
  <c r="W54" i="2"/>
  <c r="V54" i="2"/>
  <c r="AE53" i="2"/>
  <c r="AD53" i="2"/>
  <c r="AC53" i="2"/>
  <c r="AB53" i="2"/>
  <c r="AA53" i="2"/>
  <c r="Z53" i="2"/>
  <c r="Y53" i="2"/>
  <c r="X53" i="2"/>
  <c r="W53" i="2"/>
  <c r="V53" i="2"/>
  <c r="AE52" i="2"/>
  <c r="AD52" i="2"/>
  <c r="AC52" i="2"/>
  <c r="AB52" i="2"/>
  <c r="AA52" i="2"/>
  <c r="Z52" i="2"/>
  <c r="Y52" i="2"/>
  <c r="X52" i="2"/>
  <c r="W52" i="2"/>
  <c r="V52" i="2"/>
  <c r="AE51" i="2"/>
  <c r="AD51" i="2"/>
  <c r="AC51" i="2"/>
  <c r="AB51" i="2"/>
  <c r="AA51" i="2"/>
  <c r="Z51" i="2"/>
  <c r="Y51" i="2"/>
  <c r="X51" i="2"/>
  <c r="W51" i="2"/>
  <c r="V51" i="2"/>
  <c r="AE50" i="2"/>
  <c r="AD50" i="2"/>
  <c r="AC50" i="2"/>
  <c r="AB50" i="2"/>
  <c r="AA50" i="2"/>
  <c r="Z50" i="2"/>
  <c r="Y50" i="2"/>
  <c r="X50" i="2"/>
  <c r="W50" i="2"/>
  <c r="V50" i="2"/>
  <c r="AE49" i="2"/>
  <c r="AD49" i="2"/>
  <c r="AC49" i="2"/>
  <c r="AB49" i="2"/>
  <c r="AA49" i="2"/>
  <c r="Z49" i="2"/>
  <c r="Y49" i="2"/>
  <c r="X49" i="2"/>
  <c r="W49" i="2"/>
  <c r="V49" i="2"/>
  <c r="AE48" i="2"/>
  <c r="AD48" i="2"/>
  <c r="AC48" i="2"/>
  <c r="AB48" i="2"/>
  <c r="AA48" i="2"/>
  <c r="Z48" i="2"/>
  <c r="Y48" i="2"/>
  <c r="X48" i="2"/>
  <c r="W48" i="2"/>
  <c r="V48" i="2"/>
  <c r="AE47" i="2"/>
  <c r="AD47" i="2"/>
  <c r="AC47" i="2"/>
  <c r="AB47" i="2"/>
  <c r="AA47" i="2"/>
  <c r="Z47" i="2"/>
  <c r="Y47" i="2"/>
  <c r="X47" i="2"/>
  <c r="W47" i="2"/>
  <c r="V47" i="2"/>
  <c r="AE46" i="2"/>
  <c r="AD46" i="2"/>
  <c r="AC46" i="2"/>
  <c r="AB46" i="2"/>
  <c r="AA46" i="2"/>
  <c r="Z46" i="2"/>
  <c r="Y46" i="2"/>
  <c r="X46" i="2"/>
  <c r="W46" i="2"/>
  <c r="V46" i="2"/>
  <c r="AE45" i="2"/>
  <c r="AD45" i="2"/>
  <c r="AC45" i="2"/>
  <c r="AB45" i="2"/>
  <c r="AA45" i="2"/>
  <c r="Z45" i="2"/>
  <c r="Y45" i="2"/>
  <c r="X45" i="2"/>
  <c r="W45" i="2"/>
  <c r="V45" i="2"/>
  <c r="AE44" i="2"/>
  <c r="AD44" i="2"/>
  <c r="AC44" i="2"/>
  <c r="AB44" i="2"/>
  <c r="AA44" i="2"/>
  <c r="Z44" i="2"/>
  <c r="Y44" i="2"/>
  <c r="X44" i="2"/>
  <c r="W44" i="2"/>
  <c r="V44" i="2"/>
  <c r="AE43" i="2"/>
  <c r="AD43" i="2"/>
  <c r="AC43" i="2"/>
  <c r="AB43" i="2"/>
  <c r="AA43" i="2"/>
  <c r="Z43" i="2"/>
  <c r="Y43" i="2"/>
  <c r="X43" i="2"/>
  <c r="W43" i="2"/>
  <c r="V43" i="2"/>
  <c r="AE42" i="2"/>
  <c r="AD42" i="2"/>
  <c r="AC42" i="2"/>
  <c r="AB42" i="2"/>
  <c r="AA42" i="2"/>
  <c r="Z42" i="2"/>
  <c r="Y42" i="2"/>
  <c r="X42" i="2"/>
  <c r="W42" i="2"/>
  <c r="V42" i="2"/>
  <c r="AE41" i="2"/>
  <c r="AD41" i="2"/>
  <c r="AC41" i="2"/>
  <c r="AB41" i="2"/>
  <c r="AA41" i="2"/>
  <c r="Z41" i="2"/>
  <c r="Y41" i="2"/>
  <c r="X41" i="2"/>
  <c r="W41" i="2"/>
  <c r="V41" i="2"/>
  <c r="AE40" i="2"/>
  <c r="AD40" i="2"/>
  <c r="AC40" i="2"/>
  <c r="AB40" i="2"/>
  <c r="AA40" i="2"/>
  <c r="Z40" i="2"/>
  <c r="Y40" i="2"/>
  <c r="X40" i="2"/>
  <c r="W40" i="2"/>
  <c r="V40" i="2"/>
  <c r="AE39" i="2"/>
  <c r="AD39" i="2"/>
  <c r="AC39" i="2"/>
  <c r="AB39" i="2"/>
  <c r="AA39" i="2"/>
  <c r="Z39" i="2"/>
  <c r="Y39" i="2"/>
  <c r="X39" i="2"/>
  <c r="W39" i="2"/>
  <c r="V39" i="2"/>
  <c r="AE38" i="2"/>
  <c r="AD38" i="2"/>
  <c r="AC38" i="2"/>
  <c r="AB38" i="2"/>
  <c r="AA38" i="2"/>
  <c r="Z38" i="2"/>
  <c r="Y38" i="2"/>
  <c r="X38" i="2"/>
  <c r="W38" i="2"/>
  <c r="V38" i="2"/>
  <c r="AE37" i="2"/>
  <c r="AD37" i="2"/>
  <c r="AC37" i="2"/>
  <c r="AB37" i="2"/>
  <c r="AA37" i="2"/>
  <c r="Z37" i="2"/>
  <c r="Y37" i="2"/>
  <c r="X37" i="2"/>
  <c r="W37" i="2"/>
  <c r="V37" i="2"/>
  <c r="AE36" i="2"/>
  <c r="AD36" i="2"/>
  <c r="AC36" i="2"/>
  <c r="AB36" i="2"/>
  <c r="AA36" i="2"/>
  <c r="Z36" i="2"/>
  <c r="Y36" i="2"/>
  <c r="X36" i="2"/>
  <c r="W36" i="2"/>
  <c r="V36" i="2"/>
  <c r="AE35" i="2"/>
  <c r="AD35" i="2"/>
  <c r="AC35" i="2"/>
  <c r="AB35" i="2"/>
  <c r="AA35" i="2"/>
  <c r="Z35" i="2"/>
  <c r="Y35" i="2"/>
  <c r="X35" i="2"/>
  <c r="W35" i="2"/>
  <c r="V35" i="2"/>
  <c r="AE34" i="2"/>
  <c r="AD34" i="2"/>
  <c r="AC34" i="2"/>
  <c r="AB34" i="2"/>
  <c r="AA34" i="2"/>
  <c r="Z34" i="2"/>
  <c r="Y34" i="2"/>
  <c r="X34" i="2"/>
  <c r="W34" i="2"/>
  <c r="V34" i="2"/>
  <c r="AE33" i="2"/>
  <c r="AD33" i="2"/>
  <c r="AC33" i="2"/>
  <c r="AB33" i="2"/>
  <c r="AA33" i="2"/>
  <c r="Z33" i="2"/>
  <c r="Y33" i="2"/>
  <c r="X33" i="2"/>
  <c r="W33" i="2"/>
  <c r="V33" i="2"/>
  <c r="AE32" i="2"/>
  <c r="AD32" i="2"/>
  <c r="AC32" i="2"/>
  <c r="AB32" i="2"/>
  <c r="AA32" i="2"/>
  <c r="Z32" i="2"/>
  <c r="Y32" i="2"/>
  <c r="X32" i="2"/>
  <c r="W32" i="2"/>
  <c r="V32" i="2"/>
  <c r="AE31" i="2"/>
  <c r="AD31" i="2"/>
  <c r="AC31" i="2"/>
  <c r="AB31" i="2"/>
  <c r="AA31" i="2"/>
  <c r="Z31" i="2"/>
  <c r="Y31" i="2"/>
  <c r="X31" i="2"/>
  <c r="W31" i="2"/>
  <c r="V31" i="2"/>
  <c r="AE30" i="2"/>
  <c r="AD30" i="2"/>
  <c r="AC30" i="2"/>
  <c r="AB30" i="2"/>
  <c r="AA30" i="2"/>
  <c r="Z30" i="2"/>
  <c r="Y30" i="2"/>
  <c r="X30" i="2"/>
  <c r="W30" i="2"/>
  <c r="V30" i="2"/>
  <c r="AE29" i="2"/>
  <c r="AD29" i="2"/>
  <c r="AC29" i="2"/>
  <c r="AB29" i="2"/>
  <c r="AA29" i="2"/>
  <c r="Z29" i="2"/>
  <c r="Y29" i="2"/>
  <c r="X29" i="2"/>
  <c r="W29" i="2"/>
  <c r="V29" i="2"/>
  <c r="AE28" i="2"/>
  <c r="AD28" i="2"/>
  <c r="AC28" i="2"/>
  <c r="AB28" i="2"/>
  <c r="AA28" i="2"/>
  <c r="Z28" i="2"/>
  <c r="Y28" i="2"/>
  <c r="X28" i="2"/>
  <c r="W28" i="2"/>
  <c r="V28" i="2"/>
  <c r="AE27" i="2"/>
  <c r="AD27" i="2"/>
  <c r="AC27" i="2"/>
  <c r="AB27" i="2"/>
  <c r="AA27" i="2"/>
  <c r="Z27" i="2"/>
  <c r="Y27" i="2"/>
  <c r="X27" i="2"/>
  <c r="W27" i="2"/>
  <c r="V27" i="2"/>
  <c r="AE26" i="2"/>
  <c r="AD26" i="2"/>
  <c r="AC26" i="2"/>
  <c r="AB26" i="2"/>
  <c r="AA26" i="2"/>
  <c r="Z26" i="2"/>
  <c r="Y26" i="2"/>
  <c r="X26" i="2"/>
  <c r="W26" i="2"/>
  <c r="V26" i="2"/>
  <c r="AE25" i="2"/>
  <c r="AD25" i="2"/>
  <c r="AC25" i="2"/>
  <c r="AB25" i="2"/>
  <c r="AA25" i="2"/>
  <c r="Z25" i="2"/>
  <c r="Y25" i="2"/>
  <c r="X25" i="2"/>
  <c r="W25" i="2"/>
  <c r="V25" i="2"/>
  <c r="AE24" i="2"/>
  <c r="AD24" i="2"/>
  <c r="AC24" i="2"/>
  <c r="AB24" i="2"/>
  <c r="AA24" i="2"/>
  <c r="Z24" i="2"/>
  <c r="Y24" i="2"/>
  <c r="X24" i="2"/>
  <c r="W24" i="2"/>
  <c r="V24" i="2"/>
  <c r="AE23" i="2"/>
  <c r="AD23" i="2"/>
  <c r="AC23" i="2"/>
  <c r="AB23" i="2"/>
  <c r="AA23" i="2"/>
  <c r="Z23" i="2"/>
  <c r="Y23" i="2"/>
  <c r="X23" i="2"/>
  <c r="W23" i="2"/>
  <c r="V23" i="2"/>
  <c r="AE22" i="2"/>
  <c r="AD22" i="2"/>
  <c r="AC22" i="2"/>
  <c r="AB22" i="2"/>
  <c r="AA22" i="2"/>
  <c r="Z22" i="2"/>
  <c r="Y22" i="2"/>
  <c r="X22" i="2"/>
  <c r="W22" i="2"/>
  <c r="V22" i="2"/>
  <c r="AE21" i="2"/>
  <c r="AD21" i="2"/>
  <c r="AC21" i="2"/>
  <c r="AB21" i="2"/>
  <c r="AA21" i="2"/>
  <c r="Z21" i="2"/>
  <c r="Y21" i="2"/>
  <c r="X21" i="2"/>
  <c r="W21" i="2"/>
  <c r="V21" i="2"/>
  <c r="AE20" i="2"/>
  <c r="AD20" i="2"/>
  <c r="AC20" i="2"/>
  <c r="AB20" i="2"/>
  <c r="AA20" i="2"/>
  <c r="Z20" i="2"/>
  <c r="Y20" i="2"/>
  <c r="X20" i="2"/>
  <c r="W20" i="2"/>
  <c r="V20" i="2"/>
  <c r="AE19" i="2"/>
  <c r="AD19" i="2"/>
  <c r="AC19" i="2"/>
  <c r="AB19" i="2"/>
  <c r="AA19" i="2"/>
  <c r="Z19" i="2"/>
  <c r="Y19" i="2"/>
  <c r="X19" i="2"/>
  <c r="W19" i="2"/>
  <c r="V19" i="2"/>
  <c r="AE18" i="2"/>
  <c r="AD18" i="2"/>
  <c r="AC18" i="2"/>
  <c r="AB18" i="2"/>
  <c r="AA18" i="2"/>
  <c r="Z18" i="2"/>
  <c r="Y18" i="2"/>
  <c r="X18" i="2"/>
  <c r="W18" i="2"/>
  <c r="V18" i="2"/>
  <c r="AE17" i="2"/>
  <c r="AD17" i="2"/>
  <c r="AC17" i="2"/>
  <c r="AB17" i="2"/>
  <c r="AA17" i="2"/>
  <c r="Z17" i="2"/>
  <c r="Y17" i="2"/>
  <c r="X17" i="2"/>
  <c r="W17" i="2"/>
  <c r="V17" i="2"/>
  <c r="AE16" i="2"/>
  <c r="AD16" i="2"/>
  <c r="AC16" i="2"/>
  <c r="AB16" i="2"/>
  <c r="AA16" i="2"/>
  <c r="Z16" i="2"/>
  <c r="Y16" i="2"/>
  <c r="X16" i="2"/>
  <c r="W16" i="2"/>
  <c r="V16" i="2"/>
  <c r="AE15" i="2"/>
  <c r="AD15" i="2"/>
  <c r="AC15" i="2"/>
  <c r="AB15" i="2"/>
  <c r="AA15" i="2"/>
  <c r="Z15" i="2"/>
  <c r="Y15" i="2"/>
  <c r="X15" i="2"/>
  <c r="W15" i="2"/>
  <c r="V15" i="2"/>
  <c r="AE14" i="2"/>
  <c r="AD14" i="2"/>
  <c r="AC14" i="2"/>
  <c r="AB14" i="2"/>
  <c r="AA14" i="2"/>
  <c r="Z14" i="2"/>
  <c r="Y14" i="2"/>
  <c r="X14" i="2"/>
  <c r="W14" i="2"/>
  <c r="V14" i="2"/>
  <c r="AE13" i="2"/>
  <c r="AD13" i="2"/>
  <c r="AC13" i="2"/>
  <c r="AB13" i="2"/>
  <c r="AA13" i="2"/>
  <c r="Z13" i="2"/>
  <c r="Y13" i="2"/>
  <c r="X13" i="2"/>
  <c r="W13" i="2"/>
  <c r="V13" i="2"/>
  <c r="AE12" i="2"/>
  <c r="AD12" i="2"/>
  <c r="AC12" i="2"/>
  <c r="AB12" i="2"/>
  <c r="AA12" i="2"/>
  <c r="Z12" i="2"/>
  <c r="Y12" i="2"/>
  <c r="X12" i="2"/>
  <c r="W12" i="2"/>
  <c r="V12" i="2"/>
  <c r="AE11" i="2"/>
  <c r="AD11" i="2"/>
  <c r="AC11" i="2"/>
  <c r="AB11" i="2"/>
  <c r="AA11" i="2"/>
  <c r="Z11" i="2"/>
  <c r="Y11" i="2"/>
  <c r="X11" i="2"/>
  <c r="W11" i="2"/>
  <c r="V11" i="2"/>
  <c r="AE10" i="2"/>
  <c r="AD10" i="2"/>
  <c r="AC10" i="2"/>
  <c r="AB10" i="2"/>
  <c r="AA10" i="2"/>
  <c r="Z10" i="2"/>
  <c r="Y10" i="2"/>
  <c r="X10" i="2"/>
  <c r="W10" i="2"/>
  <c r="V10" i="2"/>
  <c r="AE9" i="2"/>
  <c r="AD9" i="2"/>
  <c r="AC9" i="2"/>
  <c r="AB9" i="2"/>
  <c r="AA9" i="2"/>
  <c r="Z9" i="2"/>
  <c r="Y9" i="2"/>
  <c r="X9" i="2"/>
  <c r="W9" i="2"/>
  <c r="V9" i="2"/>
  <c r="AE8" i="2"/>
  <c r="AD8" i="2"/>
  <c r="AC8" i="2"/>
  <c r="AB8" i="2"/>
  <c r="AA8" i="2"/>
  <c r="Z8" i="2"/>
  <c r="Y8" i="2"/>
  <c r="X8" i="2"/>
  <c r="W8" i="2"/>
  <c r="V8" i="2"/>
  <c r="AE7" i="2"/>
  <c r="AD7" i="2"/>
  <c r="AC7" i="2"/>
  <c r="AB7" i="2"/>
  <c r="AA7" i="2"/>
  <c r="Z7" i="2"/>
  <c r="Y7" i="2"/>
  <c r="X7" i="2"/>
  <c r="W7" i="2"/>
  <c r="V7" i="2"/>
  <c r="AE6" i="2"/>
  <c r="AD6" i="2"/>
  <c r="AC6" i="2"/>
  <c r="AB6" i="2"/>
  <c r="AA6" i="2"/>
  <c r="Z6" i="2"/>
  <c r="Y6" i="2"/>
  <c r="X6" i="2"/>
  <c r="W6" i="2"/>
  <c r="V6" i="2"/>
  <c r="AE5" i="2"/>
  <c r="AD5" i="2"/>
  <c r="AC5" i="2"/>
  <c r="AB5" i="2"/>
  <c r="AA5" i="2"/>
  <c r="Z5" i="2"/>
  <c r="Y5" i="2"/>
  <c r="X5" i="2"/>
  <c r="W5" i="2"/>
  <c r="V5" i="2"/>
  <c r="AE4" i="2"/>
  <c r="AD4" i="2"/>
  <c r="AC4" i="2"/>
  <c r="AB4" i="2"/>
  <c r="AA4" i="2"/>
  <c r="Z4" i="2"/>
  <c r="Y4" i="2"/>
  <c r="X4" i="2"/>
  <c r="W4" i="2"/>
  <c r="V4" i="2"/>
  <c r="AE3" i="2"/>
  <c r="AD3" i="2"/>
  <c r="AC3" i="2"/>
  <c r="AB3" i="2"/>
  <c r="AA3" i="2"/>
  <c r="Z3" i="2"/>
  <c r="Y3" i="2"/>
  <c r="X3" i="2"/>
  <c r="W3" i="2"/>
  <c r="V3" i="2"/>
  <c r="AE2" i="2"/>
  <c r="AD2" i="2"/>
  <c r="AC2" i="2"/>
  <c r="AB2" i="2"/>
  <c r="AA2" i="2"/>
  <c r="Z2" i="2"/>
  <c r="Y2" i="2"/>
  <c r="X2" i="2"/>
  <c r="W2" i="2"/>
  <c r="V2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3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2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D1407" i="1" l="1"/>
  <c r="D1394" i="1"/>
  <c r="D1396" i="1"/>
  <c r="D1755" i="1"/>
  <c r="D1731" i="1"/>
  <c r="D1707" i="1"/>
  <c r="D1683" i="1"/>
  <c r="D1659" i="1"/>
  <c r="D1635" i="1"/>
  <c r="D1611" i="1"/>
  <c r="D1587" i="1"/>
  <c r="D1563" i="1"/>
  <c r="D1539" i="1"/>
  <c r="D1503" i="1"/>
  <c r="D1479" i="1"/>
  <c r="D1455" i="1"/>
  <c r="D1431" i="1"/>
  <c r="D1419" i="1"/>
  <c r="D1395" i="1"/>
  <c r="D1778" i="1"/>
  <c r="D1754" i="1"/>
  <c r="D1730" i="1"/>
  <c r="D1694" i="1"/>
  <c r="D1670" i="1"/>
  <c r="D1646" i="1"/>
  <c r="D1622" i="1"/>
  <c r="D1598" i="1"/>
  <c r="D1562" i="1"/>
  <c r="D1538" i="1"/>
  <c r="D1514" i="1"/>
  <c r="D1478" i="1"/>
  <c r="D1454" i="1"/>
  <c r="D1442" i="1"/>
  <c r="D1418" i="1"/>
  <c r="D1406" i="1"/>
  <c r="D1777" i="1"/>
  <c r="D1765" i="1"/>
  <c r="D1753" i="1"/>
  <c r="D1741" i="1"/>
  <c r="D1729" i="1"/>
  <c r="D1717" i="1"/>
  <c r="D1705" i="1"/>
  <c r="D1693" i="1"/>
  <c r="D1681" i="1"/>
  <c r="D1669" i="1"/>
  <c r="D1657" i="1"/>
  <c r="D1645" i="1"/>
  <c r="D1633" i="1"/>
  <c r="D1621" i="1"/>
  <c r="D1609" i="1"/>
  <c r="D1597" i="1"/>
  <c r="D1585" i="1"/>
  <c r="D1573" i="1"/>
  <c r="D1561" i="1"/>
  <c r="D1549" i="1"/>
  <c r="D1537" i="1"/>
  <c r="D1525" i="1"/>
  <c r="D1513" i="1"/>
  <c r="D1501" i="1"/>
  <c r="D1489" i="1"/>
  <c r="D1477" i="1"/>
  <c r="D1465" i="1"/>
  <c r="D1453" i="1"/>
  <c r="D1441" i="1"/>
  <c r="D1429" i="1"/>
  <c r="D1417" i="1"/>
  <c r="D1405" i="1"/>
  <c r="D1779" i="1"/>
  <c r="D1767" i="1"/>
  <c r="D1743" i="1"/>
  <c r="D1719" i="1"/>
  <c r="D1695" i="1"/>
  <c r="D1671" i="1"/>
  <c r="D1647" i="1"/>
  <c r="D1623" i="1"/>
  <c r="D1599" i="1"/>
  <c r="D1575" i="1"/>
  <c r="D1551" i="1"/>
  <c r="D1527" i="1"/>
  <c r="D1515" i="1"/>
  <c r="D1491" i="1"/>
  <c r="D1467" i="1"/>
  <c r="D1443" i="1"/>
  <c r="D1766" i="1"/>
  <c r="D1742" i="1"/>
  <c r="D1718" i="1"/>
  <c r="D1706" i="1"/>
  <c r="D1682" i="1"/>
  <c r="D1658" i="1"/>
  <c r="D1634" i="1"/>
  <c r="D1610" i="1"/>
  <c r="D1586" i="1"/>
  <c r="D1574" i="1"/>
  <c r="D1550" i="1"/>
  <c r="D1526" i="1"/>
  <c r="D1502" i="1"/>
  <c r="D1490" i="1"/>
  <c r="D1466" i="1"/>
  <c r="D1430" i="1"/>
  <c r="D1776" i="1"/>
  <c r="D1764" i="1"/>
  <c r="D1752" i="1"/>
  <c r="D1740" i="1"/>
  <c r="D1728" i="1"/>
  <c r="D1716" i="1"/>
  <c r="D1704" i="1"/>
  <c r="D1692" i="1"/>
  <c r="D1680" i="1"/>
  <c r="D1668" i="1"/>
  <c r="D1656" i="1"/>
  <c r="D1644" i="1"/>
  <c r="D1632" i="1"/>
  <c r="D1620" i="1"/>
  <c r="D1608" i="1"/>
  <c r="D1596" i="1"/>
  <c r="D1584" i="1"/>
  <c r="D1572" i="1"/>
  <c r="D1560" i="1"/>
  <c r="D1548" i="1"/>
  <c r="D1536" i="1"/>
  <c r="D1524" i="1"/>
  <c r="D1512" i="1"/>
  <c r="D1500" i="1"/>
  <c r="D1488" i="1"/>
  <c r="D1476" i="1"/>
  <c r="D1464" i="1"/>
  <c r="D1452" i="1"/>
  <c r="D1440" i="1"/>
  <c r="D1428" i="1"/>
  <c r="D1416" i="1"/>
  <c r="D1404" i="1"/>
  <c r="D1775" i="1"/>
  <c r="D1763" i="1"/>
  <c r="D1751" i="1"/>
  <c r="D1739" i="1"/>
  <c r="D1727" i="1"/>
  <c r="D1715" i="1"/>
  <c r="D1703" i="1"/>
  <c r="D1691" i="1"/>
  <c r="D1679" i="1"/>
  <c r="D1667" i="1"/>
  <c r="D1655" i="1"/>
  <c r="D1643" i="1"/>
  <c r="D1631" i="1"/>
  <c r="D1619" i="1"/>
  <c r="D1607" i="1"/>
  <c r="D1595" i="1"/>
  <c r="D1583" i="1"/>
  <c r="D1571" i="1"/>
  <c r="D1559" i="1"/>
  <c r="D1547" i="1"/>
  <c r="D1535" i="1"/>
  <c r="D1523" i="1"/>
  <c r="D1511" i="1"/>
  <c r="D1499" i="1"/>
  <c r="D1487" i="1"/>
  <c r="D1475" i="1"/>
  <c r="D1463" i="1"/>
  <c r="D1451" i="1"/>
  <c r="D1439" i="1"/>
  <c r="D1427" i="1"/>
  <c r="D1415" i="1"/>
  <c r="D1403" i="1"/>
  <c r="D1774" i="1"/>
  <c r="D1762" i="1"/>
  <c r="D1750" i="1"/>
  <c r="D1738" i="1"/>
  <c r="D1726" i="1"/>
  <c r="D1714" i="1"/>
  <c r="D1702" i="1"/>
  <c r="D1690" i="1"/>
  <c r="D1678" i="1"/>
  <c r="D1666" i="1"/>
  <c r="D1654" i="1"/>
  <c r="D1642" i="1"/>
  <c r="D1630" i="1"/>
  <c r="D1618" i="1"/>
  <c r="D1606" i="1"/>
  <c r="D1594" i="1"/>
  <c r="D1582" i="1"/>
  <c r="D1570" i="1"/>
  <c r="D1558" i="1"/>
  <c r="D1546" i="1"/>
  <c r="D1534" i="1"/>
  <c r="D1522" i="1"/>
  <c r="D1510" i="1"/>
  <c r="D1498" i="1"/>
  <c r="D1486" i="1"/>
  <c r="D1474" i="1"/>
  <c r="D1462" i="1"/>
  <c r="D1450" i="1"/>
  <c r="D1438" i="1"/>
  <c r="D1426" i="1"/>
  <c r="D1414" i="1"/>
  <c r="D1402" i="1"/>
  <c r="D1773" i="1"/>
  <c r="D1761" i="1"/>
  <c r="D1749" i="1"/>
  <c r="D1737" i="1"/>
  <c r="D1725" i="1"/>
  <c r="D1713" i="1"/>
  <c r="D1701" i="1"/>
  <c r="D1689" i="1"/>
  <c r="D1677" i="1"/>
  <c r="D1665" i="1"/>
  <c r="D1653" i="1"/>
  <c r="D1641" i="1"/>
  <c r="D1629" i="1"/>
  <c r="D1617" i="1"/>
  <c r="D1605" i="1"/>
  <c r="D1593" i="1"/>
  <c r="D1581" i="1"/>
  <c r="D1569" i="1"/>
  <c r="D1557" i="1"/>
  <c r="D1545" i="1"/>
  <c r="D1533" i="1"/>
  <c r="D1521" i="1"/>
  <c r="D1509" i="1"/>
  <c r="D1497" i="1"/>
  <c r="D1485" i="1"/>
  <c r="D1473" i="1"/>
  <c r="D1461" i="1"/>
  <c r="D1449" i="1"/>
  <c r="D1437" i="1"/>
  <c r="D1425" i="1"/>
  <c r="D1413" i="1"/>
  <c r="D1401" i="1"/>
  <c r="D1772" i="1"/>
  <c r="D1760" i="1"/>
  <c r="D1748" i="1"/>
  <c r="D1736" i="1"/>
  <c r="D1724" i="1"/>
  <c r="D1712" i="1"/>
  <c r="D1700" i="1"/>
  <c r="D1688" i="1"/>
  <c r="D1676" i="1"/>
  <c r="D1664" i="1"/>
  <c r="D1652" i="1"/>
  <c r="D1640" i="1"/>
  <c r="D1628" i="1"/>
  <c r="D1616" i="1"/>
  <c r="D1604" i="1"/>
  <c r="D1592" i="1"/>
  <c r="D1580" i="1"/>
  <c r="D1568" i="1"/>
  <c r="D1556" i="1"/>
  <c r="D1544" i="1"/>
  <c r="D1532" i="1"/>
  <c r="D1520" i="1"/>
  <c r="D1508" i="1"/>
  <c r="D1496" i="1"/>
  <c r="D1484" i="1"/>
  <c r="D1472" i="1"/>
  <c r="D1460" i="1"/>
  <c r="D1448" i="1"/>
  <c r="D1436" i="1"/>
  <c r="D1424" i="1"/>
  <c r="D1412" i="1"/>
  <c r="D1400" i="1"/>
  <c r="D1783" i="1"/>
  <c r="D1771" i="1"/>
  <c r="D1759" i="1"/>
  <c r="D1747" i="1"/>
  <c r="D1735" i="1"/>
  <c r="D1723" i="1"/>
  <c r="D1711" i="1"/>
  <c r="D1699" i="1"/>
  <c r="D1687" i="1"/>
  <c r="D1675" i="1"/>
  <c r="D1663" i="1"/>
  <c r="D1651" i="1"/>
  <c r="D1639" i="1"/>
  <c r="D1627" i="1"/>
  <c r="D1615" i="1"/>
  <c r="D1603" i="1"/>
  <c r="D1591" i="1"/>
  <c r="D1579" i="1"/>
  <c r="D1567" i="1"/>
  <c r="D1555" i="1"/>
  <c r="D1543" i="1"/>
  <c r="D1531" i="1"/>
  <c r="D1519" i="1"/>
  <c r="D1507" i="1"/>
  <c r="D1495" i="1"/>
  <c r="D1483" i="1"/>
  <c r="D1471" i="1"/>
  <c r="D1459" i="1"/>
  <c r="D1447" i="1"/>
  <c r="D1435" i="1"/>
  <c r="D1423" i="1"/>
  <c r="D1411" i="1"/>
  <c r="D1399" i="1"/>
  <c r="D1782" i="1"/>
  <c r="D1770" i="1"/>
  <c r="D1758" i="1"/>
  <c r="D1746" i="1"/>
  <c r="D1734" i="1"/>
  <c r="D1722" i="1"/>
  <c r="D1710" i="1"/>
  <c r="D1698" i="1"/>
  <c r="D1686" i="1"/>
  <c r="D1674" i="1"/>
  <c r="D1662" i="1"/>
  <c r="D1650" i="1"/>
  <c r="D1638" i="1"/>
  <c r="D1626" i="1"/>
  <c r="D1614" i="1"/>
  <c r="D1602" i="1"/>
  <c r="D1590" i="1"/>
  <c r="D1578" i="1"/>
  <c r="D1566" i="1"/>
  <c r="D1554" i="1"/>
  <c r="D1542" i="1"/>
  <c r="D1530" i="1"/>
  <c r="D1518" i="1"/>
  <c r="D1506" i="1"/>
  <c r="D1494" i="1"/>
  <c r="D1482" i="1"/>
  <c r="D1470" i="1"/>
  <c r="D1458" i="1"/>
  <c r="D1446" i="1"/>
  <c r="D1434" i="1"/>
  <c r="D1422" i="1"/>
  <c r="D1410" i="1"/>
  <c r="D1398" i="1"/>
  <c r="D1781" i="1"/>
  <c r="D1769" i="1"/>
  <c r="D1757" i="1"/>
  <c r="D1745" i="1"/>
  <c r="D1733" i="1"/>
  <c r="D1721" i="1"/>
  <c r="D1709" i="1"/>
  <c r="D1697" i="1"/>
  <c r="D1685" i="1"/>
  <c r="D1673" i="1"/>
  <c r="D1661" i="1"/>
  <c r="D1649" i="1"/>
  <c r="D1637" i="1"/>
  <c r="D1625" i="1"/>
  <c r="D1613" i="1"/>
  <c r="D1601" i="1"/>
  <c r="D1589" i="1"/>
  <c r="D1577" i="1"/>
  <c r="D1565" i="1"/>
  <c r="D1553" i="1"/>
  <c r="D1541" i="1"/>
  <c r="D1529" i="1"/>
  <c r="D1517" i="1"/>
  <c r="D1505" i="1"/>
  <c r="D1493" i="1"/>
  <c r="D1481" i="1"/>
  <c r="D1469" i="1"/>
  <c r="D1457" i="1"/>
  <c r="D1445" i="1"/>
  <c r="D1433" i="1"/>
  <c r="D1421" i="1"/>
  <c r="D1409" i="1"/>
  <c r="D1397" i="1"/>
  <c r="D1780" i="1"/>
  <c r="D1768" i="1"/>
  <c r="D1756" i="1"/>
  <c r="D1744" i="1"/>
  <c r="D1732" i="1"/>
  <c r="D1720" i="1"/>
  <c r="D1708" i="1"/>
  <c r="D1696" i="1"/>
  <c r="D1684" i="1"/>
  <c r="D1672" i="1"/>
  <c r="D1660" i="1"/>
  <c r="D1648" i="1"/>
  <c r="D1636" i="1"/>
  <c r="D1624" i="1"/>
  <c r="D1612" i="1"/>
  <c r="D1600" i="1"/>
  <c r="D1588" i="1"/>
  <c r="D1576" i="1"/>
  <c r="D1564" i="1"/>
  <c r="D1552" i="1"/>
  <c r="D1540" i="1"/>
  <c r="D1528" i="1"/>
  <c r="D1516" i="1"/>
  <c r="D1504" i="1"/>
  <c r="D1492" i="1"/>
  <c r="D1480" i="1"/>
  <c r="D1468" i="1"/>
  <c r="D1456" i="1"/>
  <c r="D1444" i="1"/>
  <c r="D1432" i="1"/>
  <c r="D1420" i="1"/>
  <c r="D1408" i="1"/>
  <c r="D1378" i="1"/>
  <c r="D1377" i="1"/>
  <c r="D1313" i="1"/>
  <c r="D1317" i="1"/>
  <c r="D1364" i="1"/>
  <c r="D1352" i="1"/>
  <c r="D1305" i="1"/>
  <c r="D1283" i="1"/>
  <c r="D1268" i="1"/>
  <c r="D1280" i="1"/>
  <c r="D1318" i="1"/>
  <c r="D1334" i="1"/>
  <c r="D1350" i="1"/>
  <c r="D1365" i="1"/>
  <c r="D1368" i="1"/>
  <c r="D1353" i="1"/>
  <c r="D1284" i="1"/>
  <c r="D1282" i="1"/>
  <c r="D1349" i="1"/>
  <c r="D1344" i="1"/>
  <c r="D1299" i="1"/>
  <c r="D1267" i="1"/>
  <c r="D1269" i="1"/>
  <c r="D1281" i="1"/>
  <c r="D1319" i="1"/>
  <c r="D1335" i="1"/>
  <c r="D1351" i="1"/>
  <c r="D1366" i="1"/>
  <c r="D1369" i="1"/>
  <c r="D1270" i="1"/>
  <c r="D1333" i="1"/>
  <c r="D1367" i="1"/>
  <c r="D1341" i="1"/>
  <c r="D1298" i="1"/>
  <c r="D1265" i="1"/>
  <c r="D1273" i="1"/>
  <c r="D1303" i="1"/>
  <c r="D1320" i="1"/>
  <c r="D1336" i="1"/>
  <c r="D1355" i="1"/>
  <c r="D1379" i="1"/>
  <c r="D1370" i="1"/>
  <c r="D1340" i="1"/>
  <c r="D1297" i="1"/>
  <c r="D1266" i="1"/>
  <c r="D1271" i="1"/>
  <c r="D1304" i="1"/>
  <c r="D1321" i="1"/>
  <c r="D1337" i="1"/>
  <c r="D1356" i="1"/>
  <c r="D1380" i="1"/>
  <c r="D1371" i="1"/>
  <c r="D1339" i="1"/>
  <c r="D1291" i="1"/>
  <c r="D1300" i="1"/>
  <c r="D1272" i="1"/>
  <c r="D1307" i="1"/>
  <c r="D1328" i="1"/>
  <c r="D1342" i="1"/>
  <c r="D1357" i="1"/>
  <c r="D1381" i="1"/>
  <c r="D1372" i="1"/>
  <c r="D1338" i="1"/>
  <c r="D1290" i="1"/>
  <c r="D1302" i="1"/>
  <c r="D1276" i="1"/>
  <c r="D1308" i="1"/>
  <c r="D1327" i="1"/>
  <c r="D1306" i="1"/>
  <c r="D1358" i="1"/>
  <c r="D1382" i="1"/>
  <c r="D1373" i="1"/>
  <c r="D1324" i="1"/>
  <c r="D1289" i="1"/>
  <c r="D1292" i="1"/>
  <c r="D1274" i="1"/>
  <c r="D1309" i="1"/>
  <c r="D1329" i="1"/>
  <c r="D1343" i="1"/>
  <c r="D1359" i="1"/>
  <c r="D1383" i="1"/>
  <c r="D1374" i="1"/>
  <c r="D1301" i="1"/>
  <c r="D1323" i="1"/>
  <c r="D1288" i="1"/>
  <c r="D1293" i="1"/>
  <c r="D1275" i="1"/>
  <c r="D1310" i="1"/>
  <c r="D1326" i="1"/>
  <c r="D1345" i="1"/>
  <c r="D1360" i="1"/>
  <c r="D1384" i="1"/>
  <c r="D1375" i="1"/>
  <c r="D1325" i="1"/>
  <c r="D1322" i="1"/>
  <c r="D1287" i="1"/>
  <c r="D1294" i="1"/>
  <c r="D1279" i="1"/>
  <c r="D1311" i="1"/>
  <c r="D1331" i="1"/>
  <c r="D1346" i="1"/>
  <c r="D1361" i="1"/>
  <c r="D1385" i="1"/>
  <c r="D1376" i="1"/>
  <c r="D1388" i="1"/>
  <c r="D1315" i="1"/>
  <c r="D1286" i="1"/>
  <c r="D1295" i="1"/>
  <c r="D1277" i="1"/>
  <c r="D1312" i="1"/>
  <c r="D1330" i="1"/>
  <c r="D1347" i="1"/>
  <c r="D1362" i="1"/>
  <c r="D1386" i="1"/>
  <c r="D1354" i="1"/>
  <c r="D1314" i="1"/>
  <c r="D1285" i="1"/>
  <c r="D1296" i="1"/>
  <c r="D1278" i="1"/>
  <c r="D1316" i="1"/>
  <c r="D1332" i="1"/>
  <c r="D1348" i="1"/>
  <c r="D1363" i="1"/>
  <c r="D1387" i="1"/>
  <c r="D1258" i="1"/>
  <c r="D1257" i="1"/>
  <c r="A1224" i="1"/>
  <c r="A1225" i="1" s="1"/>
  <c r="A1226" i="1" s="1"/>
  <c r="D1232" i="1"/>
  <c r="D1242" i="1"/>
  <c r="D1233" i="1"/>
  <c r="D1243" i="1"/>
  <c r="D1259" i="1"/>
  <c r="D1224" i="1"/>
  <c r="D1245" i="1"/>
  <c r="D1253" i="1"/>
  <c r="D1256" i="1"/>
  <c r="D1225" i="1"/>
  <c r="D1238" i="1"/>
  <c r="D1254" i="1"/>
  <c r="D1260" i="1"/>
  <c r="D1226" i="1"/>
  <c r="D1246" i="1"/>
  <c r="D1255" i="1"/>
  <c r="D1244" i="1"/>
  <c r="D1227" i="1"/>
  <c r="D1247" i="1"/>
  <c r="D1237" i="1"/>
  <c r="D1228" i="1"/>
  <c r="D1248" i="1"/>
  <c r="D1231" i="1"/>
  <c r="D1235" i="1"/>
  <c r="D1249" i="1"/>
  <c r="D1230" i="1"/>
  <c r="D1236" i="1"/>
  <c r="D1250" i="1"/>
  <c r="D1229" i="1"/>
  <c r="D1239" i="1"/>
  <c r="D1251" i="1"/>
  <c r="D1223" i="1"/>
  <c r="D1240" i="1"/>
  <c r="D1252" i="1"/>
  <c r="D1234" i="1"/>
  <c r="D1241" i="1"/>
  <c r="A1227" i="1" l="1"/>
  <c r="A1228" i="1" l="1"/>
  <c r="A1229" i="1" l="1"/>
  <c r="A1230" i="1" s="1"/>
  <c r="A1231" i="1" s="1"/>
  <c r="A1232" i="1" l="1"/>
  <c r="A1233" i="1" s="1"/>
  <c r="A1234" i="1" s="1"/>
  <c r="A1235" i="1" l="1"/>
  <c r="A1236" i="1" l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l="1"/>
  <c r="A1256" i="1" s="1"/>
  <c r="A1257" i="1" s="1"/>
  <c r="A1258" i="1" s="1"/>
  <c r="A1259" i="1" s="1"/>
  <c r="A1260" i="1" s="1"/>
</calcChain>
</file>

<file path=xl/sharedStrings.xml><?xml version="1.0" encoding="utf-8"?>
<sst xmlns="http://schemas.openxmlformats.org/spreadsheetml/2006/main" count="52258" uniqueCount="6293">
  <si>
    <t>#</t>
  </si>
  <si>
    <t>LEVEL</t>
  </si>
  <si>
    <t>LABEL</t>
  </si>
  <si>
    <t>WBS CODE</t>
  </si>
  <si>
    <t>LVL 1</t>
  </si>
  <si>
    <t>LVL 2</t>
  </si>
  <si>
    <t>LVL 3</t>
  </si>
  <si>
    <t>LVL 4</t>
  </si>
  <si>
    <t>LVL 5</t>
  </si>
  <si>
    <t>Tag_Level_2</t>
  </si>
  <si>
    <t>Tag_Level_3</t>
  </si>
  <si>
    <t>Tag_Level_4</t>
  </si>
  <si>
    <t>Tag_LVL5</t>
  </si>
  <si>
    <t>Tag_Well_Pad</t>
  </si>
  <si>
    <t>Tag_Well_or_Pad</t>
  </si>
  <si>
    <t>01</t>
  </si>
  <si>
    <t>DRJ Drilling MUW 2023</t>
  </si>
  <si>
    <t>E530-30-D235301</t>
  </si>
  <si>
    <t>02</t>
  </si>
  <si>
    <t>Surface Facilities Cost</t>
  </si>
  <si>
    <t>E530-30203-D235301</t>
  </si>
  <si>
    <t>03</t>
  </si>
  <si>
    <t>Tie-in Pad 20</t>
  </si>
  <si>
    <t>E530-3020390-D235301</t>
  </si>
  <si>
    <t>Pad 20</t>
  </si>
  <si>
    <t>Pad</t>
  </si>
  <si>
    <t>04</t>
  </si>
  <si>
    <t>Tie In - Const Pad 20</t>
  </si>
  <si>
    <t>E530-302039009-D235301</t>
  </si>
  <si>
    <t>Construction</t>
  </si>
  <si>
    <t>05</t>
  </si>
  <si>
    <t>Tie In-Inst,HookUp&amp;Pre-Comm Pad 20</t>
  </si>
  <si>
    <t>E530-30203900963-D235301</t>
  </si>
  <si>
    <t>Installation, Hook Up &amp; Pre-Commisioning</t>
  </si>
  <si>
    <t>Tie In - Proc Pad 20</t>
  </si>
  <si>
    <t>E530-302039008-D235301</t>
  </si>
  <si>
    <t>Procurement</t>
  </si>
  <si>
    <t>Tie In-Material Non LL Pad 20</t>
  </si>
  <si>
    <t>E530-30203900821-D235301</t>
  </si>
  <si>
    <t>Material - Non LL</t>
  </si>
  <si>
    <t>Tie In-Material LL Pad 20</t>
  </si>
  <si>
    <t>E530-30203900860-D235301</t>
  </si>
  <si>
    <t>Material - LL</t>
  </si>
  <si>
    <t>Tie In - Eng Pad 20</t>
  </si>
  <si>
    <t>E530-302039007-D235301</t>
  </si>
  <si>
    <t>Engineering</t>
  </si>
  <si>
    <t>Tie In-Eng Pad 20</t>
  </si>
  <si>
    <t>E530-30203900759-D235301</t>
  </si>
  <si>
    <t>Tie-in Pad 14</t>
  </si>
  <si>
    <t>E530-3020389-D235301</t>
  </si>
  <si>
    <t>Pad 14</t>
  </si>
  <si>
    <t>Tie In - Const Pad 14</t>
  </si>
  <si>
    <t>E530-302038909-D235301</t>
  </si>
  <si>
    <t>Tie In-Inst,HookUp&amp;Pre-Comm Pad 14</t>
  </si>
  <si>
    <t>E530-30203890963-D235301</t>
  </si>
  <si>
    <t>Tie In - Proc Pad 14</t>
  </si>
  <si>
    <t>E530-302038908-D235301</t>
  </si>
  <si>
    <t>Tie In-Material Non LL Pad 14</t>
  </si>
  <si>
    <t>E530-30203890821-D235301</t>
  </si>
  <si>
    <t>Tie In-Material LL Pad 14</t>
  </si>
  <si>
    <t>E530-30203890860-D235301</t>
  </si>
  <si>
    <t>Tie In - Eng Pad 14</t>
  </si>
  <si>
    <t>E530-302038907-D235301</t>
  </si>
  <si>
    <t>Tie In-Eng Pad 14</t>
  </si>
  <si>
    <t>E530-30203890759-D235301</t>
  </si>
  <si>
    <t>Tie-in Pad 18</t>
  </si>
  <si>
    <t>E530-3020388-D235301</t>
  </si>
  <si>
    <t>Pad 18</t>
  </si>
  <si>
    <t>Tie In - Const Pad 18</t>
  </si>
  <si>
    <t>E530-302038809-D235301</t>
  </si>
  <si>
    <t>Tie In-Inst,HookUp&amp;Pre-Comm Pad 18</t>
  </si>
  <si>
    <t>E530-30203880963-D235301</t>
  </si>
  <si>
    <t>Tie In - Proc Pad 18</t>
  </si>
  <si>
    <t>E530-302038808-D235301</t>
  </si>
  <si>
    <t>Tie In-Material Non LL Pad 18</t>
  </si>
  <si>
    <t>E530-30203880821-D235301</t>
  </si>
  <si>
    <t>Tie In-Material LL Pad 18</t>
  </si>
  <si>
    <t>E530-30203880860-D235301</t>
  </si>
  <si>
    <t>Tie In - Eng Pad 18</t>
  </si>
  <si>
    <t>E530-302038807-D235301</t>
  </si>
  <si>
    <t>Tie In-Eng Pad 18</t>
  </si>
  <si>
    <t>E530-30203880759-D235301</t>
  </si>
  <si>
    <t>Tie-in Pad 15</t>
  </si>
  <si>
    <t>E530-3020387-D235301</t>
  </si>
  <si>
    <t>Pad 15</t>
  </si>
  <si>
    <t>Tie In - Const Pad 15</t>
  </si>
  <si>
    <t>E530-302038709-D235301</t>
  </si>
  <si>
    <t>Tie In-Inst,HookUp&amp;Pre-Comm Pad 15</t>
  </si>
  <si>
    <t>E530-30203870963-D235301</t>
  </si>
  <si>
    <t>Tie In - Proc Pad 15</t>
  </si>
  <si>
    <t>E530-302038708-D235301</t>
  </si>
  <si>
    <t>Tie In-Material Non LL Pad 15</t>
  </si>
  <si>
    <t>E530-30203870821-D235301</t>
  </si>
  <si>
    <t>Tie In-Material LL Pad 15</t>
  </si>
  <si>
    <t>E530-30203870860-D235301</t>
  </si>
  <si>
    <t>Tie In - Eng Pad 15</t>
  </si>
  <si>
    <t>E530-302038707-D235301</t>
  </si>
  <si>
    <t>Tie In-Eng Pad 15</t>
  </si>
  <si>
    <t>E530-30203870759-D235301</t>
  </si>
  <si>
    <t>Special Requirement Existing - Pad 20</t>
  </si>
  <si>
    <t>E530-3020394-D235301</t>
  </si>
  <si>
    <t>Special Requirement Existing Pad</t>
  </si>
  <si>
    <t>Spec Req - Const Pad 20</t>
  </si>
  <si>
    <t>E530-302039409-D235301</t>
  </si>
  <si>
    <t>Spec Req Const Pad 20</t>
  </si>
  <si>
    <t>E530-30203940962-D235301</t>
  </si>
  <si>
    <t>Spec Req - Proc Pad 20</t>
  </si>
  <si>
    <t>E530-302039408-D235301</t>
  </si>
  <si>
    <t>Spec Req Material Non LL Pad 20</t>
  </si>
  <si>
    <t>E530-30203940821-D235301</t>
  </si>
  <si>
    <t>Spec Req Material LL Pad 20</t>
  </si>
  <si>
    <t>E530-30203940860-D235301</t>
  </si>
  <si>
    <t>Spec Req - Eng Pad 20</t>
  </si>
  <si>
    <t>E530-302039407-D235301</t>
  </si>
  <si>
    <t>Spec Req Eng Pad 20</t>
  </si>
  <si>
    <t>E530-30203940759-D235301</t>
  </si>
  <si>
    <t>Special Requirement Existing - Pad 14</t>
  </si>
  <si>
    <t>E530-3020393-D235301</t>
  </si>
  <si>
    <t>Spec Req - Const Pad 14</t>
  </si>
  <si>
    <t>E530-302039309-D235301</t>
  </si>
  <si>
    <t>Spec Req Const Pad 14</t>
  </si>
  <si>
    <t>E530-30203930962-D235301</t>
  </si>
  <si>
    <t>Spec Req - Proc Pad 14</t>
  </si>
  <si>
    <t>E530-302039308-D235301</t>
  </si>
  <si>
    <t>Spec Req Material Non LL Pad 14</t>
  </si>
  <si>
    <t>E530-30203930821-D235301</t>
  </si>
  <si>
    <t>Spec Req Material LL Pad 14</t>
  </si>
  <si>
    <t>E530-30203930860-D235301</t>
  </si>
  <si>
    <t>Spec Req - Eng Pad 14</t>
  </si>
  <si>
    <t>E530-302039307-D235301</t>
  </si>
  <si>
    <t>Spec Req Eng Pad 14</t>
  </si>
  <si>
    <t>E530-30203930759-D235301</t>
  </si>
  <si>
    <t>Special Requirement Existing - Pad 18</t>
  </si>
  <si>
    <t>E530-3020392-D235301</t>
  </si>
  <si>
    <t>Spec Req - Const Pad 18</t>
  </si>
  <si>
    <t>E530-302039209-D235301</t>
  </si>
  <si>
    <t>Spec Req Const Pad 18</t>
  </si>
  <si>
    <t>E530-30203920962-D235301</t>
  </si>
  <si>
    <t>Spec Req - Proc Pad 18</t>
  </si>
  <si>
    <t>E530-302039208-D235301</t>
  </si>
  <si>
    <t>Spec Req Material Non LL Pad 18</t>
  </si>
  <si>
    <t>E530-30203920821-D235301</t>
  </si>
  <si>
    <t>Spec Req Material LL Pad 18</t>
  </si>
  <si>
    <t>E530-30203920860-D235301</t>
  </si>
  <si>
    <t>Spec Req - Eng Pad 18</t>
  </si>
  <si>
    <t>E530-302039207-D235301</t>
  </si>
  <si>
    <t>Spec Req Eng Pad 18</t>
  </si>
  <si>
    <t>E530-30203920759-D235301</t>
  </si>
  <si>
    <t>Road and Pad - Pad 20</t>
  </si>
  <si>
    <t>E530-3020386-D235301</t>
  </si>
  <si>
    <t>Road &amp; Pad</t>
  </si>
  <si>
    <t>Road &amp; Pad - Const Pad 20</t>
  </si>
  <si>
    <t>E530-302038609-D235301</t>
  </si>
  <si>
    <t>Road &amp; Pad Const Pad 20</t>
  </si>
  <si>
    <t>E530-30203860962-D235301</t>
  </si>
  <si>
    <t>Road &amp; Pad - Proc Pad 20</t>
  </si>
  <si>
    <t>E530-302038608-D235301</t>
  </si>
  <si>
    <t>Road &amp; Pad Material Non LL Pad 20</t>
  </si>
  <si>
    <t>E530-30203860821-D235301</t>
  </si>
  <si>
    <t>Road &amp; Pad Material LL Pad 20</t>
  </si>
  <si>
    <t>E530-30203860860-D235301</t>
  </si>
  <si>
    <t>Road &amp; Pad - Eng Pad 20</t>
  </si>
  <si>
    <t>E530-302038607-D235301</t>
  </si>
  <si>
    <t>Road &amp; Pad Eng Pad 20</t>
  </si>
  <si>
    <t>E530-30203860759-D235301</t>
  </si>
  <si>
    <t>Road and Pad - Pad 14</t>
  </si>
  <si>
    <t>E530-3020385-D235301</t>
  </si>
  <si>
    <t>Road &amp; Pad - Const Pad 14</t>
  </si>
  <si>
    <t>E530-302038509-D235301</t>
  </si>
  <si>
    <t>Road &amp; Pad Const Pad 14</t>
  </si>
  <si>
    <t>E530-30203850962-D235301</t>
  </si>
  <si>
    <t>Road &amp; Pad - Proc Pad 14</t>
  </si>
  <si>
    <t>E530-302038508-D235301</t>
  </si>
  <si>
    <t>Road &amp; Pad Material Non LL Pad 14</t>
  </si>
  <si>
    <t>E530-30203850821-D235301</t>
  </si>
  <si>
    <t>Road &amp; Pad Material LL Pad 14</t>
  </si>
  <si>
    <t>E530-30203850860-D235301</t>
  </si>
  <si>
    <t>Road &amp; Pad - Eng Pad 14</t>
  </si>
  <si>
    <t>E530-302038507-D235301</t>
  </si>
  <si>
    <t>Road &amp; Pad Eng Pad 14</t>
  </si>
  <si>
    <t>E530-30203850759-D235301</t>
  </si>
  <si>
    <t>Road and Pad - Pad 18</t>
  </si>
  <si>
    <t>E530-3020384-D235301</t>
  </si>
  <si>
    <t>Road &amp; Pad - Const Pad 18</t>
  </si>
  <si>
    <t>E530-302038409-D235301</t>
  </si>
  <si>
    <t>Road &amp; Pad Const Pad 18</t>
  </si>
  <si>
    <t>E530-30203840962-D235301</t>
  </si>
  <si>
    <t>Road &amp; Pad - Proc Pad 18</t>
  </si>
  <si>
    <t>E530-302038408-D235301</t>
  </si>
  <si>
    <t>Road &amp; Pad Material Non LL Pad 18</t>
  </si>
  <si>
    <t>E530-30203840821-D235301</t>
  </si>
  <si>
    <t>Road &amp; Pad Material LL Pad 18</t>
  </si>
  <si>
    <t>E530-30203840860-D235301</t>
  </si>
  <si>
    <t>Road &amp; Pad - Eng Pad 18</t>
  </si>
  <si>
    <t>E530-302038407-D235301</t>
  </si>
  <si>
    <t>Road &amp; Pad Eng Pad 18</t>
  </si>
  <si>
    <t>E530-30203840759-D235301</t>
  </si>
  <si>
    <t>Road and Pad - Pad 15</t>
  </si>
  <si>
    <t>E530-3020383-D235301</t>
  </si>
  <si>
    <t>Road &amp; Pad - Const Pad 15</t>
  </si>
  <si>
    <t>E530-302038309-D235301</t>
  </si>
  <si>
    <t>Road &amp; Pad Const Pad 15</t>
  </si>
  <si>
    <t>E530-30203830962-D235301</t>
  </si>
  <si>
    <t>Road &amp; Pad - Proc Pad 15</t>
  </si>
  <si>
    <t>E530-302038308-D235301</t>
  </si>
  <si>
    <t>Road &amp; Pad Material Non LL Pad 15</t>
  </si>
  <si>
    <t>E530-30203830821-D235301</t>
  </si>
  <si>
    <t>Road &amp; Pad Material LL Pad 15</t>
  </si>
  <si>
    <t>E530-30203830860-D235301</t>
  </si>
  <si>
    <t>Road &amp; Pad - Eng Pad 15</t>
  </si>
  <si>
    <t>E530-302038307-D235301</t>
  </si>
  <si>
    <t>Road &amp; Pad Eng Pad 15</t>
  </si>
  <si>
    <t>E530-30203830759-D235301</t>
  </si>
  <si>
    <t>Conductor casing installation and materi</t>
  </si>
  <si>
    <t>E530-3020374-D235301</t>
  </si>
  <si>
    <t>Conductor Casing Installation &amp; Material</t>
  </si>
  <si>
    <t>Conductor Casing Inst &amp; Mat  DRJ-Steam 6</t>
  </si>
  <si>
    <t>E530-302037406-D235301</t>
  </si>
  <si>
    <t>DRJ-Steam 6</t>
  </si>
  <si>
    <t>Well</t>
  </si>
  <si>
    <t>Cdtr Csg Material  DRJ-Steam 6 (Pad 20)</t>
  </si>
  <si>
    <t>E530-30203740660-D235301</t>
  </si>
  <si>
    <t>Material</t>
  </si>
  <si>
    <t>Cdtr Csg Service  DRJ-Steam 6  (Pad 20)</t>
  </si>
  <si>
    <t>E530-30203740603-D235301</t>
  </si>
  <si>
    <t>Service</t>
  </si>
  <si>
    <t>Conductor Casing Inst &amp; Mat  DRJ-Steam 5</t>
  </si>
  <si>
    <t>E530-302037405-D235301</t>
  </si>
  <si>
    <t>DRJ-Steam 5</t>
  </si>
  <si>
    <t>Cdtr Csg Material  DRJ-Steam 5 (Pad 20)</t>
  </si>
  <si>
    <t>E530-30203740560-D235301</t>
  </si>
  <si>
    <t>Cdtr Csg Service  DRJ-Steam 5 (Pad 20)</t>
  </si>
  <si>
    <t>E530-30203740503-D235301</t>
  </si>
  <si>
    <t>Conductor Casing Inst &amp; Mat  DRJ-Steam 4</t>
  </si>
  <si>
    <t>E530-302037404-D235301</t>
  </si>
  <si>
    <t>DRJ-Steam 4</t>
  </si>
  <si>
    <t>Cdtr Csg Material  DRJ-Steam 4 (Pad 20)</t>
  </si>
  <si>
    <t>E530-30203740460-D235301</t>
  </si>
  <si>
    <t>Cdtr Csg Service  DRJ-Steam 4 (Pad 20)</t>
  </si>
  <si>
    <t>E530-30203740403-D235301</t>
  </si>
  <si>
    <t>Conductor Casing Inst &amp; Mat  DRJ-Steam 3</t>
  </si>
  <si>
    <t>E530-302037403-D235301</t>
  </si>
  <si>
    <t>DRJ-Steam 3</t>
  </si>
  <si>
    <t>Cdtr Csg Material  DRJ-Steam 3 (Pad 18)</t>
  </si>
  <si>
    <t>E530-30203740360-D235301</t>
  </si>
  <si>
    <t>Cdtr Csg Service  DRJ-Steam 3 (Pad 18)</t>
  </si>
  <si>
    <t>E530-30203740303-D235301</t>
  </si>
  <si>
    <t>Conductor Casing Inst &amp; Mat  DRJ-Steam 2</t>
  </si>
  <si>
    <t>E530-302037402-D235301</t>
  </si>
  <si>
    <t>DRJ-Steam 2</t>
  </si>
  <si>
    <t>Cdtr Csg Material  DRJ-Steam 2 (Pad 14)</t>
  </si>
  <si>
    <t>E530-30203740260-D235301</t>
  </si>
  <si>
    <t>Cdtr Csg Service  DRJ-Steam 2 (Pad 14)</t>
  </si>
  <si>
    <t>E530-30203740203-D235301</t>
  </si>
  <si>
    <t>Conductor Casing Inst &amp; Mat  DRJ-Steam 1</t>
  </si>
  <si>
    <t>E530-302037401-D235301</t>
  </si>
  <si>
    <t>DRJ-Steam 1</t>
  </si>
  <si>
    <t>Cdtr Csg Material  DRJ-Steam 1 (Pad 15)</t>
  </si>
  <si>
    <t>E530-30203740160-D235301</t>
  </si>
  <si>
    <t>Cdtr Csg Service  DRJ-Steam 1 (Pad 15)</t>
  </si>
  <si>
    <t>E530-30203740103-D235301</t>
  </si>
  <si>
    <t>Support Cost</t>
  </si>
  <si>
    <t>E530-30129-D235301</t>
  </si>
  <si>
    <t>Permitting (IPPKH/IPJLPB)</t>
  </si>
  <si>
    <t>E530-3012991-D235301</t>
  </si>
  <si>
    <t>E530-301299127-D235301</t>
  </si>
  <si>
    <t>Hardware Supply</t>
  </si>
  <si>
    <t>E530-30129912724-D235301</t>
  </si>
  <si>
    <t>Permitting</t>
  </si>
  <si>
    <t>IT+ Communication</t>
  </si>
  <si>
    <t>E530-3012982-D235301</t>
  </si>
  <si>
    <t>IT &amp; Communication</t>
  </si>
  <si>
    <t>E530-301298264-D235301</t>
  </si>
  <si>
    <t>Drilling Facilities Support</t>
  </si>
  <si>
    <t>E530-30129826460-D235301</t>
  </si>
  <si>
    <t>E530-3012914-D235301</t>
  </si>
  <si>
    <t>E530-301291463-D235301</t>
  </si>
  <si>
    <t>Drilling Operation Water Support</t>
  </si>
  <si>
    <t>E530-30129146321-D235301</t>
  </si>
  <si>
    <t>Drilling Operation water support</t>
  </si>
  <si>
    <t>E530-3012981-D235301</t>
  </si>
  <si>
    <t>E530-301298160-D235301</t>
  </si>
  <si>
    <t>E530-30129816043-D235301</t>
  </si>
  <si>
    <t>Well Insurance</t>
  </si>
  <si>
    <t>E530-3012979-D235301</t>
  </si>
  <si>
    <t>Insurance  DRJ-Steam 6</t>
  </si>
  <si>
    <t>E530-301297906-D235301</t>
  </si>
  <si>
    <t>E530-30129790606-D235301</t>
  </si>
  <si>
    <t>Insurance</t>
  </si>
  <si>
    <t>Insurance  DRJ-Steam 5</t>
  </si>
  <si>
    <t>E530-301297905-D235301</t>
  </si>
  <si>
    <t>E530-30129790505-D235301</t>
  </si>
  <si>
    <t>Insurance  DRJ-Steam 4</t>
  </si>
  <si>
    <t>E530-301297904-D235301</t>
  </si>
  <si>
    <t>E530-30129790404-D235301</t>
  </si>
  <si>
    <t>Insurance  DRJ-Steam 3</t>
  </si>
  <si>
    <t>E530-301297903-D235301</t>
  </si>
  <si>
    <t>E530-30129790303-D235301</t>
  </si>
  <si>
    <t>Insurance  DRJ-Steam 2</t>
  </si>
  <si>
    <t>E530-301297902-D235301</t>
  </si>
  <si>
    <t>E530-30129790202-D235301</t>
  </si>
  <si>
    <t>Insurance  DRJ-Steam 1</t>
  </si>
  <si>
    <t>E530-301297901-D235301</t>
  </si>
  <si>
    <t>E530-30129790101-D235301</t>
  </si>
  <si>
    <t>PGPA + security</t>
  </si>
  <si>
    <t>E530-3012978-D235301</t>
  </si>
  <si>
    <t>PGPA &amp; Security</t>
  </si>
  <si>
    <t>Security</t>
  </si>
  <si>
    <t>E530-301297856-D235301</t>
  </si>
  <si>
    <t>E530-30129785627-D235301</t>
  </si>
  <si>
    <t>PGPA</t>
  </si>
  <si>
    <t>E530-301297862-D235301</t>
  </si>
  <si>
    <t>E530-30129786227-D235301</t>
  </si>
  <si>
    <t>SHE</t>
  </si>
  <si>
    <t>E530-3012977-D235301</t>
  </si>
  <si>
    <t>SHE Permit</t>
  </si>
  <si>
    <t>E530-301297727-D235301</t>
  </si>
  <si>
    <t>Environment Permit</t>
  </si>
  <si>
    <t>E530-30129772724-D235301</t>
  </si>
  <si>
    <t>Environmental Monitoring</t>
  </si>
  <si>
    <t>E530-301297759-D235301</t>
  </si>
  <si>
    <t>E530-30129775920-D235301</t>
  </si>
  <si>
    <t>Hazardous Waste</t>
  </si>
  <si>
    <t>E530-301297757-D235301</t>
  </si>
  <si>
    <t>E530-30129775736-D235301</t>
  </si>
  <si>
    <t>Drill Cutting</t>
  </si>
  <si>
    <t>E530-301297758-D235301</t>
  </si>
  <si>
    <t>Heavy Equipment for Drill Cutting</t>
  </si>
  <si>
    <t>E530-30129775816-D235301</t>
  </si>
  <si>
    <t>Drill Cutting transport and process</t>
  </si>
  <si>
    <t>E530-30129775817-D235301</t>
  </si>
  <si>
    <t>Drill Cutting - Transport &amp; Process</t>
  </si>
  <si>
    <t>Wellsite Geologist (WSG)</t>
  </si>
  <si>
    <t>E530-3012976-D235301</t>
  </si>
  <si>
    <t>WSG  DRJ-Steam 6</t>
  </si>
  <si>
    <t>E530-301297606-D235301</t>
  </si>
  <si>
    <t>E530-30129760606-D235301</t>
  </si>
  <si>
    <t>WSG  DRJ-Steam 5</t>
  </si>
  <si>
    <t>E530-301297605-D235301</t>
  </si>
  <si>
    <t>E530-30129760505-D235301</t>
  </si>
  <si>
    <t>WSG  DRJ-Steam 4</t>
  </si>
  <si>
    <t>E530-301297604-D235301</t>
  </si>
  <si>
    <t>E530-30129760404-D235301</t>
  </si>
  <si>
    <t>WSG  DRJ-Steam 3</t>
  </si>
  <si>
    <t>E530-301297603-D235301</t>
  </si>
  <si>
    <t>E530-30129760303-D235301</t>
  </si>
  <si>
    <t>WSG  DRJ-Steam 2</t>
  </si>
  <si>
    <t>E530-301297602-D235301</t>
  </si>
  <si>
    <t>E530-30129760202-D235301</t>
  </si>
  <si>
    <t>WSG  DRJ-Steam 1</t>
  </si>
  <si>
    <t>E530-301297601-D235301</t>
  </si>
  <si>
    <t>E530-30129760101-D235301</t>
  </si>
  <si>
    <t>Well testing</t>
  </si>
  <si>
    <t>E530-3012975-D235301</t>
  </si>
  <si>
    <t>Well Testing</t>
  </si>
  <si>
    <t xml:space="preserve"> Well testing DRJ-Steam 6</t>
  </si>
  <si>
    <t>E530-301297506-D235301</t>
  </si>
  <si>
    <t>E530-30129750606-D235301</t>
  </si>
  <si>
    <t xml:space="preserve"> Well testing DRJ-Steam 5</t>
  </si>
  <si>
    <t>E530-301297505-D235301</t>
  </si>
  <si>
    <t>E530-30129750505-D235301</t>
  </si>
  <si>
    <t xml:space="preserve"> Well testing DRJ-Steam 4</t>
  </si>
  <si>
    <t>E530-301297504-D235301</t>
  </si>
  <si>
    <t>E530-30129750404-D235301</t>
  </si>
  <si>
    <t xml:space="preserve"> Well testing DRJ-Steam 3</t>
  </si>
  <si>
    <t>E530-301297503-D235301</t>
  </si>
  <si>
    <t>E530-30129750303-D235301</t>
  </si>
  <si>
    <t xml:space="preserve"> Well testing DRJ-Steam 2</t>
  </si>
  <si>
    <t>E530-301297502-D235301</t>
  </si>
  <si>
    <t>E530-30129750202-D235301</t>
  </si>
  <si>
    <t xml:space="preserve"> Well testing DRJ-Steam 1</t>
  </si>
  <si>
    <t>E530-301297501-D235301</t>
  </si>
  <si>
    <t>E530-30129750101-D235301</t>
  </si>
  <si>
    <t>Drilling Cost</t>
  </si>
  <si>
    <t>E530-30101-D235301</t>
  </si>
  <si>
    <t>Explosive</t>
  </si>
  <si>
    <t>E530-3010173-D235301</t>
  </si>
  <si>
    <t>E530-301017311-D235301</t>
  </si>
  <si>
    <t>E530-30101731160-D235301</t>
  </si>
  <si>
    <t>LIH</t>
  </si>
  <si>
    <t>E530-3010172-D235301</t>
  </si>
  <si>
    <t>E530-301017299-D235301</t>
  </si>
  <si>
    <t>E530-30101729921-D235301</t>
  </si>
  <si>
    <t>Well Cost DRJ-Steam 6</t>
  </si>
  <si>
    <t>E530-3010106-D235301</t>
  </si>
  <si>
    <t>Well Cost</t>
  </si>
  <si>
    <t>Services DRJ-Steam 6</t>
  </si>
  <si>
    <t>E530-301010602-D235301</t>
  </si>
  <si>
    <t>Explosive Handling &amp; Permitting DRJ-Steam 6</t>
  </si>
  <si>
    <t>E530-30101060224-D235301</t>
  </si>
  <si>
    <t>Explosive Handling &amp; Permitting</t>
  </si>
  <si>
    <t>API non API Machine Shop Serv DRJ-Steam 6</t>
  </si>
  <si>
    <t>E530-30101060298-D235301</t>
  </si>
  <si>
    <t>API non API Machine Shop Service</t>
  </si>
  <si>
    <t>Welding Services DRJ-Steam 6</t>
  </si>
  <si>
    <t>E530-30101060297-D235301</t>
  </si>
  <si>
    <t>Welding Service</t>
  </si>
  <si>
    <t>Vehicle Inspection DRJ-Steam 6</t>
  </si>
  <si>
    <t>E530-30101060296-D235301</t>
  </si>
  <si>
    <t>Vehicle Inspection</t>
  </si>
  <si>
    <t>Rig Inspection DRJ-Steam 6</t>
  </si>
  <si>
    <t>E530-30101060295-D235301</t>
  </si>
  <si>
    <t>Rig Inspection</t>
  </si>
  <si>
    <t>NDT Inspection  DRJ-Steam 6</t>
  </si>
  <si>
    <t>E530-30101060294-D235301</t>
  </si>
  <si>
    <t>NDT Inspection</t>
  </si>
  <si>
    <t>Drilling Safety, Health &amp; Environment DRJ-Steam 6</t>
  </si>
  <si>
    <t>E530-30101060220-D235301</t>
  </si>
  <si>
    <t>Drilling Safety, Health &amp; Environment</t>
  </si>
  <si>
    <t>Other Transportation DRJ-Steam 6</t>
  </si>
  <si>
    <t>E530-30101060217-D235301</t>
  </si>
  <si>
    <t>Other Transportation</t>
  </si>
  <si>
    <t>Land Transportation DRJ-Steam 6</t>
  </si>
  <si>
    <t>E530-30101060216-D235301</t>
  </si>
  <si>
    <t>Land Transportation</t>
  </si>
  <si>
    <t>Supervision DRJ-Steam 6</t>
  </si>
  <si>
    <t>E530-30101060215-D235301</t>
  </si>
  <si>
    <t>Supervision</t>
  </si>
  <si>
    <t>Open Hole Electrical Logging Serv DRJ-Steam 6</t>
  </si>
  <si>
    <t>E530-30101060214-D235301</t>
  </si>
  <si>
    <t>Open Hole Electrical Logging Service</t>
  </si>
  <si>
    <t>Mud Logging Service DRJ-Steam 6</t>
  </si>
  <si>
    <t>E530-30101060213-D235301</t>
  </si>
  <si>
    <t>Mud Logging Service</t>
  </si>
  <si>
    <t>Coring DRJ-Steam 6</t>
  </si>
  <si>
    <t>E530-30101060247-D235301</t>
  </si>
  <si>
    <t>Coring</t>
  </si>
  <si>
    <t>Cement, Cementing &amp; Pump Fees DRJ-Steam 6</t>
  </si>
  <si>
    <t>E530-30101060212-D235301</t>
  </si>
  <si>
    <t>Cement, Cementing &amp; Pump Fees</t>
  </si>
  <si>
    <t>Casing Installation DRJ-Steam 6</t>
  </si>
  <si>
    <t>E530-30101060211-D235301</t>
  </si>
  <si>
    <t>Casing Installation</t>
  </si>
  <si>
    <t>Directional Drilling &amp; Surveys DRJ-Steam 6</t>
  </si>
  <si>
    <t>E530-30101060210-D235301</t>
  </si>
  <si>
    <t>Directional Drilling &amp; Surveys</t>
  </si>
  <si>
    <t>Equipment Rental DRJ-Steam 6</t>
  </si>
  <si>
    <t>E530-30101060209-D235301</t>
  </si>
  <si>
    <t>Equipment Rental</t>
  </si>
  <si>
    <t>Bits, Reamer and Core heads DRJ-Steam 6</t>
  </si>
  <si>
    <t>E530-30101060208-D235301</t>
  </si>
  <si>
    <t>Bits, Reamer and Core heads</t>
  </si>
  <si>
    <t>Mud, Chemical and Eng Serv DRJ-Steam 6</t>
  </si>
  <si>
    <t>E530-30101060207-D235301</t>
  </si>
  <si>
    <t>Mud, Chemical and Engineering Service</t>
  </si>
  <si>
    <t>Contract Rig DRJ-Steam 6</t>
  </si>
  <si>
    <t>E530-30101060205-D235301</t>
  </si>
  <si>
    <t>Contract Rig</t>
  </si>
  <si>
    <t>Service Lines &amp; Comm DRJ-Steam 6</t>
  </si>
  <si>
    <t>E530-30101060204-D235301</t>
  </si>
  <si>
    <t>Service Lines &amp; Communication</t>
  </si>
  <si>
    <t>Material - Non LL DRJ-Steam 6</t>
  </si>
  <si>
    <t>E530-301010601-D235301</t>
  </si>
  <si>
    <t>Consumables DRJ-Steam 6</t>
  </si>
  <si>
    <t>E530-30101060160-D235301</t>
  </si>
  <si>
    <t>Consumables</t>
  </si>
  <si>
    <t>Material - LL DRJ-Steam 6</t>
  </si>
  <si>
    <t>E530-301010661-D235301</t>
  </si>
  <si>
    <t>Casing Repair &amp; Modif DRJ-Steam 6</t>
  </si>
  <si>
    <t>E530-30101066162-D235301</t>
  </si>
  <si>
    <t>Casing Repair &amp; Modif</t>
  </si>
  <si>
    <t>Asset Transfer DRJ-Steam 6</t>
  </si>
  <si>
    <t>E530-30101066193-D235301</t>
  </si>
  <si>
    <t>Asset Transfer</t>
  </si>
  <si>
    <t>Fuel &amp; Lubricants DRJ-Steam 6</t>
  </si>
  <si>
    <t>E530-30101066118-D235301</t>
  </si>
  <si>
    <t>Fuel &amp; Lubricants</t>
  </si>
  <si>
    <t>DRJ-Steam Equip. Surface DRJ-Steam 6</t>
  </si>
  <si>
    <t>E530-30101066102-D235301</t>
  </si>
  <si>
    <t>Casing DRJ-Steam 6</t>
  </si>
  <si>
    <t>E530-30101066101-D235301</t>
  </si>
  <si>
    <t>Casing</t>
  </si>
  <si>
    <t>Well Cost DRJ-Steam 5</t>
  </si>
  <si>
    <t>E530-3010105-D235301</t>
  </si>
  <si>
    <t>Services DRJ-Steam 5</t>
  </si>
  <si>
    <t>E530-301010502-D235301</t>
  </si>
  <si>
    <t>Explosive Handling &amp; Permitting DRJ-Steam 5</t>
  </si>
  <si>
    <t>E530-30101050224-D235301</t>
  </si>
  <si>
    <t>API non API Machine Shop Serv DRJ-Steam 5</t>
  </si>
  <si>
    <t>E530-30101050298-D235301</t>
  </si>
  <si>
    <t>Welding Services DRJ-Steam 5</t>
  </si>
  <si>
    <t>E530-30101050297-D235301</t>
  </si>
  <si>
    <t>Vehicle Inspection DRJ-Steam 5</t>
  </si>
  <si>
    <t>E530-30101050296-D235301</t>
  </si>
  <si>
    <t>Rig Inspection DRJ-Steam 5</t>
  </si>
  <si>
    <t>E530-30101050295-D235301</t>
  </si>
  <si>
    <t>NDT Inspection  DRJ-Steam 5</t>
  </si>
  <si>
    <t>E530-30101050294-D235301</t>
  </si>
  <si>
    <t>Drilling Safety, Health &amp; Environment DRJ-Steam 5</t>
  </si>
  <si>
    <t>E530-30101050220-D235301</t>
  </si>
  <si>
    <t>Other Transportation DRJ-Steam 5</t>
  </si>
  <si>
    <t>E530-30101050217-D235301</t>
  </si>
  <si>
    <t>Land Transportation DRJ-Steam 5</t>
  </si>
  <si>
    <t>E530-30101050216-D235301</t>
  </si>
  <si>
    <t>Supervision DRJ-Steam 5</t>
  </si>
  <si>
    <t>E530-30101050215-D235301</t>
  </si>
  <si>
    <t>Open Hole Electrical Logging Serv DRJ-Steam 5</t>
  </si>
  <si>
    <t>E530-30101050214-D235301</t>
  </si>
  <si>
    <t>Mud Logging Service DRJ-Steam 5</t>
  </si>
  <si>
    <t>E530-30101050213-D235301</t>
  </si>
  <si>
    <t>Coring DRJ-Steam 5</t>
  </si>
  <si>
    <t>E530-30101050247-D235301</t>
  </si>
  <si>
    <t>Cement, Cementing &amp; Pump Fees DRJ-Steam 5</t>
  </si>
  <si>
    <t>E530-30101050212-D235301</t>
  </si>
  <si>
    <t>Casing Installation DRJ-Steam 5</t>
  </si>
  <si>
    <t>E530-30101050211-D235301</t>
  </si>
  <si>
    <t>Directional Drilling &amp; Surveys DRJ-Steam 5</t>
  </si>
  <si>
    <t>E530-30101050210-D235301</t>
  </si>
  <si>
    <t>Equipment Rental DRJ-Steam 5</t>
  </si>
  <si>
    <t>E530-30101050209-D235301</t>
  </si>
  <si>
    <t>Bits, Reamer and Core heads DRJ-Steam 5</t>
  </si>
  <si>
    <t>E530-30101050208-D235301</t>
  </si>
  <si>
    <t>Mud, Chemical and Eng Serv DRJ-Steam 5</t>
  </si>
  <si>
    <t>E530-30101050207-D235301</t>
  </si>
  <si>
    <t>Contract Rig DRJ-Steam 5</t>
  </si>
  <si>
    <t>E530-30101050205-D235301</t>
  </si>
  <si>
    <t>Service Lines &amp; Comm DRJ-Steam 5</t>
  </si>
  <si>
    <t>E530-30101050204-D235301</t>
  </si>
  <si>
    <t>Material - Non LL DRJ-Steam 5</t>
  </si>
  <si>
    <t>E530-301010501-D235301</t>
  </si>
  <si>
    <t>Consumables DRJ-Steam 5</t>
  </si>
  <si>
    <t>E530-30101050160-D235301</t>
  </si>
  <si>
    <t>Material - LL DRJ-Steam 5</t>
  </si>
  <si>
    <t>E530-301010561-D235301</t>
  </si>
  <si>
    <t>Casing Repair &amp; Modif DRJ-Steam 5</t>
  </si>
  <si>
    <t>E530-30101056162-D235301</t>
  </si>
  <si>
    <t>Asset Transfer DRJ-Steam 5</t>
  </si>
  <si>
    <t>E530-30101056193-D235301</t>
  </si>
  <si>
    <t>Fuel &amp; Lubricants DRJ-Steam 5</t>
  </si>
  <si>
    <t>E530-30101056118-D235301</t>
  </si>
  <si>
    <t>DRJ-Steam Equip. Surface DRJ-Steam 5</t>
  </si>
  <si>
    <t>E530-30101056102-D235301</t>
  </si>
  <si>
    <t>Casing DRJ-Steam 5</t>
  </si>
  <si>
    <t>E530-30101056101-D235301</t>
  </si>
  <si>
    <t>Well Cost DRJ-Steam 4</t>
  </si>
  <si>
    <t>E530-3010104-D235301</t>
  </si>
  <si>
    <t>Services DRJ-Steam 4</t>
  </si>
  <si>
    <t>E530-301010402-D235301</t>
  </si>
  <si>
    <t>Explosive Handling &amp; Permitting DRJ-Steam 4</t>
  </si>
  <si>
    <t>E530-30101040224-D235301</t>
  </si>
  <si>
    <t>API non API Machine Shop Serv DRJ-Steam 4</t>
  </si>
  <si>
    <t>E530-30101040298-D235301</t>
  </si>
  <si>
    <t>Welding Services DRJ-Steam 4</t>
  </si>
  <si>
    <t>E530-30101040297-D235301</t>
  </si>
  <si>
    <t>Vehicle Inspection DRJ-Steam 4</t>
  </si>
  <si>
    <t>E530-30101040296-D235301</t>
  </si>
  <si>
    <t>Rig Inspection DRJ-Steam 4</t>
  </si>
  <si>
    <t>E530-30101040295-D235301</t>
  </si>
  <si>
    <t>NDT Inspection  DRJ-Steam 4</t>
  </si>
  <si>
    <t>E530-30101040294-D235301</t>
  </si>
  <si>
    <t>Drilling Safety, Health &amp; Environment DRJ-Steam 4</t>
  </si>
  <si>
    <t>E530-30101040220-D235301</t>
  </si>
  <si>
    <t>Other Transportation DRJ-Steam 4</t>
  </si>
  <si>
    <t>E530-30101040217-D235301</t>
  </si>
  <si>
    <t>Land Transportation DRJ-Steam 4</t>
  </si>
  <si>
    <t>E530-30101040216-D235301</t>
  </si>
  <si>
    <t>Supervision DRJ-Steam 4</t>
  </si>
  <si>
    <t>E530-30101040215-D235301</t>
  </si>
  <si>
    <t>Open Hole Electrical Logging Serv DRJ-Steam 4</t>
  </si>
  <si>
    <t>E530-30101040214-D235301</t>
  </si>
  <si>
    <t>Mud Logging Service DRJ-Steam 4</t>
  </si>
  <si>
    <t>E530-30101040213-D235301</t>
  </si>
  <si>
    <t>Coring DRJ-Steam 4</t>
  </si>
  <si>
    <t>E530-30101040247-D235301</t>
  </si>
  <si>
    <t>Cement, Cementing &amp; Pump Fees DRJ-Steam 4</t>
  </si>
  <si>
    <t>E530-30101040212-D235301</t>
  </si>
  <si>
    <t>Casing Installation DRJ-Steam 4</t>
  </si>
  <si>
    <t>E530-30101040211-D235301</t>
  </si>
  <si>
    <t>Directional Drilling &amp; Surveys DRJ-Steam 4</t>
  </si>
  <si>
    <t>E530-30101040210-D235301</t>
  </si>
  <si>
    <t>Equipment Rental DRJ-Steam 4</t>
  </si>
  <si>
    <t>E530-30101040209-D235301</t>
  </si>
  <si>
    <t>Bits, Reamer and Core heads DRJ-Steam 4</t>
  </si>
  <si>
    <t>E530-30101040208-D235301</t>
  </si>
  <si>
    <t>Mud, Chemical and Eng Serv DRJ-Steam 4</t>
  </si>
  <si>
    <t>E530-30101040207-D235301</t>
  </si>
  <si>
    <t>Contract Rig DRJ-Steam 4</t>
  </si>
  <si>
    <t>E530-30101040205-D235301</t>
  </si>
  <si>
    <t>Service Lines &amp; Comm DRJ-Steam 4</t>
  </si>
  <si>
    <t>E530-30101040204-D235301</t>
  </si>
  <si>
    <t>Material - Non LL DRJ-Steam 4</t>
  </si>
  <si>
    <t>E530-301010401-D235301</t>
  </si>
  <si>
    <t>Consumables DRJ-Steam 4</t>
  </si>
  <si>
    <t>E530-30101040160-D235301</t>
  </si>
  <si>
    <t>Material - LL DRJ-Steam 4</t>
  </si>
  <si>
    <t>E530-301010461-D235301</t>
  </si>
  <si>
    <t>Casing Repair &amp; Modif DRJ-Steam 4</t>
  </si>
  <si>
    <t>E530-30101046162-D235301</t>
  </si>
  <si>
    <t>Asset Transfer DRJ-Steam 4</t>
  </si>
  <si>
    <t>E530-30101046193-D235301</t>
  </si>
  <si>
    <t>Fuel &amp; Lubricants DRJ-Steam 4</t>
  </si>
  <si>
    <t>E530-30101046118-D235301</t>
  </si>
  <si>
    <t>DRJ-Steam Equip. Surface DRJ-Steam 4</t>
  </si>
  <si>
    <t>E530-30101046102-D235301</t>
  </si>
  <si>
    <t>Casing DRJ-Steam 4</t>
  </si>
  <si>
    <t>E530-30101046101-D235301</t>
  </si>
  <si>
    <t>Well Cost DRJ-Steam 3</t>
  </si>
  <si>
    <t>E530-3010103-D235301</t>
  </si>
  <si>
    <t>Services DRJ-Steam 3</t>
  </si>
  <si>
    <t>E530-301010302-D235301</t>
  </si>
  <si>
    <t>Explosive Handling &amp; Permitting DRJ-Steam 3</t>
  </si>
  <si>
    <t>E530-30101030224-D235301</t>
  </si>
  <si>
    <t>API non API Machine Shop Serv DRJ-Steam 3</t>
  </si>
  <si>
    <t>E530-30101030298-D235301</t>
  </si>
  <si>
    <t>Welding Services DRJ-Steam 3</t>
  </si>
  <si>
    <t>E530-30101030297-D235301</t>
  </si>
  <si>
    <t>Vehicle Inspection DRJ-Steam 3</t>
  </si>
  <si>
    <t>E530-30101030296-D235301</t>
  </si>
  <si>
    <t>Rig Inspection DRJ-Steam 3</t>
  </si>
  <si>
    <t>E530-30101030295-D235301</t>
  </si>
  <si>
    <t>NDT Inspection  DRJ-Steam 3</t>
  </si>
  <si>
    <t>E530-30101030294-D235301</t>
  </si>
  <si>
    <t>Drilling Safety, Health &amp; Environment DRJ-Steam 3</t>
  </si>
  <si>
    <t>E530-30101030220-D235301</t>
  </si>
  <si>
    <t>Other Transportation DRJ-Steam 3</t>
  </si>
  <si>
    <t>E530-30101030217-D235301</t>
  </si>
  <si>
    <t>Land Transportation DRJ-Steam 3</t>
  </si>
  <si>
    <t>E530-30101030216-D235301</t>
  </si>
  <si>
    <t>Supervision DRJ-Steam 3</t>
  </si>
  <si>
    <t>E530-30101030215-D235301</t>
  </si>
  <si>
    <t>Open Hole Electrical Logging Serv DRJ-Steam 3</t>
  </si>
  <si>
    <t>E530-30101030214-D235301</t>
  </si>
  <si>
    <t>Mud Logging Service DRJ-Steam 3</t>
  </si>
  <si>
    <t>E530-30101030213-D235301</t>
  </si>
  <si>
    <t>Coring DRJ-Steam 3</t>
  </si>
  <si>
    <t>E530-30101030247-D235301</t>
  </si>
  <si>
    <t>Cement, Cementing &amp; Pump Fees DRJ-Steam 3</t>
  </si>
  <si>
    <t>E530-30101030212-D235301</t>
  </si>
  <si>
    <t>Casing Installation DRJ-Steam 3</t>
  </si>
  <si>
    <t>E530-30101030211-D235301</t>
  </si>
  <si>
    <t>Directional Drilling &amp; Surveys DRJ-Steam 3</t>
  </si>
  <si>
    <t>E530-30101030210-D235301</t>
  </si>
  <si>
    <t>Equipment Rental DRJ-Steam 3</t>
  </si>
  <si>
    <t>E530-30101030209-D235301</t>
  </si>
  <si>
    <t>Bits, Reamer and Core heads DRJ-Steam 3</t>
  </si>
  <si>
    <t>E530-30101030208-D235301</t>
  </si>
  <si>
    <t>Mud, Chemical and Eng Serv DRJ-Steam 3</t>
  </si>
  <si>
    <t>E530-30101030207-D235301</t>
  </si>
  <si>
    <t>Contract Rig DRJ-Steam 3</t>
  </si>
  <si>
    <t>E530-30101030205-D235301</t>
  </si>
  <si>
    <t>Service Lines &amp; Comm DRJ-Steam 3</t>
  </si>
  <si>
    <t>E530-30101030204-D235301</t>
  </si>
  <si>
    <t>Material - Non LL DRJ-Steam 3</t>
  </si>
  <si>
    <t>E530-301010301-D235301</t>
  </si>
  <si>
    <t>Consumables DRJ-Steam 3</t>
  </si>
  <si>
    <t>E530-30101030160-D235301</t>
  </si>
  <si>
    <t>Material - LL DRJ-Steam 3</t>
  </si>
  <si>
    <t>E530-301010361-D235301</t>
  </si>
  <si>
    <t>Casing Repair &amp; Modif DRJ-Steam 3</t>
  </si>
  <si>
    <t>E530-30101036162-D235301</t>
  </si>
  <si>
    <t>Asset Transfer DRJ-Steam 3</t>
  </si>
  <si>
    <t>E530-30101036193-D235301</t>
  </si>
  <si>
    <t>Fuel &amp; Lubricants DRJ-Steam 3</t>
  </si>
  <si>
    <t>E530-30101036118-D235301</t>
  </si>
  <si>
    <t>DRJ-Steam Equip. Surface DRJ-Steam 3</t>
  </si>
  <si>
    <t>E530-30101036102-D235301</t>
  </si>
  <si>
    <t>Casing DRJ-Steam 3</t>
  </si>
  <si>
    <t>E530-30101036101-D235301</t>
  </si>
  <si>
    <t>Well Cost DRJ-Steam 2</t>
  </si>
  <si>
    <t>E530-3010102-D235301</t>
  </si>
  <si>
    <t>Services DRJ-Steam 2</t>
  </si>
  <si>
    <t>E530-301010202-D235301</t>
  </si>
  <si>
    <t>Explosive Handling &amp; Permitting DRJ-Steam 2</t>
  </si>
  <si>
    <t>E530-30101020224-D235301</t>
  </si>
  <si>
    <t>API non API Machine Shop Serv DRJ-Steam 2</t>
  </si>
  <si>
    <t>E530-30101020298-D235301</t>
  </si>
  <si>
    <t>Welding Services DRJ-Steam 2</t>
  </si>
  <si>
    <t>E530-30101020297-D235301</t>
  </si>
  <si>
    <t>Vehicle Inspection DRJ-Steam 2</t>
  </si>
  <si>
    <t>E530-30101020296-D235301</t>
  </si>
  <si>
    <t>Rig Inspection DRJ-Steam 2</t>
  </si>
  <si>
    <t>E530-30101020295-D235301</t>
  </si>
  <si>
    <t>NDT Inspection  DRJ-Steam 2</t>
  </si>
  <si>
    <t>E530-30101020294-D235301</t>
  </si>
  <si>
    <t>Drilling Safety, Health &amp; Environment DRJ-Steam 2</t>
  </si>
  <si>
    <t>E530-30101020220-D235301</t>
  </si>
  <si>
    <t>Other Transportation DRJ-Steam 2</t>
  </si>
  <si>
    <t>E530-30101020217-D235301</t>
  </si>
  <si>
    <t>Land Transportation DRJ-Steam 2</t>
  </si>
  <si>
    <t>E530-30101020216-D235301</t>
  </si>
  <si>
    <t>Supervision DRJ-Steam 2</t>
  </si>
  <si>
    <t>E530-30101020215-D235301</t>
  </si>
  <si>
    <t>Open Hole Electrical Logging Serv DRJ-Steam 2</t>
  </si>
  <si>
    <t>E530-30101020214-D235301</t>
  </si>
  <si>
    <t>Mud Logging Service DRJ-Steam 2</t>
  </si>
  <si>
    <t>E530-30101020213-D235301</t>
  </si>
  <si>
    <t>Coring DRJ-Steam 2</t>
  </si>
  <si>
    <t>E530-30101020247-D235301</t>
  </si>
  <si>
    <t>Cement, Cementing &amp; Pump Fees DRJ-Steam 2</t>
  </si>
  <si>
    <t>E530-30101020212-D235301</t>
  </si>
  <si>
    <t>Casing Installation DRJ-Steam 2</t>
  </si>
  <si>
    <t>E530-30101020211-D235301</t>
  </si>
  <si>
    <t>Directional Drilling &amp; Surveys DRJ-Steam 2</t>
  </si>
  <si>
    <t>E530-30101020210-D235301</t>
  </si>
  <si>
    <t>Equipment Rental DRJ-Steam 2</t>
  </si>
  <si>
    <t>E530-30101020209-D235301</t>
  </si>
  <si>
    <t>Bits, Reamer and Core heads DRJ-Steam 2</t>
  </si>
  <si>
    <t>E530-30101020208-D235301</t>
  </si>
  <si>
    <t>Mud, Chemical and Eng Serv DRJ-Steam 2</t>
  </si>
  <si>
    <t>E530-30101020207-D235301</t>
  </si>
  <si>
    <t>Contract Rig DRJ-Steam 2</t>
  </si>
  <si>
    <t>E530-30101020205-D235301</t>
  </si>
  <si>
    <t>Service Lines &amp; Comm DRJ-Steam 2</t>
  </si>
  <si>
    <t>E530-30101020204-D235301</t>
  </si>
  <si>
    <t>Material - Non LL DRJ-Steam 2</t>
  </si>
  <si>
    <t>E530-301010201-D235301</t>
  </si>
  <si>
    <t>Consumables DRJ-Steam 2</t>
  </si>
  <si>
    <t>E530-30101020160-D235301</t>
  </si>
  <si>
    <t>Material - LL DRJ-Steam 2</t>
  </si>
  <si>
    <t>E530-301010261-D235301</t>
  </si>
  <si>
    <t>Casing Repair &amp; Modif DRJ-Steam 2</t>
  </si>
  <si>
    <t>E530-30101026162-D235301</t>
  </si>
  <si>
    <t>Asset Transfer DRJ-Steam 2</t>
  </si>
  <si>
    <t>E530-30101026193-D235301</t>
  </si>
  <si>
    <t>Fuel &amp; Lubricants DRJ-Steam 2</t>
  </si>
  <si>
    <t>E530-30101026118-D235301</t>
  </si>
  <si>
    <t>DRJ-Steam Equip. Surface DRJ-Steam 2</t>
  </si>
  <si>
    <t>E530-30101026102-D235301</t>
  </si>
  <si>
    <t>Casing DRJ-Steam 2</t>
  </si>
  <si>
    <t>E530-30101026101-D235301</t>
  </si>
  <si>
    <t>Rig Skid</t>
  </si>
  <si>
    <t>E530-3010161-D235301</t>
  </si>
  <si>
    <t>Skid Moving 1</t>
  </si>
  <si>
    <t>E530-301016101-D235301</t>
  </si>
  <si>
    <t>E530-30101610123-D235301</t>
  </si>
  <si>
    <t>Rig Move</t>
  </si>
  <si>
    <t>E530-3010156-D235301</t>
  </si>
  <si>
    <t>Interpad Move 4</t>
  </si>
  <si>
    <t>E530-301015604-D235301</t>
  </si>
  <si>
    <t>Interpad Moving 4</t>
  </si>
  <si>
    <t>E530-30101560423-D235301</t>
  </si>
  <si>
    <t>Interpad Move 3</t>
  </si>
  <si>
    <t>E530-301015603-D235301</t>
  </si>
  <si>
    <t>Interpad Moving 3</t>
  </si>
  <si>
    <t>E530-30101560323-D235301</t>
  </si>
  <si>
    <t>Interpad Move 2</t>
  </si>
  <si>
    <t>E530-301015602-D235301</t>
  </si>
  <si>
    <t>Interpad Moving 2</t>
  </si>
  <si>
    <t>E530-30101560223-D235301</t>
  </si>
  <si>
    <t>Interpad Move 1</t>
  </si>
  <si>
    <t>E530-301015601-D235301</t>
  </si>
  <si>
    <t>Interpad Moving 1</t>
  </si>
  <si>
    <t>E530-30101560123-D235301</t>
  </si>
  <si>
    <t>Mobilization (incl. inter-field move)</t>
  </si>
  <si>
    <t>E530-3010169-D235301</t>
  </si>
  <si>
    <t>Rig Mobilization</t>
  </si>
  <si>
    <t>Demobilization from Darajat</t>
  </si>
  <si>
    <t>E530-301016967-D235301</t>
  </si>
  <si>
    <t>E530-30101696706-D235301</t>
  </si>
  <si>
    <t>Mobilization to Darajat</t>
  </si>
  <si>
    <t>E530-301016903-D235301</t>
  </si>
  <si>
    <t>E530-30101690306-D235301</t>
  </si>
  <si>
    <t>Well Cost DRJ-Steam 1</t>
  </si>
  <si>
    <t>E530-3010101-D235301</t>
  </si>
  <si>
    <t>Services DRJ-Steam 1</t>
  </si>
  <si>
    <t>E530-301010102-D235301</t>
  </si>
  <si>
    <t>Explosive Handling &amp; Permitting DRJ-Steam 1</t>
  </si>
  <si>
    <t>E530-30101010224-D235301</t>
  </si>
  <si>
    <t>API non API Machine Shop Serv DRJ-Steam 1</t>
  </si>
  <si>
    <t>E530-30101010298-D235301</t>
  </si>
  <si>
    <t>Welding Services DRJ-Steam 1</t>
  </si>
  <si>
    <t>E530-30101010297-D235301</t>
  </si>
  <si>
    <t>Vehicle Inspection DRJ-Steam 1</t>
  </si>
  <si>
    <t>E530-30101010296-D235301</t>
  </si>
  <si>
    <t>Rig Inspection DRJ-Steam 1</t>
  </si>
  <si>
    <t>E530-30101010295-D235301</t>
  </si>
  <si>
    <t>NDT Inspection  DRJ-Steam 1</t>
  </si>
  <si>
    <t>E530-30101010294-D235301</t>
  </si>
  <si>
    <t>Drilling Safety, Health &amp; Environment DRJ-Steam 1</t>
  </si>
  <si>
    <t>E530-30101010220-D235301</t>
  </si>
  <si>
    <t>Other Transportation DRJ-Steam 1</t>
  </si>
  <si>
    <t>E530-30101010217-D235301</t>
  </si>
  <si>
    <t>Land Transportation DRJ-Steam 1</t>
  </si>
  <si>
    <t>E530-30101010216-D235301</t>
  </si>
  <si>
    <t>Supervision DRJ-Steam 1</t>
  </si>
  <si>
    <t>E530-30101010215-D235301</t>
  </si>
  <si>
    <t>Open Hole Electrical Logging Serv DRJ-Steam 1</t>
  </si>
  <si>
    <t>E530-30101010214-D235301</t>
  </si>
  <si>
    <t>Mud Logging Service DRJ-Steam 1</t>
  </si>
  <si>
    <t>E530-30101010213-D235301</t>
  </si>
  <si>
    <t>Coring DRJ-Steam 1</t>
  </si>
  <si>
    <t>E530-30101010247-D235301</t>
  </si>
  <si>
    <t>Cement, Cementing &amp; Pump Fees DRJ-Steam 1</t>
  </si>
  <si>
    <t>E530-30101010212-D235301</t>
  </si>
  <si>
    <t>Casing Installation DRJ-Steam 1</t>
  </si>
  <si>
    <t>E530-30101010211-D235301</t>
  </si>
  <si>
    <t>Directional Drilling &amp; Surveys DRJ-Steam 1</t>
  </si>
  <si>
    <t>E530-30101010210-D235301</t>
  </si>
  <si>
    <t>Equipment Rental DRJ-Steam 1</t>
  </si>
  <si>
    <t>E530-30101010209-D235301</t>
  </si>
  <si>
    <t>Bits, Reamer and Core heads DRJ-Steam 1</t>
  </si>
  <si>
    <t>E530-30101010208-D235301</t>
  </si>
  <si>
    <t>Mud, Chemical and Eng Serv DRJ-Steam 1</t>
  </si>
  <si>
    <t>E530-30101010207-D235301</t>
  </si>
  <si>
    <t>Contract Rig DRJ-Steam 1</t>
  </si>
  <si>
    <t>E530-30101010205-D235301</t>
  </si>
  <si>
    <t>Service Lines &amp; Comm DRJ-Steam 1</t>
  </si>
  <si>
    <t>E530-30101010204-D235301</t>
  </si>
  <si>
    <t>Material - Non LL DRJ-Steam 1</t>
  </si>
  <si>
    <t>E530-301010101-D235301</t>
  </si>
  <si>
    <t>Consumables DRJ-Steam 1</t>
  </si>
  <si>
    <t>E530-30101010160-D235301</t>
  </si>
  <si>
    <t>Material - LL DRJ-Steam 1</t>
  </si>
  <si>
    <t>E530-301010161-D235301</t>
  </si>
  <si>
    <t>Casing Repair &amp; Modif DRJ-Steam 1</t>
  </si>
  <si>
    <t>E530-30101016162-D235301</t>
  </si>
  <si>
    <t>Asset Transfer DRJ-Steam 1</t>
  </si>
  <si>
    <t>E530-30101016193-D235301</t>
  </si>
  <si>
    <t>Fuel &amp; Lubricants DRJ-Steam 1</t>
  </si>
  <si>
    <t>E530-30101016118-D235301</t>
  </si>
  <si>
    <t>DRJ-Steam Equip. Surface DRJ-Steam 1</t>
  </si>
  <si>
    <t>E530-30101016102-D235301</t>
  </si>
  <si>
    <t>Casing DRJ-Steam 1</t>
  </si>
  <si>
    <t>E530-30101016101-D235301</t>
  </si>
  <si>
    <t>SLK Drilling MUW 2025</t>
  </si>
  <si>
    <t>E540-30-D245401</t>
  </si>
  <si>
    <t>E540-30101-D245401</t>
  </si>
  <si>
    <t>E540-30129-D245401</t>
  </si>
  <si>
    <t>E540-30203-D245401</t>
  </si>
  <si>
    <t>Contingency</t>
  </si>
  <si>
    <t>E540-30299-D245401</t>
  </si>
  <si>
    <t>Well Cost AWI 2-6</t>
  </si>
  <si>
    <t>E540-3010101-D245401</t>
  </si>
  <si>
    <t>AWI 2-6</t>
  </si>
  <si>
    <t>Well Cost AWI 2-7 ML</t>
  </si>
  <si>
    <t>E540-3010102-D245401</t>
  </si>
  <si>
    <t>AWI 2-7 ML</t>
  </si>
  <si>
    <t>Well Cost AWI 21-7</t>
  </si>
  <si>
    <t>E540-3010103-D245401</t>
  </si>
  <si>
    <t>AWI 21-7</t>
  </si>
  <si>
    <t>Well Cost AWI 23-1</t>
  </si>
  <si>
    <t>E540-3010104-D245401</t>
  </si>
  <si>
    <t>AWI 23-1</t>
  </si>
  <si>
    <t>Well Cost AWI 9-11</t>
  </si>
  <si>
    <t>E540-3010105-D245401</t>
  </si>
  <si>
    <t>AWI 9-11</t>
  </si>
  <si>
    <t>Well Cost AWI 3-9</t>
  </si>
  <si>
    <t>E540-3010106-D245401</t>
  </si>
  <si>
    <t>AWI 3-9</t>
  </si>
  <si>
    <t>Well Cost AWI 21-8</t>
  </si>
  <si>
    <t>E540-3010107-D245401</t>
  </si>
  <si>
    <t>AWI 21-8</t>
  </si>
  <si>
    <t>Well Cost AWI 23-2</t>
  </si>
  <si>
    <t>E540-3010108-D245401</t>
  </si>
  <si>
    <t>AWI 23-2</t>
  </si>
  <si>
    <t>Well Cost AWI 9-10 RD</t>
  </si>
  <si>
    <t>E540-3010109-D245401</t>
  </si>
  <si>
    <t>AWI 9-10 RD</t>
  </si>
  <si>
    <t>E540-3010156-D245401</t>
  </si>
  <si>
    <t>E540-3010161-D245401</t>
  </si>
  <si>
    <t>E540-3010169-D245401</t>
  </si>
  <si>
    <t>E540-3010172-D245401</t>
  </si>
  <si>
    <t>E540-3010173-D245401</t>
  </si>
  <si>
    <t>Logging Cost</t>
  </si>
  <si>
    <t>E540-3010195-D245401</t>
  </si>
  <si>
    <t>E540-3012914-D245401</t>
  </si>
  <si>
    <t>E540-3012975-D245401</t>
  </si>
  <si>
    <t>E540-3012976-D245401</t>
  </si>
  <si>
    <t>E540-3012977-D245401</t>
  </si>
  <si>
    <t>E540-3012978-D245401</t>
  </si>
  <si>
    <t>E540-3012979-D245401</t>
  </si>
  <si>
    <t>Project Management Cost</t>
  </si>
  <si>
    <t>E540-3012980-D245401</t>
  </si>
  <si>
    <t>E540-3012981-D245401</t>
  </si>
  <si>
    <t>E540-3012982-D245401</t>
  </si>
  <si>
    <t>Conductor casing installation &amp; material</t>
  </si>
  <si>
    <t>E540-3020374-D245401</t>
  </si>
  <si>
    <t>Road and Pad - AWI2</t>
  </si>
  <si>
    <t>E540-3020383-D245401</t>
  </si>
  <si>
    <t>Pad AWI 2</t>
  </si>
  <si>
    <t>Road and Pad - AWI21</t>
  </si>
  <si>
    <t>E540-3020384-D245401</t>
  </si>
  <si>
    <t>Pad AWI 21</t>
  </si>
  <si>
    <t>Road and Pad - AWI3</t>
  </si>
  <si>
    <t>E540-3020385-D245401</t>
  </si>
  <si>
    <t>Pad AWI 3</t>
  </si>
  <si>
    <t>Road and Pad - AWI9</t>
  </si>
  <si>
    <t>E540-3020386-D245401</t>
  </si>
  <si>
    <t>Pad AWI 9</t>
  </si>
  <si>
    <t>Tie-in AWI2</t>
  </si>
  <si>
    <t>E540-3020387-D245401</t>
  </si>
  <si>
    <t>Tie-in</t>
  </si>
  <si>
    <t>Tie-in AWI21</t>
  </si>
  <si>
    <t>E540-3020388-D245401</t>
  </si>
  <si>
    <t>Tie-in AWI23</t>
  </si>
  <si>
    <t>E540-3020389-D245401</t>
  </si>
  <si>
    <t>Pad AWI 23</t>
  </si>
  <si>
    <t>Tie-in AWI9</t>
  </si>
  <si>
    <t>E540-3020390-D245401</t>
  </si>
  <si>
    <t>Special Requirement Existing Pad AWI3</t>
  </si>
  <si>
    <t>E540-3020392-D245401</t>
  </si>
  <si>
    <t>New Rig Pavement</t>
  </si>
  <si>
    <t>E540-3020393-D245401</t>
  </si>
  <si>
    <t>Tie-in AWI3</t>
  </si>
  <si>
    <t>E540-3020394-D245401</t>
  </si>
  <si>
    <t>E540-3029901-D245401</t>
  </si>
  <si>
    <t>Material - Non LL AWI 2-6</t>
  </si>
  <si>
    <t>E540-301010101-D245401</t>
  </si>
  <si>
    <t>Services AWI 2-6</t>
  </si>
  <si>
    <t>E540-301010102-D245401</t>
  </si>
  <si>
    <t>Services</t>
  </si>
  <si>
    <t>Material - LL AWI 2-6</t>
  </si>
  <si>
    <t>E540-301010161-D245401</t>
  </si>
  <si>
    <t>Material - Non LL AWI 2-7 ML ML</t>
  </si>
  <si>
    <t>E540-301010201-D245401</t>
  </si>
  <si>
    <t>AWI 2-7</t>
  </si>
  <si>
    <t>Services AWI 2-7 ML</t>
  </si>
  <si>
    <t>E540-301010202-D245401</t>
  </si>
  <si>
    <t>Material - LL AWI 2-7 ML</t>
  </si>
  <si>
    <t>E540-301010261-D245401</t>
  </si>
  <si>
    <t>Material - Non LL AWI 21-7</t>
  </si>
  <si>
    <t>E540-301010301-D245401</t>
  </si>
  <si>
    <t>Services AWI 21-7</t>
  </si>
  <si>
    <t>E540-301010302-D245401</t>
  </si>
  <si>
    <t>Material - LL AWI 21-7</t>
  </si>
  <si>
    <t>E540-301010361-D245401</t>
  </si>
  <si>
    <t>Material - Non LL AWI 23-1</t>
  </si>
  <si>
    <t>E540-301010401-D245401</t>
  </si>
  <si>
    <t>Services AWI 23-1</t>
  </si>
  <si>
    <t>E540-301010402-D245401</t>
  </si>
  <si>
    <t>Material - LL AWI 23-1</t>
  </si>
  <si>
    <t>E540-301010461-D245401</t>
  </si>
  <si>
    <t>Material - Non LL AWI 9-11</t>
  </si>
  <si>
    <t>E540-301010501-D245401</t>
  </si>
  <si>
    <t>Services AWI 9-11</t>
  </si>
  <si>
    <t>E540-301010502-D245401</t>
  </si>
  <si>
    <t>Material - LL AWI 9-11</t>
  </si>
  <si>
    <t>E540-301010561-D245401</t>
  </si>
  <si>
    <t>Material - Non LL AWI 3-9</t>
  </si>
  <si>
    <t>E540-301010601-D245401</t>
  </si>
  <si>
    <t>Services AWI 3-9</t>
  </si>
  <si>
    <t>E540-301010602-D245401</t>
  </si>
  <si>
    <t>Material - LL AWI 3-9</t>
  </si>
  <si>
    <t>E540-301010661-D245401</t>
  </si>
  <si>
    <t>Material - Non LL AWI 21-8</t>
  </si>
  <si>
    <t>E540-301010701-D245401</t>
  </si>
  <si>
    <t>Services AWI 21-8</t>
  </si>
  <si>
    <t>E540-301010702-D245401</t>
  </si>
  <si>
    <t>Material - LL AWI 21-8</t>
  </si>
  <si>
    <t>E540-301010761-D245401</t>
  </si>
  <si>
    <t>Material - Non LL AWI 23-2</t>
  </si>
  <si>
    <t>E540-301010801-D245401</t>
  </si>
  <si>
    <t>Services AWI 23-2</t>
  </si>
  <si>
    <t>E540-301010802-D245401</t>
  </si>
  <si>
    <t>Material - LL AWI 23-2</t>
  </si>
  <si>
    <t>E540-301010861-D245401</t>
  </si>
  <si>
    <t>Material - Non LL AWI 9-10 RD</t>
  </si>
  <si>
    <t>E540-301010901-D245401</t>
  </si>
  <si>
    <t>Services AWI 9-10 RD</t>
  </si>
  <si>
    <t>E540-301010902-D245401</t>
  </si>
  <si>
    <t>Material - LL AWI 9-10 RD</t>
  </si>
  <si>
    <t>E540-301010961-D245401</t>
  </si>
  <si>
    <t>E540-301015601-D245401</t>
  </si>
  <si>
    <t>Interpad Move</t>
  </si>
  <si>
    <t>E540-301015602-D245401</t>
  </si>
  <si>
    <t>E540-301015603-D245401</t>
  </si>
  <si>
    <t>E540-301015604-D245401</t>
  </si>
  <si>
    <t>E540-301016101-D245401</t>
  </si>
  <si>
    <t>Skid Moving</t>
  </si>
  <si>
    <t>Skid Moving 2</t>
  </si>
  <si>
    <t>E540-301016102-D245401</t>
  </si>
  <si>
    <t>Skid Moving 3</t>
  </si>
  <si>
    <t>E540-301016103-D245401</t>
  </si>
  <si>
    <t>Skid Moving 4</t>
  </si>
  <si>
    <t>E540-301016104-D245401</t>
  </si>
  <si>
    <t>Mobilization to Salak</t>
  </si>
  <si>
    <t>E540-301016903-D245401</t>
  </si>
  <si>
    <t>E540-301017299-D245401</t>
  </si>
  <si>
    <t>E540-301017311-D245401</t>
  </si>
  <si>
    <t>E540-301019568-D245401</t>
  </si>
  <si>
    <t>E540-301291463-D245401</t>
  </si>
  <si>
    <t>Well testing AWI 2-6</t>
  </si>
  <si>
    <t>E540-301297501-D245401</t>
  </si>
  <si>
    <t>Well testing AWI 2-7 ML</t>
  </si>
  <si>
    <t>E540-301297502-D245401</t>
  </si>
  <si>
    <t>Well testing AWI 21-7</t>
  </si>
  <si>
    <t>E540-301297503-D245401</t>
  </si>
  <si>
    <t>Well testing AWI 23-1</t>
  </si>
  <si>
    <t>E540-301297504-D245401</t>
  </si>
  <si>
    <t>Well testing AWI 9-11</t>
  </si>
  <si>
    <t>E540-301297505-D245401</t>
  </si>
  <si>
    <t>Well testing AWI 3-9</t>
  </si>
  <si>
    <t>E540-301297506-D245401</t>
  </si>
  <si>
    <t>Well testing AWI 21-8</t>
  </si>
  <si>
    <t>E540-301297507-D245401</t>
  </si>
  <si>
    <t>Well testing AWI 23-2</t>
  </si>
  <si>
    <t>E540-301297508-D245401</t>
  </si>
  <si>
    <t>Well testing AWI 9-10 RD</t>
  </si>
  <si>
    <t>E540-301297509-D245401</t>
  </si>
  <si>
    <t>WSG AWI 2-6</t>
  </si>
  <si>
    <t>E540-301297601-D245401</t>
  </si>
  <si>
    <t>WSG AWI 2-7 ML</t>
  </si>
  <si>
    <t>E540-301297602-D245401</t>
  </si>
  <si>
    <t>WSG AWI 21-7</t>
  </si>
  <si>
    <t>E540-301297603-D245401</t>
  </si>
  <si>
    <t>WSG AWI 23-1</t>
  </si>
  <si>
    <t>E540-301297604-D245401</t>
  </si>
  <si>
    <t>WSG AWI 9-11</t>
  </si>
  <si>
    <t>E540-301297605-D245401</t>
  </si>
  <si>
    <t>WSG AWI 3-9</t>
  </si>
  <si>
    <t>E540-301297606-D245401</t>
  </si>
  <si>
    <t>WSG AWI 21-8</t>
  </si>
  <si>
    <t>E540-301297607-D245401</t>
  </si>
  <si>
    <t>WSG AWI 23-2</t>
  </si>
  <si>
    <t>E540-301297608-D245401</t>
  </si>
  <si>
    <t>WSG AWI 9-10 RD</t>
  </si>
  <si>
    <t>E540-301297609-D245401</t>
  </si>
  <si>
    <t>E540-301297757-D245401</t>
  </si>
  <si>
    <t>E540-301297758-D245401</t>
  </si>
  <si>
    <t>E540-301297759-D245401</t>
  </si>
  <si>
    <t>E540-301297856-D245401</t>
  </si>
  <si>
    <t>E540-301297862-D245401</t>
  </si>
  <si>
    <t>Insurance AWI 2-6</t>
  </si>
  <si>
    <t>E540-301297901-D245401</t>
  </si>
  <si>
    <t>Insurance AWI 2-7 ML</t>
  </si>
  <si>
    <t>E540-301297902-D245401</t>
  </si>
  <si>
    <t>Insurance AWI 21-7</t>
  </si>
  <si>
    <t>E540-301297903-D245401</t>
  </si>
  <si>
    <t>Insurance AWI 23-1</t>
  </si>
  <si>
    <t>E540-301297904-D245401</t>
  </si>
  <si>
    <t>Insurance AWI 9-11</t>
  </si>
  <si>
    <t>E540-301297905-D245401</t>
  </si>
  <si>
    <t>Insurance AWI 3-9</t>
  </si>
  <si>
    <t>E540-301297906-D245401</t>
  </si>
  <si>
    <t>Insurance AWI 21-8</t>
  </si>
  <si>
    <t>E540-301297907-D245401</t>
  </si>
  <si>
    <t>Insurance AWI 23-2</t>
  </si>
  <si>
    <t>E540-301297908-D245401</t>
  </si>
  <si>
    <t>Insurance AWI 9-10 RD</t>
  </si>
  <si>
    <t>E540-301297909-D245401</t>
  </si>
  <si>
    <t>E540-301298052-D245401</t>
  </si>
  <si>
    <t>E540-301298160-D245401</t>
  </si>
  <si>
    <t>E540-301298264-D245401</t>
  </si>
  <si>
    <t>Internet and IT Support Service</t>
  </si>
  <si>
    <t>E540-301298265-D245401</t>
  </si>
  <si>
    <t>Conductor Casing Inst &amp; Mat Well 1</t>
  </si>
  <si>
    <t>E540-302037401-D245401</t>
  </si>
  <si>
    <t>Conductor Casing Inst &amp; Mat Well 2</t>
  </si>
  <si>
    <t>E540-302037402-D245401</t>
  </si>
  <si>
    <t>Conductor Casing Inst &amp; Mat Well 3</t>
  </si>
  <si>
    <t>E540-302037403-D245401</t>
  </si>
  <si>
    <t>Conductor Casing Inst &amp; Mat Well 4</t>
  </si>
  <si>
    <t>E540-302037404-D245401</t>
  </si>
  <si>
    <t>Conductor Casing Inst &amp; Mat Well 5</t>
  </si>
  <si>
    <t>E540-302037405-D245401</t>
  </si>
  <si>
    <t>Conductor Casing Inst &amp; Mat Well 6</t>
  </si>
  <si>
    <t>E540-302037406-D245401</t>
  </si>
  <si>
    <t>Conductor Casing Inst &amp; Mat Well 7</t>
  </si>
  <si>
    <t>E540-302037407-D245401</t>
  </si>
  <si>
    <t>Conductor Casing Inst &amp; Mat Well 8</t>
  </si>
  <si>
    <t>E540-302037408-D245401</t>
  </si>
  <si>
    <t>Conductor Casing Inst &amp; Mat Well 9</t>
  </si>
  <si>
    <t>E540-302037409-D245401</t>
  </si>
  <si>
    <t>Road &amp; Pad - Eng Pad AWI2</t>
  </si>
  <si>
    <t>E540-302038307-D245401</t>
  </si>
  <si>
    <t>Road &amp; Pad - Const Pad AWI2</t>
  </si>
  <si>
    <t>E540-302038309-D245401</t>
  </si>
  <si>
    <t>Road &amp; Pad - Eng Pad AWI21</t>
  </si>
  <si>
    <t>E540-302038407-D245401</t>
  </si>
  <si>
    <t>Road &amp; Pad - Const Pad AWI21</t>
  </si>
  <si>
    <t>E540-302038409-D245401</t>
  </si>
  <si>
    <t>Road &amp; Pad - Eng Pad AWI3</t>
  </si>
  <si>
    <t>E540-302038507-D245401</t>
  </si>
  <si>
    <t>Road &amp; Pad - Const Pad AWI3</t>
  </si>
  <si>
    <t>E540-302038509-D245401</t>
  </si>
  <si>
    <t>Road &amp; Pad - Eng Pad AWI9</t>
  </si>
  <si>
    <t>E540-302038607-D245401</t>
  </si>
  <si>
    <t>Road &amp; Pad - Const Pad AWI9</t>
  </si>
  <si>
    <t>E540-302038609-D245401</t>
  </si>
  <si>
    <t>Tie In - Eng Pad AWI2</t>
  </si>
  <si>
    <t>E540-302038707-D245401</t>
  </si>
  <si>
    <t>Tie In - Proc Pad AWI2</t>
  </si>
  <si>
    <t>E540-302038708-D245401</t>
  </si>
  <si>
    <t>Tie In - Const Pad AWI2</t>
  </si>
  <si>
    <t>E540-302038709-D245401</t>
  </si>
  <si>
    <t>Tie In - Eng Pad AWI21</t>
  </si>
  <si>
    <t>E540-302038807-D245401</t>
  </si>
  <si>
    <t>Tie In - Proc Pad AWI21</t>
  </si>
  <si>
    <t>E540-302038808-D245401</t>
  </si>
  <si>
    <t>Tie In - Const Pad AWI21</t>
  </si>
  <si>
    <t>E540-302038809-D245401</t>
  </si>
  <si>
    <t>Tie In - Eng AWI23</t>
  </si>
  <si>
    <t>E540-302038907-D245401</t>
  </si>
  <si>
    <t>Tie In - Proc AWI23</t>
  </si>
  <si>
    <t>E540-302038908-D245401</t>
  </si>
  <si>
    <t>Tie In - Const AWI23</t>
  </si>
  <si>
    <t>E540-302038909-D245401</t>
  </si>
  <si>
    <t>Tie In - Eng Pad AWI9</t>
  </si>
  <si>
    <t>E540-302039007-D245401</t>
  </si>
  <si>
    <t>Tie In - Proc Pad AWI9</t>
  </si>
  <si>
    <t>E540-302039008-D245401</t>
  </si>
  <si>
    <t>Tie In - Const Pad AWI9</t>
  </si>
  <si>
    <t>E540-302039009-D245401</t>
  </si>
  <si>
    <t>Spec Req - Eng Pad AWI3</t>
  </si>
  <si>
    <t>E540-302039207-D245401</t>
  </si>
  <si>
    <t>Spec Req - Const Pad AWI3</t>
  </si>
  <si>
    <t>E540-302039209-D245401</t>
  </si>
  <si>
    <t>E540-302039309-D245401</t>
  </si>
  <si>
    <t>Tie In - Eng Pad AWI3</t>
  </si>
  <si>
    <t>E540-302039407-D245401</t>
  </si>
  <si>
    <t>Tie In - Proc Pad AWI3</t>
  </si>
  <si>
    <t>E540-302039408-D245401</t>
  </si>
  <si>
    <t>Tie In - Const Pad AWI3</t>
  </si>
  <si>
    <t>E540-302039409-D245401</t>
  </si>
  <si>
    <t>E540-302990115-D245401</t>
  </si>
  <si>
    <t>Consumables AWI 2-6</t>
  </si>
  <si>
    <t>E540-30101010160-D245401</t>
  </si>
  <si>
    <t>Service Lines &amp; Comm AWI 2-6</t>
  </si>
  <si>
    <t>E540-30101010204-D245401</t>
  </si>
  <si>
    <t>Contract Rig AWI 2-6</t>
  </si>
  <si>
    <t>E540-30101010205-D245401</t>
  </si>
  <si>
    <t>Mud, Chemical and Eng Serv AWI 2-6</t>
  </si>
  <si>
    <t>E540-30101010207-D245401</t>
  </si>
  <si>
    <t>Bits, Reamer and Core heads AWI 2-6</t>
  </si>
  <si>
    <t>E540-30101010208-D245401</t>
  </si>
  <si>
    <t>Equipment Rental AWI 2-6</t>
  </si>
  <si>
    <t>E540-30101010209-D245401</t>
  </si>
  <si>
    <t>Directional Drilling &amp; Surveys AWI 2-6</t>
  </si>
  <si>
    <t>E540-30101010210-D245401</t>
  </si>
  <si>
    <t>Casing Installation AWI 2-6</t>
  </si>
  <si>
    <t>E540-30101010211-D245401</t>
  </si>
  <si>
    <t>Cement, Cementing &amp; Pump Fees AWI 2-6</t>
  </si>
  <si>
    <t>E540-30101010212-D245401</t>
  </si>
  <si>
    <t>Mud Logging Service AWI 2-6</t>
  </si>
  <si>
    <t>E540-30101010213-D245401</t>
  </si>
  <si>
    <t>Open Hole Electrical Logging Serv AWI 2-</t>
  </si>
  <si>
    <t>E540-30101010214-D245401</t>
  </si>
  <si>
    <t>Supervision AWI 2-6</t>
  </si>
  <si>
    <t>E540-30101010215-D245401</t>
  </si>
  <si>
    <t>Land Transportation AWI 2-6</t>
  </si>
  <si>
    <t>E540-30101010216-D245401</t>
  </si>
  <si>
    <t>Other Transportation AWI 2-6</t>
  </si>
  <si>
    <t>E540-30101010217-D245401</t>
  </si>
  <si>
    <t>Drilling Safety, Health &amp; Environment AWI 2-6</t>
  </si>
  <si>
    <t>E540-30101010220-D245401</t>
  </si>
  <si>
    <t>Explosive Handling &amp; Permittingting AWI 2-6</t>
  </si>
  <si>
    <t>E540-30101010224-D245401</t>
  </si>
  <si>
    <t>Drilling Rig O&amp;M AWI 2-6</t>
  </si>
  <si>
    <t>E540-30101010245-D245401</t>
  </si>
  <si>
    <t>Drilling Rig O&amp;M</t>
  </si>
  <si>
    <t>Coring AWI 2-6</t>
  </si>
  <si>
    <t>E540-30101010247-D245401</t>
  </si>
  <si>
    <t>NDT Inspection AWI 2-6</t>
  </si>
  <si>
    <t>E540-30101010294-D245401</t>
  </si>
  <si>
    <t>Rig Inspection AWI 2-6</t>
  </si>
  <si>
    <t>E540-30101010295-D245401</t>
  </si>
  <si>
    <t>Vehicle Inspection AWI 2-6</t>
  </si>
  <si>
    <t>E540-30101010296-D245401</t>
  </si>
  <si>
    <t>Welding Services AWI 2-6</t>
  </si>
  <si>
    <t>E540-30101010297-D245401</t>
  </si>
  <si>
    <t>API non API Machine Shop Serv AWI 2-6</t>
  </si>
  <si>
    <t>E540-30101010298-D245401</t>
  </si>
  <si>
    <t>Casing AWI 2-6</t>
  </si>
  <si>
    <t>E540-30101016101-D245401</t>
  </si>
  <si>
    <t>Well Equip. Surface AWI 2-6</t>
  </si>
  <si>
    <t>E540-30101016102-D245401</t>
  </si>
  <si>
    <t>Well Equipment Surface</t>
  </si>
  <si>
    <t>Fuel &amp; Lubricants AWI 2-6</t>
  </si>
  <si>
    <t>E540-30101016118-D245401</t>
  </si>
  <si>
    <t>Casing Repair &amp; Modif AWI 2-6</t>
  </si>
  <si>
    <t>E540-30101016162-D245401</t>
  </si>
  <si>
    <t>Asset Transfer AWI 2-6</t>
  </si>
  <si>
    <t>E540-30101016193-D245401</t>
  </si>
  <si>
    <t>Consumables AWI 2-7 ML</t>
  </si>
  <si>
    <t>E540-30101020160-D245401</t>
  </si>
  <si>
    <t>Service Lines &amp; Comm AWI 2-7 ML</t>
  </si>
  <si>
    <t>E540-30101020204-D245401</t>
  </si>
  <si>
    <t>Contract Rig AWI 2-7 ML</t>
  </si>
  <si>
    <t>E540-30101020205-D245401</t>
  </si>
  <si>
    <t>Mud, Chemical and Eng Serv AWI 2-7 ML</t>
  </si>
  <si>
    <t>E540-30101020207-D245401</t>
  </si>
  <si>
    <t>Bits, Reamer and Core heads AWI 2-7 ML</t>
  </si>
  <si>
    <t>E540-30101020208-D245401</t>
  </si>
  <si>
    <t>Equipment Rental AWI 2-7 ML</t>
  </si>
  <si>
    <t>E540-30101020209-D245401</t>
  </si>
  <si>
    <t>Directional Drilling &amp; Surveys AWI 2-7 ML</t>
  </si>
  <si>
    <t>E540-30101020210-D245401</t>
  </si>
  <si>
    <t>Casing Installation AWI 2-7 ML</t>
  </si>
  <si>
    <t>E540-30101020211-D245401</t>
  </si>
  <si>
    <t>Cement, Cementing &amp; Pump Fees AWI 2-7 ML</t>
  </si>
  <si>
    <t>E540-30101020212-D245401</t>
  </si>
  <si>
    <t>Mud Logging Service AWI 2-7 ML</t>
  </si>
  <si>
    <t>E540-30101020213-D245401</t>
  </si>
  <si>
    <t>Open Hole Electrical Logging Serv AWI 2-7 ML</t>
  </si>
  <si>
    <t>E540-30101020214-D245401</t>
  </si>
  <si>
    <t>Supervision AWI 2-7 ML</t>
  </si>
  <si>
    <t>E540-30101020215-D245401</t>
  </si>
  <si>
    <t>Land Transportation AWI 2-7 ML</t>
  </si>
  <si>
    <t>E540-30101020216-D245401</t>
  </si>
  <si>
    <t>Other Transportation AWI 2-7 ML</t>
  </si>
  <si>
    <t>E540-30101020217-D245401</t>
  </si>
  <si>
    <t>Drilling Safety, Health &amp; Environment AWI 2-7 ML</t>
  </si>
  <si>
    <t>E540-30101020220-D245401</t>
  </si>
  <si>
    <t>Explosive Handling &amp; Permitting AWI 2-7 ML</t>
  </si>
  <si>
    <t>E540-30101020224-D245401</t>
  </si>
  <si>
    <t>Drilling Rig O&amp;M AWI 2-7 ML</t>
  </si>
  <si>
    <t>E540-30101020245-D245401</t>
  </si>
  <si>
    <t>Coring AWI 2-7 ML</t>
  </si>
  <si>
    <t>E540-30101020247-D245401</t>
  </si>
  <si>
    <t>NDT Inspection AWI 2-7 ML</t>
  </si>
  <si>
    <t>E540-30101020294-D245401</t>
  </si>
  <si>
    <t>Rig Inspection AWI 2-7 ML</t>
  </si>
  <si>
    <t>E540-30101020295-D245401</t>
  </si>
  <si>
    <t>Vehicle Inspection AWI 2-7 ML</t>
  </si>
  <si>
    <t>E540-30101020296-D245401</t>
  </si>
  <si>
    <t>Welding Services AWI 2-7 ML</t>
  </si>
  <si>
    <t>E540-30101020297-D245401</t>
  </si>
  <si>
    <t>API non API Machine Shop Serv AWI 2-7 ML</t>
  </si>
  <si>
    <t>E540-30101020298-D245401</t>
  </si>
  <si>
    <t>Casing AWI 2-7 ML</t>
  </si>
  <si>
    <t>E540-30101026101-D245401</t>
  </si>
  <si>
    <t>Well Equip. Surface AWI 2-7 ML</t>
  </si>
  <si>
    <t>E540-30101026102-D245401</t>
  </si>
  <si>
    <t>Fuel &amp; Lubricants AWI 2-7 ML</t>
  </si>
  <si>
    <t>E540-30101026118-D245401</t>
  </si>
  <si>
    <t>Casing Repair &amp; Modif AWI 2-7 ML</t>
  </si>
  <si>
    <t>E540-30101026162-D245401</t>
  </si>
  <si>
    <t>Asset Transfer AWI 2-7 ML</t>
  </si>
  <si>
    <t>E540-30101026193-D245401</t>
  </si>
  <si>
    <t>Consumables AWI 21-7</t>
  </si>
  <si>
    <t>E540-30101030160-D245401</t>
  </si>
  <si>
    <t>Service Lines &amp; Comm AWI 21-7</t>
  </si>
  <si>
    <t>E540-30101030204-D245401</t>
  </si>
  <si>
    <t>Contract Rig AWI 21-7</t>
  </si>
  <si>
    <t>E540-30101030205-D245401</t>
  </si>
  <si>
    <t>Mud, Chemical and Eng Serv AWI 21-7</t>
  </si>
  <si>
    <t>E540-30101030207-D245401</t>
  </si>
  <si>
    <t>Bits, Reamer and Core heads AWI 21-7</t>
  </si>
  <si>
    <t>E540-30101030208-D245401</t>
  </si>
  <si>
    <t>Equipment Rental AWI 21-7</t>
  </si>
  <si>
    <t>E540-30101030209-D245401</t>
  </si>
  <si>
    <t>Directional Drilling &amp; Surveys AWI 21-7</t>
  </si>
  <si>
    <t>E540-30101030210-D245401</t>
  </si>
  <si>
    <t>Casing Installation AWI 21-7</t>
  </si>
  <si>
    <t>E540-30101030211-D245401</t>
  </si>
  <si>
    <t>Cement, Cementing &amp; Pump Fees AWI 21-7</t>
  </si>
  <si>
    <t>E540-30101030212-D245401</t>
  </si>
  <si>
    <t>Mud Logging Service AWI 21-7</t>
  </si>
  <si>
    <t>E540-30101030213-D245401</t>
  </si>
  <si>
    <t>Open Hole Electrical Logging Serv AWI 21-7</t>
  </si>
  <si>
    <t>E540-30101030214-D245401</t>
  </si>
  <si>
    <t>Supervision AWI 21-7</t>
  </si>
  <si>
    <t>E540-30101030215-D245401</t>
  </si>
  <si>
    <t>Land Transportation AWI 21-7</t>
  </si>
  <si>
    <t>E540-30101030216-D245401</t>
  </si>
  <si>
    <t>Other Transportation AWI 21-7</t>
  </si>
  <si>
    <t>E540-30101030217-D245401</t>
  </si>
  <si>
    <t>Drilling Safety, Health &amp; Environment AWI 21-7</t>
  </si>
  <si>
    <t>E540-30101030220-D245401</t>
  </si>
  <si>
    <t>Explosive Handling &amp; Permittingting AWI 21-7</t>
  </si>
  <si>
    <t>E540-30101030224-D245401</t>
  </si>
  <si>
    <t>Drilling Rig O&amp;M AWI 21-7</t>
  </si>
  <si>
    <t>E540-30101030245-D245401</t>
  </si>
  <si>
    <t>Coring AWI 21-7</t>
  </si>
  <si>
    <t>E540-30101030247-D245401</t>
  </si>
  <si>
    <t>NDT Inspection AWI 21-7</t>
  </si>
  <si>
    <t>E540-30101030294-D245401</t>
  </si>
  <si>
    <t>Rig Inspection AWI 21-7</t>
  </si>
  <si>
    <t>E540-30101030295-D245401</t>
  </si>
  <si>
    <t>Vehicle Inspection AWI 21-7</t>
  </si>
  <si>
    <t>E540-30101030296-D245401</t>
  </si>
  <si>
    <t>Welding Services AWI 21-7</t>
  </si>
  <si>
    <t>E540-30101030297-D245401</t>
  </si>
  <si>
    <t>API non API Machine Shop Serv AWI 21-7</t>
  </si>
  <si>
    <t>E540-30101030298-D245401</t>
  </si>
  <si>
    <t>Casing AWI 21-7</t>
  </si>
  <si>
    <t>E540-30101036101-D245401</t>
  </si>
  <si>
    <t>Well Equip. Surface AWI 21-7</t>
  </si>
  <si>
    <t>E540-30101036102-D245401</t>
  </si>
  <si>
    <t>Fuel &amp; Lubricants AWI 21-7</t>
  </si>
  <si>
    <t>E540-30101036118-D245401</t>
  </si>
  <si>
    <t>Casing Repair &amp; Modif AWI 21-7</t>
  </si>
  <si>
    <t>E540-30101036162-D245401</t>
  </si>
  <si>
    <t>Asset Transfer AWI 21-7</t>
  </si>
  <si>
    <t>E540-30101036193-D245401</t>
  </si>
  <si>
    <t>Consumables AWI 23-1</t>
  </si>
  <si>
    <t>E540-30101040160-D245401</t>
  </si>
  <si>
    <t>Service Lines &amp; Comm AWI 23-1</t>
  </si>
  <si>
    <t>E540-30101040204-D245401</t>
  </si>
  <si>
    <t>Contract Rig AWI 23-1</t>
  </si>
  <si>
    <t>E540-30101040205-D245401</t>
  </si>
  <si>
    <t>Mud, Chemical and Eng Serv AWI 23-1</t>
  </si>
  <si>
    <t>E540-30101040207-D245401</t>
  </si>
  <si>
    <t>Bits, Reamer and Core heads AWI 23-1</t>
  </si>
  <si>
    <t>E540-30101040208-D245401</t>
  </si>
  <si>
    <t>Equipment Rental AWI 23-1</t>
  </si>
  <si>
    <t>E540-30101040209-D245401</t>
  </si>
  <si>
    <t>Directional Drilling &amp; Surveys AWI 23-1</t>
  </si>
  <si>
    <t>E540-30101040210-D245401</t>
  </si>
  <si>
    <t>Casing Installation AWI 23-1</t>
  </si>
  <si>
    <t>E540-30101040211-D245401</t>
  </si>
  <si>
    <t>Cement, Cementing &amp; Pump Fees AWI 23-1</t>
  </si>
  <si>
    <t>E540-30101040212-D245401</t>
  </si>
  <si>
    <t>Mud Logging Service AWI 23-1</t>
  </si>
  <si>
    <t>E540-30101040213-D245401</t>
  </si>
  <si>
    <t>Open Hole Electrical Logging Serv AWI 23-1</t>
  </si>
  <si>
    <t>E540-30101040214-D245401</t>
  </si>
  <si>
    <t>Supervision AWI 23-1</t>
  </si>
  <si>
    <t>E540-30101040215-D245401</t>
  </si>
  <si>
    <t>Land Transportation AWI 23-1</t>
  </si>
  <si>
    <t>E540-30101040216-D245401</t>
  </si>
  <si>
    <t>Other Transportation AWI 23-1</t>
  </si>
  <si>
    <t>E540-30101040217-D245401</t>
  </si>
  <si>
    <t>Drilling Safety, Health &amp; Environment AWI 23-1</t>
  </si>
  <si>
    <t>E540-30101040220-D245401</t>
  </si>
  <si>
    <t>Explosive Handling &amp; Permittingting AWI 23-1</t>
  </si>
  <si>
    <t>E540-30101040224-D245401</t>
  </si>
  <si>
    <t>Drilling Rig O&amp;M AWI 23-1</t>
  </si>
  <si>
    <t>E540-30101040245-D245401</t>
  </si>
  <si>
    <t>Coring AWI 23-1</t>
  </si>
  <si>
    <t>E540-30101040247-D245401</t>
  </si>
  <si>
    <t>NDT Inspection AWI 23-1</t>
  </si>
  <si>
    <t>E540-30101040294-D245401</t>
  </si>
  <si>
    <t>Rig Inspection AWI 23-1</t>
  </si>
  <si>
    <t>E540-30101040295-D245401</t>
  </si>
  <si>
    <t>Vehicle Inspection AWI 23-1</t>
  </si>
  <si>
    <t>E540-30101040296-D245401</t>
  </si>
  <si>
    <t>Welding Services AWI 23-1</t>
  </si>
  <si>
    <t>E540-30101040297-D245401</t>
  </si>
  <si>
    <t>API non API Machine Shop Serv AWI 23-1</t>
  </si>
  <si>
    <t>E540-30101040298-D245401</t>
  </si>
  <si>
    <t>Casing AWI 23-1</t>
  </si>
  <si>
    <t>E540-30101046101-D245401</t>
  </si>
  <si>
    <t>Well Equip. Surface AWI 23-1</t>
  </si>
  <si>
    <t>E540-30101046102-D245401</t>
  </si>
  <si>
    <t>Fuel &amp; Lubricants AWI 23-1</t>
  </si>
  <si>
    <t>E540-30101046118-D245401</t>
  </si>
  <si>
    <t>Casing Repair &amp; Modif AWI 23-1</t>
  </si>
  <si>
    <t>E540-30101046162-D245401</t>
  </si>
  <si>
    <t>Asset Transfer AWI 23-1</t>
  </si>
  <si>
    <t>E540-30101046193-D245401</t>
  </si>
  <si>
    <t>Consumables AWI 9-11</t>
  </si>
  <si>
    <t>E540-30101050160-D245401</t>
  </si>
  <si>
    <t>Service Lines &amp; Comm AWI 9-11</t>
  </si>
  <si>
    <t>E540-30101050204-D245401</t>
  </si>
  <si>
    <t>Contract Rig AWI 9-11</t>
  </si>
  <si>
    <t>E540-30101050205-D245401</t>
  </si>
  <si>
    <t>Mud, Chemical and Eng Serv AWI 9-11</t>
  </si>
  <si>
    <t>E540-30101050207-D245401</t>
  </si>
  <si>
    <t>Bits, Reamer and Core heads AWI 9-11</t>
  </si>
  <si>
    <t>E540-30101050208-D245401</t>
  </si>
  <si>
    <t>Equipment Rental AWI 9-11</t>
  </si>
  <si>
    <t>E540-30101050209-D245401</t>
  </si>
  <si>
    <t>Directional Drilling &amp; Surveys AWI 9-11</t>
  </si>
  <si>
    <t>E540-30101050210-D245401</t>
  </si>
  <si>
    <t>Casing Installation AWI 9-11</t>
  </si>
  <si>
    <t>E540-30101050211-D245401</t>
  </si>
  <si>
    <t>Cement, Cementing &amp; Pump Fees AWI 9-11</t>
  </si>
  <si>
    <t>E540-30101050212-D245401</t>
  </si>
  <si>
    <t>Mud Logging Service AWI 9-11</t>
  </si>
  <si>
    <t>E540-30101050213-D245401</t>
  </si>
  <si>
    <t>Open Hole Electrical Logging Serv AWI 9-11</t>
  </si>
  <si>
    <t>E540-30101050214-D245401</t>
  </si>
  <si>
    <t>Supervision AWI 9-11</t>
  </si>
  <si>
    <t>E540-30101050215-D245401</t>
  </si>
  <si>
    <t>Land Transportation AWI 9-11</t>
  </si>
  <si>
    <t>E540-30101050216-D245401</t>
  </si>
  <si>
    <t>Other Transportation AWI 9-11</t>
  </si>
  <si>
    <t>E540-30101050217-D245401</t>
  </si>
  <si>
    <t>Drilling Safety, Health &amp; Environment AWI 9-11</t>
  </si>
  <si>
    <t>E540-30101050220-D245401</t>
  </si>
  <si>
    <t>Explosive Handling &amp; Permittingting AWI 9-11</t>
  </si>
  <si>
    <t>E540-30101050224-D245401</t>
  </si>
  <si>
    <t>Drilling Rig O&amp;M AWI 9-11</t>
  </si>
  <si>
    <t>E540-30101050245-D245401</t>
  </si>
  <si>
    <t>Coring AWI 9-11</t>
  </si>
  <si>
    <t>E540-30101050247-D245401</t>
  </si>
  <si>
    <t>NDT Inspection AWI 9-11</t>
  </si>
  <si>
    <t>E540-30101050294-D245401</t>
  </si>
  <si>
    <t>Rig Inspection AWI 9-11</t>
  </si>
  <si>
    <t>E540-30101050295-D245401</t>
  </si>
  <si>
    <t>Vehicle Inspection AWI 9-11</t>
  </si>
  <si>
    <t>E540-30101050296-D245401</t>
  </si>
  <si>
    <t>Welding Services AWI 9-11</t>
  </si>
  <si>
    <t>E540-30101050297-D245401</t>
  </si>
  <si>
    <t>API non API Machine Shop Serv AWI 9-11</t>
  </si>
  <si>
    <t>E540-30101050298-D245401</t>
  </si>
  <si>
    <t>Casing AWI 9-11</t>
  </si>
  <si>
    <t>E540-30101056101-D245401</t>
  </si>
  <si>
    <t>Well Equip. Surface AWI 9-11</t>
  </si>
  <si>
    <t>E540-30101056102-D245401</t>
  </si>
  <si>
    <t>Fuel &amp; Lubricants AWI 9-11</t>
  </si>
  <si>
    <t>E540-30101056118-D245401</t>
  </si>
  <si>
    <t>Casing Repair &amp; Modif AWI 9-11</t>
  </si>
  <si>
    <t>E540-30101056162-D245401</t>
  </si>
  <si>
    <t>Asset Transfer AWI 9-11</t>
  </si>
  <si>
    <t>E540-30101056193-D245401</t>
  </si>
  <si>
    <t>Consumables AWI 3-9</t>
  </si>
  <si>
    <t>E540-30101060160-D245401</t>
  </si>
  <si>
    <t>Service Lines &amp; Comm AWI 3-9</t>
  </si>
  <si>
    <t>E540-30101060204-D245401</t>
  </si>
  <si>
    <t>Contract Rig AWI 3-9</t>
  </si>
  <si>
    <t>E540-30101060205-D245401</t>
  </si>
  <si>
    <t>Mud, Chemical and Eng Serv AWI 3-9</t>
  </si>
  <si>
    <t>E540-30101060207-D245401</t>
  </si>
  <si>
    <t>Bits, Reamer and Core heads AWI 3-9</t>
  </si>
  <si>
    <t>E540-30101060208-D245401</t>
  </si>
  <si>
    <t>Equipment Rental AWI 3-9</t>
  </si>
  <si>
    <t>E540-30101060209-D245401</t>
  </si>
  <si>
    <t>Directional Drilling &amp; Surveys AWI 3-9</t>
  </si>
  <si>
    <t>E540-30101060210-D245401</t>
  </si>
  <si>
    <t>Casing Installation AWI 3-9</t>
  </si>
  <si>
    <t>E540-30101060211-D245401</t>
  </si>
  <si>
    <t>Cement, Cementing &amp; Pump Fees AWI 3-9</t>
  </si>
  <si>
    <t>E540-30101060212-D245401</t>
  </si>
  <si>
    <t>Mud Logging Service AWI 3-9</t>
  </si>
  <si>
    <t>E540-30101060213-D245401</t>
  </si>
  <si>
    <t>Open Hole Electrical Logging Serv AWI 3-</t>
  </si>
  <si>
    <t>E540-30101060214-D245401</t>
  </si>
  <si>
    <t>Supervision AWI 3-9</t>
  </si>
  <si>
    <t>E540-30101060215-D245401</t>
  </si>
  <si>
    <t>Land Transportation AWI 3-9</t>
  </si>
  <si>
    <t>E540-30101060216-D245401</t>
  </si>
  <si>
    <t>Other Transportation AWI 3-9</t>
  </si>
  <si>
    <t>E540-30101060217-D245401</t>
  </si>
  <si>
    <t>Drilling Safety, Health &amp; Environment AWI 3-9</t>
  </si>
  <si>
    <t>E540-30101060220-D245401</t>
  </si>
  <si>
    <t>Explosive Handling &amp; Permittingting AWI 3-9</t>
  </si>
  <si>
    <t>E540-30101060224-D245401</t>
  </si>
  <si>
    <t>Drilling Rig O&amp;M AWI 3-9</t>
  </si>
  <si>
    <t>E540-30101060245-D245401</t>
  </si>
  <si>
    <t>Coring AWI 3-9</t>
  </si>
  <si>
    <t>E540-30101060247-D245401</t>
  </si>
  <si>
    <t>NDT Inspection AWI 3-9</t>
  </si>
  <si>
    <t>E540-30101060294-D245401</t>
  </si>
  <si>
    <t>Rig Inspection AWI 3-9</t>
  </si>
  <si>
    <t>E540-30101060295-D245401</t>
  </si>
  <si>
    <t>Vehicle Inspection AWI 3-9</t>
  </si>
  <si>
    <t>E540-30101060296-D245401</t>
  </si>
  <si>
    <t>Welding Services AWI 3-9</t>
  </si>
  <si>
    <t>E540-30101060297-D245401</t>
  </si>
  <si>
    <t>API non API Machine Shop Serv AWI 3-9</t>
  </si>
  <si>
    <t>E540-30101060298-D245401</t>
  </si>
  <si>
    <t>Casing AWI 3-9</t>
  </si>
  <si>
    <t>E540-30101066101-D245401</t>
  </si>
  <si>
    <t>Well Equip. Surface AWI 3-9</t>
  </si>
  <si>
    <t>E540-30101066102-D245401</t>
  </si>
  <si>
    <t>Fuel &amp; Lubricants AWI 3-9</t>
  </si>
  <si>
    <t>E540-30101066118-D245401</t>
  </si>
  <si>
    <t>Casing Repair &amp; Modif AWI 3-9</t>
  </si>
  <si>
    <t>E540-30101066162-D245401</t>
  </si>
  <si>
    <t>Asset Transfer AWI 3-9</t>
  </si>
  <si>
    <t>E540-30101066193-D245401</t>
  </si>
  <si>
    <t>Consumables AWI 21-8</t>
  </si>
  <si>
    <t>E540-30101070160-D245401</t>
  </si>
  <si>
    <t>Service Lines &amp; Comm AWI 21-8</t>
  </si>
  <si>
    <t>E540-30101070204-D245401</t>
  </si>
  <si>
    <t>Contract Rig AWI 21-8</t>
  </si>
  <si>
    <t>E540-30101070205-D245401</t>
  </si>
  <si>
    <t>Mud, Chemical and Eng Serv AWI 21-8</t>
  </si>
  <si>
    <t>E540-30101070207-D245401</t>
  </si>
  <si>
    <t>Bits, Reamer and Core heads AWI 21-8</t>
  </si>
  <si>
    <t>E540-30101070208-D245401</t>
  </si>
  <si>
    <t>Equipment Rental AWI 21-8</t>
  </si>
  <si>
    <t>E540-30101070209-D245401</t>
  </si>
  <si>
    <t>Directional Drilling &amp; Surveys AWI 21-8</t>
  </si>
  <si>
    <t>E540-30101070210-D245401</t>
  </si>
  <si>
    <t>Casing Installation AWI 21-8</t>
  </si>
  <si>
    <t>E540-30101070211-D245401</t>
  </si>
  <si>
    <t>Cement, Cementing &amp; Pump Fees AWI 21-8</t>
  </si>
  <si>
    <t>E540-30101070212-D245401</t>
  </si>
  <si>
    <t>Mud Logging Service AWI 21-8</t>
  </si>
  <si>
    <t>E540-30101070213-D245401</t>
  </si>
  <si>
    <t>Open Hole Electrical Logging Serv AWI 21</t>
  </si>
  <si>
    <t>E540-30101070214-D245401</t>
  </si>
  <si>
    <t>Supervision AWI 21-8</t>
  </si>
  <si>
    <t>E540-30101070215-D245401</t>
  </si>
  <si>
    <t>Land Transportation AWI 21-8</t>
  </si>
  <si>
    <t>E540-30101070216-D245401</t>
  </si>
  <si>
    <t>Other Transportation AWI 21-8</t>
  </si>
  <si>
    <t>E540-30101070217-D245401</t>
  </si>
  <si>
    <t>Drilling Safety, Health &amp; Environment AWI 21-</t>
  </si>
  <si>
    <t>E540-30101070220-D245401</t>
  </si>
  <si>
    <t>Explosive Handling &amp; Permittingting AWI 21-8</t>
  </si>
  <si>
    <t>E540-30101070224-D245401</t>
  </si>
  <si>
    <t>Drilling Rig O&amp;M AWI 21-8</t>
  </si>
  <si>
    <t>E540-30101070245-D245401</t>
  </si>
  <si>
    <t>Coring AWI 21-8</t>
  </si>
  <si>
    <t>E540-30101070247-D245401</t>
  </si>
  <si>
    <t>NDT Inspection AWI 21-8</t>
  </si>
  <si>
    <t>E540-30101070294-D245401</t>
  </si>
  <si>
    <t>Rig Inspection AWI 21-8</t>
  </si>
  <si>
    <t>E540-30101070295-D245401</t>
  </si>
  <si>
    <t>Vehicle Inspection AWI 21-8</t>
  </si>
  <si>
    <t>E540-30101070296-D245401</t>
  </si>
  <si>
    <t>Welding Services AWI 21-8</t>
  </si>
  <si>
    <t>E540-30101070297-D245401</t>
  </si>
  <si>
    <t>API non API Machine Shop Serv AWI 21-8</t>
  </si>
  <si>
    <t>E540-30101070298-D245401</t>
  </si>
  <si>
    <t>Casing AWI 21-8</t>
  </si>
  <si>
    <t>E540-30101076101-D245401</t>
  </si>
  <si>
    <t>Well Equip. Surface AWI 21-8</t>
  </si>
  <si>
    <t>E540-30101076102-D245401</t>
  </si>
  <si>
    <t>Fuel &amp; Lubricants AWI 21-8</t>
  </si>
  <si>
    <t>E540-30101076118-D245401</t>
  </si>
  <si>
    <t>Casing Repair &amp; Modif AWI 21-8</t>
  </si>
  <si>
    <t>E540-30101076162-D245401</t>
  </si>
  <si>
    <t>Asset Transfer AWI 21-8</t>
  </si>
  <si>
    <t>E540-30101076193-D245401</t>
  </si>
  <si>
    <t>Consumables AWI 23-2</t>
  </si>
  <si>
    <t>E540-30101080160-D245401</t>
  </si>
  <si>
    <t>Service Lines &amp; Comm AWI 23-2</t>
  </si>
  <si>
    <t>E540-30101080204-D245401</t>
  </si>
  <si>
    <t>Contract Rig AWI 23-2</t>
  </si>
  <si>
    <t>E540-30101080205-D245401</t>
  </si>
  <si>
    <t>Mud, Chemical and Eng Serv AWI 23-2</t>
  </si>
  <si>
    <t>E540-30101080207-D245401</t>
  </si>
  <si>
    <t>Bits, Reamer and Core heads AWI 23-2</t>
  </si>
  <si>
    <t>E540-30101080208-D245401</t>
  </si>
  <si>
    <t>Equipment Rental AWI 23-2</t>
  </si>
  <si>
    <t>E540-30101080209-D245401</t>
  </si>
  <si>
    <t>Directional Drilling &amp; Surveys AWI 23-2</t>
  </si>
  <si>
    <t>E540-30101080210-D245401</t>
  </si>
  <si>
    <t>Casing Installation AWI 23-2</t>
  </si>
  <si>
    <t>E540-30101080211-D245401</t>
  </si>
  <si>
    <t>Cement, Cementing &amp; Pump Fees AWI 23-2</t>
  </si>
  <si>
    <t>E540-30101080212-D245401</t>
  </si>
  <si>
    <t>Mud Logging Service AWI 23-2</t>
  </si>
  <si>
    <t>E540-30101080213-D245401</t>
  </si>
  <si>
    <t>Open Hole Electrical Logging Serv AWI 23</t>
  </si>
  <si>
    <t>E540-30101080214-D245401</t>
  </si>
  <si>
    <t>Supervision AWI 23-2</t>
  </si>
  <si>
    <t>E540-30101080215-D245401</t>
  </si>
  <si>
    <t>Land Transportation AWI 23-2</t>
  </si>
  <si>
    <t>E540-30101080216-D245401</t>
  </si>
  <si>
    <t>Other Transportation AWI 23-2</t>
  </si>
  <si>
    <t>E540-30101080217-D245401</t>
  </si>
  <si>
    <t>Drilling Safety, Health &amp; Environment AWI 23-2</t>
  </si>
  <si>
    <t>E540-30101080220-D245401</t>
  </si>
  <si>
    <t>Explosive Handling &amp; Permittingting AWI 23-2</t>
  </si>
  <si>
    <t>E540-30101080224-D245401</t>
  </si>
  <si>
    <t>Drilling Rig O&amp;M AWI 23-2</t>
  </si>
  <si>
    <t>E540-30101080245-D245401</t>
  </si>
  <si>
    <t>Coring AWI 23-2</t>
  </si>
  <si>
    <t>E540-30101080247-D245401</t>
  </si>
  <si>
    <t>NDT Inspection AWI 23-2</t>
  </si>
  <si>
    <t>E540-30101080294-D245401</t>
  </si>
  <si>
    <t>Rig Inspection AWI 23-2</t>
  </si>
  <si>
    <t>E540-30101080295-D245401</t>
  </si>
  <si>
    <t>Vehicle Inspection AWI 23-2</t>
  </si>
  <si>
    <t>E540-30101080296-D245401</t>
  </si>
  <si>
    <t>Welding Services AWI 23-2</t>
  </si>
  <si>
    <t>E540-30101080297-D245401</t>
  </si>
  <si>
    <t>API non API Machine Shop Serv AWI 23-2</t>
  </si>
  <si>
    <t>E540-30101080298-D245401</t>
  </si>
  <si>
    <t>Casing AWI 23-2</t>
  </si>
  <si>
    <t>E540-30101086101-D245401</t>
  </si>
  <si>
    <t>Well Equip. Surface AWI 23-2</t>
  </si>
  <si>
    <t>E540-30101086102-D245401</t>
  </si>
  <si>
    <t>Fuel &amp; Lubricants AWI 23-2</t>
  </si>
  <si>
    <t>E540-30101086118-D245401</t>
  </si>
  <si>
    <t>Casing Repair &amp; Modif AWI 23-2</t>
  </si>
  <si>
    <t>E540-30101086162-D245401</t>
  </si>
  <si>
    <t>Asset Transfer AWI 23-2</t>
  </si>
  <si>
    <t>E540-30101086193-D245401</t>
  </si>
  <si>
    <t>Consumables AWI 9-10 RD</t>
  </si>
  <si>
    <t>E540-30101090160-D245401</t>
  </si>
  <si>
    <t>Service Lines &amp; Comm AWI 9-10 RD</t>
  </si>
  <si>
    <t>E540-30101090204-D245401</t>
  </si>
  <si>
    <t>Contract Rig AWI 9-10 RD</t>
  </si>
  <si>
    <t>E540-30101090205-D245401</t>
  </si>
  <si>
    <t>Mud, Chemical and Eng Serv AWI 9-10 RD</t>
  </si>
  <si>
    <t>E540-30101090207-D245401</t>
  </si>
  <si>
    <t>Bits, Reamer and Core heads AWI 9-10 RD</t>
  </si>
  <si>
    <t>E540-30101090208-D245401</t>
  </si>
  <si>
    <t>Equipment Rental AWI 9-10 RD</t>
  </si>
  <si>
    <t>E540-30101090209-D245401</t>
  </si>
  <si>
    <t>Directional Drilling &amp; Surveys AWI 9-10 RD</t>
  </si>
  <si>
    <t>E540-30101090210-D245401</t>
  </si>
  <si>
    <t>Casing Installation AWI 9-10 RD</t>
  </si>
  <si>
    <t>E540-30101090211-D245401</t>
  </si>
  <si>
    <t>Cement, Cementing &amp; Pump Fees AWI 9-10 RD</t>
  </si>
  <si>
    <t>E540-30101090212-D245401</t>
  </si>
  <si>
    <t>Mud Logging Service AWI 9-10 RD</t>
  </si>
  <si>
    <t>E540-30101090213-D245401</t>
  </si>
  <si>
    <t>Open Hole Electrical Logging Serv AWI 9-10 RD</t>
  </si>
  <si>
    <t>E540-30101090214-D245401</t>
  </si>
  <si>
    <t>Supervision AWI 9-10 RD</t>
  </si>
  <si>
    <t>E540-30101090215-D245401</t>
  </si>
  <si>
    <t>Land Transportation AWI 9-10 RD</t>
  </si>
  <si>
    <t>E540-30101090216-D245401</t>
  </si>
  <si>
    <t>Other Transportation AWI 9-10 RD</t>
  </si>
  <si>
    <t>E540-30101090217-D245401</t>
  </si>
  <si>
    <t>Drilling Safety, Health &amp; Environment AWI 9-1</t>
  </si>
  <si>
    <t>E540-30101090220-D245401</t>
  </si>
  <si>
    <t>Explosive Handling &amp; Permittingting AWI 9-10 RD</t>
  </si>
  <si>
    <t>E540-30101090224-D245401</t>
  </si>
  <si>
    <t>Drilling Rig O&amp;M AWI 9-10 RD</t>
  </si>
  <si>
    <t>E540-30101090245-D245401</t>
  </si>
  <si>
    <t>Coring AWI 9-10 RD</t>
  </si>
  <si>
    <t>E540-30101090247-D245401</t>
  </si>
  <si>
    <t>NDT Inspection AWI 9-10 RD</t>
  </si>
  <si>
    <t>E540-30101090294-D245401</t>
  </si>
  <si>
    <t>Rig Inspection AWI 9-10 RD</t>
  </si>
  <si>
    <t>E540-30101090295-D245401</t>
  </si>
  <si>
    <t>Vehicle Inspection AWI 9-10 RD</t>
  </si>
  <si>
    <t>E540-30101090296-D245401</t>
  </si>
  <si>
    <t>Welding Services AWI 9-10 RD</t>
  </si>
  <si>
    <t>E540-30101090297-D245401</t>
  </si>
  <si>
    <t>API non API Machine Shop Serv AWI 9-10 RD</t>
  </si>
  <si>
    <t>E540-30101090298-D245401</t>
  </si>
  <si>
    <t>Casing AWI 9-10 RD</t>
  </si>
  <si>
    <t>E540-30101096101-D245401</t>
  </si>
  <si>
    <t>Well Equip. Surface AWI 9-10 RD</t>
  </si>
  <si>
    <t>E540-30101096102-D245401</t>
  </si>
  <si>
    <t>Fuel &amp; Lubricants AWI 9-10 RD</t>
  </si>
  <si>
    <t>E540-30101096118-D245401</t>
  </si>
  <si>
    <t>Casing Repair &amp; Modif AWI 9-10 RD</t>
  </si>
  <si>
    <t>E540-30101096162-D245401</t>
  </si>
  <si>
    <t>Asset Transfer AWI 9-10 RD</t>
  </si>
  <si>
    <t>E540-30101096193-D245401</t>
  </si>
  <si>
    <t>Contract Rig Interpad Moving 1</t>
  </si>
  <si>
    <t>E540-30101560105-D245401</t>
  </si>
  <si>
    <t>E540-30101560123-D245401</t>
  </si>
  <si>
    <t>Contract Rig Interpad Moving 2</t>
  </si>
  <si>
    <t>E540-30101560205-D245401</t>
  </si>
  <si>
    <t>E540-30101560223-D245401</t>
  </si>
  <si>
    <t>Contract Rig Interpad Moving 3</t>
  </si>
  <si>
    <t>E540-30101560305-D245401</t>
  </si>
  <si>
    <t>E540-30101560323-D245401</t>
  </si>
  <si>
    <t>Contract Rig Interpad Moving 4</t>
  </si>
  <si>
    <t>E540-30101560405-D245401</t>
  </si>
  <si>
    <t>E540-30101560423-D245401</t>
  </si>
  <si>
    <t>Contract Rig Skid Moving 1</t>
  </si>
  <si>
    <t>E540-30101610105-D245401</t>
  </si>
  <si>
    <t>E540-30101610123-D245401</t>
  </si>
  <si>
    <t>Contract Rig Skid Moving 2</t>
  </si>
  <si>
    <t>E540-30101610205-D245401</t>
  </si>
  <si>
    <t>E540-30101610223-D245401</t>
  </si>
  <si>
    <t>Contract Rig Skid Moving 3</t>
  </si>
  <si>
    <t>E540-30101610305-D245401</t>
  </si>
  <si>
    <t>E540-30101610323-D245401</t>
  </si>
  <si>
    <t>Contract Rig Skid Moving 4</t>
  </si>
  <si>
    <t>E540-30101610405-D245401</t>
  </si>
  <si>
    <t>E540-30101610423-D245401</t>
  </si>
  <si>
    <t>E540-30101690306-D245401</t>
  </si>
  <si>
    <t>E540-30101729921-D245401</t>
  </si>
  <si>
    <t>E540-30101731160-D245401</t>
  </si>
  <si>
    <t>E540-30101956814-D245401</t>
  </si>
  <si>
    <t>E540-30129146321-D245401</t>
  </si>
  <si>
    <t>E540-30129750101-D245401</t>
  </si>
  <si>
    <t>E540-30129750202-D245401</t>
  </si>
  <si>
    <t>E540-30129750303-D245401</t>
  </si>
  <si>
    <t>E540-30129750404-D245401</t>
  </si>
  <si>
    <t>E540-30129750505-D245401</t>
  </si>
  <si>
    <t>E540-30129750606-D245401</t>
  </si>
  <si>
    <t>E540-30129750707-D245401</t>
  </si>
  <si>
    <t>E540-30129750808-D245401</t>
  </si>
  <si>
    <t>E540-30129750909-D245401</t>
  </si>
  <si>
    <t>E540-30129760101-D245401</t>
  </si>
  <si>
    <t>E540-30129760202-D245401</t>
  </si>
  <si>
    <t>E540-30129760303-D245401</t>
  </si>
  <si>
    <t>E540-30129760404-D245401</t>
  </si>
  <si>
    <t>E540-30129760505-D245401</t>
  </si>
  <si>
    <t>E540-30129760606-D245401</t>
  </si>
  <si>
    <t>E540-30129760707-D245401</t>
  </si>
  <si>
    <t>E540-30129760808-D245401</t>
  </si>
  <si>
    <t>E540-30129760909-D245401</t>
  </si>
  <si>
    <t>E540-30129775736-D245401</t>
  </si>
  <si>
    <t>Transportation</t>
  </si>
  <si>
    <t>E540-30129775816-D245401</t>
  </si>
  <si>
    <t>Processs Cost</t>
  </si>
  <si>
    <t>E540-30129775817-D245401</t>
  </si>
  <si>
    <t>Sampling and Lab Analysis</t>
  </si>
  <si>
    <t>E540-30129775929-D245401</t>
  </si>
  <si>
    <t>E540-30129785627-D245401</t>
  </si>
  <si>
    <t>E540-30129786227-D245401</t>
  </si>
  <si>
    <t>E540-30129790101-D245401</t>
  </si>
  <si>
    <t>E540-30129790202-D245401</t>
  </si>
  <si>
    <t>E540-30129790303-D245401</t>
  </si>
  <si>
    <t>E540-30129790404-D245401</t>
  </si>
  <si>
    <t>E540-30129790505-D245401</t>
  </si>
  <si>
    <t>E540-30129790606-D245401</t>
  </si>
  <si>
    <t>E540-30129790707-D245401</t>
  </si>
  <si>
    <t>E540-30129790808-D245401</t>
  </si>
  <si>
    <t>E540-30129790909-D245401</t>
  </si>
  <si>
    <t>E540-30129805264-D245401</t>
  </si>
  <si>
    <t>E540-30129816043-D245401</t>
  </si>
  <si>
    <t>E540-30129826460-D245401</t>
  </si>
  <si>
    <t>E540-30129826585-D245401</t>
  </si>
  <si>
    <t>Cdtr Csg Service Well 1</t>
  </si>
  <si>
    <t>E540-30203740103-D245401</t>
  </si>
  <si>
    <t>Cdtr Csg Material Well 1</t>
  </si>
  <si>
    <t>E540-30203740160-D245401</t>
  </si>
  <si>
    <t>Cdtr Csg Service Well 2</t>
  </si>
  <si>
    <t>E540-30203740203-D245401</t>
  </si>
  <si>
    <t>Cdtr Csg Material Well 2</t>
  </si>
  <si>
    <t>E540-30203740260-D245401</t>
  </si>
  <si>
    <t>Cdtr Csg Service Well 3</t>
  </si>
  <si>
    <t>E540-30203740303-D245401</t>
  </si>
  <si>
    <t>Cdtr Csg Material Well 3</t>
  </si>
  <si>
    <t>E540-30203740360-D245401</t>
  </si>
  <si>
    <t>Cdtr Csg Service Well 4</t>
  </si>
  <si>
    <t>E540-30203740403-D245401</t>
  </si>
  <si>
    <t>Cdtr Csg Material Well 4</t>
  </si>
  <si>
    <t>E540-30203740460-D245401</t>
  </si>
  <si>
    <t>Cdtr Csg Service Well 5</t>
  </si>
  <si>
    <t>E540-30203740503-D245401</t>
  </si>
  <si>
    <t>Cdtr Csg Material Well 5</t>
  </si>
  <si>
    <t>E540-30203740560-D245401</t>
  </si>
  <si>
    <t>Cdtr Csg Service Well 6</t>
  </si>
  <si>
    <t>E540-30203740603-D245401</t>
  </si>
  <si>
    <t>Cdtr Csg Material Well 6</t>
  </si>
  <si>
    <t>E540-30203740660-D245401</t>
  </si>
  <si>
    <t>Cdtr Csg Service Well 7</t>
  </si>
  <si>
    <t>E540-30203740703-D245401</t>
  </si>
  <si>
    <t>Cdtr Csg Material Well 7</t>
  </si>
  <si>
    <t>E540-30203740760-D245401</t>
  </si>
  <si>
    <t>Cdtr Csg Service Well 8</t>
  </si>
  <si>
    <t>E540-30203740803-D245401</t>
  </si>
  <si>
    <t>Cdtr Csg Material Well 8</t>
  </si>
  <si>
    <t>E540-30203740860-D245401</t>
  </si>
  <si>
    <t>Cdtr Csg Service Well 9</t>
  </si>
  <si>
    <t>E540-30203740903-D245401</t>
  </si>
  <si>
    <t>Cdtr Csg Material Well 9</t>
  </si>
  <si>
    <t>E540-30203740960-D245401</t>
  </si>
  <si>
    <t>Road &amp; Pad Eng Pad AWI2</t>
  </si>
  <si>
    <t>E540-30203830759-D245401</t>
  </si>
  <si>
    <t>Road &amp; Pad Const Pad AWI2</t>
  </si>
  <si>
    <t>E540-30203830962-D245401</t>
  </si>
  <si>
    <t>Road &amp; Pad Eng Pad AWI21</t>
  </si>
  <si>
    <t>E540-30203840759-D245401</t>
  </si>
  <si>
    <t>Road &amp; Pad Const Pad AWI21</t>
  </si>
  <si>
    <t>E540-30203840962-D245401</t>
  </si>
  <si>
    <t>Road &amp; Pad Eng Pad AWI3</t>
  </si>
  <si>
    <t>E540-30203850759-D245401</t>
  </si>
  <si>
    <t>Road &amp; Pad Const Pad AWI3</t>
  </si>
  <si>
    <t>E540-30203850962-D245401</t>
  </si>
  <si>
    <t>Road &amp; Pad Eng Pad AWI9</t>
  </si>
  <si>
    <t>E540-30203860759-D245401</t>
  </si>
  <si>
    <t>Road &amp; Pad Const Pad AWI9</t>
  </si>
  <si>
    <t>E540-30203860962-D245401</t>
  </si>
  <si>
    <t>E540-30203870759-D245401</t>
  </si>
  <si>
    <t>Tie In - Material Non LL Pad AWI2</t>
  </si>
  <si>
    <t>E540-30203870821-D245401</t>
  </si>
  <si>
    <t>Tie In - Material LL Pad AWI2</t>
  </si>
  <si>
    <t>E540-30203870860-D245401</t>
  </si>
  <si>
    <t>Tie In - Inst,HookUp&amp;Pre-Comm Pad AWI2</t>
  </si>
  <si>
    <t>E540-30203870963-D245401</t>
  </si>
  <si>
    <t>E540-30203880759-D245401</t>
  </si>
  <si>
    <t>Tie In - Material Non LL Pad AWI21</t>
  </si>
  <si>
    <t>E540-30203880821-D245401</t>
  </si>
  <si>
    <t>Tie In - Material LL Pad AWI21</t>
  </si>
  <si>
    <t>E540-30203880860-D245401</t>
  </si>
  <si>
    <t>Tie In - Inst,HookUp&amp;Pre-Comm Pad AWI21</t>
  </si>
  <si>
    <t>E540-30203880963-D245401</t>
  </si>
  <si>
    <t>E540-30203890759-D245401</t>
  </si>
  <si>
    <t>Tie In - Material Non LL AWI23</t>
  </si>
  <si>
    <t>E540-30203890821-D245401</t>
  </si>
  <si>
    <t>Tie In - Material LL AWI23</t>
  </si>
  <si>
    <t>E540-30203890860-D245401</t>
  </si>
  <si>
    <t>Tie In - Inst,HookUp&amp;Pre-Comm AWI23</t>
  </si>
  <si>
    <t>E540-30203890963-D245401</t>
  </si>
  <si>
    <t>E540-30203900759-D245401</t>
  </si>
  <si>
    <t>Tie In-Material Non LL Pad AWI9</t>
  </si>
  <si>
    <t>E540-30203900821-D245401</t>
  </si>
  <si>
    <t>Tie In-Material LL Pad AWI9</t>
  </si>
  <si>
    <t>E540-30203900860-D245401</t>
  </si>
  <si>
    <t>Tie In-Inst,HookUp&amp;Pre-Comm Pad AWI9</t>
  </si>
  <si>
    <t>E540-30203900963-D245401</t>
  </si>
  <si>
    <t>E540-30203920759-D245401</t>
  </si>
  <si>
    <t>E540-30203920962-D245401</t>
  </si>
  <si>
    <t>E540-30203930961-D245401</t>
  </si>
  <si>
    <t>E540-30203940759-D245401</t>
  </si>
  <si>
    <t>Tie In-Material Non LL Pad AWI3</t>
  </si>
  <si>
    <t>E540-30203940821-D245401</t>
  </si>
  <si>
    <t>Tie In-Material LL Pad AWI3</t>
  </si>
  <si>
    <t>E540-30203940860-D245401</t>
  </si>
  <si>
    <t>Tie In-Inst,HookUp&amp;Pre-Comm Pad AWI3</t>
  </si>
  <si>
    <t>E540-30203940963-D245401</t>
  </si>
  <si>
    <t>E540-30299011521-D245401</t>
  </si>
  <si>
    <t>DRJ Drilling MUW 2022</t>
  </si>
  <si>
    <t>E530-30-D225301</t>
  </si>
  <si>
    <t>E530-30129-D225301</t>
  </si>
  <si>
    <t>E530-3012982-D225301</t>
  </si>
  <si>
    <t>E530-301298265-D225301</t>
  </si>
  <si>
    <t>E530-30129826504-D225301</t>
  </si>
  <si>
    <t>E530-301298264-D225301</t>
  </si>
  <si>
    <t>E530-30129826460-D225301</t>
  </si>
  <si>
    <t>E530-3012914-D225301</t>
  </si>
  <si>
    <t>E530-301291463-D225301</t>
  </si>
  <si>
    <t>E530-30129146321-D225301</t>
  </si>
  <si>
    <t>E530-3012981-D225301</t>
  </si>
  <si>
    <t>E530-301298160-D225301</t>
  </si>
  <si>
    <t>E530-30129816043-D225301</t>
  </si>
  <si>
    <t>E530-3012980-D225301</t>
  </si>
  <si>
    <t>E530-301298052-D225301</t>
  </si>
  <si>
    <t>E530-30129805264-D225301</t>
  </si>
  <si>
    <t>E530-3012979-D225301</t>
  </si>
  <si>
    <t>Insurance Well SF-ML</t>
  </si>
  <si>
    <t>E530-301297905-D225301</t>
  </si>
  <si>
    <t>SF-ML</t>
  </si>
  <si>
    <t>E530-30129790505-D225301</t>
  </si>
  <si>
    <t>Insurance Well SF-1</t>
  </si>
  <si>
    <t>E530-301297904-D225301</t>
  </si>
  <si>
    <t>SF-1</t>
  </si>
  <si>
    <t>E530-30129790404-D225301</t>
  </si>
  <si>
    <t>Insurance Well 20-1</t>
  </si>
  <si>
    <t>E530-301297903-D225301</t>
  </si>
  <si>
    <t>20-1</t>
  </si>
  <si>
    <t>E530-30129790303-D225301</t>
  </si>
  <si>
    <t>Insurance Well 14-2</t>
  </si>
  <si>
    <t>E530-301297902-D225301</t>
  </si>
  <si>
    <t>14-2</t>
  </si>
  <si>
    <t>E530-30129790202-D225301</t>
  </si>
  <si>
    <t>Insurance Well 14-1</t>
  </si>
  <si>
    <t>E530-301297901-D225301</t>
  </si>
  <si>
    <t>14-1</t>
  </si>
  <si>
    <t>E530-30129790101-D225301</t>
  </si>
  <si>
    <t>E530-3012978-D225301</t>
  </si>
  <si>
    <t>E530-301297856-D225301</t>
  </si>
  <si>
    <t>E530-30129785627-D225301</t>
  </si>
  <si>
    <t>E530-301297862-D225301</t>
  </si>
  <si>
    <t>E530-30129786227-D225301</t>
  </si>
  <si>
    <t>E530-3012977-D225301</t>
  </si>
  <si>
    <t>E530-301297726-D225301</t>
  </si>
  <si>
    <t>Andalalin</t>
  </si>
  <si>
    <t>E530-30129772699-D225301</t>
  </si>
  <si>
    <t>E530-30129772624-D225301</t>
  </si>
  <si>
    <t>E530-301297759-D225301</t>
  </si>
  <si>
    <t>IPAL</t>
  </si>
  <si>
    <t>E530-30129775943-D225301</t>
  </si>
  <si>
    <t>E530-30129775920-D225301</t>
  </si>
  <si>
    <t>E530-301297757-D225301</t>
  </si>
  <si>
    <t>TPS B3</t>
  </si>
  <si>
    <t>E530-30129775799-D225301</t>
  </si>
  <si>
    <t>E530-30129775736-D225301</t>
  </si>
  <si>
    <t>E530-301297758-D225301</t>
  </si>
  <si>
    <t>E530-30129775816-D225301</t>
  </si>
  <si>
    <t>E530-30129775817-D225301</t>
  </si>
  <si>
    <t>E530-3012976-D225301</t>
  </si>
  <si>
    <t>WSG Well SF-ML</t>
  </si>
  <si>
    <t>E530-301297605-D225301</t>
  </si>
  <si>
    <t>E530-30129760505-D225301</t>
  </si>
  <si>
    <t>WSG Well SF-1</t>
  </si>
  <si>
    <t>E530-301297604-D225301</t>
  </si>
  <si>
    <t>E530-30129760404-D225301</t>
  </si>
  <si>
    <t>WSG Well 20-1</t>
  </si>
  <si>
    <t>E530-301297603-D225301</t>
  </si>
  <si>
    <t>E530-30129760303-D225301</t>
  </si>
  <si>
    <t>WSG Well 14-2</t>
  </si>
  <si>
    <t>E530-301297602-D225301</t>
  </si>
  <si>
    <t>E530-30129760202-D225301</t>
  </si>
  <si>
    <t>WSG Well 14-1</t>
  </si>
  <si>
    <t>E530-301297601-D225301</t>
  </si>
  <si>
    <t>E530-30129760101-D225301</t>
  </si>
  <si>
    <t>E530-3012975-D225301</t>
  </si>
  <si>
    <t>Well testing Well SF-ML</t>
  </si>
  <si>
    <t>E530-301297505-D225301</t>
  </si>
  <si>
    <t>E530-30129750505-D225301</t>
  </si>
  <si>
    <t>Well testing Well SF-1</t>
  </si>
  <si>
    <t>E530-301297504-D225301</t>
  </si>
  <si>
    <t>E530-30129750404-D225301</t>
  </si>
  <si>
    <t>Well testing Well 20-1</t>
  </si>
  <si>
    <t>E530-301297503-D225301</t>
  </si>
  <si>
    <t>E530-30129750303-D225301</t>
  </si>
  <si>
    <t>Well testing Well 14-2</t>
  </si>
  <si>
    <t>E530-301297502-D225301</t>
  </si>
  <si>
    <t>E530-30129750202-D225301</t>
  </si>
  <si>
    <t>Well testing Well 14-1</t>
  </si>
  <si>
    <t>E530-301297501-D225301</t>
  </si>
  <si>
    <t>E530-30129750101-D225301</t>
  </si>
  <si>
    <t>E530-30101-D225301</t>
  </si>
  <si>
    <t>E530-3010173-D225301</t>
  </si>
  <si>
    <t>E530-301017311-D225301</t>
  </si>
  <si>
    <t>E530-30101731160-D225301</t>
  </si>
  <si>
    <t>E530-3010172-D225301</t>
  </si>
  <si>
    <t>E530-301017299-D225301</t>
  </si>
  <si>
    <t>E530-30101729921-D225301</t>
  </si>
  <si>
    <t>E530-3010161-D225301</t>
  </si>
  <si>
    <t>E530-301016101-D225301</t>
  </si>
  <si>
    <t>E530-30101610123-D225301</t>
  </si>
  <si>
    <t>E530-3010156-D225301</t>
  </si>
  <si>
    <t>E530-301015603-D225301</t>
  </si>
  <si>
    <t>E530-30101560323-D225301</t>
  </si>
  <si>
    <t>E530-301015602-D225301</t>
  </si>
  <si>
    <t>E530-30101560223-D225301</t>
  </si>
  <si>
    <t>E530-301015601-D225301</t>
  </si>
  <si>
    <t>E530-30101560123-D225301</t>
  </si>
  <si>
    <t>E530-3010169-D225301</t>
  </si>
  <si>
    <t>Interfield Move to Darajat</t>
  </si>
  <si>
    <t>E530-301016966-D225301</t>
  </si>
  <si>
    <t>Interfield Move Darajat</t>
  </si>
  <si>
    <t>E530-30101696623-D225301</t>
  </si>
  <si>
    <t>E530-301016967-D225301</t>
  </si>
  <si>
    <t>E530-30101696706-D225301</t>
  </si>
  <si>
    <t>Well Cost SF-ML</t>
  </si>
  <si>
    <t>E530-3010105-D225301</t>
  </si>
  <si>
    <t>Services SF-ML</t>
  </si>
  <si>
    <t>E530-301010502-D225301</t>
  </si>
  <si>
    <t>E530-30101050224-D225301</t>
  </si>
  <si>
    <t>API non API Machine Shop Services</t>
  </si>
  <si>
    <t>E530-30101050298-D225301</t>
  </si>
  <si>
    <t>Welding Services</t>
  </si>
  <si>
    <t>E530-30101050297-D225301</t>
  </si>
  <si>
    <t>E530-30101050296-D225301</t>
  </si>
  <si>
    <t>E530-30101050295-D225301</t>
  </si>
  <si>
    <t>E530-30101050294-D225301</t>
  </si>
  <si>
    <t>Drilling Safety, Health &amp; Enviro</t>
  </si>
  <si>
    <t>E530-30101050220-D225301</t>
  </si>
  <si>
    <t>E530-30101050217-D225301</t>
  </si>
  <si>
    <t>E530-30101050216-D225301</t>
  </si>
  <si>
    <t>E530-30101050215-D225301</t>
  </si>
  <si>
    <t>Open Hole Electrical Logging Services</t>
  </si>
  <si>
    <t>E530-30101050214-D225301</t>
  </si>
  <si>
    <t>E530-30101050213-D225301</t>
  </si>
  <si>
    <t>E530-30101050247-D225301</t>
  </si>
  <si>
    <t>E530-30101050212-D225301</t>
  </si>
  <si>
    <t>E530-30101050211-D225301</t>
  </si>
  <si>
    <t>E530-30101050210-D225301</t>
  </si>
  <si>
    <t>E530-30101050209-D225301</t>
  </si>
  <si>
    <t>E530-30101050208-D225301</t>
  </si>
  <si>
    <t>Mud, Chemical and Eng Serv</t>
  </si>
  <si>
    <t>E530-30101050207-D225301</t>
  </si>
  <si>
    <t>E530-30101050205-D225301</t>
  </si>
  <si>
    <t>Service Lines &amp; Comm</t>
  </si>
  <si>
    <t>E530-30101050204-D225301</t>
  </si>
  <si>
    <t>Material Non LL SF-ML</t>
  </si>
  <si>
    <t>E530-301010501-D225301</t>
  </si>
  <si>
    <t>Consumables SF-ML</t>
  </si>
  <si>
    <t>E530-30101050160-D225301</t>
  </si>
  <si>
    <t>Material - LL and long term contr SF-ML</t>
  </si>
  <si>
    <t>E530-301010561-D225301</t>
  </si>
  <si>
    <t>Asset Transfer SF-ML</t>
  </si>
  <si>
    <t>E530-30101056193-D225301</t>
  </si>
  <si>
    <t>Fuel &amp; Lubricants SF-ML</t>
  </si>
  <si>
    <t>E530-30101056118-D225301</t>
  </si>
  <si>
    <t>Well Equip. Surface SF-ML</t>
  </si>
  <si>
    <t>E530-30101056102-D225301</t>
  </si>
  <si>
    <t>Casing SF-ML</t>
  </si>
  <si>
    <t>E530-30101056101-D225301</t>
  </si>
  <si>
    <t>Well Cost SF-1</t>
  </si>
  <si>
    <t>E530-3010104-D225301</t>
  </si>
  <si>
    <t>Services SF-1</t>
  </si>
  <si>
    <t>E530-301010402-D225301</t>
  </si>
  <si>
    <t>E530-30101040224-D225301</t>
  </si>
  <si>
    <t>E530-30101040298-D225301</t>
  </si>
  <si>
    <t>E530-30101040297-D225301</t>
  </si>
  <si>
    <t>E530-30101040296-D225301</t>
  </si>
  <si>
    <t>E530-30101040295-D225301</t>
  </si>
  <si>
    <t>E530-30101040294-D225301</t>
  </si>
  <si>
    <t>E530-30101040220-D225301</t>
  </si>
  <si>
    <t>E530-30101040217-D225301</t>
  </si>
  <si>
    <t>E530-30101040216-D225301</t>
  </si>
  <si>
    <t>E530-30101040215-D225301</t>
  </si>
  <si>
    <t>E530-30101040214-D225301</t>
  </si>
  <si>
    <t>E530-30101040213-D225301</t>
  </si>
  <si>
    <t>E530-30101040247-D225301</t>
  </si>
  <si>
    <t>E530-30101040212-D225301</t>
  </si>
  <si>
    <t>E530-30101040211-D225301</t>
  </si>
  <si>
    <t>E530-30101040210-D225301</t>
  </si>
  <si>
    <t>E530-30101040209-D225301</t>
  </si>
  <si>
    <t>E530-30101040208-D225301</t>
  </si>
  <si>
    <t>E530-30101040207-D225301</t>
  </si>
  <si>
    <t>E530-30101040205-D225301</t>
  </si>
  <si>
    <t>E530-30101040204-D225301</t>
  </si>
  <si>
    <t>Material Non LL SF-1</t>
  </si>
  <si>
    <t>E530-301010401-D225301</t>
  </si>
  <si>
    <t>Consumables SF-1</t>
  </si>
  <si>
    <t>E530-30101040160-D225301</t>
  </si>
  <si>
    <t>Material - LL and Long term Contr SF-1</t>
  </si>
  <si>
    <t>E530-301010461-D225301</t>
  </si>
  <si>
    <t>Asset Transfer SF-1</t>
  </si>
  <si>
    <t>E530-30101046193-D225301</t>
  </si>
  <si>
    <t>Fuel &amp; Lubricants SF-1</t>
  </si>
  <si>
    <t>E530-30101046118-D225301</t>
  </si>
  <si>
    <t>Well Equip. Surface SF-1</t>
  </si>
  <si>
    <t>E530-30101046102-D225301</t>
  </si>
  <si>
    <t>Casing SF-1</t>
  </si>
  <si>
    <t>E530-30101046101-D225301</t>
  </si>
  <si>
    <t>Well Cost 20-1</t>
  </si>
  <si>
    <t>E530-3010103-D225301</t>
  </si>
  <si>
    <t>Services 20-1</t>
  </si>
  <si>
    <t>E530-301010302-D225301</t>
  </si>
  <si>
    <t>E530-30101030224-D225301</t>
  </si>
  <si>
    <t>E530-30101030298-D225301</t>
  </si>
  <si>
    <t>E530-30101030297-D225301</t>
  </si>
  <si>
    <t>E530-30101030296-D225301</t>
  </si>
  <si>
    <t>E530-30101030295-D225301</t>
  </si>
  <si>
    <t>E530-30101030294-D225301</t>
  </si>
  <si>
    <t>E530-30101030220-D225301</t>
  </si>
  <si>
    <t>E530-30101030217-D225301</t>
  </si>
  <si>
    <t>E530-30101030216-D225301</t>
  </si>
  <si>
    <t>E530-30101030215-D225301</t>
  </si>
  <si>
    <t>E530-30101030214-D225301</t>
  </si>
  <si>
    <t>E530-30101030213-D225301</t>
  </si>
  <si>
    <t>E530-30101030247-D225301</t>
  </si>
  <si>
    <t>E530-30101030212-D225301</t>
  </si>
  <si>
    <t>E530-30101030211-D225301</t>
  </si>
  <si>
    <t>E530-30101030210-D225301</t>
  </si>
  <si>
    <t>E530-30101030209-D225301</t>
  </si>
  <si>
    <t>E530-30101030208-D225301</t>
  </si>
  <si>
    <t>E530-30101030207-D225301</t>
  </si>
  <si>
    <t>E530-30101030205-D225301</t>
  </si>
  <si>
    <t>E530-30101030204-D225301</t>
  </si>
  <si>
    <t>Material Non LL 20-1</t>
  </si>
  <si>
    <t>E530-301010301-D225301</t>
  </si>
  <si>
    <t>Consumables 20-1</t>
  </si>
  <si>
    <t>E530-30101030160-D225301</t>
  </si>
  <si>
    <t>Material - LL and Long term Contr 20-1</t>
  </si>
  <si>
    <t>E530-301010361-D225301</t>
  </si>
  <si>
    <t>Asset Transfer 20-1</t>
  </si>
  <si>
    <t>E530-30101036193-D225301</t>
  </si>
  <si>
    <t>Fuel &amp; Lubricants 20-1</t>
  </si>
  <si>
    <t>E530-30101036118-D225301</t>
  </si>
  <si>
    <t>Well Equip. Surface 20-1</t>
  </si>
  <si>
    <t>E530-30101036102-D225301</t>
  </si>
  <si>
    <t>Casing 20-1</t>
  </si>
  <si>
    <t>E530-30101036101-D225301</t>
  </si>
  <si>
    <t>Well Cost 14-2</t>
  </si>
  <si>
    <t>E530-3010102-D225301</t>
  </si>
  <si>
    <t>Services 14-2</t>
  </si>
  <si>
    <t>E530-301010202-D225301</t>
  </si>
  <si>
    <t>E530-30101020224-D225301</t>
  </si>
  <si>
    <t>E530-30101020298-D225301</t>
  </si>
  <si>
    <t>E530-30101020297-D225301</t>
  </si>
  <si>
    <t>E530-30101020296-D225301</t>
  </si>
  <si>
    <t>E530-30101020295-D225301</t>
  </si>
  <si>
    <t>E530-30101020294-D225301</t>
  </si>
  <si>
    <t>E530-30101020220-D225301</t>
  </si>
  <si>
    <t>E530-30101020217-D225301</t>
  </si>
  <si>
    <t>E530-30101020216-D225301</t>
  </si>
  <si>
    <t>E530-30101020215-D225301</t>
  </si>
  <si>
    <t>E530-30101020214-D225301</t>
  </si>
  <si>
    <t>E530-30101020213-D225301</t>
  </si>
  <si>
    <t>E530-30101020247-D225301</t>
  </si>
  <si>
    <t>E530-30101020212-D225301</t>
  </si>
  <si>
    <t>E530-30101020211-D225301</t>
  </si>
  <si>
    <t>E530-30101020210-D225301</t>
  </si>
  <si>
    <t>E530-30101020209-D225301</t>
  </si>
  <si>
    <t>E530-30101020208-D225301</t>
  </si>
  <si>
    <t>E530-30101020207-D225301</t>
  </si>
  <si>
    <t>E530-30101020205-D225301</t>
  </si>
  <si>
    <t>E530-30101020204-D225301</t>
  </si>
  <si>
    <t>Material Non LL 14-2</t>
  </si>
  <si>
    <t>E530-301010201-D225301</t>
  </si>
  <si>
    <t>Consumables 14-2</t>
  </si>
  <si>
    <t>E530-30101020160-D225301</t>
  </si>
  <si>
    <t>Material - LL and Long term Contr 14-2</t>
  </si>
  <si>
    <t>E530-301010261-D225301</t>
  </si>
  <si>
    <t>Asset Transfer 14-2</t>
  </si>
  <si>
    <t>E530-30101026193-D225301</t>
  </si>
  <si>
    <t>Fuel &amp; Lubricants 14-2</t>
  </si>
  <si>
    <t>E530-30101026118-D225301</t>
  </si>
  <si>
    <t>Well Equip. Surface 14-2</t>
  </si>
  <si>
    <t>E530-30101026102-D225301</t>
  </si>
  <si>
    <t>Casing 14-2</t>
  </si>
  <si>
    <t>E530-30101026101-D225301</t>
  </si>
  <si>
    <t>Well Cost 14-1</t>
  </si>
  <si>
    <t>E530-3010101-D225301</t>
  </si>
  <si>
    <t>Services 14-1</t>
  </si>
  <si>
    <t>E530-301010102-D225301</t>
  </si>
  <si>
    <t>E530-30101010224-D225301</t>
  </si>
  <si>
    <t>E530-30101010298-D225301</t>
  </si>
  <si>
    <t>E530-30101010297-D225301</t>
  </si>
  <si>
    <t>E530-30101010296-D225301</t>
  </si>
  <si>
    <t>E530-30101010295-D225301</t>
  </si>
  <si>
    <t>E530-30101010294-D225301</t>
  </si>
  <si>
    <t>E530-30101010220-D225301</t>
  </si>
  <si>
    <t>E530-30101010217-D225301</t>
  </si>
  <si>
    <t>E530-30101010216-D225301</t>
  </si>
  <si>
    <t>E530-30101010215-D225301</t>
  </si>
  <si>
    <t>E530-30101010214-D225301</t>
  </si>
  <si>
    <t>E530-30101010213-D225301</t>
  </si>
  <si>
    <t>E530-30101010247-D225301</t>
  </si>
  <si>
    <t>E530-30101010212-D225301</t>
  </si>
  <si>
    <t>E530-30101010211-D225301</t>
  </si>
  <si>
    <t>E530-30101010210-D225301</t>
  </si>
  <si>
    <t>E530-30101010209-D225301</t>
  </si>
  <si>
    <t>E530-30101010208-D225301</t>
  </si>
  <si>
    <t>E530-30101010207-D225301</t>
  </si>
  <si>
    <t>E530-30101010205-D225301</t>
  </si>
  <si>
    <t>E530-30101010204-D225301</t>
  </si>
  <si>
    <t>Material - Non LL 14-1</t>
  </si>
  <si>
    <t>E530-301010101-D225301</t>
  </si>
  <si>
    <t>Consumables 14-1</t>
  </si>
  <si>
    <t>E530-30101010160-D225301</t>
  </si>
  <si>
    <t>Material - LL and Long term Contr 14-1</t>
  </si>
  <si>
    <t>E530-301010161-D225301</t>
  </si>
  <si>
    <t>Asset Transfer 14-1</t>
  </si>
  <si>
    <t>E530-30101016193-D225301</t>
  </si>
  <si>
    <t>Fuel &amp; Lubricants 14-1</t>
  </si>
  <si>
    <t>E530-30101016118-D225301</t>
  </si>
  <si>
    <t>Well Equip. Surface 14-1</t>
  </si>
  <si>
    <t>E530-30101016102-D225301</t>
  </si>
  <si>
    <t>Casing 14-1</t>
  </si>
  <si>
    <t>E530-30101016101-D225301</t>
  </si>
  <si>
    <t>E530-30203-D225301</t>
  </si>
  <si>
    <t>Tie-in Pad SF</t>
  </si>
  <si>
    <t>E530-3020389-D225301</t>
  </si>
  <si>
    <t>Pad SF</t>
  </si>
  <si>
    <t>Tie-in Pad SF Construction</t>
  </si>
  <si>
    <t>E530-302038909-D225301</t>
  </si>
  <si>
    <t>Inst,HookUp&amp;Pre-Comm SF-ML</t>
  </si>
  <si>
    <t>E530-30203890905-D225301</t>
  </si>
  <si>
    <t>Inst,HookUp&amp;Pre-Comm SF-1</t>
  </si>
  <si>
    <t>E530-30203890904-D225301</t>
  </si>
  <si>
    <t>Tie-in Pad SF Procurement</t>
  </si>
  <si>
    <t>E530-302038908-D225301</t>
  </si>
  <si>
    <t>Tie-in Pad SF Material Non LL</t>
  </si>
  <si>
    <t>E530-30203890821-D225301</t>
  </si>
  <si>
    <t>Tie-in Pad SF Material LL</t>
  </si>
  <si>
    <t>E530-30203890860-D225301</t>
  </si>
  <si>
    <t>Tie-in Pad SF Engineering</t>
  </si>
  <si>
    <t>E530-302038907-D225301</t>
  </si>
  <si>
    <t>E530-30203890759-D225301</t>
  </si>
  <si>
    <t>E530-3020388-D225301</t>
  </si>
  <si>
    <t>Tie-in Pad 20 Construction</t>
  </si>
  <si>
    <t>E530-302038809-D225301</t>
  </si>
  <si>
    <t>Inst,HookUp&amp;Pre-Comm 20-1</t>
  </si>
  <si>
    <t>E530-30203880903-D225301</t>
  </si>
  <si>
    <t>Tie-in Pad 20 Procurement</t>
  </si>
  <si>
    <t>E530-302038808-D225301</t>
  </si>
  <si>
    <t>Tie-in Pad 20 Material Non LL</t>
  </si>
  <si>
    <t>E530-30203880821-D225301</t>
  </si>
  <si>
    <t>Tie-in Pad 20 Material LL</t>
  </si>
  <si>
    <t>E530-30203880860-D225301</t>
  </si>
  <si>
    <t>Tie-in Pad 20 Engineering</t>
  </si>
  <si>
    <t>E530-302038807-D225301</t>
  </si>
  <si>
    <t>E530-30203880759-D225301</t>
  </si>
  <si>
    <t>E530-3020387-D225301</t>
  </si>
  <si>
    <t>Tie-in Pad 14 Construction</t>
  </si>
  <si>
    <t>E530-302038709-D225301</t>
  </si>
  <si>
    <t>Inst,HookUp&amp;Pre-Comm 14-2</t>
  </si>
  <si>
    <t>E530-30203870902-D225301</t>
  </si>
  <si>
    <t>Inst,HookUp&amp;Pre-Comm 14-1</t>
  </si>
  <si>
    <t>E530-30203870901-D225301</t>
  </si>
  <si>
    <t>Tie-in Pad 14 Procurement</t>
  </si>
  <si>
    <t>E530-302038708-D225301</t>
  </si>
  <si>
    <t>Tie-in Pad 14 Material Non LL</t>
  </si>
  <si>
    <t>E530-30203870821-D225301</t>
  </si>
  <si>
    <t>Tie-in Pad 14 Material LL</t>
  </si>
  <si>
    <t>E530-30203870860-D225301</t>
  </si>
  <si>
    <t>Tie-in Pad 14 Engineering</t>
  </si>
  <si>
    <t>E530-302038707-D225301</t>
  </si>
  <si>
    <t>E530-30203870759-D225301</t>
  </si>
  <si>
    <t>Special Requirement Existing Pad 14</t>
  </si>
  <si>
    <t>E530-3020386-D225301</t>
  </si>
  <si>
    <t>Special Requirement Pipeline Pad 14 Construction</t>
  </si>
  <si>
    <t>E530-302038609-D225301</t>
  </si>
  <si>
    <t>E530-30203860962-D225301</t>
  </si>
  <si>
    <t>Special Requirement Pipeline Pad 14 Procurement</t>
  </si>
  <si>
    <t>E530-302038608-D225301</t>
  </si>
  <si>
    <t>Special Requirement Pipeline Pad 14 Material Non LL</t>
  </si>
  <si>
    <t>E530-30203860821-D225301</t>
  </si>
  <si>
    <t>Special Requirement Pipeline Pad 14 Material LL</t>
  </si>
  <si>
    <t>E530-30203860860-D225301</t>
  </si>
  <si>
    <t>Special Requirement Pipeline Pad 14 Engineering</t>
  </si>
  <si>
    <t>E530-302038607-D225301</t>
  </si>
  <si>
    <t>E530-30203860759-D225301</t>
  </si>
  <si>
    <t>Road &amp; Pad SF</t>
  </si>
  <si>
    <t>E530-3020385-D225301</t>
  </si>
  <si>
    <t>Road &amp; Pad SF Construction</t>
  </si>
  <si>
    <t>E530-302038509-D225301</t>
  </si>
  <si>
    <t>E530-30203850962-D225301</t>
  </si>
  <si>
    <t>Road &amp; Pad SF Procurement</t>
  </si>
  <si>
    <t>E530-302038508-D225301</t>
  </si>
  <si>
    <t>Road &amp; Pad SF Material Non LL</t>
  </si>
  <si>
    <t>E530-30203850821-D225301</t>
  </si>
  <si>
    <t>Road &amp; Pad SF Material LL</t>
  </si>
  <si>
    <t>E530-30203850860-D225301</t>
  </si>
  <si>
    <t>Road &amp; Pad SF Engineering</t>
  </si>
  <si>
    <t>E530-302038507-D225301</t>
  </si>
  <si>
    <t>E530-30203850759-D225301</t>
  </si>
  <si>
    <t>Road &amp; Pad 20</t>
  </si>
  <si>
    <t>E530-3020384-D225301</t>
  </si>
  <si>
    <t>Road &amp; Pad 20 Construction</t>
  </si>
  <si>
    <t>E530-302038409-D225301</t>
  </si>
  <si>
    <t>E530-30203840962-D225301</t>
  </si>
  <si>
    <t>Road &amp; Pad 20 Procurement</t>
  </si>
  <si>
    <t>E530-302038408-D225301</t>
  </si>
  <si>
    <t>Road &amp; Pad 20 Material Non LL</t>
  </si>
  <si>
    <t>E530-30203840821-D225301</t>
  </si>
  <si>
    <t>Road &amp; Pad 20 Material LL</t>
  </si>
  <si>
    <t>E530-30203840860-D225301</t>
  </si>
  <si>
    <t>Road &amp; Pad 20 Engineering</t>
  </si>
  <si>
    <t>E530-302038407-D225301</t>
  </si>
  <si>
    <t>E530-30203840759-D225301</t>
  </si>
  <si>
    <t>Road &amp; Pad 14</t>
  </si>
  <si>
    <t>E530-3020383-D225301</t>
  </si>
  <si>
    <t>Road &amp; Pad 14 Construction</t>
  </si>
  <si>
    <t>E530-302038309-D225301</t>
  </si>
  <si>
    <t>E530-30203830962-D225301</t>
  </si>
  <si>
    <t>Road &amp; Pad 14 Procurement</t>
  </si>
  <si>
    <t>E530-302038308-D225301</t>
  </si>
  <si>
    <t>Road &amp; Pad 14 Material Non LL</t>
  </si>
  <si>
    <t>E530-30203830821-D225301</t>
  </si>
  <si>
    <t>Road &amp; Pad 14 Material LL</t>
  </si>
  <si>
    <t>E530-30203830860-D225301</t>
  </si>
  <si>
    <t>Road &amp; Pad 14 Engineering</t>
  </si>
  <si>
    <t>E530-302038307-D225301</t>
  </si>
  <si>
    <t>E530-30203830759-D225301</t>
  </si>
  <si>
    <t>E530-3020374-D225301</t>
  </si>
  <si>
    <t>Conductor Casing Inst &amp; Mat Well SF-1</t>
  </si>
  <si>
    <t>E530-302037404-D225301</t>
  </si>
  <si>
    <t>Cdtr Csg Material SF-1</t>
  </si>
  <si>
    <t>E530-30203740460-D225301</t>
  </si>
  <si>
    <t>Cdtr Csg Service SF-1</t>
  </si>
  <si>
    <t>E530-30203740403-D225301</t>
  </si>
  <si>
    <t>Conductor Casing Inst &amp; Mat Well 20-1</t>
  </si>
  <si>
    <t>E530-302037403-D225301</t>
  </si>
  <si>
    <t>Cdtr Csg Material 20-1</t>
  </si>
  <si>
    <t>E530-30203740360-D225301</t>
  </si>
  <si>
    <t>Cdtr Csg Service 20-1</t>
  </si>
  <si>
    <t>E530-30203740303-D225301</t>
  </si>
  <si>
    <t>Conductor Casing Inst &amp; Mat Well 14-2</t>
  </si>
  <si>
    <t>E530-302037402-D225301</t>
  </si>
  <si>
    <t>Cdtr Csg Material 14-2</t>
  </si>
  <si>
    <t>E530-30203740260-D225301</t>
  </si>
  <si>
    <t>Cdtr Csg Service 14-2</t>
  </si>
  <si>
    <t>E530-30203740203-D225301</t>
  </si>
  <si>
    <t>Conductor Casing Inst &amp; Mat Well 14-1</t>
  </si>
  <si>
    <t>E530-302037401-D225301</t>
  </si>
  <si>
    <t>Cdtr Csg Service 14-1</t>
  </si>
  <si>
    <t>E530-30203740103-D225301</t>
  </si>
  <si>
    <t>Cdtr Csg Material 14-1</t>
  </si>
  <si>
    <t>E530-30203740160-D225301</t>
  </si>
  <si>
    <t>No</t>
  </si>
  <si>
    <t>Level</t>
  </si>
  <si>
    <t>WBS_Desc</t>
  </si>
  <si>
    <t>WBS_ID</t>
  </si>
  <si>
    <t>AFE/Projec</t>
  </si>
  <si>
    <t>Budget</t>
  </si>
  <si>
    <t>Release</t>
  </si>
  <si>
    <t>ProCstPlan</t>
  </si>
  <si>
    <t>Tot.cst.cm</t>
  </si>
  <si>
    <t>Act.costs</t>
  </si>
  <si>
    <t>CAPEX</t>
  </si>
  <si>
    <t>OPEX</t>
  </si>
  <si>
    <t>Resp.persn</t>
  </si>
  <si>
    <t>Life Cycle</t>
  </si>
  <si>
    <t>Status</t>
  </si>
  <si>
    <t>1</t>
  </si>
  <si>
    <t>00</t>
  </si>
  <si>
    <t>Salak Projects 2024</t>
  </si>
  <si>
    <t>1E54024</t>
  </si>
  <si>
    <t/>
  </si>
  <si>
    <t>USD</t>
  </si>
  <si>
    <t>STAR ENERGY</t>
  </si>
  <si>
    <t>PREL</t>
  </si>
  <si>
    <t>2</t>
  </si>
  <si>
    <t>D245401</t>
  </si>
  <si>
    <t>X</t>
  </si>
  <si>
    <t>Production</t>
  </si>
  <si>
    <t>REL  BUDG AVAC  //  BUDG</t>
  </si>
  <si>
    <t>3</t>
  </si>
  <si>
    <t>4</t>
  </si>
  <si>
    <t>5</t>
  </si>
  <si>
    <t>6</t>
  </si>
  <si>
    <t>REL  AVAC  //  BUDG</t>
  </si>
  <si>
    <t>7</t>
  </si>
  <si>
    <t>8</t>
  </si>
  <si>
    <t>9</t>
  </si>
  <si>
    <t>10</t>
  </si>
  <si>
    <t>11</t>
  </si>
  <si>
    <t>12</t>
  </si>
  <si>
    <t>REL  BUDG ISBD AVAC  //  BUDG</t>
  </si>
  <si>
    <t>13</t>
  </si>
  <si>
    <t>REL  AUC  AVAC SETC  //  BUDG</t>
  </si>
  <si>
    <t>14</t>
  </si>
  <si>
    <t>15</t>
  </si>
  <si>
    <t>16</t>
  </si>
  <si>
    <t>17</t>
  </si>
  <si>
    <t>18</t>
  </si>
  <si>
    <t>Tie In-Eng Pad AWI3</t>
  </si>
  <si>
    <t>19</t>
  </si>
  <si>
    <t>20</t>
  </si>
  <si>
    <t>21</t>
  </si>
  <si>
    <t>22</t>
  </si>
  <si>
    <t>23</t>
  </si>
  <si>
    <t>REL  AUC  AVAC  //  BUDG</t>
  </si>
  <si>
    <t>24</t>
  </si>
  <si>
    <t>25</t>
  </si>
  <si>
    <t>26</t>
  </si>
  <si>
    <t>Tie In-Eng Pad AWI9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</si>
  <si>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</si>
  <si>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</si>
  <si>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</si>
  <si>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</si>
  <si>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</si>
  <si>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</si>
  <si>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</si>
  <si>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</si>
  <si>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</si>
  <si>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</si>
  <si>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</si>
  <si>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</si>
  <si>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</si>
  <si>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</si>
  <si>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</si>
  <si>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</si>
  <si>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</si>
  <si>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</si>
  <si>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</si>
  <si>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</si>
  <si>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</si>
  <si>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</si>
  <si>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</si>
  <si>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</si>
  <si>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</si>
  <si>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</si>
  <si>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</si>
  <si>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</si>
  <si>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</si>
  <si>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</si>
  <si>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</si>
  <si>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</si>
  <si>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</si>
  <si>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</si>
  <si>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</si>
  <si>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</si>
  <si>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</si>
  <si>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</si>
  <si>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</si>
  <si>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</si>
  <si>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</si>
  <si>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</si>
  <si>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</si>
  <si>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</si>
  <si>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</si>
  <si>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</si>
  <si>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</si>
  <si>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</si>
  <si>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</si>
  <si>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</si>
  <si>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</si>
  <si>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</si>
  <si>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REL  AVAC SETC  //  BUDG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</si>
  <si>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</si>
  <si>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</si>
  <si>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</si>
  <si>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</si>
  <si>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</si>
  <si>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</si>
  <si>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</si>
  <si>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</si>
  <si>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</si>
  <si>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</si>
  <si>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</si>
  <si>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</si>
  <si>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</si>
  <si>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</si>
  <si>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</si>
  <si>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</si>
  <si>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</si>
  <si>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</si>
  <si>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</si>
  <si>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</si>
  <si>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</si>
  <si>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</si>
  <si>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</si>
  <si>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</si>
  <si>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</si>
  <si>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</si>
  <si>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</si>
  <si>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</si>
  <si>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</si>
  <si>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</si>
  <si>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</si>
  <si>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</si>
  <si>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</si>
  <si>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</si>
  <si>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</si>
  <si>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</si>
  <si>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</si>
  <si>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</si>
  <si>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06</t>
  </si>
  <si>
    <t>Pemasangan lampu penerangan luar dan pen</t>
  </si>
  <si>
    <t>40000007089</t>
  </si>
  <si>
    <t>REL  PCNF CSER GMPS MSPT PRC  SETC  //  RDEX WMTR</t>
  </si>
  <si>
    <t>117</t>
  </si>
  <si>
    <t>07</t>
  </si>
  <si>
    <t>Persiapan material</t>
  </si>
  <si>
    <t>40000007089  0010</t>
  </si>
  <si>
    <t>118</t>
  </si>
  <si>
    <t>Digging for Pole and cable</t>
  </si>
  <si>
    <t>40000007089  0040</t>
  </si>
  <si>
    <t>119</t>
  </si>
  <si>
    <t>Housekeeping</t>
  </si>
  <si>
    <t>40000007089  0050</t>
  </si>
  <si>
    <t>120</t>
  </si>
  <si>
    <t>instsll toilet portable awi-21</t>
  </si>
  <si>
    <t>40000007089  0060</t>
  </si>
  <si>
    <t>121</t>
  </si>
  <si>
    <t>Assist boom truck</t>
  </si>
  <si>
    <t>40000007089  0070</t>
  </si>
  <si>
    <t>122</t>
  </si>
  <si>
    <t>Assist welder</t>
  </si>
  <si>
    <t>40000007089  0080</t>
  </si>
  <si>
    <t>123</t>
  </si>
  <si>
    <t>Spv penggalian sumber jalur Listrik Utam</t>
  </si>
  <si>
    <t>40000007089  0090</t>
  </si>
  <si>
    <t>124</t>
  </si>
  <si>
    <t>Check underground cable AWI-21</t>
  </si>
  <si>
    <t>40000007089  0100</t>
  </si>
  <si>
    <t>125</t>
  </si>
  <si>
    <t>126</t>
  </si>
  <si>
    <t>127</t>
  </si>
  <si>
    <t>128</t>
  </si>
  <si>
    <t>129</t>
  </si>
  <si>
    <t>Insurance AWI 9-10RD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</si>
  <si>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</si>
  <si>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</si>
  <si>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</si>
  <si>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</si>
  <si>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</si>
  <si>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</si>
  <si>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</si>
  <si>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</si>
  <si>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</si>
  <si>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</si>
  <si>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</si>
  <si>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</si>
  <si>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</si>
  <si>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</si>
  <si>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</si>
  <si>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</si>
  <si>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</si>
  <si>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</si>
  <si>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</si>
  <si>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</si>
  <si>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</si>
  <si>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</si>
  <si>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</si>
  <si>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</si>
  <si>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</si>
  <si>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</si>
  <si>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</si>
  <si>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</si>
  <si>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</si>
  <si>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</si>
  <si>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</si>
  <si>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</si>
  <si>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WSG AWI 9-10RD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</si>
  <si>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</si>
  <si>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</si>
  <si>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</si>
  <si>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</si>
  <si>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</si>
  <si>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</si>
  <si>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</si>
  <si>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</si>
  <si>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</si>
  <si>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</si>
  <si>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</si>
  <si>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</si>
  <si>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</si>
  <si>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</si>
  <si>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</si>
  <si>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</si>
  <si>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</si>
  <si>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</si>
  <si>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</si>
  <si>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Well testing AWI 9-10RD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</si>
  <si>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</si>
  <si>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</si>
  <si>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</si>
  <si>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</si>
  <si>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</si>
  <si>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</si>
  <si>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</si>
  <si>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</si>
  <si>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</si>
  <si>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</si>
  <si>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</si>
  <si>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</si>
  <si>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</si>
  <si>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</si>
  <si>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</si>
  <si>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</si>
  <si>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</si>
  <si>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</si>
  <si>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</si>
  <si>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Well Cost AWI 9-10RD</t>
  </si>
  <si>
    <t>200</t>
  </si>
  <si>
    <t>Services AWI 9-10RD</t>
  </si>
  <si>
    <t>201</t>
  </si>
  <si>
    <t>Drilling Rig O&amp;M AWI 9-10RD</t>
  </si>
  <si>
    <t>202</t>
  </si>
  <si>
    <t>Explosive Handling &amp; Permittingting AWI 9-10RD</t>
  </si>
  <si>
    <t>203</t>
  </si>
  <si>
    <t>API non API Machine Shop Serv AWI 9-10RD</t>
  </si>
  <si>
    <t>204</t>
  </si>
  <si>
    <t>Welding Services AWI 9-10RD</t>
  </si>
  <si>
    <t>205</t>
  </si>
  <si>
    <t>Vehicle Inspection AWI 9-10RD</t>
  </si>
  <si>
    <t>206</t>
  </si>
  <si>
    <t>Rig Inspection AWI 9-10RD</t>
  </si>
  <si>
    <t>207</t>
  </si>
  <si>
    <t>NDT Inspection AWI 9-10RD</t>
  </si>
  <si>
    <t>208</t>
  </si>
  <si>
    <t>Drilling Safety, Health &amp; Enviro AWI 9-1</t>
  </si>
  <si>
    <t>209</t>
  </si>
  <si>
    <t>Other Transportation AWI 9-10RD</t>
  </si>
  <si>
    <t>210</t>
  </si>
  <si>
    <t>Land Transportation AWI 9-10RD</t>
  </si>
  <si>
    <t>211</t>
  </si>
  <si>
    <t>Supervision AWI 9-10RD</t>
  </si>
  <si>
    <t>212</t>
  </si>
  <si>
    <t>Open Hole Electrical Logging Serv AWI 9-</t>
  </si>
  <si>
    <t>213</t>
  </si>
  <si>
    <t>Mud Logging Service AWI 9-10RD</t>
  </si>
  <si>
    <t>214</t>
  </si>
  <si>
    <t>Coring AWI 9-10RD</t>
  </si>
  <si>
    <t>215</t>
  </si>
  <si>
    <t>Cement, Cementing &amp; Pump Fees AWI 9-10RD</t>
  </si>
  <si>
    <t>216</t>
  </si>
  <si>
    <t>Casing Installation AWI 9-10RD</t>
  </si>
  <si>
    <t>217</t>
  </si>
  <si>
    <t>Directional Drilling &amp; Surveys AWI 9-10RD</t>
  </si>
  <si>
    <t>218</t>
  </si>
  <si>
    <t>Equipment Rental AWI 9-10RD</t>
  </si>
  <si>
    <t>219</t>
  </si>
  <si>
    <t>Bits, Reamer and Core heads AWI 9-10RD</t>
  </si>
  <si>
    <t>220</t>
  </si>
  <si>
    <t>Mud, Chemical and Eng Serv AWI 9-10RD</t>
  </si>
  <si>
    <t>221</t>
  </si>
  <si>
    <t>Contract Rig AWI 9-10RD</t>
  </si>
  <si>
    <t>222</t>
  </si>
  <si>
    <t>Service Lines &amp; Comm AWI 9-10RD</t>
  </si>
  <si>
    <t>223</t>
  </si>
  <si>
    <t>Material - Non LL AWI 9-10RD</t>
  </si>
  <si>
    <t>224</t>
  </si>
  <si>
    <t>Consumables AWI 9-10RD</t>
  </si>
  <si>
    <t>225</t>
  </si>
  <si>
    <t>Material - LL AWI 9-10RD</t>
  </si>
  <si>
    <t>226</t>
  </si>
  <si>
    <t>Casing Repair &amp; Modif AWI 9-10RD</t>
  </si>
  <si>
    <t>227</t>
  </si>
  <si>
    <t>Asset Transfer AWI 9-10RD</t>
  </si>
  <si>
    <t>228</t>
  </si>
  <si>
    <t>Fuel &amp; Lubricants AWI 9-10RD</t>
  </si>
  <si>
    <t>229</t>
  </si>
  <si>
    <t>Well Equip. Surface AWI 9-10RD</t>
  </si>
  <si>
    <t>230</t>
  </si>
  <si>
    <t>Casing AWI 9-10RD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</si>
  <si>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</si>
  <si>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</si>
  <si>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</si>
  <si>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</si>
  <si>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</si>
  <si>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</si>
  <si>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</si>
  <si>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</si>
  <si>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</si>
  <si>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</si>
  <si>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Drilling Safety, Health &amp; Enviro AWI 23-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</si>
  <si>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</si>
  <si>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</si>
  <si>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</si>
  <si>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</si>
  <si>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</si>
  <si>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</si>
  <si>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</si>
  <si>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</si>
  <si>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</si>
  <si>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</si>
  <si>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</si>
  <si>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</si>
  <si>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</si>
  <si>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</si>
  <si>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</si>
  <si>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</si>
  <si>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</si>
  <si>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</si>
  <si>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</si>
  <si>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</si>
  <si>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</si>
  <si>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</si>
  <si>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</si>
  <si>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</si>
  <si>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</si>
  <si>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</si>
  <si>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</si>
  <si>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</si>
  <si>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</si>
  <si>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</si>
  <si>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</si>
  <si>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</si>
  <si>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Drilling Safety, Health &amp; Enviro AWI 21-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</si>
  <si>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</si>
  <si>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</si>
  <si>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</si>
  <si>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</si>
  <si>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</si>
  <si>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</si>
  <si>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</si>
  <si>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</si>
  <si>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</si>
  <si>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</si>
  <si>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</si>
  <si>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</si>
  <si>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</si>
  <si>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</si>
  <si>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</si>
  <si>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</si>
  <si>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</si>
  <si>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</si>
  <si>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</si>
  <si>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</si>
  <si>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</si>
  <si>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</si>
  <si>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</si>
  <si>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</si>
  <si>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</si>
  <si>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</si>
  <si>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</si>
  <si>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</si>
  <si>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</si>
  <si>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</si>
  <si>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</si>
  <si>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</si>
  <si>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Drilling Safety, Health &amp; Enviro AWI 3-9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</si>
  <si>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</si>
  <si>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</si>
  <si>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</si>
  <si>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</si>
  <si>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</si>
  <si>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</si>
  <si>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</si>
  <si>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</si>
  <si>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</si>
  <si>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</si>
  <si>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</si>
  <si>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</si>
  <si>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</si>
  <si>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</si>
  <si>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</si>
  <si>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</si>
  <si>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</si>
  <si>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</si>
  <si>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</si>
  <si>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</si>
  <si>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</si>
  <si>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</si>
  <si>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</si>
  <si>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</si>
  <si>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</si>
  <si>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</si>
  <si>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</si>
  <si>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</si>
  <si>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</si>
  <si>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REL  LKD  BUDG AVAC  //  BUDG</t>
  </si>
  <si>
    <t>334</t>
  </si>
  <si>
    <t>335</t>
  </si>
  <si>
    <t>REL  LKD  AVAC SETC  //  BUDG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</si>
  <si>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</si>
  <si>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</si>
  <si>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</si>
  <si>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</si>
  <si>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</si>
  <si>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</si>
  <si>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</si>
  <si>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</si>
  <si>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</si>
  <si>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</si>
  <si>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Drilling Safety, Health &amp; Enviro AWI 9-11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</si>
  <si>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</si>
  <si>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</si>
  <si>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</si>
  <si>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</si>
  <si>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</si>
  <si>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</si>
  <si>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</si>
  <si>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</si>
  <si>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</si>
  <si>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</si>
  <si>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</si>
  <si>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</si>
  <si>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</si>
  <si>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</si>
  <si>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</si>
  <si>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</si>
  <si>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</si>
  <si>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</si>
  <si>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</si>
  <si>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</si>
  <si>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</si>
  <si>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</si>
  <si>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</si>
  <si>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</si>
  <si>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</si>
  <si>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</si>
  <si>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</si>
  <si>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</si>
  <si>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</si>
  <si>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</si>
  <si>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</si>
  <si>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</si>
  <si>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Drilling Safety, Health &amp; Enviro AWI 23-1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</si>
  <si>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</si>
  <si>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</si>
  <si>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</si>
  <si>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</si>
  <si>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</si>
  <si>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</si>
  <si>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</si>
  <si>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</si>
  <si>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</si>
  <si>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</si>
  <si>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</si>
  <si>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</si>
  <si>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</si>
  <si>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</si>
  <si>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</si>
  <si>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</si>
  <si>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</si>
  <si>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</si>
  <si>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</si>
  <si>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</si>
  <si>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</si>
  <si>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</si>
  <si>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</si>
  <si>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</si>
  <si>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</si>
  <si>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</si>
  <si>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</si>
  <si>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</si>
  <si>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</si>
  <si>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</si>
  <si>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</si>
  <si>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</si>
  <si>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Drilling Safety, Health &amp; Enviro AWI 21-7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</si>
  <si>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</si>
  <si>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</si>
  <si>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</si>
  <si>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</si>
  <si>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</si>
  <si>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</si>
  <si>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</si>
  <si>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</si>
  <si>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</si>
  <si>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</si>
  <si>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</si>
  <si>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</si>
  <si>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</si>
  <si>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</si>
  <si>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</si>
  <si>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</si>
  <si>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</si>
  <si>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</si>
  <si>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</si>
  <si>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</si>
  <si>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</si>
  <si>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</si>
  <si>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</si>
  <si>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</si>
  <si>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</si>
  <si>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</si>
  <si>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</si>
  <si>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</si>
  <si>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</si>
  <si>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</si>
  <si>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</si>
  <si>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</si>
  <si>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</si>
  <si>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</si>
  <si>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</si>
  <si>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</si>
  <si>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</si>
  <si>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</si>
  <si>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</si>
  <si>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</si>
  <si>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</si>
  <si>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</si>
  <si>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</si>
  <si>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</si>
  <si>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</si>
  <si>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</si>
  <si>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</si>
  <si>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</si>
  <si>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</si>
  <si>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</si>
  <si>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</si>
  <si>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</si>
  <si>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</si>
  <si>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</si>
  <si>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</si>
  <si>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</si>
  <si>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</si>
  <si>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</si>
  <si>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</si>
  <si>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</si>
  <si>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</si>
  <si>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Drilling Safety, Health &amp; Enviro AWI 2-6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</si>
  <si>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</si>
  <si>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</si>
  <si>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</si>
  <si>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</si>
  <si>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</si>
  <si>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</si>
  <si>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</si>
  <si>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</si>
  <si>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</si>
  <si>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</si>
  <si>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</si>
  <si>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</si>
  <si>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</si>
  <si>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</si>
  <si>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</si>
  <si>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</si>
  <si>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</si>
  <si>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</si>
  <si>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</si>
  <si>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</si>
  <si>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</si>
  <si>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</si>
  <si>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</si>
  <si>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</si>
  <si>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</si>
  <si>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</si>
  <si>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</si>
  <si>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</si>
  <si>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</si>
  <si>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</si>
  <si>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</si>
  <si>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</si>
  <si>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Drilling Safety, Health &amp; Enviro AWI 2-7 ML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</si>
  <si>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</si>
  <si>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</si>
  <si>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</si>
  <si>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</si>
  <si>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</si>
  <si>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</si>
  <si>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</si>
  <si>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</si>
  <si>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</si>
  <si>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</si>
  <si>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</si>
  <si>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</si>
  <si>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</si>
  <si>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</si>
  <si>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</si>
  <si>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</si>
  <si>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</si>
  <si>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</si>
  <si>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</si>
  <si>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</si>
  <si>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</si>
  <si>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</si>
  <si>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Darajat Projects 2022</t>
  </si>
  <si>
    <t>1E53022</t>
  </si>
  <si>
    <t>D225301</t>
  </si>
  <si>
    <t>PRODUCTION</t>
  </si>
  <si>
    <t>REL  LKD  BUDG AVAC  //  REL</t>
  </si>
  <si>
    <t>Drilling Facilities Support at Pad SF</t>
  </si>
  <si>
    <t>40000002880</t>
  </si>
  <si>
    <t>TECO CNF  CSER MSPT PRC  SETC  //  EXCO</t>
  </si>
  <si>
    <t>scrapping stone and basecoarse</t>
  </si>
  <si>
    <t>40000002880  0010</t>
  </si>
  <si>
    <t>support backhoe loder</t>
  </si>
  <si>
    <t>40000002880  0020</t>
  </si>
  <si>
    <t>Install HDPE Liner at sump pad 14</t>
  </si>
  <si>
    <t>40000002880  0070</t>
  </si>
  <si>
    <t>REMOVE STONE AT BAKER TANK</t>
  </si>
  <si>
    <t>40000002880  0080</t>
  </si>
  <si>
    <t>Remove BRC Fence</t>
  </si>
  <si>
    <t>40000002880  0090</t>
  </si>
  <si>
    <t>Remove well Data Board</t>
  </si>
  <si>
    <t>40000002880  0100</t>
  </si>
  <si>
    <t>Reinstall BRC Fence</t>
  </si>
  <si>
    <t>40000002880  0110</t>
  </si>
  <si>
    <t>Fabricate Form Work Fence Foundation</t>
  </si>
  <si>
    <t>40000002880  0120</t>
  </si>
  <si>
    <t>Scrapping &amp; platting well Pad SF</t>
  </si>
  <si>
    <t>40000003673</t>
  </si>
  <si>
    <t>TECO CNF  GMPS MACM PRC  SETC  //  EXCO</t>
  </si>
  <si>
    <t>Scrapping well Pad SF W1</t>
  </si>
  <si>
    <t>40000003673  0010</t>
  </si>
  <si>
    <t>scrapping well Pad SF W2</t>
  </si>
  <si>
    <t>40000003673  0020</t>
  </si>
  <si>
    <t>scrapping well Pad SF W3</t>
  </si>
  <si>
    <t>40000003673  0030</t>
  </si>
  <si>
    <t>scrapping well Pad SF W4</t>
  </si>
  <si>
    <t>40000003673  0050</t>
  </si>
  <si>
    <t>Recovery Pad-14 after Drilling Activity</t>
  </si>
  <si>
    <t>40000004073</t>
  </si>
  <si>
    <t>TECO CNF  GMPS MSPT PRC  SETC  //  EXCO</t>
  </si>
  <si>
    <t>SCRAPPING PAD 14 AREA W1</t>
  </si>
  <si>
    <t>40000004073  0010</t>
  </si>
  <si>
    <t>digging fence support brc w1</t>
  </si>
  <si>
    <t>40000004073  0020</t>
  </si>
  <si>
    <t>support drill cutting handling w1</t>
  </si>
  <si>
    <t>40000004073  0030</t>
  </si>
  <si>
    <t>Re install fence pole w1</t>
  </si>
  <si>
    <t>40000004073  0040</t>
  </si>
  <si>
    <t>Re install fence BRC w1</t>
  </si>
  <si>
    <t>40000004073  0050</t>
  </si>
  <si>
    <t>Fabricate swing gate ( modif existing)</t>
  </si>
  <si>
    <t>40000004073  0060</t>
  </si>
  <si>
    <t>Fabricate add fence pole</t>
  </si>
  <si>
    <t>40000004073  0070</t>
  </si>
  <si>
    <t>Fabricate pole for swing gate</t>
  </si>
  <si>
    <t>40000004073  0080</t>
  </si>
  <si>
    <t>digging fence support brc w2</t>
  </si>
  <si>
    <t>40000004073  0090</t>
  </si>
  <si>
    <t>SCRAPPING PAD 14 AREA W2</t>
  </si>
  <si>
    <t>40000004073  0100</t>
  </si>
  <si>
    <t>field weld pole swing gate</t>
  </si>
  <si>
    <t>40000004073  0110</t>
  </si>
  <si>
    <t>weld frame swing gate</t>
  </si>
  <si>
    <t>40000004073  0120</t>
  </si>
  <si>
    <t>support boom truck</t>
  </si>
  <si>
    <t>40000004073  0130</t>
  </si>
  <si>
    <t>painting fence w1</t>
  </si>
  <si>
    <t>40000004073  0140</t>
  </si>
  <si>
    <t>tack weld cincin pole BRC</t>
  </si>
  <si>
    <t>40000004073  0150</t>
  </si>
  <si>
    <t>pouring concrete pole fence</t>
  </si>
  <si>
    <t>40000004073  0160</t>
  </si>
  <si>
    <t>fabrikasi pole BRC 23ea</t>
  </si>
  <si>
    <t>40000004073  0170</t>
  </si>
  <si>
    <t>tack weld pole BRC 40ea</t>
  </si>
  <si>
    <t>40000004073  0180</t>
  </si>
  <si>
    <t>ins.slot swing gate</t>
  </si>
  <si>
    <t>40000004073  0190</t>
  </si>
  <si>
    <t>ins.guard rail 6well 36joint</t>
  </si>
  <si>
    <t>40000004073  0200</t>
  </si>
  <si>
    <t>40000004073  0210</t>
  </si>
  <si>
    <t>re install wellhead data</t>
  </si>
  <si>
    <t>40000004073  0220</t>
  </si>
  <si>
    <t>Re install fence pole w2</t>
  </si>
  <si>
    <t>40000004073  0230</t>
  </si>
  <si>
    <t>Re install fence BRC w2</t>
  </si>
  <si>
    <t>40000004073  0240</t>
  </si>
  <si>
    <t>painting fence w2</t>
  </si>
  <si>
    <t>40000004073  0250</t>
  </si>
  <si>
    <t>Bevelling Pipe Used WDS PipeLine W.1 #II</t>
  </si>
  <si>
    <t>40000005028</t>
  </si>
  <si>
    <t>TECO CNF  NMAT PRC  SETC  //  EXCO</t>
  </si>
  <si>
    <t>move pipe before bevelling</t>
  </si>
  <si>
    <t>40000005028  0010</t>
  </si>
  <si>
    <t>bevelling pipe</t>
  </si>
  <si>
    <t>40000005028  0020</t>
  </si>
  <si>
    <t>move pipe after bevelling</t>
  </si>
  <si>
    <t>40000005028  0030</t>
  </si>
  <si>
    <t>stringing pipe</t>
  </si>
  <si>
    <t>40000005028  0040</t>
  </si>
  <si>
    <t>40000005028  0050</t>
  </si>
  <si>
    <t>bevelling pipe stage 10 -11</t>
  </si>
  <si>
    <t>40000005028  0060</t>
  </si>
  <si>
    <t>support boom truck moving pad 14</t>
  </si>
  <si>
    <t>40000005028  0070</t>
  </si>
  <si>
    <t>bevelling pipe stage 12-13</t>
  </si>
  <si>
    <t>40000005028  0080</t>
  </si>
  <si>
    <t>40000005028  0090</t>
  </si>
  <si>
    <t>bevelling pipe stage 14-15</t>
  </si>
  <si>
    <t>40000005028  0100</t>
  </si>
  <si>
    <t>40000005028  0110</t>
  </si>
  <si>
    <t>bevelling pipe stage 16-17</t>
  </si>
  <si>
    <t>40000005028  0120</t>
  </si>
  <si>
    <t>40000005028  0130</t>
  </si>
  <si>
    <t>Ins. WDS Pipe Line Reservoar - Pad 14 #3</t>
  </si>
  <si>
    <t>40000005029</t>
  </si>
  <si>
    <t>stringing pipe stage 5-6</t>
  </si>
  <si>
    <t>40000005029  0010</t>
  </si>
  <si>
    <t>fit up &amp; alignment stage 7-8</t>
  </si>
  <si>
    <t>40000005029  0020</t>
  </si>
  <si>
    <t>welding spool pipe WDS stage 7-8</t>
  </si>
  <si>
    <t>40000005029  0030</t>
  </si>
  <si>
    <t>40000005029  0040</t>
  </si>
  <si>
    <t>pouring concrete support</t>
  </si>
  <si>
    <t>40000005029  0050</t>
  </si>
  <si>
    <t>setting wire sling</t>
  </si>
  <si>
    <t>40000005029  0060</t>
  </si>
  <si>
    <t>stringing pipe stage 7-8</t>
  </si>
  <si>
    <t>40000005029  0070</t>
  </si>
  <si>
    <t>fit up &amp; alignment stage 9-10</t>
  </si>
  <si>
    <t>40000005029  0080</t>
  </si>
  <si>
    <t>welding spool pipe stage 9-10</t>
  </si>
  <si>
    <t>40000005029  0090</t>
  </si>
  <si>
    <t>40000005029  0100</t>
  </si>
  <si>
    <t>penetran test</t>
  </si>
  <si>
    <t>40000005029  0110</t>
  </si>
  <si>
    <t>Repair Genset portable</t>
  </si>
  <si>
    <t>40000005029  0120</t>
  </si>
  <si>
    <t>detac cable under ground</t>
  </si>
  <si>
    <t>40000005029  0130</t>
  </si>
  <si>
    <t>stringing pipe stage 9-10</t>
  </si>
  <si>
    <t>40000005029  0140</t>
  </si>
  <si>
    <t>fit up &amp; alignment derivative point#1</t>
  </si>
  <si>
    <t>40000005029  0150</t>
  </si>
  <si>
    <t>40000005029  0160</t>
  </si>
  <si>
    <t>excavation fr support</t>
  </si>
  <si>
    <t>40000005029  0170</t>
  </si>
  <si>
    <t>fab.bekisthing</t>
  </si>
  <si>
    <t>40000005029  0180</t>
  </si>
  <si>
    <t>pouring concrete fr support</t>
  </si>
  <si>
    <t>40000005029  0190</t>
  </si>
  <si>
    <t>40000005029  0200</t>
  </si>
  <si>
    <t>stringing pipe stage 10-11</t>
  </si>
  <si>
    <t>40000005029  0210</t>
  </si>
  <si>
    <t>fit up &amp; alignment derivative point#2</t>
  </si>
  <si>
    <t>40000005029  0220</t>
  </si>
  <si>
    <t>welding spool pipe stage 10-11</t>
  </si>
  <si>
    <t>40000005029  0230</t>
  </si>
  <si>
    <t>40000005029  0240</t>
  </si>
  <si>
    <t>fit up &amp; alignment derivative point#3</t>
  </si>
  <si>
    <t>40000005029  0250</t>
  </si>
  <si>
    <t>stringing pipe stage 12-13</t>
  </si>
  <si>
    <t>40000005029  0260</t>
  </si>
  <si>
    <t>welding spool pipe stage 12-13</t>
  </si>
  <si>
    <t>40000005029  0270</t>
  </si>
  <si>
    <t>Ins. WDS Pipe Line Reservoar - Pad 14 #4</t>
  </si>
  <si>
    <t>40000005099</t>
  </si>
  <si>
    <t>40000005099  0010</t>
  </si>
  <si>
    <t>40000005099  0020</t>
  </si>
  <si>
    <t>fit up &amp; alignment derivative point#4</t>
  </si>
  <si>
    <t>40000005099  0030</t>
  </si>
  <si>
    <t>welding spool pipe 6"</t>
  </si>
  <si>
    <t>40000005099  0040</t>
  </si>
  <si>
    <t>install support</t>
  </si>
  <si>
    <t>40000005099  0050</t>
  </si>
  <si>
    <t>40000005099  0060</t>
  </si>
  <si>
    <t>40000005099  0070</t>
  </si>
  <si>
    <t>40000005099  0080</t>
  </si>
  <si>
    <t>repair access road</t>
  </si>
  <si>
    <t>40000005099  0090</t>
  </si>
  <si>
    <t>Repair Genset Troubleshoot</t>
  </si>
  <si>
    <t>40000005099  0100</t>
  </si>
  <si>
    <t>stringing pipe derivative point#4</t>
  </si>
  <si>
    <t>40000005099  0110</t>
  </si>
  <si>
    <t>fit up &amp; alignment derivative point#5</t>
  </si>
  <si>
    <t>40000005099  0120</t>
  </si>
  <si>
    <t>welding spool pipe 6" wds line</t>
  </si>
  <si>
    <t>40000005099  0130</t>
  </si>
  <si>
    <t>40000005099  0140</t>
  </si>
  <si>
    <t>stringing pipe derivative point#5</t>
  </si>
  <si>
    <t>40000005099  0150</t>
  </si>
  <si>
    <t>fit up &amp; alignment derivative point#6</t>
  </si>
  <si>
    <t>40000005099  0160</t>
  </si>
  <si>
    <t>40000005099  0170</t>
  </si>
  <si>
    <t>install support fr WDS pipe line</t>
  </si>
  <si>
    <t>40000005099  0180</t>
  </si>
  <si>
    <t>40000005099  0190</t>
  </si>
  <si>
    <t>stringing pipe derivative point#6</t>
  </si>
  <si>
    <t>40000005099  0200</t>
  </si>
  <si>
    <t>fit up &amp; alignment derivative point#7</t>
  </si>
  <si>
    <t>40000005099  0210</t>
  </si>
  <si>
    <t>40000005099  0220</t>
  </si>
  <si>
    <t>40000005099  0230</t>
  </si>
  <si>
    <t>40000005099  0240</t>
  </si>
  <si>
    <t>stringing pipe derivative point#7</t>
  </si>
  <si>
    <t>40000005099  0250</t>
  </si>
  <si>
    <t>fit up &amp; alignment derivative point#8</t>
  </si>
  <si>
    <t>40000005099  0260</t>
  </si>
  <si>
    <t>40000005099  0270</t>
  </si>
  <si>
    <t>40000005099  0280</t>
  </si>
  <si>
    <t>Bevelling Pipe Used WDS PipeLine W.1 #3</t>
  </si>
  <si>
    <t>40000005100</t>
  </si>
  <si>
    <t>40000005100  0010</t>
  </si>
  <si>
    <t>40000005100  0020</t>
  </si>
  <si>
    <t>stringing pipe after bevelling</t>
  </si>
  <si>
    <t>40000005100  0030</t>
  </si>
  <si>
    <t>REL  LKD  BUDG ISBD AVAC  //  REL</t>
  </si>
  <si>
    <t>DRILLING WATER SUPPLY</t>
  </si>
  <si>
    <t>40000002899</t>
  </si>
  <si>
    <t>Drilling Water Supply 2021</t>
  </si>
  <si>
    <t>40000002899  0010</t>
  </si>
  <si>
    <t>NDT for WDS line</t>
  </si>
  <si>
    <t>40000002899  0020</t>
  </si>
  <si>
    <t>fabricate water suply line 1"</t>
  </si>
  <si>
    <t>40000002899  0030</t>
  </si>
  <si>
    <t>fabricate cover toren</t>
  </si>
  <si>
    <t>40000002899  0040</t>
  </si>
  <si>
    <t>install pelampung toren</t>
  </si>
  <si>
    <t>40000002899  0050</t>
  </si>
  <si>
    <t>remove victaulic pipe at PAD 3</t>
  </si>
  <si>
    <t>40000002899  0060</t>
  </si>
  <si>
    <t>relocate spool from pad 3 to pad 18</t>
  </si>
  <si>
    <t>40000002899  0070</t>
  </si>
  <si>
    <t>remove existing spool baker tank pad 15</t>
  </si>
  <si>
    <t>40000002899  0080</t>
  </si>
  <si>
    <t>install spool for baker tank pad 15</t>
  </si>
  <si>
    <t>40000002899  0090</t>
  </si>
  <si>
    <t>40000002899  0100</t>
  </si>
  <si>
    <t>fabricate &amp; install plug cap baker tank</t>
  </si>
  <si>
    <t>40000002899  0120</t>
  </si>
  <si>
    <t>scrapping area pad 15 side baker tank</t>
  </si>
  <si>
    <t>40000002899  0160</t>
  </si>
  <si>
    <t>install pump</t>
  </si>
  <si>
    <t>40000002899  0170</t>
  </si>
  <si>
    <t>remove stone from baker tank</t>
  </si>
  <si>
    <t>40000002899  0180</t>
  </si>
  <si>
    <t>tapping point zero discharge</t>
  </si>
  <si>
    <t>40000002899  0190</t>
  </si>
  <si>
    <t>cutting tree</t>
  </si>
  <si>
    <t>40000002899  0200</t>
  </si>
  <si>
    <t>cleaning drainage</t>
  </si>
  <si>
    <t>40000002899  0210</t>
  </si>
  <si>
    <t>fit up&amp; weld bypass line pad 9</t>
  </si>
  <si>
    <t>40000002899  0220</t>
  </si>
  <si>
    <t>set up baker tank to spool at SF</t>
  </si>
  <si>
    <t>40000002899  0230</t>
  </si>
  <si>
    <t>weld&amp;ins.victaulic fr filling baker tank</t>
  </si>
  <si>
    <t>40000002899  0240</t>
  </si>
  <si>
    <t>install pvc line for wudhu whs 2</t>
  </si>
  <si>
    <t>40000002899  0250</t>
  </si>
  <si>
    <t>scrapping area pad 15</t>
  </si>
  <si>
    <t>40000002899  0260</t>
  </si>
  <si>
    <t>scrapping area pad 18</t>
  </si>
  <si>
    <t>40000002899  0270</t>
  </si>
  <si>
    <t>install pvc line for wudhu mosque</t>
  </si>
  <si>
    <t>40000002899  0280</t>
  </si>
  <si>
    <t>setting baker tank at S4</t>
  </si>
  <si>
    <t>40000002899  0290</t>
  </si>
  <si>
    <t>install spool at baker tank at WDS line</t>
  </si>
  <si>
    <t>40000002899  0300</t>
  </si>
  <si>
    <t>cutting pole warning sign at drj 18</t>
  </si>
  <si>
    <t>40000002899  0310</t>
  </si>
  <si>
    <t>fabrikasi support for line PVC wudhu</t>
  </si>
  <si>
    <t>40000002899  0320</t>
  </si>
  <si>
    <t>support boom truck fr setting baker tank</t>
  </si>
  <si>
    <t>40000002899  0330</t>
  </si>
  <si>
    <t>scrapping area pad 20</t>
  </si>
  <si>
    <t>40000002899  0340</t>
  </si>
  <si>
    <t>scrapping area pad 3</t>
  </si>
  <si>
    <t>40000002899  0350</t>
  </si>
  <si>
    <t>DRILLING WATER SYSTEM PART4</t>
  </si>
  <si>
    <t>40000003442</t>
  </si>
  <si>
    <t>TECO CNF  CSER GMPS MSPT PRC  SETC  //  EXCO</t>
  </si>
  <si>
    <t>fabricate support flow test</t>
  </si>
  <si>
    <t>40000003442  0010</t>
  </si>
  <si>
    <t>install shelter</t>
  </si>
  <si>
    <t>40000003442  0020</t>
  </si>
  <si>
    <t>pemasangan scotlight di bambu</t>
  </si>
  <si>
    <t>40000003442  0030</t>
  </si>
  <si>
    <t>pemasangan patok bambu</t>
  </si>
  <si>
    <t>40000003442  0040</t>
  </si>
  <si>
    <t>cutting pipe for support</t>
  </si>
  <si>
    <t>40000003442  0050</t>
  </si>
  <si>
    <t>weld sopport 4joint</t>
  </si>
  <si>
    <t>40000003442  0060</t>
  </si>
  <si>
    <t>continue pump instalation pad 15</t>
  </si>
  <si>
    <t>40000003442  0070</t>
  </si>
  <si>
    <t>prepare fabricate line at pad 2</t>
  </si>
  <si>
    <t>40000003442  0080</t>
  </si>
  <si>
    <t>prepare fabricate line at pad 4</t>
  </si>
  <si>
    <t>40000003442  0090</t>
  </si>
  <si>
    <t>Provide additional lighting and power su</t>
  </si>
  <si>
    <t>40000003442  0100</t>
  </si>
  <si>
    <t>fabricate support hight 4ea</t>
  </si>
  <si>
    <t>40000003442  0110</t>
  </si>
  <si>
    <t>layer geomembrane pad 14 W1</t>
  </si>
  <si>
    <t>40000003442  0120</t>
  </si>
  <si>
    <t>normalisasi drainase Pad SF W3</t>
  </si>
  <si>
    <t>40000003442  0130</t>
  </si>
  <si>
    <t>layer geomembrane pad 14 W2</t>
  </si>
  <si>
    <t>40000003442  0140</t>
  </si>
  <si>
    <t>layer geomembrane pad 14 W3</t>
  </si>
  <si>
    <t>40000003442  0150</t>
  </si>
  <si>
    <t>layer geomembrane pad 14 W4</t>
  </si>
  <si>
    <t>40000003442  0160</t>
  </si>
  <si>
    <t>normalisasi drainase Pad SF W4</t>
  </si>
  <si>
    <t>40000003442  0170</t>
  </si>
  <si>
    <t>replace venting 1 1/2" line sump pad 2</t>
  </si>
  <si>
    <t>40000003442  0180</t>
  </si>
  <si>
    <t>fabrikasi for tapping pipe 6"</t>
  </si>
  <si>
    <t>40000003442  0190</t>
  </si>
  <si>
    <t>install tapping pipe 6" sump pad 2</t>
  </si>
  <si>
    <t>40000003442  0200</t>
  </si>
  <si>
    <t>instal victaulic pipe at sump pad 2</t>
  </si>
  <si>
    <t>40000003442  0210</t>
  </si>
  <si>
    <t>40000003442  0220</t>
  </si>
  <si>
    <t>support excavation</t>
  </si>
  <si>
    <t>40000003442  0230</t>
  </si>
  <si>
    <t>remove insulation pipe suport 323-317</t>
  </si>
  <si>
    <t>40000003442  0240</t>
  </si>
  <si>
    <t>install pipe 6" line to sump pit</t>
  </si>
  <si>
    <t>40000003442  0250</t>
  </si>
  <si>
    <t>install hdpe pipe to sump pit</t>
  </si>
  <si>
    <t>40000003442  0260</t>
  </si>
  <si>
    <t>install power supply&amp;power lighting G.G</t>
  </si>
  <si>
    <t>40000003442  0270</t>
  </si>
  <si>
    <t>install shelter pump operator</t>
  </si>
  <si>
    <t>40000003442  0280</t>
  </si>
  <si>
    <t>support scaffolding</t>
  </si>
  <si>
    <t>40000003442  0290</t>
  </si>
  <si>
    <t>scrapping&amp;flattening gagak pump station</t>
  </si>
  <si>
    <t>40000003442  0300</t>
  </si>
  <si>
    <t>tapping 2 TEE &amp; valve 8"</t>
  </si>
  <si>
    <t>40000003442  0310</t>
  </si>
  <si>
    <t>connecting line to 2 pump</t>
  </si>
  <si>
    <t>40000003442  0320</t>
  </si>
  <si>
    <t>remove sling &amp; pully at cigupakan area</t>
  </si>
  <si>
    <t>40000003442  0330</t>
  </si>
  <si>
    <t>support excavation sump pit pad 2</t>
  </si>
  <si>
    <t>40000003442  0340</t>
  </si>
  <si>
    <t>fabrikasi spool mitter 1 joint</t>
  </si>
  <si>
    <t>40000003442  0350</t>
  </si>
  <si>
    <t>field weld spool mitter 1 joint</t>
  </si>
  <si>
    <t>40000003442  0360</t>
  </si>
  <si>
    <t>install WDS line</t>
  </si>
  <si>
    <t>40000003442  0370</t>
  </si>
  <si>
    <t>Flow Test Program DRJ-50</t>
  </si>
  <si>
    <t>40000003836</t>
  </si>
  <si>
    <t>TECO PCNF GMPS MACM PRC  SETC  //  EXCO</t>
  </si>
  <si>
    <t>install Spool TEE at DRJ 50</t>
  </si>
  <si>
    <t>40000003836  0010</t>
  </si>
  <si>
    <t>remove victaulic pipe ex.drj 49</t>
  </si>
  <si>
    <t>40000003836  0020</t>
  </si>
  <si>
    <t>40000003836  0030</t>
  </si>
  <si>
    <t>install flow test line</t>
  </si>
  <si>
    <t>40000003836  0040</t>
  </si>
  <si>
    <t>remove line,connection abatement</t>
  </si>
  <si>
    <t>40000003836  0050</t>
  </si>
  <si>
    <t>move abatement silencer SF - pad 20</t>
  </si>
  <si>
    <t>40000003836  0060</t>
  </si>
  <si>
    <t>40000003836  0070</t>
  </si>
  <si>
    <t>prepare ins.abatement silencer</t>
  </si>
  <si>
    <t>40000003836  0080</t>
  </si>
  <si>
    <t>install H2S abatement silencer</t>
  </si>
  <si>
    <t>40000003836  0090</t>
  </si>
  <si>
    <t>SUPPORT SCAFFOLDING</t>
  </si>
  <si>
    <t>40000003836  0100</t>
  </si>
  <si>
    <t>modify swing gate</t>
  </si>
  <si>
    <t>40000003836  0110</t>
  </si>
  <si>
    <t>install swing gate</t>
  </si>
  <si>
    <t>40000003836  0120</t>
  </si>
  <si>
    <t>remove panel SF</t>
  </si>
  <si>
    <t>40000003836  0130</t>
  </si>
  <si>
    <t>install scaffolding abatement</t>
  </si>
  <si>
    <t>40000003836  0140</t>
  </si>
  <si>
    <t>fabricate cover pump abatement</t>
  </si>
  <si>
    <t>40000003836  0150</t>
  </si>
  <si>
    <t>make hole flange</t>
  </si>
  <si>
    <t>40000003836  0160</t>
  </si>
  <si>
    <t>install second master valve</t>
  </si>
  <si>
    <t>40000003836  0170</t>
  </si>
  <si>
    <t>Install Transmitter</t>
  </si>
  <si>
    <t>40000003836  0180</t>
  </si>
  <si>
    <t>Install Data Logger</t>
  </si>
  <si>
    <t>40000003836  0190</t>
  </si>
  <si>
    <t>Connect to PI</t>
  </si>
  <si>
    <t>40000003836  0200</t>
  </si>
  <si>
    <t>clean up bucket</t>
  </si>
  <si>
    <t>40000003836  0210</t>
  </si>
  <si>
    <t>painting bucket &amp; piping</t>
  </si>
  <si>
    <t>40000003836  0220</t>
  </si>
  <si>
    <t>install stop lock</t>
  </si>
  <si>
    <t>40000003836  0230</t>
  </si>
  <si>
    <t>instal panel to pad-20</t>
  </si>
  <si>
    <t>40000003836  0240</t>
  </si>
  <si>
    <t>tack weld Fence</t>
  </si>
  <si>
    <t>40000003836  0250</t>
  </si>
  <si>
    <t>40000003836  0260</t>
  </si>
  <si>
    <t>install labrang</t>
  </si>
  <si>
    <t>40000003836  0270</t>
  </si>
  <si>
    <t>Troubleshooting During Flow Test</t>
  </si>
  <si>
    <t>40000003836  0280</t>
  </si>
  <si>
    <t>40000003836  0290</t>
  </si>
  <si>
    <t>Instal power portcp and temp. lighting</t>
  </si>
  <si>
    <t>40000003836  0300</t>
  </si>
  <si>
    <t>remove flow test line</t>
  </si>
  <si>
    <t>40000003836  0310</t>
  </si>
  <si>
    <t>remove line abatement</t>
  </si>
  <si>
    <t>40000003836  0320</t>
  </si>
  <si>
    <t>40000003836  0330</t>
  </si>
  <si>
    <t>Activated Tx during steam blow</t>
  </si>
  <si>
    <t>40000003836  0340</t>
  </si>
  <si>
    <t>40000003836  0350</t>
  </si>
  <si>
    <t>40000003836  0360</t>
  </si>
  <si>
    <t>install scaffolding platform drj 50</t>
  </si>
  <si>
    <t>40000003836  0370</t>
  </si>
  <si>
    <t>remove scaffolding flow test</t>
  </si>
  <si>
    <t>40000003836  0380</t>
  </si>
  <si>
    <t>support CompletionTest DRJ-51 Program</t>
  </si>
  <si>
    <t>40000003843</t>
  </si>
  <si>
    <t>install victaulic pipe</t>
  </si>
  <si>
    <t>40000003843  0010</t>
  </si>
  <si>
    <t>install spool flow test line</t>
  </si>
  <si>
    <t>40000003843  0020</t>
  </si>
  <si>
    <t>40000003843  0030</t>
  </si>
  <si>
    <t>support manpower RM</t>
  </si>
  <si>
    <t>40000003843  0040</t>
  </si>
  <si>
    <t>40000003843  0050</t>
  </si>
  <si>
    <t>support drill cutting handling W1</t>
  </si>
  <si>
    <t>40000003843  0060</t>
  </si>
  <si>
    <t>support drill cutting handling W2</t>
  </si>
  <si>
    <t>40000003843  0070</t>
  </si>
  <si>
    <t>support drill cutting handling W3</t>
  </si>
  <si>
    <t>40000003843  0080</t>
  </si>
  <si>
    <t>support drill cutting handling W4</t>
  </si>
  <si>
    <t>40000003843  0090</t>
  </si>
  <si>
    <t>pemangkasan semak dan dahan pohon</t>
  </si>
  <si>
    <t>40000003843  0100</t>
  </si>
  <si>
    <t>material verification</t>
  </si>
  <si>
    <t>40000003843  0110</t>
  </si>
  <si>
    <t>marking &amp; cutting</t>
  </si>
  <si>
    <t>40000003843  0120</t>
  </si>
  <si>
    <t>beveling &amp; fit up</t>
  </si>
  <si>
    <t>40000003843  0130</t>
  </si>
  <si>
    <t>fab.spool 12" no.1 (3251mm)</t>
  </si>
  <si>
    <t>40000003843  0140</t>
  </si>
  <si>
    <t>fab.spool 12" no.2 (4575mm)</t>
  </si>
  <si>
    <t>40000003843  0150</t>
  </si>
  <si>
    <t>weld.spool 12" flange to flange no 1</t>
  </si>
  <si>
    <t>40000003843  0160</t>
  </si>
  <si>
    <t>weld.spool 12" flange to flange no 2</t>
  </si>
  <si>
    <t>40000003843  0170</t>
  </si>
  <si>
    <t>fab.spool 12" no.3 (3520mm)</t>
  </si>
  <si>
    <t>40000003843  0180</t>
  </si>
  <si>
    <t>fab.spool 12" to reducer spool</t>
  </si>
  <si>
    <t>40000003843  0190</t>
  </si>
  <si>
    <t>fab.spool reducer valve to spool 12"</t>
  </si>
  <si>
    <t>40000003843  0200</t>
  </si>
  <si>
    <t>weld.spool 12" to reducer spool</t>
  </si>
  <si>
    <t>40000003843  0210</t>
  </si>
  <si>
    <t>weld.spool reducer valve to spool 12"</t>
  </si>
  <si>
    <t>40000003843  0220</t>
  </si>
  <si>
    <t>40000003843  0230</t>
  </si>
  <si>
    <t>pembongkaran pagar</t>
  </si>
  <si>
    <t>40000003843  0240</t>
  </si>
  <si>
    <t>pasang scaffolding penutup well drj 51</t>
  </si>
  <si>
    <t>40000003843  0250</t>
  </si>
  <si>
    <t>pasang tangga scaffolding</t>
  </si>
  <si>
    <t>40000003843  0260</t>
  </si>
  <si>
    <t>instal blower and panel power</t>
  </si>
  <si>
    <t>40000003843  0270</t>
  </si>
  <si>
    <t>Pulling Cable Transmitter</t>
  </si>
  <si>
    <t>40000003843  0280</t>
  </si>
  <si>
    <t>40000003843  0290</t>
  </si>
  <si>
    <t>40000003843  0300</t>
  </si>
  <si>
    <t>Calibrate/ Zeroing Instrument</t>
  </si>
  <si>
    <t>40000003843  0310</t>
  </si>
  <si>
    <t>40000003843  0320</t>
  </si>
  <si>
    <t>Install 2ns Pressure Gauge</t>
  </si>
  <si>
    <t>40000003843  0330</t>
  </si>
  <si>
    <t>Remove Instrument Flow Test</t>
  </si>
  <si>
    <t>40000003843  0340</t>
  </si>
  <si>
    <t>SUPPORT ARRANGE CASING&amp;DRILL CUTTING</t>
  </si>
  <si>
    <t>40000004103</t>
  </si>
  <si>
    <t>SUPPORT ARRANGE CASING</t>
  </si>
  <si>
    <t>40000004103  0010</t>
  </si>
  <si>
    <t>40000004103  0020</t>
  </si>
  <si>
    <t>Support power panel portable</t>
  </si>
  <si>
    <t>40000004103  0030</t>
  </si>
  <si>
    <t>Instal Panel Portable basecamp</t>
  </si>
  <si>
    <t>40000004103  0040</t>
  </si>
  <si>
    <t>Recovery Laydown after Drilling Activity</t>
  </si>
  <si>
    <t>40000004104</t>
  </si>
  <si>
    <t>SCRAPPING LAYDOWN AREA W1</t>
  </si>
  <si>
    <t>40000004104  0010</t>
  </si>
  <si>
    <t>Recovery Pad-3 after Drilling Activity</t>
  </si>
  <si>
    <t>40000004106</t>
  </si>
  <si>
    <t>SCRAPPING PAD 3 AREA W1</t>
  </si>
  <si>
    <t>40000004106  0010</t>
  </si>
  <si>
    <t>RE INSTALL FENCE</t>
  </si>
  <si>
    <t>40000004106  0020</t>
  </si>
  <si>
    <t>digging manual</t>
  </si>
  <si>
    <t>40000004106  0030</t>
  </si>
  <si>
    <t>REL  LKD  BUDG ISBD AVAC  //  BUDG</t>
  </si>
  <si>
    <t>DRILLING Provide Flow Test Line SF-ML</t>
  </si>
  <si>
    <t>40000002900</t>
  </si>
  <si>
    <t>Provide Flow test Line SF-ML 2021</t>
  </si>
  <si>
    <t>40000002900  0010</t>
  </si>
  <si>
    <t>DRJ-38 Completion test preparation</t>
  </si>
  <si>
    <t>40000003523</t>
  </si>
  <si>
    <t>scaffolding support for logging</t>
  </si>
  <si>
    <t>40000003523  0010</t>
  </si>
  <si>
    <t>instal bleed line modify side valve</t>
  </si>
  <si>
    <t>40000003523  0020</t>
  </si>
  <si>
    <t>40000003523  0030</t>
  </si>
  <si>
    <t>Prepare Transmitter for flowtest</t>
  </si>
  <si>
    <t>40000003523  0040</t>
  </si>
  <si>
    <t>Flow Test DRJ-38RD</t>
  </si>
  <si>
    <t>40000003596</t>
  </si>
  <si>
    <t>TECO PCNF CSER GMPS MSPT PRC  SETC  //  EXCO</t>
  </si>
  <si>
    <t>fabricate 12" spool 1joint</t>
  </si>
  <si>
    <t>40000003596  0010</t>
  </si>
  <si>
    <t>modify existing 3" bleeding line</t>
  </si>
  <si>
    <t>40000003596  0020</t>
  </si>
  <si>
    <t>install flow test</t>
  </si>
  <si>
    <t>40000003596  0030</t>
  </si>
  <si>
    <t>Install lighting and power supply</t>
  </si>
  <si>
    <t>40000003596  0040</t>
  </si>
  <si>
    <t>40000003596  0050</t>
  </si>
  <si>
    <t>fabricate silencer for H2S abatement</t>
  </si>
  <si>
    <t>40000003596  0060</t>
  </si>
  <si>
    <t>fab.&amp;install temporary bled line 1"</t>
  </si>
  <si>
    <t>40000003596  0070</t>
  </si>
  <si>
    <t>modify existing bleed line 3" to side v/</t>
  </si>
  <si>
    <t>40000003596  0080</t>
  </si>
  <si>
    <t>fabricate&amp;install flow test line</t>
  </si>
  <si>
    <t>40000003596  0090</t>
  </si>
  <si>
    <t>Prepare Instrumentation</t>
  </si>
  <si>
    <t>40000003596  0100</t>
  </si>
  <si>
    <t>fabrikasi top plate</t>
  </si>
  <si>
    <t>40000003596  0110</t>
  </si>
  <si>
    <t>fabr.support demister</t>
  </si>
  <si>
    <t>40000003596  0120</t>
  </si>
  <si>
    <t>fab.spool nozzle</t>
  </si>
  <si>
    <t>40000003596  0130</t>
  </si>
  <si>
    <t>fab.support gratting 2ea</t>
  </si>
  <si>
    <t>40000003596  0140</t>
  </si>
  <si>
    <t>fab.lifting lug 8ea</t>
  </si>
  <si>
    <t>40000003596  0150</t>
  </si>
  <si>
    <t>cutting channel for support gratting 6ea</t>
  </si>
  <si>
    <t>40000003596  0160</t>
  </si>
  <si>
    <t>bevelling pipe 42" 3joint</t>
  </si>
  <si>
    <t>40000003596  0170</t>
  </si>
  <si>
    <t>welding top plate (exhaust )</t>
  </si>
  <si>
    <t>40000003596  0180</t>
  </si>
  <si>
    <t>welding lifting lug 8ea</t>
  </si>
  <si>
    <t>40000003596  0190</t>
  </si>
  <si>
    <t>welding support demister</t>
  </si>
  <si>
    <t>40000003596  0200</t>
  </si>
  <si>
    <t>welding channel support gratting 6ea</t>
  </si>
  <si>
    <t>40000003596  0210</t>
  </si>
  <si>
    <t>fab.spool drain</t>
  </si>
  <si>
    <t>40000003596  0220</t>
  </si>
  <si>
    <t>fabricate&amp;welding spool cover nozzle 3"</t>
  </si>
  <si>
    <t>40000003596  0230</t>
  </si>
  <si>
    <t>fab.stiffner</t>
  </si>
  <si>
    <t>40000003596  0240</t>
  </si>
  <si>
    <t>welding pipe 42" to pipe 3 joint</t>
  </si>
  <si>
    <t>40000003596  0250</t>
  </si>
  <si>
    <t>weld.supp silincer 8" to bootom silincer</t>
  </si>
  <si>
    <t>40000003596  0260</t>
  </si>
  <si>
    <t>weld.supp silincer 8" to base plate</t>
  </si>
  <si>
    <t>40000003596  0270</t>
  </si>
  <si>
    <t>install spool drj 38 to flange no.1</t>
  </si>
  <si>
    <t>40000003596  0280</t>
  </si>
  <si>
    <t>install spool 2" to spool 12"</t>
  </si>
  <si>
    <t>40000003596  0290</t>
  </si>
  <si>
    <t>install spool 12" to reducer spool 16"</t>
  </si>
  <si>
    <t>40000003596  0300</t>
  </si>
  <si>
    <t>install spool 16" to valve</t>
  </si>
  <si>
    <t>40000003596  0310</t>
  </si>
  <si>
    <t>instal spool reducer valve to spool 12"</t>
  </si>
  <si>
    <t>40000003596  0320</t>
  </si>
  <si>
    <t>install spool to rock muffler</t>
  </si>
  <si>
    <t>40000003596  0330</t>
  </si>
  <si>
    <t>40000003596  0340</t>
  </si>
  <si>
    <t>40000003596  0350</t>
  </si>
  <si>
    <t>Install orifice tubing line and Existing</t>
  </si>
  <si>
    <t>40000003596  0360</t>
  </si>
  <si>
    <t>Connect the Tx to PI</t>
  </si>
  <si>
    <t>40000003596  0370</t>
  </si>
  <si>
    <t>Calibrate WHP and Configure Multi Tx (If</t>
  </si>
  <si>
    <t>40000003596  0380</t>
  </si>
  <si>
    <t>Trouble shoot during flow test</t>
  </si>
  <si>
    <t>40000003596  0390</t>
  </si>
  <si>
    <t>Install temporary bleed line 1 inch</t>
  </si>
  <si>
    <t>40000003596  0400</t>
  </si>
  <si>
    <t>Tapping to Bleed line 3” from DRJ-41</t>
  </si>
  <si>
    <t>40000003596  0410</t>
  </si>
  <si>
    <t>Field weld Flow test line</t>
  </si>
  <si>
    <t>40000003596  0420</t>
  </si>
  <si>
    <t>Install Labrang</t>
  </si>
  <si>
    <t>40000003596  0430</t>
  </si>
  <si>
    <t>Scrubbing tower installation</t>
  </si>
  <si>
    <t>40000003596  0440</t>
  </si>
  <si>
    <t>Field weld line silencer</t>
  </si>
  <si>
    <t>40000003596  0450</t>
  </si>
  <si>
    <t>tapping pipe 1" to pipe 3"</t>
  </si>
  <si>
    <t>40000003596  0460</t>
  </si>
  <si>
    <t>setting pipe line to silencer</t>
  </si>
  <si>
    <t>40000003596  0470</t>
  </si>
  <si>
    <t>40000003596  0480</t>
  </si>
  <si>
    <t>40000003596  0490</t>
  </si>
  <si>
    <t>move rock for silencer</t>
  </si>
  <si>
    <t>40000003596  0500</t>
  </si>
  <si>
    <t>Power for NaOH pump</t>
  </si>
  <si>
    <t>40000003596  0510</t>
  </si>
  <si>
    <t>Pasang pompa dan line sirkulasi pompa</t>
  </si>
  <si>
    <t>40000003596  0520</t>
  </si>
  <si>
    <t>Pasang wind shock 2 buah</t>
  </si>
  <si>
    <t>40000003596  0530</t>
  </si>
  <si>
    <t>Pasang platform scaffold untuk chemical</t>
  </si>
  <si>
    <t>40000003596  0540</t>
  </si>
  <si>
    <t>Scaffolding platform jika ada kebocoran</t>
  </si>
  <si>
    <t>40000003596  0550</t>
  </si>
  <si>
    <t>Pasang tenda untuk box chemical</t>
  </si>
  <si>
    <t>40000003596  0560</t>
  </si>
  <si>
    <t>support scaffolding during execution</t>
  </si>
  <si>
    <t>40000003596  0570</t>
  </si>
  <si>
    <t>Flatening pad</t>
  </si>
  <si>
    <t>40000003596  0580</t>
  </si>
  <si>
    <t>Install existing WHP TX</t>
  </si>
  <si>
    <t>40000003596  0590</t>
  </si>
  <si>
    <t>Remove instrument tubing line and the Tx</t>
  </si>
  <si>
    <t>40000003596  0600</t>
  </si>
  <si>
    <t>Reinstall WHP and Flow transmitter</t>
  </si>
  <si>
    <t>40000003596  0610</t>
  </si>
  <si>
    <t>Install Injection T line on DRJ-49</t>
  </si>
  <si>
    <t>40000003597</t>
  </si>
  <si>
    <t>reposition existing victaulic pipe 6"</t>
  </si>
  <si>
    <t>40000003597  0010</t>
  </si>
  <si>
    <t>instal victaulic pipe 6" to block v/v 3"</t>
  </si>
  <si>
    <t>40000003597  0020</t>
  </si>
  <si>
    <t>install swivel joint</t>
  </si>
  <si>
    <t>40000003597  0030</t>
  </si>
  <si>
    <t>install gate valve</t>
  </si>
  <si>
    <t>40000003597  0040</t>
  </si>
  <si>
    <t>install side valve</t>
  </si>
  <si>
    <t>40000003597  0050</t>
  </si>
  <si>
    <t>install check valve</t>
  </si>
  <si>
    <t>40000003597  0060</t>
  </si>
  <si>
    <t>connect vivtaulic to swivel</t>
  </si>
  <si>
    <t>40000003597  0070</t>
  </si>
  <si>
    <t>40000003597  0080</t>
  </si>
  <si>
    <t>Pad-14 WDS Installation and Testing</t>
  </si>
  <si>
    <t>40000003704</t>
  </si>
  <si>
    <t>connect WDS existing line</t>
  </si>
  <si>
    <t>40000003704  0010</t>
  </si>
  <si>
    <t>inst.pipe from sump pad 2</t>
  </si>
  <si>
    <t>40000003704  0020</t>
  </si>
  <si>
    <t>install pump at pad 2 area</t>
  </si>
  <si>
    <t>40000003704  0030</t>
  </si>
  <si>
    <t>fab.baker tank intake at pad 4</t>
  </si>
  <si>
    <t>40000003704  0040</t>
  </si>
  <si>
    <t>install sump intake at pad 14</t>
  </si>
  <si>
    <t>40000003704  0050</t>
  </si>
  <si>
    <t>40000003704  0060</t>
  </si>
  <si>
    <t>Electric power and lighting at Cikupakan</t>
  </si>
  <si>
    <t>40000003704  0070</t>
  </si>
  <si>
    <t>repair access road to pad 14</t>
  </si>
  <si>
    <t>40000003704  0080</t>
  </si>
  <si>
    <t>houskeeping CP 1 - CP 9</t>
  </si>
  <si>
    <t>40000003704  0090</t>
  </si>
  <si>
    <t>40000003704  0100</t>
  </si>
  <si>
    <t>install scaffolding</t>
  </si>
  <si>
    <t>40000003704  0110</t>
  </si>
  <si>
    <t>fabr.spool no 1,2,3 at pump cigupakan</t>
  </si>
  <si>
    <t>40000003704  0120</t>
  </si>
  <si>
    <t>ins.spool no 1,2,3 pump cigupakan</t>
  </si>
  <si>
    <t>40000003704  0130</t>
  </si>
  <si>
    <t>40000003704  0140</t>
  </si>
  <si>
    <t>ins.spool at baker tank pad 4</t>
  </si>
  <si>
    <t>40000003704  0150</t>
  </si>
  <si>
    <t>ins.victaulic pipe at baker tank pad 4</t>
  </si>
  <si>
    <t>40000003704  0160</t>
  </si>
  <si>
    <t>40000003704  0170</t>
  </si>
  <si>
    <t>monitoring loading unloading drill cutti</t>
  </si>
  <si>
    <t>40000003704  0180</t>
  </si>
  <si>
    <t>excavation for cover pipe</t>
  </si>
  <si>
    <t>40000003704  0190</t>
  </si>
  <si>
    <t>install fence sumpit,waterbuoy</t>
  </si>
  <si>
    <t>40000003704  0200</t>
  </si>
  <si>
    <t>install WDS pipe line at pad 4</t>
  </si>
  <si>
    <t>40000003704  0210</t>
  </si>
  <si>
    <t>connecting WDS pipe line to baker tank</t>
  </si>
  <si>
    <t>40000003704  0220</t>
  </si>
  <si>
    <t>40000003704  0230</t>
  </si>
  <si>
    <t>replace dent pipe WDS under kawah</t>
  </si>
  <si>
    <t>40000003704  0240</t>
  </si>
  <si>
    <t>install shelter at pad 2</t>
  </si>
  <si>
    <t>40000003704  0250</t>
  </si>
  <si>
    <t>install shelter at pad 4</t>
  </si>
  <si>
    <t>40000003704  0260</t>
  </si>
  <si>
    <t>remove fence at pad 2</t>
  </si>
  <si>
    <t>40000003704  0270</t>
  </si>
  <si>
    <t>support scaffolding pump station access</t>
  </si>
  <si>
    <t>40000003704  0280</t>
  </si>
  <si>
    <t>Loosenes bolts&amp;remove valve</t>
  </si>
  <si>
    <t>40000003704  0290</t>
  </si>
  <si>
    <t>install blind flange</t>
  </si>
  <si>
    <t>40000003704  0300</t>
  </si>
  <si>
    <t>reinstall valve</t>
  </si>
  <si>
    <t>40000003704  0310</t>
  </si>
  <si>
    <t>tighten bolt</t>
  </si>
  <si>
    <t>40000003704  0320</t>
  </si>
  <si>
    <t>Remove Panametric from Pad-15</t>
  </si>
  <si>
    <t>40000003704  0330</t>
  </si>
  <si>
    <t>Install Panametric permanent at Pad-2</t>
  </si>
  <si>
    <t>40000003704  0340</t>
  </si>
  <si>
    <t>Repair 0CL-FIT-C07 Hart communication Tr</t>
  </si>
  <si>
    <t>40000003704  0350</t>
  </si>
  <si>
    <t>Replace 0CL-FIT-C07</t>
  </si>
  <si>
    <t>40000003704  0360</t>
  </si>
  <si>
    <t>Configure Transmitter</t>
  </si>
  <si>
    <t>40000003704  0370</t>
  </si>
  <si>
    <t>Check DCS Communication</t>
  </si>
  <si>
    <t>40000003704  0380</t>
  </si>
  <si>
    <t>Install Injection T line on DRJ-50</t>
  </si>
  <si>
    <t>40000003705</t>
  </si>
  <si>
    <t>40000003705  0010</t>
  </si>
  <si>
    <t>ins.victaulic line for completion test</t>
  </si>
  <si>
    <t>40000003705  0020</t>
  </si>
  <si>
    <t>40000003705  0030</t>
  </si>
  <si>
    <t>Support power and lighting</t>
  </si>
  <si>
    <t>40000003705  0040</t>
  </si>
  <si>
    <t>Support Completion test DRJ-50</t>
  </si>
  <si>
    <t>40000003781</t>
  </si>
  <si>
    <t>CLSD DLFL NCMP NMAT PRC  SETC  //  PLCO</t>
  </si>
  <si>
    <t>Instal scaffolding for logging @ DRJ-50</t>
  </si>
  <si>
    <t>40000003781  0010</t>
  </si>
  <si>
    <t>Support Power and lighting</t>
  </si>
  <si>
    <t>40000003781  0020</t>
  </si>
  <si>
    <t>40000003781  0030</t>
  </si>
  <si>
    <t>disconnect cable power</t>
  </si>
  <si>
    <t>40000003781  0040</t>
  </si>
  <si>
    <t>DRILLING Provide Flow Test Line SF-1</t>
  </si>
  <si>
    <t>40000002901</t>
  </si>
  <si>
    <t>WDS Flowtest Line SF-1 2021</t>
  </si>
  <si>
    <t>40000002901  0010</t>
  </si>
  <si>
    <t>Drilling water system part 5</t>
  </si>
  <si>
    <t>40000003650</t>
  </si>
  <si>
    <t>add intake line baker tank no 1 to no 2</t>
  </si>
  <si>
    <t>40000003650  0010</t>
  </si>
  <si>
    <t>40000003650  0020</t>
  </si>
  <si>
    <t>install scaffolding CCTV at basecamp lay</t>
  </si>
  <si>
    <t>40000003650  0030</t>
  </si>
  <si>
    <t>SUPPORT MANPOWER flag man w1</t>
  </si>
  <si>
    <t>40000003650  0040</t>
  </si>
  <si>
    <t>SUPPORT MANPOWER flag man w2</t>
  </si>
  <si>
    <t>40000003650  0050</t>
  </si>
  <si>
    <t>SUPPORT MANPOWER flag man w3</t>
  </si>
  <si>
    <t>40000003650  0060</t>
  </si>
  <si>
    <t>SUPPORT MANPOWER flag man w4</t>
  </si>
  <si>
    <t>40000003650  0070</t>
  </si>
  <si>
    <t>excavation drainase &amp; cable</t>
  </si>
  <si>
    <t>40000003650  0080</t>
  </si>
  <si>
    <t>welding ex.vicataulic pipe pad 2 to sump</t>
  </si>
  <si>
    <t>40000003650  0090</t>
  </si>
  <si>
    <t>repair road pad 20 - S.1</t>
  </si>
  <si>
    <t>40000003650  0100</t>
  </si>
  <si>
    <t>40000003650  0110</t>
  </si>
  <si>
    <t>install stair</t>
  </si>
  <si>
    <t>40000003650  0120</t>
  </si>
  <si>
    <t>fabrikasi support WDS pipe</t>
  </si>
  <si>
    <t>40000003650  0130</t>
  </si>
  <si>
    <t>fabrikasi WDS pipe cover</t>
  </si>
  <si>
    <t>40000003650  0140</t>
  </si>
  <si>
    <t>Remove Injection T Line DRJ-49</t>
  </si>
  <si>
    <t>40000003703</t>
  </si>
  <si>
    <t>40000003703  0010</t>
  </si>
  <si>
    <t>Remove heck Valve</t>
  </si>
  <si>
    <t>40000003703  0020</t>
  </si>
  <si>
    <t>Remove double side valve</t>
  </si>
  <si>
    <t>40000003703  0030</t>
  </si>
  <si>
    <t>remove swivel line</t>
  </si>
  <si>
    <t>40000003703  0040</t>
  </si>
  <si>
    <t>DRILLING Provide Flow test Line 20-1</t>
  </si>
  <si>
    <t>40000002904</t>
  </si>
  <si>
    <t>WDS Flow test Line 20-1</t>
  </si>
  <si>
    <t>40000002904  0010</t>
  </si>
  <si>
    <t>40000002904  0020</t>
  </si>
  <si>
    <t>repair leak sump pump</t>
  </si>
  <si>
    <t>40000002904  0030</t>
  </si>
  <si>
    <t>reposisi pipe line ADP to baker tank</t>
  </si>
  <si>
    <t>40000002904  0040</t>
  </si>
  <si>
    <t>modify line header</t>
  </si>
  <si>
    <t>40000002904  0050</t>
  </si>
  <si>
    <t>install victaulic pipa to baker tank</t>
  </si>
  <si>
    <t>40000002904  0060</t>
  </si>
  <si>
    <t>weld spool pipe header</t>
  </si>
  <si>
    <t>40000002904  0070</t>
  </si>
  <si>
    <t>install clamp victaulic pipe</t>
  </si>
  <si>
    <t>40000002904  0080</t>
  </si>
  <si>
    <t>install spool pipe header</t>
  </si>
  <si>
    <t>40000002904  0090</t>
  </si>
  <si>
    <t>install TEE pipe header</t>
  </si>
  <si>
    <t>40000002904  0100</t>
  </si>
  <si>
    <t>install pipe header</t>
  </si>
  <si>
    <t>40000002904  0110</t>
  </si>
  <si>
    <t>install support scaffolding</t>
  </si>
  <si>
    <t>40000002904  0120</t>
  </si>
  <si>
    <t>excavation counterweight</t>
  </si>
  <si>
    <t>40000002904  0130</t>
  </si>
  <si>
    <t>DRILLING Provide Flow Test Line 20-1</t>
  </si>
  <si>
    <t>40000003550</t>
  </si>
  <si>
    <t>fabrication flow test line</t>
  </si>
  <si>
    <t>40000003550  0010</t>
  </si>
  <si>
    <t>excavation under line pipe WDS w1</t>
  </si>
  <si>
    <t>40000003550  0020</t>
  </si>
  <si>
    <t>painting spool pipe line w1</t>
  </si>
  <si>
    <t>40000003550  0030</t>
  </si>
  <si>
    <t>tapping WDS victaulic to baker tank</t>
  </si>
  <si>
    <t>40000003550  0040</t>
  </si>
  <si>
    <t>install victaulic pipe crosing road</t>
  </si>
  <si>
    <t>40000003550  0050</t>
  </si>
  <si>
    <t>Remove fence &amp; sliding door</t>
  </si>
  <si>
    <t>40000003550  0060</t>
  </si>
  <si>
    <t>Remove papan informasi sumur</t>
  </si>
  <si>
    <t>40000003550  0070</t>
  </si>
  <si>
    <t>Pasang cover/plywood di sump zero discha</t>
  </si>
  <si>
    <t>40000003550  0080</t>
  </si>
  <si>
    <t>install scaffolding at silincer</t>
  </si>
  <si>
    <t>40000003550  0090</t>
  </si>
  <si>
    <t>potong rumput area skillet</t>
  </si>
  <si>
    <t>40000003550  0100</t>
  </si>
  <si>
    <t>install welding victaulic pipe</t>
  </si>
  <si>
    <t>40000003550  0110</t>
  </si>
  <si>
    <t>welding additional silincer 10"</t>
  </si>
  <si>
    <t>40000003550  0120</t>
  </si>
  <si>
    <t>painting spool pipe line w2</t>
  </si>
  <si>
    <t>40000003550  0130</t>
  </si>
  <si>
    <t>excavation under line pipe WDS W2</t>
  </si>
  <si>
    <t>40000003550  0140</t>
  </si>
  <si>
    <t>painting silincer</t>
  </si>
  <si>
    <t>40000003550  0150</t>
  </si>
  <si>
    <t>remove scaffolding</t>
  </si>
  <si>
    <t>40000003550  0160</t>
  </si>
  <si>
    <t>repair welding exiting flow test line</t>
  </si>
  <si>
    <t>40000003550  0170</t>
  </si>
  <si>
    <t>40000003550  0180</t>
  </si>
  <si>
    <t>detect cable pad-20 support drilling</t>
  </si>
  <si>
    <t>40000003550  0190</t>
  </si>
  <si>
    <t>Steam blow preparation DRJ-51</t>
  </si>
  <si>
    <t>40000004117</t>
  </si>
  <si>
    <t>remove flow DRj-52</t>
  </si>
  <si>
    <t>40000004117  0010</t>
  </si>
  <si>
    <t>support manpower</t>
  </si>
  <si>
    <t>40000004117  0020</t>
  </si>
  <si>
    <t>Install flow tee DRj-51</t>
  </si>
  <si>
    <t>40000004117  0030</t>
  </si>
  <si>
    <t>InstalL spool flow line DRJ-51</t>
  </si>
  <si>
    <t>40000004117  0040</t>
  </si>
  <si>
    <t>Hot bolting during flow test</t>
  </si>
  <si>
    <t>40000004117  0050</t>
  </si>
  <si>
    <t>welding support</t>
  </si>
  <si>
    <t>40000004117  0060</t>
  </si>
  <si>
    <t>525</t>
  </si>
  <si>
    <t>526</t>
  </si>
  <si>
    <t>527</t>
  </si>
  <si>
    <t>DRILLING Provide Flow test Line 14-2</t>
  </si>
  <si>
    <t>40000002903</t>
  </si>
  <si>
    <t>528</t>
  </si>
  <si>
    <t>fab.line to zewadi at reservoar</t>
  </si>
  <si>
    <t>40000002903  0010</t>
  </si>
  <si>
    <t>529</t>
  </si>
  <si>
    <t>NORMALIZE SUMP PIT W1</t>
  </si>
  <si>
    <t>40000002903  0020</t>
  </si>
  <si>
    <t>530</t>
  </si>
  <si>
    <t>exacavation for relocate spool</t>
  </si>
  <si>
    <t>40000002903  0030</t>
  </si>
  <si>
    <t>531</t>
  </si>
  <si>
    <t>remove gate</t>
  </si>
  <si>
    <t>40000002903  0040</t>
  </si>
  <si>
    <t>532</t>
  </si>
  <si>
    <t>40000002903  0050</t>
  </si>
  <si>
    <t>533</t>
  </si>
  <si>
    <t>weld spool after bump test after pad 15</t>
  </si>
  <si>
    <t>40000002903  0060</t>
  </si>
  <si>
    <t>534</t>
  </si>
  <si>
    <t>install valve&amp;spool from zewadi to sump</t>
  </si>
  <si>
    <t>40000002903  0070</t>
  </si>
  <si>
    <t>535</t>
  </si>
  <si>
    <t>install spool at WDS line pad 14</t>
  </si>
  <si>
    <t>40000002903  0080</t>
  </si>
  <si>
    <t>536</t>
  </si>
  <si>
    <t>NORMALIZE SUMP PIT W2</t>
  </si>
  <si>
    <t>40000002903  0090</t>
  </si>
  <si>
    <t>537</t>
  </si>
  <si>
    <t>weld spool to TEE</t>
  </si>
  <si>
    <t>40000002903  0100</t>
  </si>
  <si>
    <t>538</t>
  </si>
  <si>
    <t>UTG test</t>
  </si>
  <si>
    <t>40000002903  0110</t>
  </si>
  <si>
    <t>539</t>
  </si>
  <si>
    <t>Install Flowtest line</t>
  </si>
  <si>
    <t>40000002903  0120</t>
  </si>
  <si>
    <t>540</t>
  </si>
  <si>
    <t>541</t>
  </si>
  <si>
    <t>542</t>
  </si>
  <si>
    <t>DRILLING Provide Flow Test Line 14-1</t>
  </si>
  <si>
    <t>40000002902</t>
  </si>
  <si>
    <t>543</t>
  </si>
  <si>
    <t>fabrikasi spool flow test line</t>
  </si>
  <si>
    <t>40000002902  0010</t>
  </si>
  <si>
    <t>544</t>
  </si>
  <si>
    <t>fab&amp;weld spool 4" to sump pit</t>
  </si>
  <si>
    <t>40000002902  0020</t>
  </si>
  <si>
    <t>545</t>
  </si>
  <si>
    <t>ins.flange&amp;gate v/ on existing zero disc</t>
  </si>
  <si>
    <t>40000002902  0030</t>
  </si>
  <si>
    <t>546</t>
  </si>
  <si>
    <t>fabricate &amp; install support</t>
  </si>
  <si>
    <t>40000002902  0040</t>
  </si>
  <si>
    <t>547</t>
  </si>
  <si>
    <t>cut existing supp. to elevasi exist.line</t>
  </si>
  <si>
    <t>40000002902  0050</t>
  </si>
  <si>
    <t>548</t>
  </si>
  <si>
    <t>ins.equal Tee at existing line</t>
  </si>
  <si>
    <t>40000002902  0060</t>
  </si>
  <si>
    <t>549</t>
  </si>
  <si>
    <t>fabricate new spool 12"</t>
  </si>
  <si>
    <t>40000002902  0070</t>
  </si>
  <si>
    <t>550</t>
  </si>
  <si>
    <t>relocate spool from zero disch.line</t>
  </si>
  <si>
    <t>40000002902  0080</t>
  </si>
  <si>
    <t>551</t>
  </si>
  <si>
    <t>replace elbow to flange</t>
  </si>
  <si>
    <t>40000002902  0090</t>
  </si>
  <si>
    <t>552</t>
  </si>
  <si>
    <t>instal spool to flange</t>
  </si>
  <si>
    <t>40000002902  0100</t>
  </si>
  <si>
    <t>553</t>
  </si>
  <si>
    <t>excavation for relocate spool</t>
  </si>
  <si>
    <t>40000002902  0110</t>
  </si>
  <si>
    <t>554</t>
  </si>
  <si>
    <t>normalize sump pit W1</t>
  </si>
  <si>
    <t>40000002902  0120</t>
  </si>
  <si>
    <t>555</t>
  </si>
  <si>
    <t>support excavator W1</t>
  </si>
  <si>
    <t>40000002902  0130</t>
  </si>
  <si>
    <t>556</t>
  </si>
  <si>
    <t>dismantle BRC</t>
  </si>
  <si>
    <t>40000002902  0140</t>
  </si>
  <si>
    <t>557</t>
  </si>
  <si>
    <t>dismantle well head data</t>
  </si>
  <si>
    <t>40000002902  0150</t>
  </si>
  <si>
    <t>558</t>
  </si>
  <si>
    <t>WDS Flowtest Line 14</t>
  </si>
  <si>
    <t>40000002902  0160</t>
  </si>
  <si>
    <t>559</t>
  </si>
  <si>
    <t>install inlet pipe line 8"</t>
  </si>
  <si>
    <t>40000002902  0170</t>
  </si>
  <si>
    <t>560</t>
  </si>
  <si>
    <t>replace pipe 8" leaking</t>
  </si>
  <si>
    <t>40000002902  0180</t>
  </si>
  <si>
    <t>561</t>
  </si>
  <si>
    <t>relocate small baker tank to pad 18</t>
  </si>
  <si>
    <t>40000002902  0190</t>
  </si>
  <si>
    <t>562</t>
  </si>
  <si>
    <t>install concrete block / HDPE liner</t>
  </si>
  <si>
    <t>40000002902  0200</t>
  </si>
  <si>
    <t>563</t>
  </si>
  <si>
    <t>re-posision valve to baker tank</t>
  </si>
  <si>
    <t>40000002902  0210</t>
  </si>
  <si>
    <t>564</t>
  </si>
  <si>
    <t>40000002902  0220</t>
  </si>
  <si>
    <t>565</t>
  </si>
  <si>
    <t>ins.bypass line condensate pipeline 10"</t>
  </si>
  <si>
    <t>40000002902  0230</t>
  </si>
  <si>
    <t>566</t>
  </si>
  <si>
    <t>ins.victaulic pipe disch pump - ADP 713</t>
  </si>
  <si>
    <t>40000002902  0240</t>
  </si>
  <si>
    <t>567</t>
  </si>
  <si>
    <t>fabricate TEE joint</t>
  </si>
  <si>
    <t>40000002902  0250</t>
  </si>
  <si>
    <t>568</t>
  </si>
  <si>
    <t>ins.zero disch line - sump pad 14</t>
  </si>
  <si>
    <t>40000002902  0260</t>
  </si>
  <si>
    <t>569</t>
  </si>
  <si>
    <t>normalize sump pit w2</t>
  </si>
  <si>
    <t>40000002902  0270</t>
  </si>
  <si>
    <t>570</t>
  </si>
  <si>
    <t>pasang patok</t>
  </si>
  <si>
    <t>40000002902  0280</t>
  </si>
  <si>
    <t>571</t>
  </si>
  <si>
    <t>bongkar brc sump pit</t>
  </si>
  <si>
    <t>40000002902  0290</t>
  </si>
  <si>
    <t>572</t>
  </si>
  <si>
    <t>scrapping front gate pad 18</t>
  </si>
  <si>
    <t>40000002902  0300</t>
  </si>
  <si>
    <t>573</t>
  </si>
  <si>
    <t>Install Scaffollding condensate</t>
  </si>
  <si>
    <t>40000002902  0310</t>
  </si>
  <si>
    <t>574</t>
  </si>
  <si>
    <t>modify scaffolding condensate</t>
  </si>
  <si>
    <t>40000002902  0320</t>
  </si>
  <si>
    <t>575</t>
  </si>
  <si>
    <t>40000002902  0330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</si>
  <si>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</si>
  <si>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</si>
  <si>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</si>
  <si>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</si>
  <si>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</si>
  <si>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</si>
  <si>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</si>
  <si>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</si>
  <si>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</si>
  <si>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</si>
  <si>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</si>
  <si>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</si>
  <si>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</si>
  <si>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</si>
  <si>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</si>
  <si>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</si>
  <si>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</si>
  <si>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</si>
  <si>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</si>
  <si>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</si>
  <si>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</si>
  <si>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</si>
  <si>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</si>
  <si>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</si>
  <si>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</si>
  <si>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</si>
  <si>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</si>
  <si>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</si>
  <si>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</si>
  <si>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</si>
  <si>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</si>
  <si>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</si>
  <si>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</si>
  <si>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</si>
  <si>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</si>
  <si>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</si>
  <si>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</si>
  <si>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</si>
  <si>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</si>
  <si>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</si>
  <si>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</si>
  <si>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</si>
  <si>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</si>
  <si>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</si>
  <si>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</si>
  <si>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</si>
  <si>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</si>
  <si>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</si>
  <si>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</si>
  <si>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</si>
  <si>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</si>
  <si>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</si>
  <si>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</si>
  <si>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</si>
  <si>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</si>
  <si>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</si>
  <si>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</si>
  <si>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</si>
  <si>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</si>
  <si>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</si>
  <si>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</si>
  <si>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</si>
  <si>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</si>
  <si>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</si>
  <si>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</si>
  <si>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</si>
  <si>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</si>
  <si>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</si>
  <si>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</si>
  <si>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</si>
  <si>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</si>
  <si>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</si>
  <si>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</si>
  <si>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</si>
  <si>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</si>
  <si>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</si>
  <si>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</si>
  <si>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</si>
  <si>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</si>
  <si>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</si>
  <si>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</si>
  <si>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</si>
  <si>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</si>
  <si>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</si>
  <si>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</si>
  <si>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</si>
  <si>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</si>
  <si>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</si>
  <si>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</si>
  <si>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</si>
  <si>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</si>
  <si>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</si>
  <si>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</si>
  <si>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</si>
  <si>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</si>
  <si>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</si>
  <si>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</si>
  <si>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</si>
  <si>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</si>
  <si>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</si>
  <si>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</si>
  <si>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</si>
  <si>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</si>
  <si>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</si>
  <si>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</si>
  <si>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</si>
  <si>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</si>
  <si>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</si>
  <si>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</si>
  <si>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</si>
  <si>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</si>
  <si>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</si>
  <si>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</si>
  <si>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</si>
  <si>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</si>
  <si>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</si>
  <si>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</si>
  <si>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</si>
  <si>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</si>
  <si>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</si>
  <si>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</si>
  <si>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</si>
  <si>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</si>
  <si>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</si>
  <si>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</si>
  <si>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</si>
  <si>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</si>
  <si>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</si>
  <si>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</si>
  <si>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</si>
  <si>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</si>
  <si>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</si>
  <si>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</si>
  <si>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</si>
  <si>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</si>
  <si>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</si>
  <si>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</si>
  <si>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</si>
  <si>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</si>
  <si>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</si>
  <si>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</si>
  <si>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</si>
  <si>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</si>
  <si>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</si>
  <si>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</si>
  <si>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</si>
  <si>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</si>
  <si>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</si>
  <si>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</si>
  <si>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</si>
  <si>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</si>
  <si>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</si>
  <si>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</si>
  <si>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</si>
  <si>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</si>
  <si>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</si>
  <si>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</si>
  <si>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</si>
  <si>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</si>
  <si>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</si>
  <si>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</si>
  <si>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</si>
  <si>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</si>
  <si>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</si>
  <si>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</si>
  <si>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</si>
  <si>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</si>
  <si>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</si>
  <si>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</si>
  <si>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</si>
  <si>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</si>
  <si>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</si>
  <si>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</si>
  <si>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REX C SOEPARJADI</t>
  </si>
  <si>
    <t>749</t>
  </si>
  <si>
    <t>750</t>
  </si>
  <si>
    <t>TECO LKD  BUDG AVAC  //  BUDG</t>
  </si>
  <si>
    <t>751</t>
  </si>
  <si>
    <t>TECO LKD  AUC  AVAC SETC  //  BUDG</t>
  </si>
  <si>
    <t>752</t>
  </si>
  <si>
    <t>753</t>
  </si>
  <si>
    <t>TECO LKD  BUDG ISBD AVAC  //  BUDG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</si>
  <si>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</si>
  <si>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</si>
  <si>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</si>
  <si>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</si>
  <si>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</si>
  <si>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</si>
  <si>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</si>
  <si>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</si>
  <si>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</si>
  <si>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</si>
  <si>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TECO LKD  AUC  AVAC  //  BUDG</t>
  </si>
  <si>
    <t>764</t>
  </si>
  <si>
    <t>765</t>
  </si>
  <si>
    <t>766</t>
  </si>
  <si>
    <t>767</t>
  </si>
  <si>
    <t>768</t>
  </si>
  <si>
    <t>REL  LKD  AUC  AVAC SETC  //  BUDG</t>
  </si>
  <si>
    <t>769</t>
  </si>
  <si>
    <t>770</t>
  </si>
  <si>
    <t>771</t>
  </si>
  <si>
    <t>772</t>
  </si>
  <si>
    <t>773</t>
  </si>
  <si>
    <t>774</t>
  </si>
  <si>
    <t>775</t>
  </si>
  <si>
    <t>Spec Req Pipeline Pad 14</t>
  </si>
  <si>
    <t>776</t>
  </si>
  <si>
    <t>Spec Req Pipeline Pad 14 Construction</t>
  </si>
  <si>
    <t>777</t>
  </si>
  <si>
    <t>778</t>
  </si>
  <si>
    <t>Spec Req Pipeline Pad 14 Procurement</t>
  </si>
  <si>
    <t>779</t>
  </si>
  <si>
    <t>Spec Req Pipeline Pad 14 Material Non LL</t>
  </si>
  <si>
    <t>780</t>
  </si>
  <si>
    <t>Spec Req Pipeline Pad 14 Material LL</t>
  </si>
  <si>
    <t>781</t>
  </si>
  <si>
    <t>Spec Req Pipeline Pad 14 Engineering</t>
  </si>
  <si>
    <t>782</t>
  </si>
  <si>
    <t>REL  LKD  AUC  AVAC  //  BUDG</t>
  </si>
  <si>
    <t>783</t>
  </si>
  <si>
    <t>Road and Pad SF</t>
  </si>
  <si>
    <t>784</t>
  </si>
  <si>
    <t>Road and Pad SF Construction</t>
  </si>
  <si>
    <t>785</t>
  </si>
  <si>
    <t>786</t>
  </si>
  <si>
    <t>Road and Pad SF Procurement</t>
  </si>
  <si>
    <t>787</t>
  </si>
  <si>
    <t>Road and Pad SF Material Non LL</t>
  </si>
  <si>
    <t>788</t>
  </si>
  <si>
    <t>Road and Pad SF Material LL</t>
  </si>
  <si>
    <t>789</t>
  </si>
  <si>
    <t>Road and Pad SF Engineering</t>
  </si>
  <si>
    <t>790</t>
  </si>
  <si>
    <t>791</t>
  </si>
  <si>
    <t>Road and Pad 20</t>
  </si>
  <si>
    <t>792</t>
  </si>
  <si>
    <t>Road and Pad 20 Construction</t>
  </si>
  <si>
    <t>793</t>
  </si>
  <si>
    <t>794</t>
  </si>
  <si>
    <t>Road and Pad 20 Procurement</t>
  </si>
  <si>
    <t>795</t>
  </si>
  <si>
    <t>Road and Pad 20 Material Non LL</t>
  </si>
  <si>
    <t>796</t>
  </si>
  <si>
    <t>Road and Pad 20 Material LL</t>
  </si>
  <si>
    <t>797</t>
  </si>
  <si>
    <t>Road and Pad 20 Engineering</t>
  </si>
  <si>
    <t>798</t>
  </si>
  <si>
    <t>799</t>
  </si>
  <si>
    <t>Road and Pad 14</t>
  </si>
  <si>
    <t>800</t>
  </si>
  <si>
    <t>Road and Pad 14 Construction</t>
  </si>
  <si>
    <t>801</t>
  </si>
  <si>
    <t>802</t>
  </si>
  <si>
    <t>Road and Pad 14 Procurement</t>
  </si>
  <si>
    <t>803</t>
  </si>
  <si>
    <t>Road and Pad 14 Material Non LL</t>
  </si>
  <si>
    <t>804</t>
  </si>
  <si>
    <t>Road and Pad 14 Material LL</t>
  </si>
  <si>
    <t>805</t>
  </si>
  <si>
    <t>Road and Pad 14 Engineering</t>
  </si>
  <si>
    <t>806</t>
  </si>
  <si>
    <t>807</t>
  </si>
  <si>
    <t>ARIAS SUGANDHI</t>
  </si>
  <si>
    <t>808</t>
  </si>
  <si>
    <t>809</t>
  </si>
  <si>
    <t>TECO LKD  AVAC SETC  //  BUDG</t>
  </si>
  <si>
    <t>810</t>
  </si>
  <si>
    <t>811</t>
  </si>
  <si>
    <t>812</t>
  </si>
  <si>
    <t>813</t>
  </si>
  <si>
    <t>814</t>
  </si>
  <si>
    <t>815</t>
  </si>
  <si>
    <t>816</t>
  </si>
  <si>
    <t>TECO LKD  AVAC SETC  //  UFSO</t>
  </si>
  <si>
    <t>817</t>
  </si>
  <si>
    <t>818</t>
  </si>
  <si>
    <t>819</t>
  </si>
  <si>
    <t>Darajat Projects 2023</t>
  </si>
  <si>
    <t>1E53023</t>
  </si>
  <si>
    <t>D235301</t>
  </si>
  <si>
    <t>CLSD BUDG AVAC  //  REL</t>
  </si>
  <si>
    <t>CLSD BUDG ISBD AVAC  //  REL</t>
  </si>
  <si>
    <t>CLSD AUC  AVAC SETC  //  BUDG</t>
  </si>
  <si>
    <t>CLSD AUC  AVAC  //  BUDG</t>
  </si>
  <si>
    <t>CLSD BUDG ISBD AVAC  //  BUDG</t>
  </si>
  <si>
    <t>CLSD AVAC SETC  //  BUDG</t>
  </si>
  <si>
    <t>Install Skillet WDS line at Pad-3</t>
  </si>
  <si>
    <t>20000012699</t>
  </si>
  <si>
    <t>Loosenes Bolt</t>
  </si>
  <si>
    <t>20000012699  0010</t>
  </si>
  <si>
    <t>Install Skilet</t>
  </si>
  <si>
    <t>20000012699  0020</t>
  </si>
  <si>
    <t>Tighten Bolt</t>
  </si>
  <si>
    <t>20000012699  0030</t>
  </si>
  <si>
    <t>Fabricate Skilet</t>
  </si>
  <si>
    <t>20000012699  0040</t>
  </si>
  <si>
    <t>Bevelling Pipe Used WDS Pipeline W.1</t>
  </si>
  <si>
    <t>40000004752</t>
  </si>
  <si>
    <t>cutting WDS pipe 0 - 300m</t>
  </si>
  <si>
    <t>40000004752  0010</t>
  </si>
  <si>
    <t>moving pipe fr bevelling</t>
  </si>
  <si>
    <t>40000004752  0020</t>
  </si>
  <si>
    <t>bevelling pipe 0-20ea</t>
  </si>
  <si>
    <t>40000004752  0030</t>
  </si>
  <si>
    <t>40000004752  0040</t>
  </si>
  <si>
    <t>bevelling pipe 20-40ea</t>
  </si>
  <si>
    <t>40000004752  0050</t>
  </si>
  <si>
    <t>bevelling pipe 40-60ea</t>
  </si>
  <si>
    <t>40000004752  0060</t>
  </si>
  <si>
    <t>40000004752  0070</t>
  </si>
  <si>
    <t>bevelling pipe 60-80ea</t>
  </si>
  <si>
    <t>40000004752  0080</t>
  </si>
  <si>
    <t>bevelling pipe 80 -100ea</t>
  </si>
  <si>
    <t>40000004752  0090</t>
  </si>
  <si>
    <t>40000004752  0100</t>
  </si>
  <si>
    <t>bevelling pipe 100 - 120 ea</t>
  </si>
  <si>
    <t>40000004752  0110</t>
  </si>
  <si>
    <t>bevelling pipe 120 - 140 ea</t>
  </si>
  <si>
    <t>40000004752  0120</t>
  </si>
  <si>
    <t>moving ppipe after bevelling</t>
  </si>
  <si>
    <t>40000004752  0130</t>
  </si>
  <si>
    <t>Re-Install WDS Line fr Prepare RIG Stand</t>
  </si>
  <si>
    <t>40000004771</t>
  </si>
  <si>
    <t>H.K used pipe</t>
  </si>
  <si>
    <t>40000004771  0010</t>
  </si>
  <si>
    <t>40000004771  0020</t>
  </si>
  <si>
    <t>cutting used  pole BRC</t>
  </si>
  <si>
    <t>40000004771  0030</t>
  </si>
  <si>
    <t>make pole cerucuk</t>
  </si>
  <si>
    <t>40000004771  0040</t>
  </si>
  <si>
    <t>fit up &amp; weld pipe to flange</t>
  </si>
  <si>
    <t>40000004771  0050</t>
  </si>
  <si>
    <t>remove platform</t>
  </si>
  <si>
    <t>40000004771  0060</t>
  </si>
  <si>
    <t>field weld flange to flange</t>
  </si>
  <si>
    <t>40000004771  0070</t>
  </si>
  <si>
    <t>supp.boom truck compile concrete block</t>
  </si>
  <si>
    <t>40000004771  0080</t>
  </si>
  <si>
    <t>weld pipe water line bendung - sump pit</t>
  </si>
  <si>
    <t>40000004771  0090</t>
  </si>
  <si>
    <t>weld cap at pipe water line existing</t>
  </si>
  <si>
    <t>40000004771  0100</t>
  </si>
  <si>
    <t>cutting used pole BRC fence</t>
  </si>
  <si>
    <t>40000004771  0110</t>
  </si>
  <si>
    <t>fabrikasi blind flange 4ea</t>
  </si>
  <si>
    <t>40000004771  0120</t>
  </si>
  <si>
    <t>remove valve 6"</t>
  </si>
  <si>
    <t>40000004771  0130</t>
  </si>
  <si>
    <t>fabrikasi spool flange to flange</t>
  </si>
  <si>
    <t>40000004771  0140</t>
  </si>
  <si>
    <t>fabrikasi plate flange 4ea</t>
  </si>
  <si>
    <t>40000004771  0150</t>
  </si>
  <si>
    <t>welding plate flange 4ea</t>
  </si>
  <si>
    <t>40000004771  0160</t>
  </si>
  <si>
    <t>welding spool flange to flange</t>
  </si>
  <si>
    <t>40000004771  0170</t>
  </si>
  <si>
    <t>fab.spool flow meter</t>
  </si>
  <si>
    <t>40000004771  0180</t>
  </si>
  <si>
    <t>welding spool flow meter</t>
  </si>
  <si>
    <t>40000004771  0190</t>
  </si>
  <si>
    <t>install pipe temporary DAM to sump pit</t>
  </si>
  <si>
    <t>40000004771  0200</t>
  </si>
  <si>
    <t>welding pipe 6" to sump pit</t>
  </si>
  <si>
    <t>40000004771  0210</t>
  </si>
  <si>
    <t>fabrikasi sadle for support</t>
  </si>
  <si>
    <t>40000004771  0220</t>
  </si>
  <si>
    <t>Install WDS Pipe Line Reservoar - Pad 14</t>
  </si>
  <si>
    <t>40000004862</t>
  </si>
  <si>
    <t>fit up &amp; alignment WDS pipe line point 1</t>
  </si>
  <si>
    <t>40000004862  0010</t>
  </si>
  <si>
    <t>welding pipe 6" WDS line point 1</t>
  </si>
  <si>
    <t>40000004862  0020</t>
  </si>
  <si>
    <t>install support point 1</t>
  </si>
  <si>
    <t>40000004862  0030</t>
  </si>
  <si>
    <t>stringing WDS pipe point 1</t>
  </si>
  <si>
    <t>40000004862  0040</t>
  </si>
  <si>
    <t>support heavy equipment</t>
  </si>
  <si>
    <t>40000004862  0050</t>
  </si>
  <si>
    <t>install drain valve</t>
  </si>
  <si>
    <t>40000004862  0060</t>
  </si>
  <si>
    <t>install high point vent</t>
  </si>
  <si>
    <t>40000004862  0070</t>
  </si>
  <si>
    <t>stringing WDS pipe 0 - 200m</t>
  </si>
  <si>
    <t>40000004862  0080</t>
  </si>
  <si>
    <t>fit up &amp; alignment WDS pipe line point 2</t>
  </si>
  <si>
    <t>40000004862  0090</t>
  </si>
  <si>
    <t>install support point 200m</t>
  </si>
  <si>
    <t>40000004862  0100</t>
  </si>
  <si>
    <t>welding pipe 6" WDS line point 200m</t>
  </si>
  <si>
    <t>40000004862  0110</t>
  </si>
  <si>
    <t>transfer WDS pipe</t>
  </si>
  <si>
    <t>40000004862  0120</t>
  </si>
  <si>
    <t>40000004862  0130</t>
  </si>
  <si>
    <t>support manpower week 1</t>
  </si>
  <si>
    <t>40000004862  0140</t>
  </si>
  <si>
    <t>repair spool elbow</t>
  </si>
  <si>
    <t>40000004862  0150</t>
  </si>
  <si>
    <t>stringing wds pipe</t>
  </si>
  <si>
    <t>40000004862  0160</t>
  </si>
  <si>
    <t>moving pipe after bevelling</t>
  </si>
  <si>
    <t>40000004862  0170</t>
  </si>
  <si>
    <t>40000004862  0180</t>
  </si>
  <si>
    <t>Re-Ins WDS Injection Pipe Line - Sump pi</t>
  </si>
  <si>
    <t>40000004863</t>
  </si>
  <si>
    <t>fabrikasi spool WDS pipe</t>
  </si>
  <si>
    <t>40000004863  0010</t>
  </si>
  <si>
    <t>40000004863  0020</t>
  </si>
  <si>
    <t>inst.spool reinjection pipe - sump pit</t>
  </si>
  <si>
    <t>40000004863  0030</t>
  </si>
  <si>
    <t>welding sadle at support</t>
  </si>
  <si>
    <t>40000004863  0040</t>
  </si>
  <si>
    <t>40000004863  0050</t>
  </si>
  <si>
    <t>welding spool stainless pipe</t>
  </si>
  <si>
    <t>40000004863  0060</t>
  </si>
  <si>
    <t>40000004863  0070</t>
  </si>
  <si>
    <t>transfer spool WDS pipe</t>
  </si>
  <si>
    <t>40000004863  0080</t>
  </si>
  <si>
    <t>make hole fr tapping spool</t>
  </si>
  <si>
    <t>40000004863  0090</t>
  </si>
  <si>
    <t>welding tapping point 3joint</t>
  </si>
  <si>
    <t>40000004863  0100</t>
  </si>
  <si>
    <t>install tapping spool line</t>
  </si>
  <si>
    <t>40000004863  0110</t>
  </si>
  <si>
    <t>fabrikasi spool water flow</t>
  </si>
  <si>
    <t>40000004863  0120</t>
  </si>
  <si>
    <t>install spool water flow</t>
  </si>
  <si>
    <t>40000004863  0130</t>
  </si>
  <si>
    <t>welding spool water flow</t>
  </si>
  <si>
    <t>40000004863  0140</t>
  </si>
  <si>
    <t>cutting flow test piping existing</t>
  </si>
  <si>
    <t>40000004863  0150</t>
  </si>
  <si>
    <t>moving flow test piping to S.1</t>
  </si>
  <si>
    <t>40000004863  0160</t>
  </si>
  <si>
    <t>cutting pole BRC fence</t>
  </si>
  <si>
    <t>40000004863  0170</t>
  </si>
  <si>
    <t>cutting&amp;bevelling pipe fr spool line</t>
  </si>
  <si>
    <t>40000004863  0180</t>
  </si>
  <si>
    <t>fit up spool WDS line fr sump pit</t>
  </si>
  <si>
    <t>40000004863  0190</t>
  </si>
  <si>
    <t>welding spool Line fr sump pit</t>
  </si>
  <si>
    <t>40000004863  0200</t>
  </si>
  <si>
    <t>40000004863  0210</t>
  </si>
  <si>
    <t>move spool to sump pit</t>
  </si>
  <si>
    <t>40000004863  0220</t>
  </si>
  <si>
    <t>stringging eks pole BRC fence</t>
  </si>
  <si>
    <t>40000004863  0230</t>
  </si>
  <si>
    <t>40000004863  0240</t>
  </si>
  <si>
    <t>cutting spool pipe existing</t>
  </si>
  <si>
    <t>40000004863  0250</t>
  </si>
  <si>
    <t>40000004863  0260</t>
  </si>
  <si>
    <t>house keeping eks.pole BRC</t>
  </si>
  <si>
    <t>40000004863  0270</t>
  </si>
  <si>
    <t>EXCAVATION AREA SUMP PIT PAD 18</t>
  </si>
  <si>
    <t>40000004930</t>
  </si>
  <si>
    <t>digging sump pit w1</t>
  </si>
  <si>
    <t>40000004930  0010</t>
  </si>
  <si>
    <t>digging sump pit w2</t>
  </si>
  <si>
    <t>40000004930  0020</t>
  </si>
  <si>
    <t>digging sump pit w3</t>
  </si>
  <si>
    <t>40000004930  0030</t>
  </si>
  <si>
    <t>digging sump pit w4</t>
  </si>
  <si>
    <t>40000004930  0040</t>
  </si>
  <si>
    <t>stringing pipe fr water flow</t>
  </si>
  <si>
    <t>40000004930  0050</t>
  </si>
  <si>
    <t>bevelling</t>
  </si>
  <si>
    <t>40000004930  0060</t>
  </si>
  <si>
    <t>fit up &amp; alignment</t>
  </si>
  <si>
    <t>40000004930  0070</t>
  </si>
  <si>
    <t>40000004930  0080</t>
  </si>
  <si>
    <t>40000004930  0090</t>
  </si>
  <si>
    <t>install support fr spool pipe line</t>
  </si>
  <si>
    <t>40000004930  0100</t>
  </si>
  <si>
    <t>install new valve fr spool pipe</t>
  </si>
  <si>
    <t>40000004930  0110</t>
  </si>
  <si>
    <t>stringing spool pipe</t>
  </si>
  <si>
    <t>40000004930  0120</t>
  </si>
  <si>
    <t>field weld spool pipe</t>
  </si>
  <si>
    <t>40000004930  0130</t>
  </si>
  <si>
    <t>40000004930  0140</t>
  </si>
  <si>
    <t>Re - Ins WDS pipe line Gn.gagak - pad 20</t>
  </si>
  <si>
    <t>40000004948</t>
  </si>
  <si>
    <t>TECO GMPS MACM PRC  SETC  //  EXCO</t>
  </si>
  <si>
    <t>moving pipe wds</t>
  </si>
  <si>
    <t>40000004948  0010</t>
  </si>
  <si>
    <t>40000004948  0020</t>
  </si>
  <si>
    <t>40000004948  0030</t>
  </si>
  <si>
    <t>field weld wds pipe</t>
  </si>
  <si>
    <t>40000004948  0040</t>
  </si>
  <si>
    <t>40000004948  0050</t>
  </si>
  <si>
    <t>cutting spool pipe</t>
  </si>
  <si>
    <t>40000004948  0060</t>
  </si>
  <si>
    <t>welding spool pipe WDS</t>
  </si>
  <si>
    <t>40000004948  0070</t>
  </si>
  <si>
    <t>Ins. WDS Pipe Line Reservoar - Pad 14</t>
  </si>
  <si>
    <t>40000004954</t>
  </si>
  <si>
    <t>install pipe line WDS</t>
  </si>
  <si>
    <t>40000004954  0010</t>
  </si>
  <si>
    <t>moving pipe wds after bevelling</t>
  </si>
  <si>
    <t>40000004954  0020</t>
  </si>
  <si>
    <t>40000004954  0030</t>
  </si>
  <si>
    <t>stringing WDS pipe stage 3-4</t>
  </si>
  <si>
    <t>40000004954  0040</t>
  </si>
  <si>
    <t>install sling fr transfer pipe</t>
  </si>
  <si>
    <t>40000004954  0050</t>
  </si>
  <si>
    <t>install pole gantry temporary</t>
  </si>
  <si>
    <t>40000004954  0060</t>
  </si>
  <si>
    <t>40000004954  0070</t>
  </si>
  <si>
    <t>40000004954  0080</t>
  </si>
  <si>
    <t>40000004954  0090</t>
  </si>
  <si>
    <t>fabrikasi support</t>
  </si>
  <si>
    <t>40000004954  0100</t>
  </si>
  <si>
    <t>40000004954  0110</t>
  </si>
  <si>
    <t>field weld spool pipe WDS</t>
  </si>
  <si>
    <t>40000004954  0120</t>
  </si>
  <si>
    <t>40000004954  0130</t>
  </si>
  <si>
    <t>stringing WDS pipe stage 5-6</t>
  </si>
  <si>
    <t>40000004954  0140</t>
  </si>
  <si>
    <t>fit up &amp; alignment stage 5-6</t>
  </si>
  <si>
    <t>40000004954  0150</t>
  </si>
  <si>
    <t>welding spool pipe WDS stage 5-6</t>
  </si>
  <si>
    <t>40000004954  0160</t>
  </si>
  <si>
    <t>40000004954  0170</t>
  </si>
  <si>
    <t>WDS line construction Pad-15 to Pad-20</t>
  </si>
  <si>
    <t>40000005422</t>
  </si>
  <si>
    <t>TECO CNF  CSER GMPS MACM PRC  SETC  //  EXCO</t>
  </si>
  <si>
    <t>fabricate support#01</t>
  </si>
  <si>
    <t>40000005422  0010</t>
  </si>
  <si>
    <t>cutting&amp;bevelling pipe fr support#01</t>
  </si>
  <si>
    <t>40000005422  0020</t>
  </si>
  <si>
    <t>fit up &amp; alignment pipe fr support#01</t>
  </si>
  <si>
    <t>40000005422  0030</t>
  </si>
  <si>
    <t>welding pipe for support#01</t>
  </si>
  <si>
    <t>40000005422  0040</t>
  </si>
  <si>
    <t>fabricate support#42</t>
  </si>
  <si>
    <t>40000005422  0050</t>
  </si>
  <si>
    <t>cutting&amp;bevelling pipe fr support#42</t>
  </si>
  <si>
    <t>40000005422  0060</t>
  </si>
  <si>
    <t>fit up &amp; alignment pipe fr support#42</t>
  </si>
  <si>
    <t>40000005422  0070</t>
  </si>
  <si>
    <t>welding pipe for support#42</t>
  </si>
  <si>
    <t>40000005422  0080</t>
  </si>
  <si>
    <t>40000005422  0090</t>
  </si>
  <si>
    <t>welding elbow at wds pipe 2ea</t>
  </si>
  <si>
    <t>40000005422  0100</t>
  </si>
  <si>
    <t>stringing support at field</t>
  </si>
  <si>
    <t>40000005422  0110</t>
  </si>
  <si>
    <t>field weld support</t>
  </si>
  <si>
    <t>40000005422  0120</t>
  </si>
  <si>
    <t>40000005422  0130</t>
  </si>
  <si>
    <t>support excavation pipe wds</t>
  </si>
  <si>
    <t>40000005422  0140</t>
  </si>
  <si>
    <t>support excavation pipe support wds</t>
  </si>
  <si>
    <t>40000005422  0150</t>
  </si>
  <si>
    <t>painting support wds</t>
  </si>
  <si>
    <t>40000005422  0160</t>
  </si>
  <si>
    <t>Relocate pipe support - new pipe sec.2</t>
  </si>
  <si>
    <t>40000005422  0170</t>
  </si>
  <si>
    <t>install support sec.2</t>
  </si>
  <si>
    <t>40000005422  0180</t>
  </si>
  <si>
    <t>cutting&amp;bevelling pipe WDS sec.2</t>
  </si>
  <si>
    <t>40000005422  0190</t>
  </si>
  <si>
    <t>welding pipe WDS sec.2</t>
  </si>
  <si>
    <t>40000005422  0200</t>
  </si>
  <si>
    <t>40000005422  0210</t>
  </si>
  <si>
    <t>install support sec.3</t>
  </si>
  <si>
    <t>40000005422  0220</t>
  </si>
  <si>
    <t>welding pipe WDS sec.3</t>
  </si>
  <si>
    <t>40000005422  0230</t>
  </si>
  <si>
    <t>cutting&amp;bevelling pipe WDS sec.4</t>
  </si>
  <si>
    <t>40000005422  0240</t>
  </si>
  <si>
    <t>40000005422  0250</t>
  </si>
  <si>
    <t>install tend temporary</t>
  </si>
  <si>
    <t>40000005422  0260</t>
  </si>
  <si>
    <t>manual excavation</t>
  </si>
  <si>
    <t>40000005422  0270</t>
  </si>
  <si>
    <t>pouring concrerte support</t>
  </si>
  <si>
    <t>40000005422  0280</t>
  </si>
  <si>
    <t>move pipe WDS after bevelling</t>
  </si>
  <si>
    <t>40000005422  0290</t>
  </si>
  <si>
    <t>40000005422  0300</t>
  </si>
  <si>
    <t>install support sec.4</t>
  </si>
  <si>
    <t>40000005422  0310</t>
  </si>
  <si>
    <t>fit up &amp; alignment pipe WDS sec.4</t>
  </si>
  <si>
    <t>40000005422  0320</t>
  </si>
  <si>
    <t>welding WDS pipe line sec.4</t>
  </si>
  <si>
    <t>40000005422  0330</t>
  </si>
  <si>
    <t>40000005422  0360</t>
  </si>
  <si>
    <t>install support joint 12 - 18</t>
  </si>
  <si>
    <t>40000005422  0370</t>
  </si>
  <si>
    <t>fit up joint no.11-12 ( 2joint )</t>
  </si>
  <si>
    <t>40000005422  0380</t>
  </si>
  <si>
    <t>welding pipe joint no.11-12 ( 2joint )</t>
  </si>
  <si>
    <t>40000005422  0390</t>
  </si>
  <si>
    <t>fit up joint no.17-18 ( 2joint )</t>
  </si>
  <si>
    <t>40000005422  0400</t>
  </si>
  <si>
    <t>welding pipe joint no.17-18 ( 2joint )</t>
  </si>
  <si>
    <t>40000005422  0410</t>
  </si>
  <si>
    <t>support boom truck no.joint 11-12</t>
  </si>
  <si>
    <t>40000005422  0420</t>
  </si>
  <si>
    <t>support boom truck no.joint 17-18</t>
  </si>
  <si>
    <t>40000005422  0430</t>
  </si>
  <si>
    <t>SCRAPPING Cross country pipeline PAD-14</t>
  </si>
  <si>
    <t>40000005469</t>
  </si>
  <si>
    <t>TECO CNF  CSER NMAT PRC  SETC  //  EXCO</t>
  </si>
  <si>
    <t>SCRAPPING Cross country pipeline W1</t>
  </si>
  <si>
    <t>40000005469  0010</t>
  </si>
  <si>
    <t>install geogrid</t>
  </si>
  <si>
    <t>40000005469  0020</t>
  </si>
  <si>
    <t>SCRAPPING Cross country pipeline W2</t>
  </si>
  <si>
    <t>40000005469  0030</t>
  </si>
  <si>
    <t>SCRAPPING Cross country pipeline W3</t>
  </si>
  <si>
    <t>40000005469  0040</t>
  </si>
  <si>
    <t>SCRAPPING area pad 14 w1</t>
  </si>
  <si>
    <t>40000005469  0050</t>
  </si>
  <si>
    <t>SCRAPPING area pad 14 w2</t>
  </si>
  <si>
    <t>40000005469  0060</t>
  </si>
  <si>
    <t>SCRAPPING area pad 14 to W1 #1</t>
  </si>
  <si>
    <t>40000005469  0070</t>
  </si>
  <si>
    <t>SCRAPPING area pad 14 to W1 #2</t>
  </si>
  <si>
    <t>40000005469  0080</t>
  </si>
  <si>
    <t>Drilling preparation at pad 20</t>
  </si>
  <si>
    <t>40000006292</t>
  </si>
  <si>
    <t>40000006292  0010</t>
  </si>
  <si>
    <t>Install lighting top baker tank G. Gagak</t>
  </si>
  <si>
    <t>40000006292  0020</t>
  </si>
  <si>
    <t>Install piping water supplay from reser</t>
  </si>
  <si>
    <t>40000006292  0030</t>
  </si>
  <si>
    <t>install lighting temporary</t>
  </si>
  <si>
    <t>40000006292  0040</t>
  </si>
  <si>
    <t>Fab.spool line for pump at pad 15</t>
  </si>
  <si>
    <t>40000006292  0050</t>
  </si>
  <si>
    <t>fit up spool line for pump</t>
  </si>
  <si>
    <t>40000006292  0060</t>
  </si>
  <si>
    <t>aligment spool</t>
  </si>
  <si>
    <t>40000006292  0070</t>
  </si>
  <si>
    <t>welding spool</t>
  </si>
  <si>
    <t>40000006292  0080</t>
  </si>
  <si>
    <t>install inlet suction pump to baker tank</t>
  </si>
  <si>
    <t>40000006292  0090</t>
  </si>
  <si>
    <t>Leveling Area Pump pad 15 fr pump</t>
  </si>
  <si>
    <t>40000006292  0100</t>
  </si>
  <si>
    <t>Provide sandbag</t>
  </si>
  <si>
    <t>40000006292  0110</t>
  </si>
  <si>
    <t>Setting scendary contaiment</t>
  </si>
  <si>
    <t>40000006292  0120</t>
  </si>
  <si>
    <t>Support for Pump</t>
  </si>
  <si>
    <t>40000006292  0130</t>
  </si>
  <si>
    <t>Install Balok Kayu at Pad-15</t>
  </si>
  <si>
    <t>40000006292  0140</t>
  </si>
  <si>
    <t>Install scaffolding for Shelter Pad 15</t>
  </si>
  <si>
    <t>40000006292  0150</t>
  </si>
  <si>
    <t>Leveling Area Pad-20</t>
  </si>
  <si>
    <t>40000006292  0160</t>
  </si>
  <si>
    <t>Pulling Cable</t>
  </si>
  <si>
    <t>40000006292  0170</t>
  </si>
  <si>
    <t>Install Lighting for Support Drilling</t>
  </si>
  <si>
    <t>40000006292  0180</t>
  </si>
  <si>
    <t>Support manpower for Puling Cable Pad-20</t>
  </si>
  <si>
    <t>40000006292  0190</t>
  </si>
  <si>
    <t>Install Tiang Lalin</t>
  </si>
  <si>
    <t>40000006292  0200</t>
  </si>
  <si>
    <t>Painting tiang Lalin</t>
  </si>
  <si>
    <t>40000006292  0210</t>
  </si>
  <si>
    <t>Support Manpower for Plagman Pad-20</t>
  </si>
  <si>
    <t>40000006292  0220</t>
  </si>
  <si>
    <t>Pemasangan tangga at sump Pad-14</t>
  </si>
  <si>
    <t>40000006292  0230</t>
  </si>
  <si>
    <t>Penutupan drain rock muffler</t>
  </si>
  <si>
    <t>40000006292  0240</t>
  </si>
  <si>
    <t>Repairleake backer tank area G. Gagak</t>
  </si>
  <si>
    <t>40000006292  0250</t>
  </si>
  <si>
    <t>Repair crack at carter pump</t>
  </si>
  <si>
    <t>40000006292  0280</t>
  </si>
  <si>
    <t>Support Manpower Shift Malam#35 D.1</t>
  </si>
  <si>
    <t>40000006292  0290</t>
  </si>
  <si>
    <t>Support Manpower Shift Siang#35 D.1</t>
  </si>
  <si>
    <t>40000006292  0300</t>
  </si>
  <si>
    <t>Support Manpower Shift Malam#35 D.2</t>
  </si>
  <si>
    <t>40000006292  0310</t>
  </si>
  <si>
    <t>Support Manpower Shift Siang#35 D.2</t>
  </si>
  <si>
    <t>40000006292  0320</t>
  </si>
  <si>
    <t>Support Manpower Shift Malam#35 D.3</t>
  </si>
  <si>
    <t>40000006292  0330</t>
  </si>
  <si>
    <t>Support Manpower Shift Siang#35 D.3</t>
  </si>
  <si>
    <t>40000006292  0340</t>
  </si>
  <si>
    <t>Support Manpower Shift Malam#35 D.4</t>
  </si>
  <si>
    <t>40000006292  0350</t>
  </si>
  <si>
    <t>Support Manpower Shift Siang#35 D.4</t>
  </si>
  <si>
    <t>40000006292  0360</t>
  </si>
  <si>
    <t>Support Manpower Shift Malam#35 D.5</t>
  </si>
  <si>
    <t>40000006292  0370</t>
  </si>
  <si>
    <t>Support Manpower Shift Siang#35 D.5</t>
  </si>
  <si>
    <t>40000006292  0380</t>
  </si>
  <si>
    <t>Support Manpower Shift Malam#35 D.6</t>
  </si>
  <si>
    <t>40000006292  0390</t>
  </si>
  <si>
    <t>Support Manpower Shift Siang#35 D.6</t>
  </si>
  <si>
    <t>40000006292  0400</t>
  </si>
  <si>
    <t>Support Manpower Shift Malam#35 D.7</t>
  </si>
  <si>
    <t>40000006292  0410</t>
  </si>
  <si>
    <t>Support Manpower Shift Siang#35 D.7</t>
  </si>
  <si>
    <t>40000006292  0420</t>
  </si>
  <si>
    <t>remove pipe line pump at base camp</t>
  </si>
  <si>
    <t>40000006292  0430</t>
  </si>
  <si>
    <t>modify spool pipe line baker tank</t>
  </si>
  <si>
    <t>40000006292  0440</t>
  </si>
  <si>
    <t>welding spool new pipe line</t>
  </si>
  <si>
    <t>40000006292  0450</t>
  </si>
  <si>
    <t>install spool pipe to new pump pad 15</t>
  </si>
  <si>
    <t>40000006292  0460</t>
  </si>
  <si>
    <t>fab.spool for instrumentation</t>
  </si>
  <si>
    <t>40000006292  0470</t>
  </si>
  <si>
    <t>modify spool pipe line drj 54 - drj 55</t>
  </si>
  <si>
    <t>40000006292  0480</t>
  </si>
  <si>
    <t>modify spool pump parker</t>
  </si>
  <si>
    <t>40000006292  0490</t>
  </si>
  <si>
    <t>install accesories pump</t>
  </si>
  <si>
    <t>40000006292  0500</t>
  </si>
  <si>
    <t>Support Flow test DRJ-55</t>
  </si>
  <si>
    <t>40000006345</t>
  </si>
  <si>
    <t>Support Flow Test Pad-18_DRJ-55</t>
  </si>
  <si>
    <t>40000006345  0010</t>
  </si>
  <si>
    <t>Install Scaffolding DRJ-55 Pad-18</t>
  </si>
  <si>
    <t>40000006345  0020</t>
  </si>
  <si>
    <t>Brashing &amp; Cleaning Spool Pipe Line</t>
  </si>
  <si>
    <t>40000006345  0030</t>
  </si>
  <si>
    <t>Painting Spool Pipe Line</t>
  </si>
  <si>
    <t>40000006345  0040</t>
  </si>
  <si>
    <t>Brasing &amp; Cleaning Counter Weight</t>
  </si>
  <si>
    <t>40000006345  0050</t>
  </si>
  <si>
    <t>Painting Counter Weight</t>
  </si>
  <si>
    <t>40000006345  0060</t>
  </si>
  <si>
    <t>Modification Scaffolding DRJ-55 Pad-18</t>
  </si>
  <si>
    <t>40000006345  0070</t>
  </si>
  <si>
    <t>Reinstall scaffolding DRJ-55 Pad-18 D.1</t>
  </si>
  <si>
    <t>40000006345  0080</t>
  </si>
  <si>
    <t>Reinstall scaffolding DRJ-55 Pad-18 D.2</t>
  </si>
  <si>
    <t>40000006345  0090</t>
  </si>
  <si>
    <t>Reinstall Scaffolding DRJ-55 Pad-18 D.3</t>
  </si>
  <si>
    <t>40000006345  0100</t>
  </si>
  <si>
    <t>Install pointer</t>
  </si>
  <si>
    <t>40000006345  0110</t>
  </si>
  <si>
    <t>ins.spool pipe connecting drj 54-drj55</t>
  </si>
  <si>
    <t>40000006345  0120</t>
  </si>
  <si>
    <t>reinstall wire sling</t>
  </si>
  <si>
    <t>40000006345  0130</t>
  </si>
  <si>
    <t>Penambahan pemasangan scaffolding</t>
  </si>
  <si>
    <t>40000006345  0140</t>
  </si>
  <si>
    <t>Flow test DRJ-55</t>
  </si>
  <si>
    <t>40000006373</t>
  </si>
  <si>
    <t>TECO PCNF NMAT PRC  SETC  //  EXCO</t>
  </si>
  <si>
    <t>Modification Scaffolding</t>
  </si>
  <si>
    <t>40000006373  0010</t>
  </si>
  <si>
    <t>Painting Master valve</t>
  </si>
  <si>
    <t>40000006373  0020</t>
  </si>
  <si>
    <t>40000006373  0030</t>
  </si>
  <si>
    <t>Remove Scaffolding</t>
  </si>
  <si>
    <t>40000006373  0040</t>
  </si>
  <si>
    <t>Housekeeping &amp; Moving Material</t>
  </si>
  <si>
    <t>40000006373  0050</t>
  </si>
  <si>
    <t>Completion test program DRJ-56</t>
  </si>
  <si>
    <t>40000006385</t>
  </si>
  <si>
    <t>Support Scaffolding at Pad-20</t>
  </si>
  <si>
    <t>40000006385  0010</t>
  </si>
  <si>
    <t>Suppoprt Manpower RM Shift Malam Week#1</t>
  </si>
  <si>
    <t>40000006385  0020</t>
  </si>
  <si>
    <t>Support Manpower RM Shift Siang Week#1</t>
  </si>
  <si>
    <t>40000006385  0030</t>
  </si>
  <si>
    <t>Suppoprt Manpower RM Shift Malam Week#2</t>
  </si>
  <si>
    <t>40000006385  0040</t>
  </si>
  <si>
    <t>Support Manpower RM Shift Siang Week#2</t>
  </si>
  <si>
    <t>40000006385  0050</t>
  </si>
  <si>
    <t>Suppoprt Manpower RM Shift Malam Week#3</t>
  </si>
  <si>
    <t>40000006385  0060</t>
  </si>
  <si>
    <t>Support Manpower RM Shift Siang Week#3</t>
  </si>
  <si>
    <t>40000006385  0070</t>
  </si>
  <si>
    <t>Suppoprt Manpower RM Shift Malam Week#4</t>
  </si>
  <si>
    <t>40000006385  0080</t>
  </si>
  <si>
    <t>Support Manpower RM Shift Siang Week#4</t>
  </si>
  <si>
    <t>40000006385  0090</t>
  </si>
  <si>
    <t>Fabricate temporary rock mufler</t>
  </si>
  <si>
    <t>40000006385  0120</t>
  </si>
  <si>
    <t>weld spool TEE</t>
  </si>
  <si>
    <t>40000006385  0130</t>
  </si>
  <si>
    <t>Support Manpower ( Flagman) Week#1</t>
  </si>
  <si>
    <t>40000006385  0140</t>
  </si>
  <si>
    <t>Support Manpower ( Flagman) Week#2</t>
  </si>
  <si>
    <t>40000006385  0150</t>
  </si>
  <si>
    <t>Support Manpower ( Flagman) Week#3</t>
  </si>
  <si>
    <t>40000006385  0160</t>
  </si>
  <si>
    <t>Support Manpower ( Flagman) Week#4</t>
  </si>
  <si>
    <t>40000006385  0170</t>
  </si>
  <si>
    <t>Support Welder</t>
  </si>
  <si>
    <t>40000006385  0260</t>
  </si>
  <si>
    <t>Penggelaran Pipa</t>
  </si>
  <si>
    <t>40000006385  0270</t>
  </si>
  <si>
    <t>Pemasangan Terpal (Tenda)</t>
  </si>
  <si>
    <t>40000006385  0280</t>
  </si>
  <si>
    <t>Support Manpower RM Shift Malam Week#5</t>
  </si>
  <si>
    <t>40000006385  0290</t>
  </si>
  <si>
    <t>Support Manpower RM Shift Siang Week#5</t>
  </si>
  <si>
    <t>40000006385  0300</t>
  </si>
  <si>
    <t>Support Manpower RM Shift Siang Week#6</t>
  </si>
  <si>
    <t>40000006385  0310</t>
  </si>
  <si>
    <t>Suppoprt Manpower RM Shift Malam Week#6</t>
  </si>
  <si>
    <t>40000006385  0320</t>
  </si>
  <si>
    <t>Support Manpower ( Flagman) Week#5</t>
  </si>
  <si>
    <t>40000006385  0330</t>
  </si>
  <si>
    <t>Support Manpower ( Flagman) Week#6</t>
  </si>
  <si>
    <t>40000006385  0340</t>
  </si>
  <si>
    <t>Support Manpower RMShift Malam Week#42.1</t>
  </si>
  <si>
    <t>40000006385  0350</t>
  </si>
  <si>
    <t>Support Manpower RMShift Siang Week#42.1</t>
  </si>
  <si>
    <t>40000006385  0360</t>
  </si>
  <si>
    <t>Support Manpower RMShift Malam Week#42.2</t>
  </si>
  <si>
    <t>40000006385  0370</t>
  </si>
  <si>
    <t>Support Manpower RMShift Siang Week#42.2</t>
  </si>
  <si>
    <t>40000006385  0380</t>
  </si>
  <si>
    <t>Support Manpower RMShift Malam Week#42.3</t>
  </si>
  <si>
    <t>40000006385  0390</t>
  </si>
  <si>
    <t>Support Manpower RMShift Siang Week#42.3</t>
  </si>
  <si>
    <t>40000006385  0400</t>
  </si>
  <si>
    <t>Support Manpower RMShift Malam Week#42.4</t>
  </si>
  <si>
    <t>40000006385  0410</t>
  </si>
  <si>
    <t>Support Manpower RMShift Siang Week#42.4</t>
  </si>
  <si>
    <t>40000006385  0420</t>
  </si>
  <si>
    <t>Support Manpower RMShift Malam Week#42.5</t>
  </si>
  <si>
    <t>40000006385  0430</t>
  </si>
  <si>
    <t>Support Manpower Shift Siang Week#42.5</t>
  </si>
  <si>
    <t>40000006385  0440</t>
  </si>
  <si>
    <t>Support Manpower ( Flagman) Week#42.D1</t>
  </si>
  <si>
    <t>40000006385  0450</t>
  </si>
  <si>
    <t>Support Manpower ( Flagman) Week#42.D2</t>
  </si>
  <si>
    <t>40000006385  0460</t>
  </si>
  <si>
    <t>Support Manpower ( Flagman) Week#42.D3</t>
  </si>
  <si>
    <t>40000006385  0470</t>
  </si>
  <si>
    <t>Support Manpower ( Flagman) Week#42.D4</t>
  </si>
  <si>
    <t>40000006385  0480</t>
  </si>
  <si>
    <t>Support Manpower ( Flagman) Week#42.D5</t>
  </si>
  <si>
    <t>40000006385  0490</t>
  </si>
  <si>
    <t>Support Manpower ( Flagman) Week#43.D1</t>
  </si>
  <si>
    <t>40000006385  0500</t>
  </si>
  <si>
    <t>Support Manpower ( Flagman) Week#43.D2</t>
  </si>
  <si>
    <t>40000006385  0510</t>
  </si>
  <si>
    <t>Support Manpower ( Flagman) Week#43.D3</t>
  </si>
  <si>
    <t>40000006385  0520</t>
  </si>
  <si>
    <t>Support Manpower ( Flagman) Week#43.D4</t>
  </si>
  <si>
    <t>40000006385  0530</t>
  </si>
  <si>
    <t>Support Manpower ( Flagman) Week#43.D5</t>
  </si>
  <si>
    <t>40000006385  0540</t>
  </si>
  <si>
    <t>Support Manpower RM Day Shift Week#43.D1</t>
  </si>
  <si>
    <t>40000006385  0550</t>
  </si>
  <si>
    <t>Support Manpower RM  Night Week#43.D1</t>
  </si>
  <si>
    <t>40000006385  0560</t>
  </si>
  <si>
    <t>Support Manpower RM Day Shift Week#43.D2</t>
  </si>
  <si>
    <t>40000006385  0570</t>
  </si>
  <si>
    <t>Support Manpower RM  Night Week#43.D2</t>
  </si>
  <si>
    <t>40000006385  0580</t>
  </si>
  <si>
    <t>Support Manpower RM Day Shift Week#43.D3</t>
  </si>
  <si>
    <t>40000006385  0590</t>
  </si>
  <si>
    <t>Support Manpower RM  Night Week#43.D3</t>
  </si>
  <si>
    <t>40000006385  0600</t>
  </si>
  <si>
    <t>Support Manpower RM Day Shift Week#43.D4</t>
  </si>
  <si>
    <t>40000006385  0610</t>
  </si>
  <si>
    <t>Support Manpower RM Night Week#43.D4</t>
  </si>
  <si>
    <t>40000006385  0620</t>
  </si>
  <si>
    <t>Support Manpower RM Day Shift Week#43.D5</t>
  </si>
  <si>
    <t>40000006385  0630</t>
  </si>
  <si>
    <t>Support Manpower RM Night Week#43.D5</t>
  </si>
  <si>
    <t>40000006385  0640</t>
  </si>
  <si>
    <t>Support Manpower RM Day Shift Week#43.D6</t>
  </si>
  <si>
    <t>40000006385  0650</t>
  </si>
  <si>
    <t>Support Manpower RM Night Week#43.D6</t>
  </si>
  <si>
    <t>40000006385  0660</t>
  </si>
  <si>
    <t>Support Manpower RM Day Shift Week#43.D7</t>
  </si>
  <si>
    <t>40000006385  0670</t>
  </si>
  <si>
    <t>Support Manpower RM Night Week#43.D7</t>
  </si>
  <si>
    <t>40000006385  0680</t>
  </si>
  <si>
    <t>Support Manpower ( Flagman) Week#44.D1</t>
  </si>
  <si>
    <t>40000006385  0690</t>
  </si>
  <si>
    <t>Support Manpower ( Flagman) Week#44.D2</t>
  </si>
  <si>
    <t>40000006385  0700</t>
  </si>
  <si>
    <t>Support Manpower ( Flagman) Week#44.D3</t>
  </si>
  <si>
    <t>40000006385  0710</t>
  </si>
  <si>
    <t>Support Manpower ( Flagman) Week#44.D4</t>
  </si>
  <si>
    <t>40000006385  0720</t>
  </si>
  <si>
    <t>Support Manpower RM Day Shift Week#44.D1</t>
  </si>
  <si>
    <t>40000006385  0740</t>
  </si>
  <si>
    <t>Support Manpower RM Night Week#44.D1</t>
  </si>
  <si>
    <t>40000006385  0750</t>
  </si>
  <si>
    <t>Support Manpower RM Day Shift Week#44.D2</t>
  </si>
  <si>
    <t>40000006385  0760</t>
  </si>
  <si>
    <t>Support Manpower RM Night Week#44.D2</t>
  </si>
  <si>
    <t>40000006385  0770</t>
  </si>
  <si>
    <t>Support Manpower RM Day Shift Week#44.D3</t>
  </si>
  <si>
    <t>40000006385  0780</t>
  </si>
  <si>
    <t>Support Manpower RM Night Week#44.D3</t>
  </si>
  <si>
    <t>40000006385  0790</t>
  </si>
  <si>
    <t>Support Manpower RM Day Shift Week#44.D4</t>
  </si>
  <si>
    <t>40000006385  0800</t>
  </si>
  <si>
    <t>Support Manpower RM Night Week#44.D4</t>
  </si>
  <si>
    <t>40000006385  0810</t>
  </si>
  <si>
    <t>Fabricate &amp; Install Step Ladder Pond-15</t>
  </si>
  <si>
    <t>30000000138</t>
  </si>
  <si>
    <t>30000000138  0010</t>
  </si>
  <si>
    <t>Fabricate &amp; Install Step Ladder Pond-18</t>
  </si>
  <si>
    <t>30000000139</t>
  </si>
  <si>
    <t>30000000139  0010</t>
  </si>
  <si>
    <t>WDS Line construction to Pad-20 Sec-3</t>
  </si>
  <si>
    <t>30000000144</t>
  </si>
  <si>
    <t>bevelling wds pipe</t>
  </si>
  <si>
    <t>30000000144  0010</t>
  </si>
  <si>
    <t>30000000144  0020</t>
  </si>
  <si>
    <t>stringging pipe</t>
  </si>
  <si>
    <t>30000000144  0030</t>
  </si>
  <si>
    <t>fab.spool elbow pipe WDS</t>
  </si>
  <si>
    <t>30000000144  0040</t>
  </si>
  <si>
    <t>fab.anchor support</t>
  </si>
  <si>
    <t>30000000144  0050</t>
  </si>
  <si>
    <t>fit up joint no.50 - 52 ( 2joint )</t>
  </si>
  <si>
    <t>30000000144  0060</t>
  </si>
  <si>
    <t>welding pipe joint no 50 - 52 ( 2joint )</t>
  </si>
  <si>
    <t>30000000144  0070</t>
  </si>
  <si>
    <t>support manpower w#1</t>
  </si>
  <si>
    <t>30000000144  0080</t>
  </si>
  <si>
    <t>support galian support w#1</t>
  </si>
  <si>
    <t>30000000144  0090</t>
  </si>
  <si>
    <t>pengecoran galian support w#1</t>
  </si>
  <si>
    <t>30000000144  0100</t>
  </si>
  <si>
    <t>support manpower w#2</t>
  </si>
  <si>
    <t>30000000144  0110</t>
  </si>
  <si>
    <t>support galian support w#2</t>
  </si>
  <si>
    <t>30000000144  0120</t>
  </si>
  <si>
    <t>pengecoran galian support w#2</t>
  </si>
  <si>
    <t>30000000144  0130</t>
  </si>
  <si>
    <t>support manpower w#3</t>
  </si>
  <si>
    <t>30000000144  0140</t>
  </si>
  <si>
    <t>support galian support w#3</t>
  </si>
  <si>
    <t>30000000144  0150</t>
  </si>
  <si>
    <t>pengecoran galian support w#3</t>
  </si>
  <si>
    <t>30000000144  0160</t>
  </si>
  <si>
    <t>support manpower w#4</t>
  </si>
  <si>
    <t>30000000144  0170</t>
  </si>
  <si>
    <t>support galian support w#4</t>
  </si>
  <si>
    <t>30000000144  0180</t>
  </si>
  <si>
    <t>pengecoran galian support w#4</t>
  </si>
  <si>
    <t>30000000144  0190</t>
  </si>
  <si>
    <t>fit up joint no.56-57 ( 2joint )</t>
  </si>
  <si>
    <t>30000000144  0200</t>
  </si>
  <si>
    <t>welding pipe joint no 56-57(2joint)</t>
  </si>
  <si>
    <t>30000000144  0210</t>
  </si>
  <si>
    <t>fit up joint no.58-59 (2 joint )</t>
  </si>
  <si>
    <t>30000000144  0220</t>
  </si>
  <si>
    <t>welding pipe joint no 58-59 ( 2joint )</t>
  </si>
  <si>
    <t>30000000144  0230</t>
  </si>
  <si>
    <t>30000000144  0240</t>
  </si>
  <si>
    <t>fit up joint no.60-61 ( 2joint)</t>
  </si>
  <si>
    <t>30000000144  0250</t>
  </si>
  <si>
    <t>welding pipe joint no 60-61 (2 joint)</t>
  </si>
  <si>
    <t>30000000144  0260</t>
  </si>
  <si>
    <t>fit up joint no.62-63 ( 2joint )</t>
  </si>
  <si>
    <t>30000000144  0270</t>
  </si>
  <si>
    <t>welding pipe joint no 62-63 (2joint)</t>
  </si>
  <si>
    <t>30000000144  0280</t>
  </si>
  <si>
    <t>30000000144  0290</t>
  </si>
  <si>
    <t>fit up joint no.64 65 ( 2joint)</t>
  </si>
  <si>
    <t>30000000144  0300</t>
  </si>
  <si>
    <t>welding pipe joint no 64 - 65 ( 2joint)</t>
  </si>
  <si>
    <t>30000000144  0310</t>
  </si>
  <si>
    <t>fit up joint no 66 - 67 ( 2joint )</t>
  </si>
  <si>
    <t>30000000144  0320</t>
  </si>
  <si>
    <t>welding pipe joint no 66 - 67 ( 2joint )</t>
  </si>
  <si>
    <t>30000000144  0330</t>
  </si>
  <si>
    <t>30000000144  0340</t>
  </si>
  <si>
    <t>30000000144  0350</t>
  </si>
  <si>
    <t>fit up joint no 68 - 69 (2joint)</t>
  </si>
  <si>
    <t>30000000144  0360</t>
  </si>
  <si>
    <t>welding pipe joint no 68-69 (2joint )</t>
  </si>
  <si>
    <t>30000000144  0370</t>
  </si>
  <si>
    <t>fit up joint no 70 - 71 ( 2joint)</t>
  </si>
  <si>
    <t>30000000144  0380</t>
  </si>
  <si>
    <t>welding pipe joint no 70 - 71 ( 2joint )</t>
  </si>
  <si>
    <t>30000000144  0390</t>
  </si>
  <si>
    <t>30000000144  0400</t>
  </si>
  <si>
    <t>Reinjection Pump A Replacement</t>
  </si>
  <si>
    <t>30000000155</t>
  </si>
  <si>
    <t>install skid pump</t>
  </si>
  <si>
    <t>30000000155  0010</t>
  </si>
  <si>
    <t>30000000155  0020</t>
  </si>
  <si>
    <t>allignment</t>
  </si>
  <si>
    <t>30000000155  0030</t>
  </si>
  <si>
    <t>Bongkar Bekisting</t>
  </si>
  <si>
    <t>30000000155  0040</t>
  </si>
  <si>
    <t>Groating dudukan pompa (skid)</t>
  </si>
  <si>
    <t>30000000155  0050</t>
  </si>
  <si>
    <t>Provide electric power supply &amp; control</t>
  </si>
  <si>
    <t>30000000155  0060</t>
  </si>
  <si>
    <t>Remove scaffolding &amp; Tenda</t>
  </si>
  <si>
    <t>30000000155  0070</t>
  </si>
  <si>
    <t>install PG</t>
  </si>
  <si>
    <t>30000000155  0080</t>
  </si>
  <si>
    <t>Reinjection Pump B Replacement</t>
  </si>
  <si>
    <t>30000000156</t>
  </si>
  <si>
    <t>30000000156  0010</t>
  </si>
  <si>
    <t>install pump &amp; motor</t>
  </si>
  <si>
    <t>30000000156  0020</t>
  </si>
  <si>
    <t>30000000156  0030</t>
  </si>
  <si>
    <t>pemasangan power pump B</t>
  </si>
  <si>
    <t>30000000156  0040</t>
  </si>
  <si>
    <t>Provide electric power sources</t>
  </si>
  <si>
    <t>30000000156  0050</t>
  </si>
  <si>
    <t>Pemasangan sensor RTD</t>
  </si>
  <si>
    <t>30000000156  0060</t>
  </si>
  <si>
    <t>Support Scaffolding &amp; Tenda</t>
  </si>
  <si>
    <t>30000000156  0070</t>
  </si>
  <si>
    <t>Support Manpower Welding</t>
  </si>
  <si>
    <t>30000000156  0080</t>
  </si>
  <si>
    <t>Painting Spool Pipa</t>
  </si>
  <si>
    <t>30000000156  0090</t>
  </si>
  <si>
    <t>30000000156  0100</t>
  </si>
  <si>
    <t>cutting pipe drain existing</t>
  </si>
  <si>
    <t>30000000156  0110</t>
  </si>
  <si>
    <t>move pipe ex.drain</t>
  </si>
  <si>
    <t>30000000156  0120</t>
  </si>
  <si>
    <t>Support Manpower &amp; Scaffolding</t>
  </si>
  <si>
    <t>30000000156  0130</t>
  </si>
  <si>
    <t>30000000156  0140</t>
  </si>
  <si>
    <t>monitoring pump reinjection</t>
  </si>
  <si>
    <t>30000000156  0150</t>
  </si>
  <si>
    <t>support commisioning</t>
  </si>
  <si>
    <t>30000000156  0160</t>
  </si>
  <si>
    <t>fab.plate for manhole</t>
  </si>
  <si>
    <t>30000000156  0170</t>
  </si>
  <si>
    <t>Condensate Trimming Pump Replacement</t>
  </si>
  <si>
    <t>30000000157</t>
  </si>
  <si>
    <t>fab.spool flange</t>
  </si>
  <si>
    <t>30000000157  0010</t>
  </si>
  <si>
    <t>fab.spool flange - reducing 8"</t>
  </si>
  <si>
    <t>30000000157  0020</t>
  </si>
  <si>
    <t>fab.elbow 45 6" 2ea</t>
  </si>
  <si>
    <t>30000000157  0030</t>
  </si>
  <si>
    <t>fab.flange 6" to pipe 6"</t>
  </si>
  <si>
    <t>30000000157  0040</t>
  </si>
  <si>
    <t>field weld spool to elbow</t>
  </si>
  <si>
    <t>30000000157  0050</t>
  </si>
  <si>
    <t>tapping spool pipe</t>
  </si>
  <si>
    <t>30000000157  0060</t>
  </si>
  <si>
    <t>modification skid pump</t>
  </si>
  <si>
    <t>30000000157  0070</t>
  </si>
  <si>
    <t>30000000157  0080</t>
  </si>
  <si>
    <t>Pulling Indication Cable</t>
  </si>
  <si>
    <t>30000000157  0090</t>
  </si>
  <si>
    <t>Assessment Cable Power Source</t>
  </si>
  <si>
    <t>30000000157  0100</t>
  </si>
  <si>
    <t>Prepare and take out cable from shelter</t>
  </si>
  <si>
    <t>30000000157  0110</t>
  </si>
  <si>
    <t>Pulling cable power source W#22_1</t>
  </si>
  <si>
    <t>30000000157  0120</t>
  </si>
  <si>
    <t>Pulling cable power source W#23_2</t>
  </si>
  <si>
    <t>30000000157  0130</t>
  </si>
  <si>
    <t>Connect Cable Power Source Electrical</t>
  </si>
  <si>
    <t>30000000157  0140</t>
  </si>
  <si>
    <t>fab.base plate for skid pump at pond 15</t>
  </si>
  <si>
    <t>30000000157  0150</t>
  </si>
  <si>
    <t>field weld basplate skid pump at pond 15</t>
  </si>
  <si>
    <t>30000000157  0160</t>
  </si>
  <si>
    <t>support baseplate skid pond 15</t>
  </si>
  <si>
    <t>30000000157  0170</t>
  </si>
  <si>
    <t>install skid pump INT.2</t>
  </si>
  <si>
    <t>30000000157  0180</t>
  </si>
  <si>
    <t>pouring concrete</t>
  </si>
  <si>
    <t>30000000157  0190</t>
  </si>
  <si>
    <t>support manpower pulling cable 0-150m</t>
  </si>
  <si>
    <t>30000000157  0200</t>
  </si>
  <si>
    <t>support manpower pulling cable 150-300m</t>
  </si>
  <si>
    <t>30000000157  0210</t>
  </si>
  <si>
    <t>support manpower cable connection</t>
  </si>
  <si>
    <t>30000000157  0220</t>
  </si>
  <si>
    <t>install tend at pond pad 15</t>
  </si>
  <si>
    <t>30000000157  0230</t>
  </si>
  <si>
    <t>install tend at pond pad 18</t>
  </si>
  <si>
    <t>30000000157  0240</t>
  </si>
  <si>
    <t>install tend at interface unit 2</t>
  </si>
  <si>
    <t>30000000157  0250</t>
  </si>
  <si>
    <t>fit up elboew 45deg 2joint</t>
  </si>
  <si>
    <t>30000000157  0260</t>
  </si>
  <si>
    <t>Unloading Electric Panel</t>
  </si>
  <si>
    <t>30000000157  0270</t>
  </si>
  <si>
    <t>Supervise Electric Panel Installation #1</t>
  </si>
  <si>
    <t>30000000157  0280</t>
  </si>
  <si>
    <t>Install Junction Box for RTD</t>
  </si>
  <si>
    <t>30000000157  0290</t>
  </si>
  <si>
    <t>Install RTD</t>
  </si>
  <si>
    <t>30000000157  0300</t>
  </si>
  <si>
    <t>Splicing FO at FCS 0102</t>
  </si>
  <si>
    <t>30000000157  0310</t>
  </si>
  <si>
    <t>Supervise Electric Panel Installation #2</t>
  </si>
  <si>
    <t>30000000157  0320</t>
  </si>
  <si>
    <t>Supervise Electric Panel Installation #3</t>
  </si>
  <si>
    <t>30000000157  0330</t>
  </si>
  <si>
    <t>Supervise Electric Panel Installation #4</t>
  </si>
  <si>
    <t>30000000157  0340</t>
  </si>
  <si>
    <t>Refurbish Check Valve</t>
  </si>
  <si>
    <t>30000000157  0350</t>
  </si>
  <si>
    <t>Instalation Pump New Trimming Pump</t>
  </si>
  <si>
    <t>30000000157  0360</t>
  </si>
  <si>
    <t>install spool pipe pump new 2join</t>
  </si>
  <si>
    <t>30000000157  0370</t>
  </si>
  <si>
    <t>Support scaff &amp; Tenda Shelter Pump A</t>
  </si>
  <si>
    <t>30000000157  0380</t>
  </si>
  <si>
    <t>Support Manpower Welder Pump A</t>
  </si>
  <si>
    <t>30000000157  0390</t>
  </si>
  <si>
    <t>Groating dudukan Skid Pompa B</t>
  </si>
  <si>
    <t>30000000157  0400</t>
  </si>
  <si>
    <t>Support scaff &amp; Tenda Shelter Pump B</t>
  </si>
  <si>
    <t>30000000157  0410</t>
  </si>
  <si>
    <t>Support Manpower Welder Pump B</t>
  </si>
  <si>
    <t>30000000157  0420</t>
  </si>
  <si>
    <t>Painting Pipa Spool Pump A &amp; B</t>
  </si>
  <si>
    <t>30000000157  0430</t>
  </si>
  <si>
    <t>field weld elbow 45deg 2joint</t>
  </si>
  <si>
    <t>30000000157  0440</t>
  </si>
  <si>
    <t>remove &amp; setting suction pump</t>
  </si>
  <si>
    <t>30000000157  0450</t>
  </si>
  <si>
    <t>weld spool suction pump 3joint</t>
  </si>
  <si>
    <t>30000000157  0460</t>
  </si>
  <si>
    <t>fab.support trat cable</t>
  </si>
  <si>
    <t>30000000157  0470</t>
  </si>
  <si>
    <t>fab.cover manhole</t>
  </si>
  <si>
    <t>30000000157  0480</t>
  </si>
  <si>
    <t>fab.spool pipe to reducer</t>
  </si>
  <si>
    <t>30000000157  0490</t>
  </si>
  <si>
    <t>cutting , bevelling ,&amp; fit up pipe exist</t>
  </si>
  <si>
    <t>30000000157  0500</t>
  </si>
  <si>
    <t>fab.spool discharge pump no.3</t>
  </si>
  <si>
    <t>30000000157  0510</t>
  </si>
  <si>
    <t>welding spool to reducer</t>
  </si>
  <si>
    <t>30000000157  0520</t>
  </si>
  <si>
    <t>welding spool discharge</t>
  </si>
  <si>
    <t>30000000157  0530</t>
  </si>
  <si>
    <t>make hole for drain</t>
  </si>
  <si>
    <t>30000000157  0540</t>
  </si>
  <si>
    <t>cutting pipe for return back presure</t>
  </si>
  <si>
    <t>30000000157  0550</t>
  </si>
  <si>
    <t>fit up &amp; aligment modify pipe return</t>
  </si>
  <si>
    <t>30000000157  0560</t>
  </si>
  <si>
    <t>welding pipe return back presure</t>
  </si>
  <si>
    <t>30000000157  0570</t>
  </si>
  <si>
    <t>Install Isolation Valve WDS at Reservoir</t>
  </si>
  <si>
    <t>40000005565</t>
  </si>
  <si>
    <t>remove blind flange esixting</t>
  </si>
  <si>
    <t>40000005565  0010</t>
  </si>
  <si>
    <t>reinstall temporary valve insulation</t>
  </si>
  <si>
    <t>40000005565  0020</t>
  </si>
  <si>
    <t>WDS Line construction to Pad-20 Sec-4</t>
  </si>
  <si>
    <t>40000005840</t>
  </si>
  <si>
    <t>40000005840  0010</t>
  </si>
  <si>
    <t>40000005840  0020</t>
  </si>
  <si>
    <t>fit up joint no 72 - 73( 2joint )</t>
  </si>
  <si>
    <t>40000005840  0030</t>
  </si>
  <si>
    <t>welding pipe joint no 72- 73( 2joint )</t>
  </si>
  <si>
    <t>40000005840  0040</t>
  </si>
  <si>
    <t>40000005840  0050</t>
  </si>
  <si>
    <t>remove exs.gantry</t>
  </si>
  <si>
    <t>40000005840  0060</t>
  </si>
  <si>
    <t>remove support temporary</t>
  </si>
  <si>
    <t>40000005840  0070</t>
  </si>
  <si>
    <t>housekeeping exs.shelter,temporary pole</t>
  </si>
  <si>
    <t>40000005840  0080</t>
  </si>
  <si>
    <t>remove scaffolding support</t>
  </si>
  <si>
    <t>40000005840  0090</t>
  </si>
  <si>
    <t>painting wds pipe</t>
  </si>
  <si>
    <t>40000005840  0100</t>
  </si>
  <si>
    <t>install venting</t>
  </si>
  <si>
    <t>40000005840  0110</t>
  </si>
  <si>
    <t>pengecoran anak tangga</t>
  </si>
  <si>
    <t>40000005840  0120</t>
  </si>
  <si>
    <t>pengecoran support</t>
  </si>
  <si>
    <t>40000005840  0130</t>
  </si>
  <si>
    <t>fabricate and installl gratting</t>
  </si>
  <si>
    <t>40000005840  0140</t>
  </si>
  <si>
    <t>install sadlle at support</t>
  </si>
  <si>
    <t>40000005840  0150</t>
  </si>
  <si>
    <t>WDS Line construction Gagak Sec-5</t>
  </si>
  <si>
    <t>40000005996</t>
  </si>
  <si>
    <t>painting wds line w1</t>
  </si>
  <si>
    <t>40000005996  0010</t>
  </si>
  <si>
    <t>painting wds line w2</t>
  </si>
  <si>
    <t>40000005996  0020</t>
  </si>
  <si>
    <t>painting wds line w3</t>
  </si>
  <si>
    <t>40000005996  0030</t>
  </si>
  <si>
    <t>painting wds line w4</t>
  </si>
  <si>
    <t>40000005996  0040</t>
  </si>
  <si>
    <t>Install pipe inlet &amp; disch. baker tank</t>
  </si>
  <si>
    <t>40000005996  0050</t>
  </si>
  <si>
    <t>Completion test DRJ-55</t>
  </si>
  <si>
    <t>30000000184</t>
  </si>
  <si>
    <t>30000000184  0010</t>
  </si>
  <si>
    <t>Flow test line fabrication DRJ-20-2 MUW</t>
  </si>
  <si>
    <t>30000000154</t>
  </si>
  <si>
    <t>stringging pipe for bliding line</t>
  </si>
  <si>
    <t>30000000154  0010</t>
  </si>
  <si>
    <t>field weld bliding line</t>
  </si>
  <si>
    <t>30000000154  0020</t>
  </si>
  <si>
    <t>stringging pipe spool typical no .1</t>
  </si>
  <si>
    <t>30000000154  0030</t>
  </si>
  <si>
    <t>install spool typical no.1</t>
  </si>
  <si>
    <t>30000000154  0040</t>
  </si>
  <si>
    <t>stringging pipe spool typical no .2</t>
  </si>
  <si>
    <t>30000000154  0050</t>
  </si>
  <si>
    <t>install spool typical no.2</t>
  </si>
  <si>
    <t>30000000154  0060</t>
  </si>
  <si>
    <t>stringging pipe spool typical no .3</t>
  </si>
  <si>
    <t>30000000154  0070</t>
  </si>
  <si>
    <t>install spool typical no.3</t>
  </si>
  <si>
    <t>30000000154  0080</t>
  </si>
  <si>
    <t>setting concrete block</t>
  </si>
  <si>
    <t>30000000154  0090</t>
  </si>
  <si>
    <t>install labrang 3ea</t>
  </si>
  <si>
    <t>30000000154  0100</t>
  </si>
  <si>
    <t>reinstall abatement</t>
  </si>
  <si>
    <t>30000000154  0110</t>
  </si>
  <si>
    <t>30000000154  0120</t>
  </si>
  <si>
    <t>30000000154  0130</t>
  </si>
  <si>
    <t>modify spool TEE</t>
  </si>
  <si>
    <t>30000000154  0140</t>
  </si>
  <si>
    <t>Pemsangan alat ins</t>
  </si>
  <si>
    <t>30000000154  0150</t>
  </si>
  <si>
    <t>dismantle alat ins drj 57</t>
  </si>
  <si>
    <t>30000000154  0160</t>
  </si>
  <si>
    <t>Flow Test DRJ-57</t>
  </si>
  <si>
    <t>40000006581</t>
  </si>
  <si>
    <t>Support Install Scaffolding</t>
  </si>
  <si>
    <t>40000006581  0010</t>
  </si>
  <si>
    <t>Support Scaffolding Welding</t>
  </si>
  <si>
    <t>40000006581  0020</t>
  </si>
  <si>
    <t>Repainting Pipe Spool,Muster Valve,Dll</t>
  </si>
  <si>
    <t>40000006581  0030</t>
  </si>
  <si>
    <t>40000006581  0040</t>
  </si>
  <si>
    <t>Re-Install Scaffolding</t>
  </si>
  <si>
    <t>40000006581  0050</t>
  </si>
  <si>
    <t>Housekeeping Material Scaffolding</t>
  </si>
  <si>
    <t>40000006581  0060</t>
  </si>
  <si>
    <t>Leppeling Basekorse</t>
  </si>
  <si>
    <t>40000006581  0070</t>
  </si>
  <si>
    <t>40000006581  0080</t>
  </si>
  <si>
    <t>Dismantle electric power and control Cab</t>
  </si>
  <si>
    <t>40000006581  0090</t>
  </si>
  <si>
    <t>Dismentel power &amp; panel suport flowtest</t>
  </si>
  <si>
    <t>40000006581  0100</t>
  </si>
  <si>
    <t>Support Manpower Flow Test</t>
  </si>
  <si>
    <t>40000006581  0110</t>
  </si>
  <si>
    <t>Modification scaffolding</t>
  </si>
  <si>
    <t>40000006581  0120</t>
  </si>
  <si>
    <t>Install scaffolding Shelter RM</t>
  </si>
  <si>
    <t>40000006581  0130</t>
  </si>
  <si>
    <t>Pemindahan Batu rockmufler</t>
  </si>
  <si>
    <t>40000006581  0140</t>
  </si>
  <si>
    <t>Pemasangan HDPE scondary contaimen</t>
  </si>
  <si>
    <t>40000006581  0150</t>
  </si>
  <si>
    <t>Pasang scaffolding Handrail</t>
  </si>
  <si>
    <t>40000006581  0160</t>
  </si>
  <si>
    <t>Normalisasi drainase pad-20 DRJ-57</t>
  </si>
  <si>
    <t>40000006581  0170</t>
  </si>
  <si>
    <t>Scrapping Area Pad-20 DRJ-57</t>
  </si>
  <si>
    <t>40000006581  0180</t>
  </si>
  <si>
    <t>Housekeeping selang HDPE Pad-20</t>
  </si>
  <si>
    <t>40000006581  0190</t>
  </si>
  <si>
    <t>fit up spool TEE 3 spool</t>
  </si>
  <si>
    <t>40000006581  0200</t>
  </si>
  <si>
    <t>field weld spool TEE 5joint</t>
  </si>
  <si>
    <t>40000006581  0210</t>
  </si>
  <si>
    <t>support hot bolting</t>
  </si>
  <si>
    <t>40000006581  0220</t>
  </si>
  <si>
    <t>Support Galian Welding (pengelasan)</t>
  </si>
  <si>
    <t>40000006581  0230</t>
  </si>
  <si>
    <t>Modifikasi scaffolding Welding (Paching)</t>
  </si>
  <si>
    <t>40000006581  0240</t>
  </si>
  <si>
    <t>Srapping Area Pad-3 Ex Drilling</t>
  </si>
  <si>
    <t>40000006581  0250</t>
  </si>
  <si>
    <t>remove spool flow test line DRJ 57</t>
  </si>
  <si>
    <t>40000006581  0260</t>
  </si>
  <si>
    <t>Flow test line fabrication DRJ-20-1 MUW</t>
  </si>
  <si>
    <t>30000000153</t>
  </si>
  <si>
    <t>TECO CSER GMPS MSPT PRC  SETC  //  EXCO</t>
  </si>
  <si>
    <t>30000000153  0010</t>
  </si>
  <si>
    <t>Completion DRJ-57 @ Pad-20</t>
  </si>
  <si>
    <t>40000006558</t>
  </si>
  <si>
    <t>40000006558  0010</t>
  </si>
  <si>
    <t>Support Manpower ( Flagman) Week#44.D.2</t>
  </si>
  <si>
    <t>40000006558  0020</t>
  </si>
  <si>
    <t>Support Manpower ( Flagman) Week#44.D.3</t>
  </si>
  <si>
    <t>40000006558  0030</t>
  </si>
  <si>
    <t>40000006558  0040</t>
  </si>
  <si>
    <t>40000006558  0080</t>
  </si>
  <si>
    <t>Support Manpower Night Shift Week#44.D1</t>
  </si>
  <si>
    <t>40000006558  0090</t>
  </si>
  <si>
    <t>40000006558  0100</t>
  </si>
  <si>
    <t>Support Manpower Night Shift Week#44.D2</t>
  </si>
  <si>
    <t>40000006558  0110</t>
  </si>
  <si>
    <t>40000006558  0120</t>
  </si>
  <si>
    <t>Support Manpower Night Shift Week#44.D3</t>
  </si>
  <si>
    <t>40000006558  0130</t>
  </si>
  <si>
    <t>Flow test line fabrication DRJ-18-1 MUW</t>
  </si>
  <si>
    <t>30000000152</t>
  </si>
  <si>
    <t>30000000152  0010</t>
  </si>
  <si>
    <t>cutting&amp;bevelling</t>
  </si>
  <si>
    <t>30000000152  0020</t>
  </si>
  <si>
    <t>fit up &amp; aligment</t>
  </si>
  <si>
    <t>30000000152  0030</t>
  </si>
  <si>
    <t>welding spool point#01</t>
  </si>
  <si>
    <t>30000000152  0040</t>
  </si>
  <si>
    <t>stringging pipe at field</t>
  </si>
  <si>
    <t>30000000152  0050</t>
  </si>
  <si>
    <t>30000000152  0060</t>
  </si>
  <si>
    <t>Flow Test DRJ-55</t>
  </si>
  <si>
    <t>30000000185</t>
  </si>
  <si>
    <t>fit up spool abatement</t>
  </si>
  <si>
    <t>30000000185  0010</t>
  </si>
  <si>
    <t>setting abatement box</t>
  </si>
  <si>
    <t>30000000185  0020</t>
  </si>
  <si>
    <t>install spool abatement</t>
  </si>
  <si>
    <t>30000000185  0030</t>
  </si>
  <si>
    <t>fit up spool line no 1,2</t>
  </si>
  <si>
    <t>30000000185  0040</t>
  </si>
  <si>
    <t>aligment spool no 1,2</t>
  </si>
  <si>
    <t>30000000185  0050</t>
  </si>
  <si>
    <t>welding spool no 1,2</t>
  </si>
  <si>
    <t>30000000185  0060</t>
  </si>
  <si>
    <t>fit up ,aligment spool no 3</t>
  </si>
  <si>
    <t>30000000185  0070</t>
  </si>
  <si>
    <t>welding spool no 3</t>
  </si>
  <si>
    <t>30000000185  0080</t>
  </si>
  <si>
    <t>Pouring concrete box counter weight</t>
  </si>
  <si>
    <t>30000000185  0090</t>
  </si>
  <si>
    <t>30000000185  0100</t>
  </si>
  <si>
    <t>fit up spool line no 4,5,6,7</t>
  </si>
  <si>
    <t>30000000185  0110</t>
  </si>
  <si>
    <t>fab.spool no 4,5</t>
  </si>
  <si>
    <t>30000000185  0120</t>
  </si>
  <si>
    <t>welding spool no 4,5</t>
  </si>
  <si>
    <t>30000000185  0130</t>
  </si>
  <si>
    <t>install spool no 4,5,6,7</t>
  </si>
  <si>
    <t>30000000185  0140</t>
  </si>
  <si>
    <t>Install counter weight</t>
  </si>
  <si>
    <t>30000000185  0150</t>
  </si>
  <si>
    <t>Install scaffolding for suport Drj-55</t>
  </si>
  <si>
    <t>30000000185  0160</t>
  </si>
  <si>
    <t>Gelar Victaulic</t>
  </si>
  <si>
    <t>30000000185  0170</t>
  </si>
  <si>
    <t>Brashing Pipe suport Drj-55</t>
  </si>
  <si>
    <t>30000000185  0180</t>
  </si>
  <si>
    <t>Painting Pipe suport Drj-55</t>
  </si>
  <si>
    <t>30000000185  0190</t>
  </si>
  <si>
    <t>modift spool setting intrumentation</t>
  </si>
  <si>
    <t>30000000185  0200</t>
  </si>
  <si>
    <t>re-install spool DRj 54 - DRJ 55</t>
  </si>
  <si>
    <t>30000000185  0210</t>
  </si>
  <si>
    <t>Completion test DRJ-54</t>
  </si>
  <si>
    <t>30000000186</t>
  </si>
  <si>
    <t>30000000186  0010</t>
  </si>
  <si>
    <t>Install WHP Transmiter</t>
  </si>
  <si>
    <t>30000000186  0020</t>
  </si>
  <si>
    <t>support hotbolting</t>
  </si>
  <si>
    <t>30000000186  0030</t>
  </si>
  <si>
    <t>30000000186  0040</t>
  </si>
  <si>
    <t>WDS line &amp; Parker Pump Installation</t>
  </si>
  <si>
    <t>40000006016</t>
  </si>
  <si>
    <t>fabrikasi spool elbow</t>
  </si>
  <si>
    <t>40000006016  0010</t>
  </si>
  <si>
    <t>stringging victaulic pipe</t>
  </si>
  <si>
    <t>40000006016  0020</t>
  </si>
  <si>
    <t>fab.spool flange to pipe</t>
  </si>
  <si>
    <t>40000006016  0030</t>
  </si>
  <si>
    <t>fab.spool reducer to pipe</t>
  </si>
  <si>
    <t>40000006016  0040</t>
  </si>
  <si>
    <t>40000006016  0050</t>
  </si>
  <si>
    <t>40000006016  0060</t>
  </si>
  <si>
    <t>tapping spool</t>
  </si>
  <si>
    <t>40000006016  0070</t>
  </si>
  <si>
    <t>welding nipple to fire hydrant existing</t>
  </si>
  <si>
    <t>40000006016  0080</t>
  </si>
  <si>
    <t>fab.spool pipe for pump at Bravo 1</t>
  </si>
  <si>
    <t>40000006016  0090</t>
  </si>
  <si>
    <t>cutting elbow existing at culvert</t>
  </si>
  <si>
    <t>40000006016  0100</t>
  </si>
  <si>
    <t>fab.spool for TEE</t>
  </si>
  <si>
    <t>40000006016  0110</t>
  </si>
  <si>
    <t>fit up &amp; aligment new spool TEE</t>
  </si>
  <si>
    <t>40000006016  0120</t>
  </si>
  <si>
    <t>route pas new spool TEE 6joint</t>
  </si>
  <si>
    <t>40000006016  0130</t>
  </si>
  <si>
    <t>caping weld new spool TEE 6joint</t>
  </si>
  <si>
    <t>40000006016  0140</t>
  </si>
  <si>
    <t>fit up &amp; aligment new spool elbow</t>
  </si>
  <si>
    <t>40000006016  0150</t>
  </si>
  <si>
    <t>weld new spool elbow</t>
  </si>
  <si>
    <t>40000006016  0160</t>
  </si>
  <si>
    <t>tapping spool at pipe existing</t>
  </si>
  <si>
    <t>40000006016  0170</t>
  </si>
  <si>
    <t>40000006016  0180</t>
  </si>
  <si>
    <t>fab.line suction</t>
  </si>
  <si>
    <t>40000006016  0190</t>
  </si>
  <si>
    <t>fab.spool flange 6" to valve</t>
  </si>
  <si>
    <t>40000006016  0200</t>
  </si>
  <si>
    <t>fab.elbow 45degree to spool pipe</t>
  </si>
  <si>
    <t>40000006016  0210</t>
  </si>
  <si>
    <t>fab.equalTEE to pipe existing</t>
  </si>
  <si>
    <t>40000006016  0220</t>
  </si>
  <si>
    <t>fab.elbow8" 45degree</t>
  </si>
  <si>
    <t>40000006016  0230</t>
  </si>
  <si>
    <t>fab.reducer 8" to 6"</t>
  </si>
  <si>
    <t>40000006016  0240</t>
  </si>
  <si>
    <t>weld new spool elbow 45degree</t>
  </si>
  <si>
    <t>40000006016  0250</t>
  </si>
  <si>
    <t>weld equal TEE to pipe existing</t>
  </si>
  <si>
    <t>40000006016  0260</t>
  </si>
  <si>
    <t>weld reducer 8" to 6" spool pipe</t>
  </si>
  <si>
    <t>40000006016  0270</t>
  </si>
  <si>
    <t>fab.cover temporary DAM pad 15</t>
  </si>
  <si>
    <t>40000006016  0280</t>
  </si>
  <si>
    <t>fit up &amp; aligment new line discharge</t>
  </si>
  <si>
    <t>40000006016  0290</t>
  </si>
  <si>
    <t>weld new line discharge</t>
  </si>
  <si>
    <t>40000006016  0300</t>
  </si>
  <si>
    <t>40000006016  0310</t>
  </si>
  <si>
    <t>painting WDS line parker pump</t>
  </si>
  <si>
    <t>40000006016  0320</t>
  </si>
  <si>
    <t>40000006016  0330</t>
  </si>
  <si>
    <t>40000006016  0340</t>
  </si>
  <si>
    <t>40000006016  0350</t>
  </si>
  <si>
    <t>install baricade</t>
  </si>
  <si>
    <t>40000006016  0360</t>
  </si>
  <si>
    <t>install shelter tent</t>
  </si>
  <si>
    <t>40000006016  0370</t>
  </si>
  <si>
    <t>fab.spool pipe 3"</t>
  </si>
  <si>
    <t>40000006016  0380</t>
  </si>
  <si>
    <t>field weld spool pipe 3"</t>
  </si>
  <si>
    <t>40000006016  0390</t>
  </si>
  <si>
    <t>filed weld pipe new spool 6 joint</t>
  </si>
  <si>
    <t>40000006016  0400</t>
  </si>
  <si>
    <t>install new spool</t>
  </si>
  <si>
    <t>40000006016  0410</t>
  </si>
  <si>
    <t>support pump man day shift (D1)</t>
  </si>
  <si>
    <t>40000006016  0420</t>
  </si>
  <si>
    <t>install spool pipe 3"</t>
  </si>
  <si>
    <t>40000006016  0500</t>
  </si>
  <si>
    <t>repair leak tapping point hydrant</t>
  </si>
  <si>
    <t>40000006016  0510</t>
  </si>
  <si>
    <t>install victaulic pipe line discharge</t>
  </si>
  <si>
    <t>40000006016  0520</t>
  </si>
  <si>
    <t>fab.spool fr line fire pipe line</t>
  </si>
  <si>
    <t>40000006016  0530</t>
  </si>
  <si>
    <t>welding spool line fire pipe line discha</t>
  </si>
  <si>
    <t>40000006016  0540</t>
  </si>
  <si>
    <t>modify spool pipe line bravo 1</t>
  </si>
  <si>
    <t>40000006016  0550</t>
  </si>
  <si>
    <t>fab.new spool pipe line bravo 1</t>
  </si>
  <si>
    <t>40000006016  0560</t>
  </si>
  <si>
    <t>field weld spoo pipe line</t>
  </si>
  <si>
    <t>40000006016  0570</t>
  </si>
  <si>
    <t>Well Pad-18 drilling preparation</t>
  </si>
  <si>
    <t>40000006103</t>
  </si>
  <si>
    <t>remove fence pad 18</t>
  </si>
  <si>
    <t>40000006103  0010</t>
  </si>
  <si>
    <t>40000006103  0020</t>
  </si>
  <si>
    <t>house keeping area</t>
  </si>
  <si>
    <t>40000006103  0030</t>
  </si>
  <si>
    <t>install discharge pump pad 15</t>
  </si>
  <si>
    <t>40000006103  0040</t>
  </si>
  <si>
    <t>Constr.WDS line to reservoir Pad-18 - 15</t>
  </si>
  <si>
    <t>40000006103  0050</t>
  </si>
  <si>
    <t>ins.scfl fr remove spool line fire</t>
  </si>
  <si>
    <t>40000006103  0060</t>
  </si>
  <si>
    <t>ins.scfld/asiba support welding</t>
  </si>
  <si>
    <t>40000006103  0070</t>
  </si>
  <si>
    <t>tapping point spool pipe line</t>
  </si>
  <si>
    <t>40000006103  0080</t>
  </si>
  <si>
    <t>levelling area pad 18</t>
  </si>
  <si>
    <t>40000006103  0090</t>
  </si>
  <si>
    <t>40000006103  0100</t>
  </si>
  <si>
    <t>install victaulic for suction fire pump</t>
  </si>
  <si>
    <t>40000006103  0110</t>
  </si>
  <si>
    <t>painting spool pipe line</t>
  </si>
  <si>
    <t>40000006103  0120</t>
  </si>
  <si>
    <t>laying base coarse pad 18</t>
  </si>
  <si>
    <t>40000006103  0130</t>
  </si>
  <si>
    <t>40000006103  0140</t>
  </si>
  <si>
    <t>modify fence</t>
  </si>
  <si>
    <t>40000006103  0150</t>
  </si>
  <si>
    <t>make access to sump pit</t>
  </si>
  <si>
    <t>40000006103  0160</t>
  </si>
  <si>
    <t>install scaffolding lamp</t>
  </si>
  <si>
    <t>40000006103  0170</t>
  </si>
  <si>
    <t>Flow test line fabrication DRJ-15-1 MUW</t>
  </si>
  <si>
    <t>30000000151</t>
  </si>
  <si>
    <t>marking,cutting,bevelling pipe</t>
  </si>
  <si>
    <t>30000000151  0010</t>
  </si>
  <si>
    <t>fit up &amp; alignment spool no.1</t>
  </si>
  <si>
    <t>30000000151  0020</t>
  </si>
  <si>
    <t>welding spool no.1</t>
  </si>
  <si>
    <t>30000000151  0030</t>
  </si>
  <si>
    <t>30000000151  0040</t>
  </si>
  <si>
    <t>820</t>
  </si>
  <si>
    <t>30000000151  0050</t>
  </si>
  <si>
    <t>821</t>
  </si>
  <si>
    <t>fit up &amp; alignment spool no.2</t>
  </si>
  <si>
    <t>30000000151  0060</t>
  </si>
  <si>
    <t>822</t>
  </si>
  <si>
    <t>welding spool no.2</t>
  </si>
  <si>
    <t>30000000151  0070</t>
  </si>
  <si>
    <t>823</t>
  </si>
  <si>
    <t>tapping spool existing</t>
  </si>
  <si>
    <t>30000000151  0080</t>
  </si>
  <si>
    <t>824</t>
  </si>
  <si>
    <t>marking,cutting,bevelling pipe spool 2</t>
  </si>
  <si>
    <t>30000000151  0090</t>
  </si>
  <si>
    <t>825</t>
  </si>
  <si>
    <t>30000000151  0100</t>
  </si>
  <si>
    <t>826</t>
  </si>
  <si>
    <t>30000000151  0110</t>
  </si>
  <si>
    <t>827</t>
  </si>
  <si>
    <t>tapping spool no.3</t>
  </si>
  <si>
    <t>30000000151  0120</t>
  </si>
  <si>
    <t>828</t>
  </si>
  <si>
    <t>marking,cutting,bevelling pipe spool #3</t>
  </si>
  <si>
    <t>30000000151  0130</t>
  </si>
  <si>
    <t>829</t>
  </si>
  <si>
    <t>fit up &amp; alignment spool sec.3</t>
  </si>
  <si>
    <t>30000000151  0140</t>
  </si>
  <si>
    <t>830</t>
  </si>
  <si>
    <t>welding spool sec.3</t>
  </si>
  <si>
    <t>30000000151  0150</t>
  </si>
  <si>
    <t>831</t>
  </si>
  <si>
    <t>fit up &amp; alignment spool pipe 12"joint#1</t>
  </si>
  <si>
    <t>30000000151  0160</t>
  </si>
  <si>
    <t>832</t>
  </si>
  <si>
    <t>welding spool pipe 12" joint#1</t>
  </si>
  <si>
    <t>30000000151  0170</t>
  </si>
  <si>
    <t>833</t>
  </si>
  <si>
    <t>fit up &amp; alignment spool pipe 12"joint#2</t>
  </si>
  <si>
    <t>30000000151  0180</t>
  </si>
  <si>
    <t>834</t>
  </si>
  <si>
    <t>welding spool pipe 12" joint#2</t>
  </si>
  <si>
    <t>30000000151  0190</t>
  </si>
  <si>
    <t>835</t>
  </si>
  <si>
    <t>fit up &amp; alignment spool pipe 12"joint#3</t>
  </si>
  <si>
    <t>30000000151  0200</t>
  </si>
  <si>
    <t>836</t>
  </si>
  <si>
    <t>welding spool pipe 12" joint#3</t>
  </si>
  <si>
    <t>30000000151  0210</t>
  </si>
  <si>
    <t>837</t>
  </si>
  <si>
    <t>pouring concrete support 2ea</t>
  </si>
  <si>
    <t>30000000151  0220</t>
  </si>
  <si>
    <t>838</t>
  </si>
  <si>
    <t>839</t>
  </si>
  <si>
    <t>840</t>
  </si>
  <si>
    <t>WDS Pipe Line construction to Pad 20 Sec</t>
  </si>
  <si>
    <t>40000005615</t>
  </si>
  <si>
    <t>841</t>
  </si>
  <si>
    <t>bevelling WDS pipe</t>
  </si>
  <si>
    <t>40000005615  0010</t>
  </si>
  <si>
    <t>842</t>
  </si>
  <si>
    <t>fit up joint no.21 - 22 ( 2joint)</t>
  </si>
  <si>
    <t>40000005615  0020</t>
  </si>
  <si>
    <t>843</t>
  </si>
  <si>
    <t>welding pipe joint no.21-22 (2joint)</t>
  </si>
  <si>
    <t>40000005615  0030</t>
  </si>
  <si>
    <t>844</t>
  </si>
  <si>
    <t>fit up joint no.23-24 ( 2joint)</t>
  </si>
  <si>
    <t>40000005615  0040</t>
  </si>
  <si>
    <t>845</t>
  </si>
  <si>
    <t>welding pipe joint no.23-24 ( 2joint)</t>
  </si>
  <si>
    <t>40000005615  0050</t>
  </si>
  <si>
    <t>846</t>
  </si>
  <si>
    <t>40000005615  0060</t>
  </si>
  <si>
    <t>847</t>
  </si>
  <si>
    <t>40000005615  0070</t>
  </si>
  <si>
    <t>848</t>
  </si>
  <si>
    <t>40000005615  0080</t>
  </si>
  <si>
    <t>849</t>
  </si>
  <si>
    <t>40000005615  0090</t>
  </si>
  <si>
    <t>850</t>
  </si>
  <si>
    <t>40000005615  0100</t>
  </si>
  <si>
    <t>851</t>
  </si>
  <si>
    <t>40000005615  0110</t>
  </si>
  <si>
    <t>852</t>
  </si>
  <si>
    <t>40000005615  0120</t>
  </si>
  <si>
    <t>853</t>
  </si>
  <si>
    <t>40000005615  0130</t>
  </si>
  <si>
    <t>854</t>
  </si>
  <si>
    <t>40000005615  0140</t>
  </si>
  <si>
    <t>855</t>
  </si>
  <si>
    <t>40000005615  0150</t>
  </si>
  <si>
    <t>856</t>
  </si>
  <si>
    <t>40000005615  0160</t>
  </si>
  <si>
    <t>857</t>
  </si>
  <si>
    <t>40000005615  0170</t>
  </si>
  <si>
    <t>858</t>
  </si>
  <si>
    <t>fit up joint no.31-32 ( 2joint)</t>
  </si>
  <si>
    <t>40000005615  0180</t>
  </si>
  <si>
    <t>859</t>
  </si>
  <si>
    <t>welding pipe joint no 31-32 (2joint)</t>
  </si>
  <si>
    <t>40000005615  0190</t>
  </si>
  <si>
    <t>860</t>
  </si>
  <si>
    <t>40000005615  0200</t>
  </si>
  <si>
    <t>861</t>
  </si>
  <si>
    <t>fit up joint no.33-34 (2joint)</t>
  </si>
  <si>
    <t>40000005615  0210</t>
  </si>
  <si>
    <t>862</t>
  </si>
  <si>
    <t>welding pipe joint no 33-34 (2joint)</t>
  </si>
  <si>
    <t>40000005615  0220</t>
  </si>
  <si>
    <t>863</t>
  </si>
  <si>
    <t>fit up joint no.40-43 (2joint)</t>
  </si>
  <si>
    <t>40000005615  0230</t>
  </si>
  <si>
    <t>864</t>
  </si>
  <si>
    <t>welding pipe joint no 40-43 (2joint)</t>
  </si>
  <si>
    <t>40000005615  0240</t>
  </si>
  <si>
    <t>865</t>
  </si>
  <si>
    <t>welding achor support</t>
  </si>
  <si>
    <t>40000005615  0250</t>
  </si>
  <si>
    <t>866</t>
  </si>
  <si>
    <t>fit up joint no.44-46 (2joint)</t>
  </si>
  <si>
    <t>40000005615  0260</t>
  </si>
  <si>
    <t>867</t>
  </si>
  <si>
    <t>welding pipe joint no 44-46 (2joint)</t>
  </si>
  <si>
    <t>40000005615  0270</t>
  </si>
  <si>
    <t>868</t>
  </si>
  <si>
    <t>install support 10ea</t>
  </si>
  <si>
    <t>40000005615  0280</t>
  </si>
  <si>
    <t>869</t>
  </si>
  <si>
    <t>fit up joint no.47-49 ( 2joint )</t>
  </si>
  <si>
    <t>40000005615  0290</t>
  </si>
  <si>
    <t>870</t>
  </si>
  <si>
    <t>welding pipe joint no 47-49 ( 2joint )</t>
  </si>
  <si>
    <t>40000005615  0300</t>
  </si>
  <si>
    <t>871</t>
  </si>
  <si>
    <t>40000005615  0310</t>
  </si>
  <si>
    <t>872</t>
  </si>
  <si>
    <t>40000005615  0320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</si>
  <si>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</si>
  <si>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</si>
  <si>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</si>
  <si>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</si>
  <si>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</si>
  <si>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</si>
  <si>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</si>
  <si>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</si>
  <si>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</si>
  <si>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</si>
  <si>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Explosive Handling &amp; Permittingting DRJ-Steam 6</t>
  </si>
  <si>
    <t>883</t>
  </si>
  <si>
    <t>884</t>
  </si>
  <si>
    <t>885</t>
  </si>
  <si>
    <t>886</t>
  </si>
  <si>
    <t>887</t>
  </si>
  <si>
    <t>888</t>
  </si>
  <si>
    <t>Drilling Safety, Health &amp; Enviro DRJ-Steam 6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</si>
  <si>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</si>
  <si>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</si>
  <si>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</si>
  <si>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</si>
  <si>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</si>
  <si>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</si>
  <si>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</si>
  <si>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</si>
  <si>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</si>
  <si>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</si>
  <si>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</si>
  <si>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</si>
  <si>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</si>
  <si>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</si>
  <si>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</si>
  <si>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</si>
  <si>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</si>
  <si>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</si>
  <si>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</si>
  <si>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</si>
  <si>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</si>
  <si>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</si>
  <si>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</si>
  <si>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</si>
  <si>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</si>
  <si>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Explosive Handling &amp; Permittingting DRJ-Steam 5</t>
  </si>
  <si>
    <t>914</t>
  </si>
  <si>
    <t>915</t>
  </si>
  <si>
    <t>916</t>
  </si>
  <si>
    <t>917</t>
  </si>
  <si>
    <t>918</t>
  </si>
  <si>
    <t>919</t>
  </si>
  <si>
    <t>Drilling Safety, Health &amp; Enviro DRJ-Steam 5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</si>
  <si>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</si>
  <si>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</si>
  <si>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</si>
  <si>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</si>
  <si>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</si>
  <si>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</si>
  <si>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</si>
  <si>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</si>
  <si>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</si>
  <si>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</si>
  <si>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</si>
  <si>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</si>
  <si>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</si>
  <si>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</si>
  <si>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</si>
  <si>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</si>
  <si>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</si>
  <si>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</si>
  <si>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</si>
  <si>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</si>
  <si>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</si>
  <si>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</si>
  <si>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</si>
  <si>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</si>
  <si>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</si>
  <si>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Explosive Handling &amp; Permittingting DRJ-Steam 4</t>
  </si>
  <si>
    <t>945</t>
  </si>
  <si>
    <t>946</t>
  </si>
  <si>
    <t>947</t>
  </si>
  <si>
    <t>948</t>
  </si>
  <si>
    <t>949</t>
  </si>
  <si>
    <t>950</t>
  </si>
  <si>
    <t>Drilling Safety, Health &amp; Enviro DRJ-Steam 4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</si>
  <si>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</si>
  <si>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</si>
  <si>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</si>
  <si>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</si>
  <si>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</si>
  <si>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</si>
  <si>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</si>
  <si>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</si>
  <si>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</si>
  <si>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</si>
  <si>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</si>
  <si>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</si>
  <si>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</si>
  <si>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</si>
  <si>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</si>
  <si>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</si>
  <si>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</si>
  <si>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</si>
  <si>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</si>
  <si>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</si>
  <si>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</si>
  <si>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</si>
  <si>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</si>
  <si>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</si>
  <si>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CLSD BUDG AVAC  //  BUDG</t>
  </si>
  <si>
    <t>975</t>
  </si>
  <si>
    <t>Explosive Handling &amp; Permittingting DRJ-Steam 3</t>
  </si>
  <si>
    <t>976</t>
  </si>
  <si>
    <t>977</t>
  </si>
  <si>
    <t>978</t>
  </si>
  <si>
    <t>979</t>
  </si>
  <si>
    <t>980</t>
  </si>
  <si>
    <t>981</t>
  </si>
  <si>
    <t>Drilling Safety, Health &amp; Enviro DRJ-Steam 3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</si>
  <si>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</si>
  <si>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</si>
  <si>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</si>
  <si>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</si>
  <si>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</si>
  <si>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</si>
  <si>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</si>
  <si>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</si>
  <si>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</si>
  <si>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</si>
  <si>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</si>
  <si>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</si>
  <si>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</si>
  <si>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</si>
  <si>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</si>
  <si>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</si>
  <si>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</si>
  <si>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</si>
  <si>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</si>
  <si>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</si>
  <si>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</si>
  <si>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</si>
  <si>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</si>
  <si>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</si>
  <si>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</si>
  <si>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Explosive Handling &amp; Permittingting DRJ-Steam 2</t>
  </si>
  <si>
    <t>1007</t>
  </si>
  <si>
    <t>1008</t>
  </si>
  <si>
    <t>1009</t>
  </si>
  <si>
    <t>1010</t>
  </si>
  <si>
    <t>1011</t>
  </si>
  <si>
    <t>1012</t>
  </si>
  <si>
    <t>Drilling Safety, Health &amp; Enviro DRJ-Steam 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</si>
  <si>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</si>
  <si>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</si>
  <si>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</si>
  <si>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</si>
  <si>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</si>
  <si>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</si>
  <si>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</si>
  <si>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</si>
  <si>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</si>
  <si>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</si>
  <si>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</si>
  <si>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</si>
  <si>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</si>
  <si>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</si>
  <si>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</si>
  <si>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</si>
  <si>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</si>
  <si>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</si>
  <si>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</si>
  <si>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</si>
  <si>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</si>
  <si>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</si>
  <si>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</si>
  <si>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</si>
  <si>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</si>
  <si>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</si>
  <si>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</si>
  <si>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</si>
  <si>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</si>
  <si>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</si>
  <si>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</si>
  <si>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</si>
  <si>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</si>
  <si>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</si>
  <si>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</si>
  <si>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</si>
  <si>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</si>
  <si>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</si>
  <si>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</si>
  <si>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</si>
  <si>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</si>
  <si>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</si>
  <si>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Explosive Handling &amp; Permittingting DRJ-Steam 1</t>
  </si>
  <si>
    <t>1055</t>
  </si>
  <si>
    <t>1056</t>
  </si>
  <si>
    <t>1057</t>
  </si>
  <si>
    <t>1058</t>
  </si>
  <si>
    <t>1059</t>
  </si>
  <si>
    <t>1060</t>
  </si>
  <si>
    <t>Drilling Safety, Health &amp; Enviro DRJ-Steam 1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</si>
  <si>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</si>
  <si>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</si>
  <si>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</si>
  <si>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</si>
  <si>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</si>
  <si>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</si>
  <si>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</si>
  <si>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</si>
  <si>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</si>
  <si>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</si>
  <si>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</si>
  <si>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</si>
  <si>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</si>
  <si>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</si>
  <si>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</si>
  <si>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</si>
  <si>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</si>
  <si>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</si>
  <si>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</si>
  <si>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</si>
  <si>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</si>
  <si>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</si>
  <si>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Budget2</t>
  </si>
  <si>
    <t>Release3</t>
  </si>
  <si>
    <t>ProCstPlan4</t>
  </si>
  <si>
    <t>Tot.cst.cm5</t>
  </si>
  <si>
    <t>Act.costs6</t>
  </si>
  <si>
    <t>Code_L1</t>
  </si>
  <si>
    <t>Code_L2</t>
  </si>
  <si>
    <t>Code_L3</t>
  </si>
  <si>
    <t>Code_L4</t>
  </si>
  <si>
    <t>Tag_L2</t>
  </si>
  <si>
    <t>Tag_L3</t>
  </si>
  <si>
    <t>Tag_L4</t>
  </si>
  <si>
    <t>Tag_L5</t>
  </si>
  <si>
    <t>Tag_Well_Pad_Name</t>
  </si>
  <si>
    <t>L2 Dictionary</t>
  </si>
  <si>
    <t>Middle Digit</t>
  </si>
  <si>
    <t>No of Digit</t>
  </si>
  <si>
    <t>Description</t>
  </si>
  <si>
    <t>Support Facilities Cost</t>
  </si>
  <si>
    <t>Middle Number</t>
  </si>
  <si>
    <t>3020390</t>
  </si>
  <si>
    <t>3020389</t>
  </si>
  <si>
    <t>3020388</t>
  </si>
  <si>
    <t>3020387</t>
  </si>
  <si>
    <t>3020394</t>
  </si>
  <si>
    <t>3020393</t>
  </si>
  <si>
    <t>3020392</t>
  </si>
  <si>
    <t>3020386</t>
  </si>
  <si>
    <t>3020385</t>
  </si>
  <si>
    <t>3020384</t>
  </si>
  <si>
    <t>3020383</t>
  </si>
  <si>
    <t>3020374</t>
  </si>
  <si>
    <t>3012991</t>
  </si>
  <si>
    <t>3012982</t>
  </si>
  <si>
    <t>3012914</t>
  </si>
  <si>
    <t>3012981</t>
  </si>
  <si>
    <t>3012979</t>
  </si>
  <si>
    <t>3012978</t>
  </si>
  <si>
    <t>3012977</t>
  </si>
  <si>
    <t>3012976</t>
  </si>
  <si>
    <t>3012975</t>
  </si>
  <si>
    <t>3010173</t>
  </si>
  <si>
    <t>3010172</t>
  </si>
  <si>
    <t>3010106</t>
  </si>
  <si>
    <t>3010105</t>
  </si>
  <si>
    <t>3010104</t>
  </si>
  <si>
    <t>3010103</t>
  </si>
  <si>
    <t>3010102</t>
  </si>
  <si>
    <t>3010161</t>
  </si>
  <si>
    <t>3010156</t>
  </si>
  <si>
    <t>3010169</t>
  </si>
  <si>
    <t>3010101</t>
  </si>
  <si>
    <t>3010107</t>
  </si>
  <si>
    <t>3010108</t>
  </si>
  <si>
    <t>3010109</t>
  </si>
  <si>
    <t>3010195</t>
  </si>
  <si>
    <t>3012980</t>
  </si>
  <si>
    <t>3029901</t>
  </si>
  <si>
    <t>302039009</t>
  </si>
  <si>
    <t>302039008</t>
  </si>
  <si>
    <t>302039007</t>
  </si>
  <si>
    <t>302038909</t>
  </si>
  <si>
    <t>302038908</t>
  </si>
  <si>
    <t>302038907</t>
  </si>
  <si>
    <t>302038809</t>
  </si>
  <si>
    <t>302038808</t>
  </si>
  <si>
    <t>302038807</t>
  </si>
  <si>
    <t>302038709</t>
  </si>
  <si>
    <t>302038708</t>
  </si>
  <si>
    <t>302038707</t>
  </si>
  <si>
    <t>302039409</t>
  </si>
  <si>
    <t>302039408</t>
  </si>
  <si>
    <t>302039407</t>
  </si>
  <si>
    <t>302039309</t>
  </si>
  <si>
    <t>302039308</t>
  </si>
  <si>
    <t>302039307</t>
  </si>
  <si>
    <t>302039209</t>
  </si>
  <si>
    <t>302039208</t>
  </si>
  <si>
    <t>302039207</t>
  </si>
  <si>
    <t>302038609</t>
  </si>
  <si>
    <t>302038608</t>
  </si>
  <si>
    <t>302038607</t>
  </si>
  <si>
    <t>302038509</t>
  </si>
  <si>
    <t>302038508</t>
  </si>
  <si>
    <t>302038507</t>
  </si>
  <si>
    <t>302038409</t>
  </si>
  <si>
    <t>302038408</t>
  </si>
  <si>
    <t>302038407</t>
  </si>
  <si>
    <t>302038309</t>
  </si>
  <si>
    <t>302038308</t>
  </si>
  <si>
    <t>302038307</t>
  </si>
  <si>
    <t>302037406</t>
  </si>
  <si>
    <t>302037405</t>
  </si>
  <si>
    <t>302037404</t>
  </si>
  <si>
    <t>302037403</t>
  </si>
  <si>
    <t>302037402</t>
  </si>
  <si>
    <t>302037401</t>
  </si>
  <si>
    <t>301299127</t>
  </si>
  <si>
    <t>301298264</t>
  </si>
  <si>
    <t>301291463</t>
  </si>
  <si>
    <t>301298160</t>
  </si>
  <si>
    <t>301297906</t>
  </si>
  <si>
    <t>301297905</t>
  </si>
  <si>
    <t>301297904</t>
  </si>
  <si>
    <t>301297903</t>
  </si>
  <si>
    <t>301297902</t>
  </si>
  <si>
    <t>301297901</t>
  </si>
  <si>
    <t>301297856</t>
  </si>
  <si>
    <t>301297862</t>
  </si>
  <si>
    <t>301297727</t>
  </si>
  <si>
    <t>301297759</t>
  </si>
  <si>
    <t>301297757</t>
  </si>
  <si>
    <t>301297758</t>
  </si>
  <si>
    <t>301297606</t>
  </si>
  <si>
    <t>301297605</t>
  </si>
  <si>
    <t>301297604</t>
  </si>
  <si>
    <t>301297603</t>
  </si>
  <si>
    <t>301297602</t>
  </si>
  <si>
    <t>301297601</t>
  </si>
  <si>
    <t>301297506</t>
  </si>
  <si>
    <t>301297505</t>
  </si>
  <si>
    <t>301297504</t>
  </si>
  <si>
    <t>301297503</t>
  </si>
  <si>
    <t>301297502</t>
  </si>
  <si>
    <t>301297501</t>
  </si>
  <si>
    <t>301017311</t>
  </si>
  <si>
    <t>301017299</t>
  </si>
  <si>
    <t>301010602</t>
  </si>
  <si>
    <t>301010601</t>
  </si>
  <si>
    <t>301010661</t>
  </si>
  <si>
    <t>301010502</t>
  </si>
  <si>
    <t>301010501</t>
  </si>
  <si>
    <t>301010561</t>
  </si>
  <si>
    <t>301010402</t>
  </si>
  <si>
    <t>301010401</t>
  </si>
  <si>
    <t>301010461</t>
  </si>
  <si>
    <t>301010302</t>
  </si>
  <si>
    <t>301010301</t>
  </si>
  <si>
    <t>301010361</t>
  </si>
  <si>
    <t>301010202</t>
  </si>
  <si>
    <t>301010201</t>
  </si>
  <si>
    <t>301010261</t>
  </si>
  <si>
    <t>301016101</t>
  </si>
  <si>
    <t>301015604</t>
  </si>
  <si>
    <t>301015603</t>
  </si>
  <si>
    <t>301015602</t>
  </si>
  <si>
    <t>301015601</t>
  </si>
  <si>
    <t>301016967</t>
  </si>
  <si>
    <t>301016903</t>
  </si>
  <si>
    <t>301010102</t>
  </si>
  <si>
    <t>301010101</t>
  </si>
  <si>
    <t>301010161</t>
  </si>
  <si>
    <t>301010701</t>
  </si>
  <si>
    <t>301010702</t>
  </si>
  <si>
    <t>301010761</t>
  </si>
  <si>
    <t>301010801</t>
  </si>
  <si>
    <t>301010802</t>
  </si>
  <si>
    <t>301010861</t>
  </si>
  <si>
    <t>301010901</t>
  </si>
  <si>
    <t>301010902</t>
  </si>
  <si>
    <t>301010961</t>
  </si>
  <si>
    <t>301016102</t>
  </si>
  <si>
    <t>301016103</t>
  </si>
  <si>
    <t>301016104</t>
  </si>
  <si>
    <t>301019568</t>
  </si>
  <si>
    <t>301297507</t>
  </si>
  <si>
    <t>301297508</t>
  </si>
  <si>
    <t>301297509</t>
  </si>
  <si>
    <t>301297607</t>
  </si>
  <si>
    <t>301297608</t>
  </si>
  <si>
    <t>301297609</t>
  </si>
  <si>
    <t>301297907</t>
  </si>
  <si>
    <t>301297908</t>
  </si>
  <si>
    <t>301297909</t>
  </si>
  <si>
    <t>301298052</t>
  </si>
  <si>
    <t>301298265</t>
  </si>
  <si>
    <t>302037407</t>
  </si>
  <si>
    <t>302037408</t>
  </si>
  <si>
    <t>302037409</t>
  </si>
  <si>
    <t>302990115</t>
  </si>
  <si>
    <t>301297726</t>
  </si>
  <si>
    <t>301016966</t>
  </si>
  <si>
    <t>L3</t>
  </si>
  <si>
    <t>30203900963</t>
  </si>
  <si>
    <t>30203900821</t>
  </si>
  <si>
    <t>30203900860</t>
  </si>
  <si>
    <t>30203900759</t>
  </si>
  <si>
    <t>30203890963</t>
  </si>
  <si>
    <t>30203890821</t>
  </si>
  <si>
    <t>30203890860</t>
  </si>
  <si>
    <t>30203890759</t>
  </si>
  <si>
    <t>30203880963</t>
  </si>
  <si>
    <t>30203880821</t>
  </si>
  <si>
    <t>30203880860</t>
  </si>
  <si>
    <t>30203880759</t>
  </si>
  <si>
    <t>30203870963</t>
  </si>
  <si>
    <t>30203870821</t>
  </si>
  <si>
    <t>30203870860</t>
  </si>
  <si>
    <t>30203870759</t>
  </si>
  <si>
    <t>30203940962</t>
  </si>
  <si>
    <t>30203940821</t>
  </si>
  <si>
    <t>30203940860</t>
  </si>
  <si>
    <t>30203940759</t>
  </si>
  <si>
    <t>30203930962</t>
  </si>
  <si>
    <t>30203930821</t>
  </si>
  <si>
    <t>30203930860</t>
  </si>
  <si>
    <t>30203930759</t>
  </si>
  <si>
    <t>30203920962</t>
  </si>
  <si>
    <t>30203920821</t>
  </si>
  <si>
    <t>30203920860</t>
  </si>
  <si>
    <t>30203920759</t>
  </si>
  <si>
    <t>30203860962</t>
  </si>
  <si>
    <t>30203860821</t>
  </si>
  <si>
    <t>30203860860</t>
  </si>
  <si>
    <t>30203860759</t>
  </si>
  <si>
    <t>30203850962</t>
  </si>
  <si>
    <t>30203850821</t>
  </si>
  <si>
    <t>30203850860</t>
  </si>
  <si>
    <t>30203850759</t>
  </si>
  <si>
    <t>30203840962</t>
  </si>
  <si>
    <t>30203840821</t>
  </si>
  <si>
    <t>30203840860</t>
  </si>
  <si>
    <t>30203840759</t>
  </si>
  <si>
    <t>30203830962</t>
  </si>
  <si>
    <t>30203830821</t>
  </si>
  <si>
    <t>30203830860</t>
  </si>
  <si>
    <t>30203830759</t>
  </si>
  <si>
    <t>30203740660</t>
  </si>
  <si>
    <t>30203740603</t>
  </si>
  <si>
    <t>30203740560</t>
  </si>
  <si>
    <t>30203740503</t>
  </si>
  <si>
    <t>30203740460</t>
  </si>
  <si>
    <t>30203740403</t>
  </si>
  <si>
    <t>30203740360</t>
  </si>
  <si>
    <t>30203740303</t>
  </si>
  <si>
    <t>30203740260</t>
  </si>
  <si>
    <t>30203740203</t>
  </si>
  <si>
    <t>30203740160</t>
  </si>
  <si>
    <t>30203740103</t>
  </si>
  <si>
    <t>30129912724</t>
  </si>
  <si>
    <t>30129826460</t>
  </si>
  <si>
    <t>30129146321</t>
  </si>
  <si>
    <t>30129816043</t>
  </si>
  <si>
    <t>30129790606</t>
  </si>
  <si>
    <t>30129790505</t>
  </si>
  <si>
    <t>30129790404</t>
  </si>
  <si>
    <t>30129790303</t>
  </si>
  <si>
    <t>30129790202</t>
  </si>
  <si>
    <t>30129790101</t>
  </si>
  <si>
    <t>30129785627</t>
  </si>
  <si>
    <t>30129786227</t>
  </si>
  <si>
    <t>30129772724</t>
  </si>
  <si>
    <t>30129775920</t>
  </si>
  <si>
    <t>30129775736</t>
  </si>
  <si>
    <t>30129775816</t>
  </si>
  <si>
    <t>30129775817</t>
  </si>
  <si>
    <t>30129760606</t>
  </si>
  <si>
    <t>30129760505</t>
  </si>
  <si>
    <t>30129760404</t>
  </si>
  <si>
    <t>30129760303</t>
  </si>
  <si>
    <t>30129760202</t>
  </si>
  <si>
    <t>30129760101</t>
  </si>
  <si>
    <t>30129750606</t>
  </si>
  <si>
    <t>30129750505</t>
  </si>
  <si>
    <t>30129750404</t>
  </si>
  <si>
    <t>30129750303</t>
  </si>
  <si>
    <t>30129750202</t>
  </si>
  <si>
    <t>30129750101</t>
  </si>
  <si>
    <t>30101731160</t>
  </si>
  <si>
    <t>30101729921</t>
  </si>
  <si>
    <t>30101060224</t>
  </si>
  <si>
    <t>30101060298</t>
  </si>
  <si>
    <t>30101060297</t>
  </si>
  <si>
    <t>30101060296</t>
  </si>
  <si>
    <t>30101060295</t>
  </si>
  <si>
    <t>30101060294</t>
  </si>
  <si>
    <t>30101060220</t>
  </si>
  <si>
    <t>30101060217</t>
  </si>
  <si>
    <t>30101060216</t>
  </si>
  <si>
    <t>30101060215</t>
  </si>
  <si>
    <t>30101060214</t>
  </si>
  <si>
    <t>30101060213</t>
  </si>
  <si>
    <t>30101060247</t>
  </si>
  <si>
    <t>30101060212</t>
  </si>
  <si>
    <t>30101060211</t>
  </si>
  <si>
    <t>30101060210</t>
  </si>
  <si>
    <t>30101060209</t>
  </si>
  <si>
    <t>30101060208</t>
  </si>
  <si>
    <t>30101060207</t>
  </si>
  <si>
    <t>30101060205</t>
  </si>
  <si>
    <t>30101060204</t>
  </si>
  <si>
    <t>30101060160</t>
  </si>
  <si>
    <t>30101066162</t>
  </si>
  <si>
    <t>30101066193</t>
  </si>
  <si>
    <t>30101066118</t>
  </si>
  <si>
    <t>30101066102</t>
  </si>
  <si>
    <t>30101066101</t>
  </si>
  <si>
    <t>30101050224</t>
  </si>
  <si>
    <t>30101050298</t>
  </si>
  <si>
    <t>30101050297</t>
  </si>
  <si>
    <t>30101050296</t>
  </si>
  <si>
    <t>30101050295</t>
  </si>
  <si>
    <t>30101050294</t>
  </si>
  <si>
    <t>30101050220</t>
  </si>
  <si>
    <t>30101050217</t>
  </si>
  <si>
    <t>30101050216</t>
  </si>
  <si>
    <t>30101050215</t>
  </si>
  <si>
    <t>30101050214</t>
  </si>
  <si>
    <t>30101050213</t>
  </si>
  <si>
    <t>30101050247</t>
  </si>
  <si>
    <t>30101050212</t>
  </si>
  <si>
    <t>30101050211</t>
  </si>
  <si>
    <t>30101050210</t>
  </si>
  <si>
    <t>30101050209</t>
  </si>
  <si>
    <t>30101050208</t>
  </si>
  <si>
    <t>30101050207</t>
  </si>
  <si>
    <t>30101050205</t>
  </si>
  <si>
    <t>30101050204</t>
  </si>
  <si>
    <t>30101050160</t>
  </si>
  <si>
    <t>30101056162</t>
  </si>
  <si>
    <t>30101056193</t>
  </si>
  <si>
    <t>30101056118</t>
  </si>
  <si>
    <t>30101056102</t>
  </si>
  <si>
    <t>30101056101</t>
  </si>
  <si>
    <t>30101040224</t>
  </si>
  <si>
    <t>30101040298</t>
  </si>
  <si>
    <t>30101040297</t>
  </si>
  <si>
    <t>30101040296</t>
  </si>
  <si>
    <t>30101040295</t>
  </si>
  <si>
    <t>30101040294</t>
  </si>
  <si>
    <t>30101040220</t>
  </si>
  <si>
    <t>30101040217</t>
  </si>
  <si>
    <t>30101040216</t>
  </si>
  <si>
    <t>30101040215</t>
  </si>
  <si>
    <t>30101040214</t>
  </si>
  <si>
    <t>30101040213</t>
  </si>
  <si>
    <t>30101040247</t>
  </si>
  <si>
    <t>30101040212</t>
  </si>
  <si>
    <t>30101040211</t>
  </si>
  <si>
    <t>30101040210</t>
  </si>
  <si>
    <t>30101040209</t>
  </si>
  <si>
    <t>30101040208</t>
  </si>
  <si>
    <t>30101040207</t>
  </si>
  <si>
    <t>30101040205</t>
  </si>
  <si>
    <t>30101040204</t>
  </si>
  <si>
    <t>30101040160</t>
  </si>
  <si>
    <t>30101046162</t>
  </si>
  <si>
    <t>30101046193</t>
  </si>
  <si>
    <t>30101046118</t>
  </si>
  <si>
    <t>30101046102</t>
  </si>
  <si>
    <t>30101046101</t>
  </si>
  <si>
    <t>30101030224</t>
  </si>
  <si>
    <t>30101030298</t>
  </si>
  <si>
    <t>30101030297</t>
  </si>
  <si>
    <t>30101030296</t>
  </si>
  <si>
    <t>30101030295</t>
  </si>
  <si>
    <t>30101030294</t>
  </si>
  <si>
    <t>30101030220</t>
  </si>
  <si>
    <t>30101030217</t>
  </si>
  <si>
    <t>30101030216</t>
  </si>
  <si>
    <t>30101030215</t>
  </si>
  <si>
    <t>30101030214</t>
  </si>
  <si>
    <t>30101030213</t>
  </si>
  <si>
    <t>30101030247</t>
  </si>
  <si>
    <t>30101030212</t>
  </si>
  <si>
    <t>30101030211</t>
  </si>
  <si>
    <t>30101030210</t>
  </si>
  <si>
    <t>30101030209</t>
  </si>
  <si>
    <t>30101030208</t>
  </si>
  <si>
    <t>30101030207</t>
  </si>
  <si>
    <t>30101030205</t>
  </si>
  <si>
    <t>30101030204</t>
  </si>
  <si>
    <t>30101030160</t>
  </si>
  <si>
    <t>30101036162</t>
  </si>
  <si>
    <t>30101036193</t>
  </si>
  <si>
    <t>30101036118</t>
  </si>
  <si>
    <t>30101036102</t>
  </si>
  <si>
    <t>30101036101</t>
  </si>
  <si>
    <t>30101020224</t>
  </si>
  <si>
    <t>30101020298</t>
  </si>
  <si>
    <t>30101020297</t>
  </si>
  <si>
    <t>30101020296</t>
  </si>
  <si>
    <t>30101020295</t>
  </si>
  <si>
    <t>30101020294</t>
  </si>
  <si>
    <t>30101020220</t>
  </si>
  <si>
    <t>30101020217</t>
  </si>
  <si>
    <t>30101020216</t>
  </si>
  <si>
    <t>30101020215</t>
  </si>
  <si>
    <t>30101020214</t>
  </si>
  <si>
    <t>30101020213</t>
  </si>
  <si>
    <t>30101020247</t>
  </si>
  <si>
    <t>30101020212</t>
  </si>
  <si>
    <t>30101020211</t>
  </si>
  <si>
    <t>30101020210</t>
  </si>
  <si>
    <t>30101020209</t>
  </si>
  <si>
    <t>30101020208</t>
  </si>
  <si>
    <t>30101020207</t>
  </si>
  <si>
    <t>30101020205</t>
  </si>
  <si>
    <t>30101020204</t>
  </si>
  <si>
    <t>30101020160</t>
  </si>
  <si>
    <t>30101026162</t>
  </si>
  <si>
    <t>30101026193</t>
  </si>
  <si>
    <t>30101026118</t>
  </si>
  <si>
    <t>30101026102</t>
  </si>
  <si>
    <t>30101026101</t>
  </si>
  <si>
    <t>30101610123</t>
  </si>
  <si>
    <t>30101560423</t>
  </si>
  <si>
    <t>30101560323</t>
  </si>
  <si>
    <t>30101560223</t>
  </si>
  <si>
    <t>30101560123</t>
  </si>
  <si>
    <t>30101696706</t>
  </si>
  <si>
    <t>30101690306</t>
  </si>
  <si>
    <t>30101010224</t>
  </si>
  <si>
    <t>30101010298</t>
  </si>
  <si>
    <t>30101010297</t>
  </si>
  <si>
    <t>30101010296</t>
  </si>
  <si>
    <t>30101010295</t>
  </si>
  <si>
    <t>30101010294</t>
  </si>
  <si>
    <t>30101010220</t>
  </si>
  <si>
    <t>30101010217</t>
  </si>
  <si>
    <t>30101010216</t>
  </si>
  <si>
    <t>30101010215</t>
  </si>
  <si>
    <t>30101010214</t>
  </si>
  <si>
    <t>30101010213</t>
  </si>
  <si>
    <t>30101010247</t>
  </si>
  <si>
    <t>30101010212</t>
  </si>
  <si>
    <t>30101010211</t>
  </si>
  <si>
    <t>30101010210</t>
  </si>
  <si>
    <t>30101010209</t>
  </si>
  <si>
    <t>30101010208</t>
  </si>
  <si>
    <t>30101010207</t>
  </si>
  <si>
    <t>30101010205</t>
  </si>
  <si>
    <t>30101010204</t>
  </si>
  <si>
    <t>30101010160</t>
  </si>
  <si>
    <t>30101016162</t>
  </si>
  <si>
    <t>30101016193</t>
  </si>
  <si>
    <t>30101016118</t>
  </si>
  <si>
    <t>30101016102</t>
  </si>
  <si>
    <t>30101016101</t>
  </si>
  <si>
    <t>30101010245</t>
  </si>
  <si>
    <t>30101020245</t>
  </si>
  <si>
    <t>30101030245</t>
  </si>
  <si>
    <t>30101040245</t>
  </si>
  <si>
    <t>30101050245</t>
  </si>
  <si>
    <t>30101060245</t>
  </si>
  <si>
    <t>30101070160</t>
  </si>
  <si>
    <t>30101070204</t>
  </si>
  <si>
    <t>30101070205</t>
  </si>
  <si>
    <t>30101070207</t>
  </si>
  <si>
    <t>30101070208</t>
  </si>
  <si>
    <t>30101070209</t>
  </si>
  <si>
    <t>30101070210</t>
  </si>
  <si>
    <t>30101070211</t>
  </si>
  <si>
    <t>30101070212</t>
  </si>
  <si>
    <t>30101070213</t>
  </si>
  <si>
    <t>30101070214</t>
  </si>
  <si>
    <t>30101070215</t>
  </si>
  <si>
    <t>30101070216</t>
  </si>
  <si>
    <t>30101070217</t>
  </si>
  <si>
    <t>30101070220</t>
  </si>
  <si>
    <t>30101070224</t>
  </si>
  <si>
    <t>30101070245</t>
  </si>
  <si>
    <t>30101070247</t>
  </si>
  <si>
    <t>30101070294</t>
  </si>
  <si>
    <t>30101070295</t>
  </si>
  <si>
    <t>30101070296</t>
  </si>
  <si>
    <t>30101070297</t>
  </si>
  <si>
    <t>30101070298</t>
  </si>
  <si>
    <t>30101076101</t>
  </si>
  <si>
    <t>30101076102</t>
  </si>
  <si>
    <t>30101076118</t>
  </si>
  <si>
    <t>30101076162</t>
  </si>
  <si>
    <t>30101076193</t>
  </si>
  <si>
    <t>30101080160</t>
  </si>
  <si>
    <t>30101080204</t>
  </si>
  <si>
    <t>30101080205</t>
  </si>
  <si>
    <t>30101080207</t>
  </si>
  <si>
    <t>30101080208</t>
  </si>
  <si>
    <t>30101080209</t>
  </si>
  <si>
    <t>30101080210</t>
  </si>
  <si>
    <t>30101080211</t>
  </si>
  <si>
    <t>30101080212</t>
  </si>
  <si>
    <t>30101080213</t>
  </si>
  <si>
    <t>30101080214</t>
  </si>
  <si>
    <t>30101080215</t>
  </si>
  <si>
    <t>30101080216</t>
  </si>
  <si>
    <t>30101080217</t>
  </si>
  <si>
    <t>30101080220</t>
  </si>
  <si>
    <t>30101080224</t>
  </si>
  <si>
    <t>30101080245</t>
  </si>
  <si>
    <t>30101080247</t>
  </si>
  <si>
    <t>30101080294</t>
  </si>
  <si>
    <t>30101080295</t>
  </si>
  <si>
    <t>30101080296</t>
  </si>
  <si>
    <t>30101080297</t>
  </si>
  <si>
    <t>30101080298</t>
  </si>
  <si>
    <t>30101086101</t>
  </si>
  <si>
    <t>30101086102</t>
  </si>
  <si>
    <t>30101086118</t>
  </si>
  <si>
    <t>30101086162</t>
  </si>
  <si>
    <t>30101086193</t>
  </si>
  <si>
    <t>30101090160</t>
  </si>
  <si>
    <t>30101090204</t>
  </si>
  <si>
    <t>30101090205</t>
  </si>
  <si>
    <t>30101090207</t>
  </si>
  <si>
    <t>30101090208</t>
  </si>
  <si>
    <t>30101090209</t>
  </si>
  <si>
    <t>30101090210</t>
  </si>
  <si>
    <t>30101090211</t>
  </si>
  <si>
    <t>30101090212</t>
  </si>
  <si>
    <t>30101090213</t>
  </si>
  <si>
    <t>30101090214</t>
  </si>
  <si>
    <t>30101090215</t>
  </si>
  <si>
    <t>30101090216</t>
  </si>
  <si>
    <t>30101090217</t>
  </si>
  <si>
    <t>30101090220</t>
  </si>
  <si>
    <t>30101090224</t>
  </si>
  <si>
    <t>30101090245</t>
  </si>
  <si>
    <t>30101090247</t>
  </si>
  <si>
    <t>30101090294</t>
  </si>
  <si>
    <t>30101090295</t>
  </si>
  <si>
    <t>30101090296</t>
  </si>
  <si>
    <t>30101090297</t>
  </si>
  <si>
    <t>30101090298</t>
  </si>
  <si>
    <t>30101096101</t>
  </si>
  <si>
    <t>30101096102</t>
  </si>
  <si>
    <t>30101096118</t>
  </si>
  <si>
    <t>30101096162</t>
  </si>
  <si>
    <t>30101096193</t>
  </si>
  <si>
    <t>30101560105</t>
  </si>
  <si>
    <t>30101560205</t>
  </si>
  <si>
    <t>30101560305</t>
  </si>
  <si>
    <t>30101560405</t>
  </si>
  <si>
    <t>30101610105</t>
  </si>
  <si>
    <t>30101610205</t>
  </si>
  <si>
    <t>30101610223</t>
  </si>
  <si>
    <t>30101610305</t>
  </si>
  <si>
    <t>30101610323</t>
  </si>
  <si>
    <t>30101610405</t>
  </si>
  <si>
    <t>30101610423</t>
  </si>
  <si>
    <t>30101956814</t>
  </si>
  <si>
    <t>30129750707</t>
  </si>
  <si>
    <t>30129750808</t>
  </si>
  <si>
    <t>30129750909</t>
  </si>
  <si>
    <t>30129760707</t>
  </si>
  <si>
    <t>30129760808</t>
  </si>
  <si>
    <t>30129760909</t>
  </si>
  <si>
    <t>30129775929</t>
  </si>
  <si>
    <t>30129790707</t>
  </si>
  <si>
    <t>30129790808</t>
  </si>
  <si>
    <t>30129790909</t>
  </si>
  <si>
    <t>30129805264</t>
  </si>
  <si>
    <t>30129826585</t>
  </si>
  <si>
    <t>30203740703</t>
  </si>
  <si>
    <t>30203740760</t>
  </si>
  <si>
    <t>30203740803</t>
  </si>
  <si>
    <t>30203740860</t>
  </si>
  <si>
    <t>30203740903</t>
  </si>
  <si>
    <t>30203740960</t>
  </si>
  <si>
    <t>30203930961</t>
  </si>
  <si>
    <t>30203940963</t>
  </si>
  <si>
    <t>30299011521</t>
  </si>
  <si>
    <t>30129826504</t>
  </si>
  <si>
    <t>30129772699</t>
  </si>
  <si>
    <t>30129772624</t>
  </si>
  <si>
    <t>30129775943</t>
  </si>
  <si>
    <t>30129775799</t>
  </si>
  <si>
    <t>30101696623</t>
  </si>
  <si>
    <t>30203890905</t>
  </si>
  <si>
    <t>30203890904</t>
  </si>
  <si>
    <t>30203880903</t>
  </si>
  <si>
    <t>30203870902</t>
  </si>
  <si>
    <t>30203870901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</si>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</sst>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0"/>
      <color theme="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Font="1"/>
    <xf numFmtId="49" fontId="4" fillId="2" borderId="0" xfId="1" applyNumberFormat="1" applyFont="1" applyFill="1"/>
    <xf numFmtId="49" fontId="3" fillId="2" borderId="0" xfId="1" applyNumberFormat="1" applyFont="1" applyFill="1"/>
    <xf numFmtId="4" fontId="4" fillId="2" borderId="0" xfId="1" applyNumberFormat="1" applyFont="1" applyFill="1"/>
    <xf numFmtId="49" fontId="4" fillId="0" borderId="0" xfId="1" applyNumberFormat="1" applyFont="1"/>
    <xf numFmtId="0" fontId="4" fillId="0" borderId="0" xfId="1" applyFont="1"/>
    <xf numFmtId="4" fontId="3" fillId="2" borderId="0" xfId="1" applyNumberFormat="1" applyFont="1" applyFill="1"/>
    <xf numFmtId="0" fontId="4" fillId="2" borderId="0" xfId="1" applyFont="1" applyFill="1"/>
    <xf numFmtId="0" fontId="3" fillId="2" borderId="0" xfId="1" applyFont="1" applyFill="1"/>
    <xf numFmtId="49" fontId="4" fillId="2" borderId="0" xfId="0" applyNumberFormat="1" applyFont="1" applyFill="1"/>
    <xf numFmtId="49" fontId="3" fillId="2" borderId="0" xfId="0" applyNumberFormat="1" applyFont="1" applyFill="1"/>
    <xf numFmtId="4" fontId="4" fillId="2" borderId="0" xfId="0" applyNumberFormat="1" applyFont="1" applyFill="1"/>
    <xf numFmtId="49" fontId="4" fillId="0" borderId="0" xfId="0" applyNumberFormat="1" applyFont="1"/>
    <xf numFmtId="4" fontId="4" fillId="0" borderId="0" xfId="1" applyNumberFormat="1" applyFont="1"/>
    <xf numFmtId="0" fontId="3" fillId="3" borderId="0" xfId="1" applyFont="1" applyFill="1"/>
    <xf numFmtId="0" fontId="3" fillId="3" borderId="0" xfId="1" applyFont="1" applyFill="1" applyAlignment="1">
      <alignment horizontal="left"/>
    </xf>
    <xf numFmtId="49" fontId="0" fillId="0" borderId="0" xfId="0" applyNumberFormat="1"/>
    <xf numFmtId="0" fontId="5" fillId="4" borderId="1" xfId="0" applyFont="1" applyFill="1" applyBorder="1"/>
    <xf numFmtId="0" fontId="5" fillId="4" borderId="0" xfId="0" applyFont="1" applyFill="1"/>
    <xf numFmtId="0" fontId="5" fillId="4" borderId="2" xfId="0" applyFont="1" applyFill="1" applyBorder="1"/>
  </cellXfs>
  <cellStyles count="2">
    <cellStyle name="Normal" xfId="0" builtinId="0"/>
    <cellStyle name="Normal 2" xfId="1" xr:uid="{1CA984E1-52E4-4013-A7BC-5F892DD291E6}"/>
  </cellStyles>
  <dxfs count="50"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F9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4" formatCode="#,##0.0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</dxf>
    <dxf>
      <numFmt numFmtId="0" formatCode="General"/>
    </dxf>
    <dxf>
      <numFmt numFmtId="0" formatCode="General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Light8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dget&amp;Reporting\PQR\KAKAP\2007\Q1_2007\BlockB-1stQ-04_Revisio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renergycoid-my.sharepoint.com/personal/beuq_starenergy_co_id/Documents/PARA/01.%20Project/2026_Hist%20Drill%20Cost/20260310_WBS_Data.xlsx" TargetMode="External"/><Relationship Id="rId1" Type="http://schemas.openxmlformats.org/officeDocument/2006/relationships/externalLinkPath" Target="https://starenergycoid-my.sharepoint.com/personal/beuq_starenergy_co_id/Documents/PARA/01.%20Project/2026_Hist%20Drill%20Cost/20260310_WBS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dget&amp;Reporting\PQR\2005\Q1\FQR_Q1_2005.Revis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.OIL"/>
      <sheetName val="R-14.GAS"/>
      <sheetName val="R15"/>
      <sheetName val="R-16.1"/>
      <sheetName val="R-16.1.1"/>
      <sheetName val="R-16.2"/>
      <sheetName val="R-16.2.1 "/>
      <sheetName val="BlockB-1stQ-04_Revi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BS.Tree"/>
      <sheetName val="WBS.structure"/>
      <sheetName val="Sheet3"/>
      <sheetName val="WellView.Data"/>
      <sheetName val="Code_Dictionary"/>
      <sheetName val="Data.Summary"/>
      <sheetName val="Piv.Campaign"/>
      <sheetName val="Piv.Campaign (2)"/>
      <sheetName val="Piv.Well.Services.Material"/>
      <sheetName val="MoM"/>
      <sheetName val="&gt;&gt;Graveyard"/>
      <sheetName val="WBS.structure.x1"/>
      <sheetName val="Commit.SLK2025_26"/>
      <sheetName val="Actual.SLK2025_26"/>
      <sheetName val="Drilled.Well"/>
      <sheetName val="Dashboard_x"/>
      <sheetName val="Well.Efficiency"/>
    </sheetNames>
    <sheetDataSet>
      <sheetData sheetId="0" refreshError="1"/>
      <sheetData sheetId="1"/>
      <sheetData sheetId="2" refreshError="1"/>
      <sheetData sheetId="3" refreshError="1"/>
      <sheetData sheetId="4">
        <row r="12">
          <cell r="B12" t="str">
            <v>E540</v>
          </cell>
        </row>
        <row r="13">
          <cell r="B13" t="str">
            <v>E530</v>
          </cell>
        </row>
        <row r="14">
          <cell r="B14" t="str">
            <v>E500</v>
          </cell>
        </row>
        <row r="17">
          <cell r="C17" t="str">
            <v>1E54024</v>
          </cell>
          <cell r="D17" t="str">
            <v>E540-30-D245401</v>
          </cell>
        </row>
        <row r="18">
          <cell r="C18" t="str">
            <v>1E53022</v>
          </cell>
          <cell r="D18" t="str">
            <v>E530-30-D225301</v>
          </cell>
        </row>
        <row r="19">
          <cell r="C19" t="str">
            <v>1E53023</v>
          </cell>
          <cell r="D19" t="str">
            <v>E530-30-D235301</v>
          </cell>
        </row>
        <row r="20">
          <cell r="C20" t="str">
            <v>&gt;&gt;</v>
          </cell>
          <cell r="D20" t="str">
            <v>&gt;&gt;</v>
          </cell>
        </row>
        <row r="30">
          <cell r="B30">
            <v>30101</v>
          </cell>
        </row>
        <row r="31">
          <cell r="B31">
            <v>30129</v>
          </cell>
        </row>
        <row r="32">
          <cell r="B32">
            <v>30203</v>
          </cell>
        </row>
        <row r="33">
          <cell r="B33">
            <v>30299</v>
          </cell>
        </row>
        <row r="49">
          <cell r="C49">
            <v>3029901</v>
          </cell>
          <cell r="E49" t="str">
            <v>E540</v>
          </cell>
          <cell r="F49" t="str">
            <v>D245401</v>
          </cell>
          <cell r="G49" t="str">
            <v>E540-3029901-D245401</v>
          </cell>
          <cell r="H49" t="str">
            <v>Contingency</v>
          </cell>
        </row>
        <row r="50">
          <cell r="C50">
            <v>3020393</v>
          </cell>
          <cell r="E50" t="str">
            <v>E540</v>
          </cell>
          <cell r="F50" t="str">
            <v>D245401</v>
          </cell>
          <cell r="G50" t="str">
            <v>E540-3020393-D245401</v>
          </cell>
          <cell r="H50" t="str">
            <v>New Rig Pavement</v>
          </cell>
        </row>
        <row r="51">
          <cell r="C51">
            <v>3020394</v>
          </cell>
          <cell r="E51" t="str">
            <v>E540</v>
          </cell>
          <cell r="F51" t="str">
            <v>D245401</v>
          </cell>
          <cell r="G51" t="str">
            <v>E540-3020394-D245401</v>
          </cell>
          <cell r="H51" t="str">
            <v>Tie-in AWI3</v>
          </cell>
        </row>
        <row r="52">
          <cell r="C52">
            <v>3020390</v>
          </cell>
          <cell r="E52" t="str">
            <v>E540</v>
          </cell>
          <cell r="F52" t="str">
            <v>D245401</v>
          </cell>
          <cell r="G52" t="str">
            <v>E540-3020390-D245401</v>
          </cell>
          <cell r="H52" t="str">
            <v>Tie-in AWI9</v>
          </cell>
        </row>
        <row r="53">
          <cell r="C53">
            <v>3020392</v>
          </cell>
          <cell r="E53" t="str">
            <v>E540</v>
          </cell>
          <cell r="F53" t="str">
            <v>D245401</v>
          </cell>
          <cell r="G53" t="str">
            <v>E540-3020392-D245401</v>
          </cell>
          <cell r="H53" t="str">
            <v>Special Requirement Existing Pad AWI3</v>
          </cell>
        </row>
        <row r="54">
          <cell r="C54">
            <v>3020386</v>
          </cell>
          <cell r="E54" t="str">
            <v>E540</v>
          </cell>
          <cell r="F54" t="str">
            <v>D245401</v>
          </cell>
          <cell r="G54" t="str">
            <v>E540-3020386-D245401</v>
          </cell>
          <cell r="H54" t="str">
            <v>Road and Pad - AWI9</v>
          </cell>
        </row>
        <row r="55">
          <cell r="C55">
            <v>3020385</v>
          </cell>
          <cell r="E55" t="str">
            <v>E540</v>
          </cell>
          <cell r="F55" t="str">
            <v>D245401</v>
          </cell>
          <cell r="G55" t="str">
            <v>E540-3020385-D245401</v>
          </cell>
          <cell r="H55" t="str">
            <v>Road and Pad - AWI3</v>
          </cell>
        </row>
        <row r="56">
          <cell r="C56">
            <v>3020389</v>
          </cell>
          <cell r="E56" t="str">
            <v>E540</v>
          </cell>
          <cell r="F56" t="str">
            <v>D245401</v>
          </cell>
          <cell r="G56" t="str">
            <v>E540-3020389-D245401</v>
          </cell>
          <cell r="H56" t="str">
            <v>Tie-in AWI23</v>
          </cell>
        </row>
        <row r="57">
          <cell r="C57">
            <v>3020388</v>
          </cell>
          <cell r="E57" t="str">
            <v>E540</v>
          </cell>
          <cell r="F57" t="str">
            <v>D245401</v>
          </cell>
          <cell r="G57" t="str">
            <v>E540-3020388-D245401</v>
          </cell>
          <cell r="H57" t="str">
            <v>Tie-in AWI21</v>
          </cell>
        </row>
        <row r="58">
          <cell r="C58">
            <v>3020387</v>
          </cell>
          <cell r="E58" t="str">
            <v>E540</v>
          </cell>
          <cell r="F58" t="str">
            <v>D245401</v>
          </cell>
          <cell r="G58" t="str">
            <v>E540-3020387-D245401</v>
          </cell>
          <cell r="H58" t="str">
            <v>Tie-in AWI2</v>
          </cell>
        </row>
        <row r="59">
          <cell r="C59">
            <v>3020384</v>
          </cell>
          <cell r="E59" t="str">
            <v>E540</v>
          </cell>
          <cell r="F59" t="str">
            <v>D245401</v>
          </cell>
          <cell r="G59" t="str">
            <v>E540-3020384-D245401</v>
          </cell>
          <cell r="H59" t="str">
            <v>Road and Pad - AWI21</v>
          </cell>
        </row>
        <row r="60">
          <cell r="C60">
            <v>3020383</v>
          </cell>
          <cell r="E60" t="str">
            <v>E540</v>
          </cell>
          <cell r="F60" t="str">
            <v>D245401</v>
          </cell>
          <cell r="G60" t="str">
            <v>E540-3020383-D245401</v>
          </cell>
          <cell r="H60" t="str">
            <v>Road and Pad - AWI2</v>
          </cell>
        </row>
        <row r="61">
          <cell r="C61">
            <v>3020374</v>
          </cell>
          <cell r="E61" t="str">
            <v>E540</v>
          </cell>
          <cell r="F61" t="str">
            <v>D245401</v>
          </cell>
          <cell r="G61" t="str">
            <v>E540-3020374-D245401</v>
          </cell>
          <cell r="H61" t="str">
            <v>Conductor casing installation &amp; material</v>
          </cell>
        </row>
        <row r="62">
          <cell r="C62">
            <v>3012980</v>
          </cell>
          <cell r="E62" t="str">
            <v>E540</v>
          </cell>
          <cell r="F62" t="str">
            <v>D245401</v>
          </cell>
          <cell r="G62" t="str">
            <v>E540-3012980-D245401</v>
          </cell>
          <cell r="H62" t="str">
            <v>Project Management Cost</v>
          </cell>
        </row>
        <row r="63">
          <cell r="C63">
            <v>3012982</v>
          </cell>
          <cell r="E63" t="str">
            <v>E540</v>
          </cell>
          <cell r="F63" t="str">
            <v>D245401</v>
          </cell>
          <cell r="G63" t="str">
            <v>E540-3012982-D245401</v>
          </cell>
          <cell r="H63" t="str">
            <v>IT+ Communication</v>
          </cell>
        </row>
        <row r="64">
          <cell r="C64">
            <v>3012914</v>
          </cell>
          <cell r="E64" t="str">
            <v>E540</v>
          </cell>
          <cell r="F64" t="str">
            <v>D245401</v>
          </cell>
          <cell r="G64" t="str">
            <v>E540-3012914-D245401</v>
          </cell>
          <cell r="H64" t="str">
            <v>Drilling Facilities Support</v>
          </cell>
        </row>
        <row r="65">
          <cell r="C65">
            <v>3012981</v>
          </cell>
          <cell r="E65" t="str">
            <v>E540</v>
          </cell>
          <cell r="F65" t="str">
            <v>D245401</v>
          </cell>
          <cell r="G65" t="str">
            <v>E540-3012981-D245401</v>
          </cell>
          <cell r="H65" t="str">
            <v>Drilling Operation water support</v>
          </cell>
        </row>
        <row r="66">
          <cell r="C66">
            <v>3012979</v>
          </cell>
          <cell r="E66" t="str">
            <v>E540</v>
          </cell>
          <cell r="F66" t="str">
            <v>D245401</v>
          </cell>
          <cell r="G66" t="str">
            <v>E540-3012979-D245401</v>
          </cell>
          <cell r="H66" t="str">
            <v>Well Insurance</v>
          </cell>
        </row>
        <row r="67">
          <cell r="C67">
            <v>3012978</v>
          </cell>
          <cell r="E67" t="str">
            <v>E540</v>
          </cell>
          <cell r="F67" t="str">
            <v>D245401</v>
          </cell>
          <cell r="G67" t="str">
            <v>E540-3012978-D245401</v>
          </cell>
          <cell r="H67" t="str">
            <v>PGPA + security</v>
          </cell>
        </row>
        <row r="68">
          <cell r="C68">
            <v>3012977</v>
          </cell>
          <cell r="E68" t="str">
            <v>E540</v>
          </cell>
          <cell r="F68" t="str">
            <v>D245401</v>
          </cell>
          <cell r="G68" t="str">
            <v>E540-3012977-D245401</v>
          </cell>
          <cell r="H68" t="str">
            <v>SHE</v>
          </cell>
        </row>
        <row r="69">
          <cell r="C69">
            <v>3012976</v>
          </cell>
          <cell r="E69" t="str">
            <v>E540</v>
          </cell>
          <cell r="F69" t="str">
            <v>D245401</v>
          </cell>
          <cell r="G69" t="str">
            <v>E540-3012976-D245401</v>
          </cell>
          <cell r="H69" t="str">
            <v>Wellsite Geologist (WSG)</v>
          </cell>
        </row>
        <row r="70">
          <cell r="C70">
            <v>3012975</v>
          </cell>
          <cell r="E70" t="str">
            <v>E540</v>
          </cell>
          <cell r="F70" t="str">
            <v>D245401</v>
          </cell>
          <cell r="G70" t="str">
            <v>E540-3012975-D245401</v>
          </cell>
          <cell r="H70" t="str">
            <v>Well testing</v>
          </cell>
        </row>
        <row r="71">
          <cell r="C71">
            <v>3010109</v>
          </cell>
          <cell r="E71" t="str">
            <v>E540</v>
          </cell>
          <cell r="F71" t="str">
            <v>D245401</v>
          </cell>
          <cell r="G71" t="str">
            <v>E540-3010109-D245401</v>
          </cell>
          <cell r="H71" t="str">
            <v>Well Cost AWI 9-10RD</v>
          </cell>
        </row>
        <row r="72">
          <cell r="C72">
            <v>3010108</v>
          </cell>
          <cell r="E72" t="str">
            <v>E540</v>
          </cell>
          <cell r="F72" t="str">
            <v>D245401</v>
          </cell>
          <cell r="G72" t="str">
            <v>E540-3010108-D245401</v>
          </cell>
          <cell r="H72" t="str">
            <v>Well Cost AWI 23-2</v>
          </cell>
        </row>
        <row r="73">
          <cell r="C73">
            <v>3010107</v>
          </cell>
          <cell r="E73" t="str">
            <v>E540</v>
          </cell>
          <cell r="F73" t="str">
            <v>D245401</v>
          </cell>
          <cell r="G73" t="str">
            <v>E540-3010107-D245401</v>
          </cell>
          <cell r="H73" t="str">
            <v>Well Cost AWI 21-8</v>
          </cell>
        </row>
        <row r="74">
          <cell r="C74">
            <v>3010106</v>
          </cell>
          <cell r="E74" t="str">
            <v>E540</v>
          </cell>
          <cell r="F74" t="str">
            <v>D245401</v>
          </cell>
          <cell r="G74" t="str">
            <v>E540-3010106-D245401</v>
          </cell>
          <cell r="H74" t="str">
            <v>Well Cost AWI 3-9</v>
          </cell>
        </row>
        <row r="75">
          <cell r="C75">
            <v>3010195</v>
          </cell>
          <cell r="E75" t="str">
            <v>E540</v>
          </cell>
          <cell r="F75" t="str">
            <v>D245401</v>
          </cell>
          <cell r="G75" t="str">
            <v>E540-3010195-D245401</v>
          </cell>
          <cell r="H75" t="str">
            <v>Logging Cost</v>
          </cell>
        </row>
        <row r="76">
          <cell r="C76">
            <v>3010173</v>
          </cell>
          <cell r="E76" t="str">
            <v>E540</v>
          </cell>
          <cell r="F76" t="str">
            <v>D245401</v>
          </cell>
          <cell r="G76" t="str">
            <v>E540-3010173-D245401</v>
          </cell>
          <cell r="H76" t="str">
            <v>Explosive</v>
          </cell>
        </row>
        <row r="77">
          <cell r="C77">
            <v>3010172</v>
          </cell>
          <cell r="E77" t="str">
            <v>E540</v>
          </cell>
          <cell r="F77" t="str">
            <v>D245401</v>
          </cell>
          <cell r="G77" t="str">
            <v>E540-3010172-D245401</v>
          </cell>
          <cell r="H77" t="str">
            <v>LIH</v>
          </cell>
        </row>
        <row r="78">
          <cell r="C78">
            <v>3010105</v>
          </cell>
          <cell r="E78" t="str">
            <v>E540</v>
          </cell>
          <cell r="F78" t="str">
            <v>D245401</v>
          </cell>
          <cell r="G78" t="str">
            <v>E540-3010105-D245401</v>
          </cell>
          <cell r="H78" t="str">
            <v>Well Cost 9-11</v>
          </cell>
        </row>
        <row r="79">
          <cell r="C79">
            <v>3010104</v>
          </cell>
          <cell r="E79" t="str">
            <v>E540</v>
          </cell>
          <cell r="F79" t="str">
            <v>D245401</v>
          </cell>
          <cell r="G79" t="str">
            <v>E540-3010104-D245401</v>
          </cell>
          <cell r="H79" t="str">
            <v>Well Cost 23-1</v>
          </cell>
        </row>
        <row r="80">
          <cell r="C80">
            <v>3010103</v>
          </cell>
          <cell r="E80" t="str">
            <v>E540</v>
          </cell>
          <cell r="F80" t="str">
            <v>D245401</v>
          </cell>
          <cell r="G80" t="str">
            <v>E540-3010103-D245401</v>
          </cell>
          <cell r="H80" t="str">
            <v>Well Cost AWI 21-7</v>
          </cell>
        </row>
        <row r="81">
          <cell r="C81">
            <v>3010161</v>
          </cell>
          <cell r="E81" t="str">
            <v>E540</v>
          </cell>
          <cell r="F81" t="str">
            <v>D245401</v>
          </cell>
          <cell r="G81" t="str">
            <v>E540-3010161-D245401</v>
          </cell>
          <cell r="H81" t="str">
            <v>Rig Skid</v>
          </cell>
        </row>
        <row r="82">
          <cell r="C82">
            <v>3010156</v>
          </cell>
          <cell r="E82" t="str">
            <v>E540</v>
          </cell>
          <cell r="F82" t="str">
            <v>D245401</v>
          </cell>
          <cell r="G82" t="str">
            <v>E540-3010156-D245401</v>
          </cell>
          <cell r="H82" t="str">
            <v>Rig Move</v>
          </cell>
        </row>
        <row r="83">
          <cell r="C83">
            <v>3010169</v>
          </cell>
          <cell r="E83" t="str">
            <v>E540</v>
          </cell>
          <cell r="F83" t="str">
            <v>D245401</v>
          </cell>
          <cell r="G83" t="str">
            <v>E540-3010169-D245401</v>
          </cell>
          <cell r="H83" t="str">
            <v>Mobilization (incl. inter-field move)</v>
          </cell>
        </row>
        <row r="84">
          <cell r="C84">
            <v>3010101</v>
          </cell>
          <cell r="E84" t="str">
            <v>E540</v>
          </cell>
          <cell r="F84" t="str">
            <v>D245401</v>
          </cell>
          <cell r="G84" t="str">
            <v>E540-3010101-D245401</v>
          </cell>
          <cell r="H84" t="str">
            <v>Well Cost AWI 2-6</v>
          </cell>
        </row>
        <row r="85">
          <cell r="C85">
            <v>3010102</v>
          </cell>
          <cell r="E85" t="str">
            <v>E540</v>
          </cell>
          <cell r="F85" t="str">
            <v>D245401</v>
          </cell>
          <cell r="G85" t="str">
            <v>E540-3010102-D245401</v>
          </cell>
          <cell r="H85" t="str">
            <v>Well Cost AWI 2-7 ML</v>
          </cell>
        </row>
        <row r="86">
          <cell r="C86">
            <v>3012982</v>
          </cell>
          <cell r="E86" t="str">
            <v>E530</v>
          </cell>
          <cell r="F86" t="str">
            <v>D225301</v>
          </cell>
          <cell r="G86" t="str">
            <v>E530-3012982-D225301</v>
          </cell>
          <cell r="H86" t="str">
            <v>IT+ Communication</v>
          </cell>
        </row>
        <row r="87">
          <cell r="C87">
            <v>3012914</v>
          </cell>
          <cell r="E87" t="str">
            <v>E530</v>
          </cell>
          <cell r="F87" t="str">
            <v>D225301</v>
          </cell>
          <cell r="G87" t="str">
            <v>E530-3012914-D225301</v>
          </cell>
          <cell r="H87" t="str">
            <v>Drilling Facilities Support</v>
          </cell>
        </row>
        <row r="88">
          <cell r="C88">
            <v>3012981</v>
          </cell>
          <cell r="E88" t="str">
            <v>E530</v>
          </cell>
          <cell r="F88" t="str">
            <v>D225301</v>
          </cell>
          <cell r="G88" t="str">
            <v>E530-3012981-D225301</v>
          </cell>
          <cell r="H88" t="str">
            <v>Drilling Operation water support</v>
          </cell>
        </row>
        <row r="89">
          <cell r="C89">
            <v>3012980</v>
          </cell>
          <cell r="E89" t="str">
            <v>E530</v>
          </cell>
          <cell r="F89" t="str">
            <v>D225301</v>
          </cell>
          <cell r="G89" t="str">
            <v>E530-3012980-D225301</v>
          </cell>
          <cell r="H89" t="str">
            <v>Project Management Cost</v>
          </cell>
        </row>
        <row r="90">
          <cell r="C90">
            <v>3012979</v>
          </cell>
          <cell r="E90" t="str">
            <v>E530</v>
          </cell>
          <cell r="F90" t="str">
            <v>D225301</v>
          </cell>
          <cell r="G90" t="str">
            <v>E530-3012979-D225301</v>
          </cell>
          <cell r="H90" t="str">
            <v>Well Insurance</v>
          </cell>
        </row>
        <row r="91">
          <cell r="C91">
            <v>3012978</v>
          </cell>
          <cell r="E91" t="str">
            <v>E530</v>
          </cell>
          <cell r="F91" t="str">
            <v>D225301</v>
          </cell>
          <cell r="G91" t="str">
            <v>E530-3012978-D225301</v>
          </cell>
          <cell r="H91" t="str">
            <v>PGPA + security</v>
          </cell>
        </row>
        <row r="92">
          <cell r="C92">
            <v>3012977</v>
          </cell>
          <cell r="E92" t="str">
            <v>E530</v>
          </cell>
          <cell r="F92" t="str">
            <v>D225301</v>
          </cell>
          <cell r="G92" t="str">
            <v>E530-3012977-D225301</v>
          </cell>
          <cell r="H92" t="str">
            <v>SHE</v>
          </cell>
        </row>
        <row r="93">
          <cell r="C93">
            <v>3012976</v>
          </cell>
          <cell r="E93" t="str">
            <v>E530</v>
          </cell>
          <cell r="F93" t="str">
            <v>D225301</v>
          </cell>
          <cell r="G93" t="str">
            <v>E530-3012976-D225301</v>
          </cell>
          <cell r="H93" t="str">
            <v>Wellsite Geologist (WSG)</v>
          </cell>
        </row>
        <row r="94">
          <cell r="C94">
            <v>3012975</v>
          </cell>
          <cell r="E94" t="str">
            <v>E530</v>
          </cell>
          <cell r="F94" t="str">
            <v>D225301</v>
          </cell>
          <cell r="G94" t="str">
            <v>E530-3012975-D225301</v>
          </cell>
          <cell r="H94" t="str">
            <v>Well testing</v>
          </cell>
        </row>
        <row r="95">
          <cell r="C95">
            <v>3010173</v>
          </cell>
          <cell r="E95" t="str">
            <v>E530</v>
          </cell>
          <cell r="F95" t="str">
            <v>D225301</v>
          </cell>
          <cell r="G95" t="str">
            <v>E530-3010173-D225301</v>
          </cell>
          <cell r="H95" t="str">
            <v>Explosive</v>
          </cell>
        </row>
        <row r="96">
          <cell r="C96">
            <v>3010172</v>
          </cell>
          <cell r="E96" t="str">
            <v>E530</v>
          </cell>
          <cell r="F96" t="str">
            <v>D225301</v>
          </cell>
          <cell r="G96" t="str">
            <v>E530-3010172-D225301</v>
          </cell>
          <cell r="H96" t="str">
            <v>LIH</v>
          </cell>
        </row>
        <row r="97">
          <cell r="C97">
            <v>3010161</v>
          </cell>
          <cell r="E97" t="str">
            <v>E530</v>
          </cell>
          <cell r="F97" t="str">
            <v>D225301</v>
          </cell>
          <cell r="G97" t="str">
            <v>E530-3010161-D225301</v>
          </cell>
          <cell r="H97" t="str">
            <v>Rig Skid</v>
          </cell>
        </row>
        <row r="98">
          <cell r="C98">
            <v>3010156</v>
          </cell>
          <cell r="E98" t="str">
            <v>E530</v>
          </cell>
          <cell r="F98" t="str">
            <v>D225301</v>
          </cell>
          <cell r="G98" t="str">
            <v>E530-3010156-D225301</v>
          </cell>
          <cell r="H98" t="str">
            <v>Rig Move</v>
          </cell>
        </row>
        <row r="99">
          <cell r="C99">
            <v>3010169</v>
          </cell>
          <cell r="E99" t="str">
            <v>E530</v>
          </cell>
          <cell r="F99" t="str">
            <v>D225301</v>
          </cell>
          <cell r="G99" t="str">
            <v>E530-3010169-D225301</v>
          </cell>
          <cell r="H99" t="str">
            <v>Mobilization (incl. inter-field move)</v>
          </cell>
        </row>
        <row r="100">
          <cell r="C100">
            <v>3010105</v>
          </cell>
          <cell r="E100" t="str">
            <v>E530</v>
          </cell>
          <cell r="F100" t="str">
            <v>D225301</v>
          </cell>
          <cell r="G100" t="str">
            <v>E530-3010105-D225301</v>
          </cell>
          <cell r="H100" t="str">
            <v>Well Cost SF-ML</v>
          </cell>
        </row>
        <row r="101">
          <cell r="C101">
            <v>3010104</v>
          </cell>
          <cell r="E101" t="str">
            <v>E530</v>
          </cell>
          <cell r="F101" t="str">
            <v>D225301</v>
          </cell>
          <cell r="G101" t="str">
            <v>E530-3010104-D225301</v>
          </cell>
          <cell r="H101" t="str">
            <v>Well Cost SF-1</v>
          </cell>
        </row>
        <row r="102">
          <cell r="C102">
            <v>3010103</v>
          </cell>
          <cell r="E102" t="str">
            <v>E530</v>
          </cell>
          <cell r="F102" t="str">
            <v>D225301</v>
          </cell>
          <cell r="G102" t="str">
            <v>E530-3010103-D225301</v>
          </cell>
          <cell r="H102" t="str">
            <v>Well Cost 20-1</v>
          </cell>
        </row>
        <row r="103">
          <cell r="C103">
            <v>3010102</v>
          </cell>
          <cell r="E103" t="str">
            <v>E530</v>
          </cell>
          <cell r="F103" t="str">
            <v>D225301</v>
          </cell>
          <cell r="G103" t="str">
            <v>E530-3010102-D225301</v>
          </cell>
          <cell r="H103" t="str">
            <v>Well Cost 14-2</v>
          </cell>
        </row>
        <row r="104">
          <cell r="C104">
            <v>3010101</v>
          </cell>
          <cell r="E104" t="str">
            <v>E530</v>
          </cell>
          <cell r="F104" t="str">
            <v>D225301</v>
          </cell>
          <cell r="G104" t="str">
            <v>E530-3010101-D225301</v>
          </cell>
          <cell r="H104" t="str">
            <v>Well Cost 14-1</v>
          </cell>
        </row>
        <row r="105">
          <cell r="C105">
            <v>3020389</v>
          </cell>
          <cell r="E105" t="str">
            <v>E530</v>
          </cell>
          <cell r="F105" t="str">
            <v>D225301</v>
          </cell>
          <cell r="G105" t="str">
            <v>E530-3020389-D225301</v>
          </cell>
          <cell r="H105" t="str">
            <v>Tie-in Pad SF</v>
          </cell>
        </row>
        <row r="106">
          <cell r="C106">
            <v>3020388</v>
          </cell>
          <cell r="E106" t="str">
            <v>E530</v>
          </cell>
          <cell r="F106" t="str">
            <v>D225301</v>
          </cell>
          <cell r="G106" t="str">
            <v>E530-3020388-D225301</v>
          </cell>
          <cell r="H106" t="str">
            <v>Tie-in Pad 20</v>
          </cell>
        </row>
        <row r="107">
          <cell r="C107">
            <v>3020387</v>
          </cell>
          <cell r="E107" t="str">
            <v>E530</v>
          </cell>
          <cell r="F107" t="str">
            <v>D225301</v>
          </cell>
          <cell r="G107" t="str">
            <v>E530-3020387-D225301</v>
          </cell>
          <cell r="H107" t="str">
            <v>Tie-in Pad 14</v>
          </cell>
        </row>
        <row r="108">
          <cell r="C108">
            <v>3020386</v>
          </cell>
          <cell r="E108" t="str">
            <v>E530</v>
          </cell>
          <cell r="F108" t="str">
            <v>D225301</v>
          </cell>
          <cell r="G108" t="str">
            <v>E530-3020386-D225301</v>
          </cell>
          <cell r="H108" t="str">
            <v>Spec Req Pipeline Pad 14</v>
          </cell>
        </row>
        <row r="109">
          <cell r="C109">
            <v>3020385</v>
          </cell>
          <cell r="E109" t="str">
            <v>E530</v>
          </cell>
          <cell r="F109" t="str">
            <v>D225301</v>
          </cell>
          <cell r="G109" t="str">
            <v>E530-3020385-D225301</v>
          </cell>
          <cell r="H109" t="str">
            <v>Road and Pad SF</v>
          </cell>
        </row>
        <row r="110">
          <cell r="C110">
            <v>3020384</v>
          </cell>
          <cell r="E110" t="str">
            <v>E530</v>
          </cell>
          <cell r="F110" t="str">
            <v>D225301</v>
          </cell>
          <cell r="G110" t="str">
            <v>E530-3020384-D225301</v>
          </cell>
          <cell r="H110" t="str">
            <v>Road and Pad 20</v>
          </cell>
        </row>
        <row r="111">
          <cell r="C111">
            <v>3020383</v>
          </cell>
          <cell r="E111" t="str">
            <v>E530</v>
          </cell>
          <cell r="F111" t="str">
            <v>D225301</v>
          </cell>
          <cell r="G111" t="str">
            <v>E530-3020383-D225301</v>
          </cell>
          <cell r="H111" t="str">
            <v>Road and Pad 14</v>
          </cell>
        </row>
        <row r="112">
          <cell r="C112">
            <v>3020374</v>
          </cell>
          <cell r="E112" t="str">
            <v>E530</v>
          </cell>
          <cell r="F112" t="str">
            <v>D225301</v>
          </cell>
          <cell r="G112" t="str">
            <v>E530-3020374-D225301</v>
          </cell>
          <cell r="H112" t="str">
            <v>Conductor Casing Installation &amp; Material</v>
          </cell>
        </row>
        <row r="113">
          <cell r="C113">
            <v>3020390</v>
          </cell>
          <cell r="E113" t="str">
            <v>E530</v>
          </cell>
          <cell r="F113" t="str">
            <v>D235301</v>
          </cell>
          <cell r="G113" t="str">
            <v>E530-3020390-D235301</v>
          </cell>
          <cell r="H113" t="str">
            <v>Tie-in Pad 20</v>
          </cell>
        </row>
        <row r="114">
          <cell r="C114">
            <v>3020389</v>
          </cell>
          <cell r="E114" t="str">
            <v>E530</v>
          </cell>
          <cell r="F114" t="str">
            <v>D235301</v>
          </cell>
          <cell r="G114" t="str">
            <v>E530-3020389-D235301</v>
          </cell>
          <cell r="H114" t="str">
            <v>Tie-in Pad 14</v>
          </cell>
        </row>
        <row r="115">
          <cell r="C115">
            <v>3020388</v>
          </cell>
          <cell r="E115" t="str">
            <v>E530</v>
          </cell>
          <cell r="F115" t="str">
            <v>D235301</v>
          </cell>
          <cell r="G115" t="str">
            <v>E530-3020388-D235301</v>
          </cell>
          <cell r="H115" t="str">
            <v>Tie-in Pad 18</v>
          </cell>
        </row>
        <row r="116">
          <cell r="C116">
            <v>3020387</v>
          </cell>
          <cell r="E116" t="str">
            <v>E530</v>
          </cell>
          <cell r="F116" t="str">
            <v>D235301</v>
          </cell>
          <cell r="G116" t="str">
            <v>E530-3020387-D235301</v>
          </cell>
          <cell r="H116" t="str">
            <v>Tie-in Pad 15</v>
          </cell>
        </row>
        <row r="117">
          <cell r="C117">
            <v>3020394</v>
          </cell>
          <cell r="E117" t="str">
            <v>E530</v>
          </cell>
          <cell r="F117" t="str">
            <v>D235301</v>
          </cell>
          <cell r="G117" t="str">
            <v>E530-3020394-D235301</v>
          </cell>
          <cell r="H117" t="str">
            <v>Special Requirement Existing - Pad 20</v>
          </cell>
        </row>
        <row r="118">
          <cell r="C118">
            <v>3020393</v>
          </cell>
          <cell r="E118" t="str">
            <v>E530</v>
          </cell>
          <cell r="F118" t="str">
            <v>D235301</v>
          </cell>
          <cell r="G118" t="str">
            <v>E530-3020393-D235301</v>
          </cell>
          <cell r="H118" t="str">
            <v>Special Requirement Existing - Pad 14</v>
          </cell>
        </row>
        <row r="119">
          <cell r="C119">
            <v>3020392</v>
          </cell>
          <cell r="E119" t="str">
            <v>E530</v>
          </cell>
          <cell r="F119" t="str">
            <v>D235301</v>
          </cell>
          <cell r="G119" t="str">
            <v>E530-3020392-D235301</v>
          </cell>
          <cell r="H119" t="str">
            <v>Special Requirement Existing - Pad 18</v>
          </cell>
        </row>
        <row r="120">
          <cell r="C120">
            <v>3020386</v>
          </cell>
          <cell r="E120" t="str">
            <v>E530</v>
          </cell>
          <cell r="F120" t="str">
            <v>D235301</v>
          </cell>
          <cell r="G120" t="str">
            <v>E530-3020386-D235301</v>
          </cell>
          <cell r="H120" t="str">
            <v>Road and Pad - Pad 20</v>
          </cell>
        </row>
        <row r="121">
          <cell r="C121">
            <v>3020385</v>
          </cell>
          <cell r="E121" t="str">
            <v>E530</v>
          </cell>
          <cell r="F121" t="str">
            <v>D235301</v>
          </cell>
          <cell r="G121" t="str">
            <v>E530-3020385-D235301</v>
          </cell>
          <cell r="H121" t="str">
            <v>Road and Pad - Pad 14</v>
          </cell>
        </row>
        <row r="122">
          <cell r="C122">
            <v>3020384</v>
          </cell>
          <cell r="E122" t="str">
            <v>E530</v>
          </cell>
          <cell r="F122" t="str">
            <v>D235301</v>
          </cell>
          <cell r="G122" t="str">
            <v>E530-3020384-D235301</v>
          </cell>
          <cell r="H122" t="str">
            <v>Road and Pad - Pad 18</v>
          </cell>
        </row>
        <row r="123">
          <cell r="C123">
            <v>3020383</v>
          </cell>
          <cell r="E123" t="str">
            <v>E530</v>
          </cell>
          <cell r="F123" t="str">
            <v>D235301</v>
          </cell>
          <cell r="G123" t="str">
            <v>E530-3020383-D235301</v>
          </cell>
          <cell r="H123" t="str">
            <v>Road and Pad - Pad 15</v>
          </cell>
        </row>
        <row r="124">
          <cell r="C124">
            <v>3020374</v>
          </cell>
          <cell r="E124" t="str">
            <v>E530</v>
          </cell>
          <cell r="F124" t="str">
            <v>D235301</v>
          </cell>
          <cell r="G124" t="str">
            <v>E530-3020374-D235301</v>
          </cell>
          <cell r="H124" t="str">
            <v>Conductor casing installation and materi</v>
          </cell>
        </row>
        <row r="125">
          <cell r="C125">
            <v>3012991</v>
          </cell>
          <cell r="E125" t="str">
            <v>E530</v>
          </cell>
          <cell r="F125" t="str">
            <v>D235301</v>
          </cell>
          <cell r="G125" t="str">
            <v>E530-3012991-D235301</v>
          </cell>
          <cell r="H125" t="str">
            <v>Permitting (IPPKH/IPJLPB)</v>
          </cell>
        </row>
        <row r="126">
          <cell r="C126">
            <v>3012982</v>
          </cell>
          <cell r="E126" t="str">
            <v>E530</v>
          </cell>
          <cell r="F126" t="str">
            <v>D235301</v>
          </cell>
          <cell r="G126" t="str">
            <v>E530-3012982-D235301</v>
          </cell>
          <cell r="H126" t="str">
            <v>IT+ Communication</v>
          </cell>
        </row>
        <row r="127">
          <cell r="C127">
            <v>3012914</v>
          </cell>
          <cell r="E127" t="str">
            <v>E530</v>
          </cell>
          <cell r="F127" t="str">
            <v>D235301</v>
          </cell>
          <cell r="G127" t="str">
            <v>E530-3012914-D235301</v>
          </cell>
          <cell r="H127" t="str">
            <v>Drilling Facilities Support</v>
          </cell>
        </row>
        <row r="128">
          <cell r="C128">
            <v>3012981</v>
          </cell>
          <cell r="E128" t="str">
            <v>E530</v>
          </cell>
          <cell r="F128" t="str">
            <v>D235301</v>
          </cell>
          <cell r="G128" t="str">
            <v>E530-3012981-D235301</v>
          </cell>
          <cell r="H128" t="str">
            <v>Drilling Operation water support</v>
          </cell>
        </row>
        <row r="129">
          <cell r="C129">
            <v>3012979</v>
          </cell>
          <cell r="E129" t="str">
            <v>E530</v>
          </cell>
          <cell r="F129" t="str">
            <v>D235301</v>
          </cell>
          <cell r="G129" t="str">
            <v>E530-3012979-D235301</v>
          </cell>
          <cell r="H129" t="str">
            <v>Well Insurance</v>
          </cell>
        </row>
        <row r="130">
          <cell r="C130">
            <v>3012978</v>
          </cell>
          <cell r="E130" t="str">
            <v>E530</v>
          </cell>
          <cell r="F130" t="str">
            <v>D235301</v>
          </cell>
          <cell r="G130" t="str">
            <v>E530-3012978-D235301</v>
          </cell>
          <cell r="H130" t="str">
            <v>PGPA + security</v>
          </cell>
        </row>
        <row r="131">
          <cell r="C131">
            <v>3012977</v>
          </cell>
          <cell r="E131" t="str">
            <v>E530</v>
          </cell>
          <cell r="F131" t="str">
            <v>D235301</v>
          </cell>
          <cell r="G131" t="str">
            <v>E530-3012977-D235301</v>
          </cell>
          <cell r="H131" t="str">
            <v>SHE</v>
          </cell>
        </row>
        <row r="132">
          <cell r="C132">
            <v>3012976</v>
          </cell>
          <cell r="E132" t="str">
            <v>E530</v>
          </cell>
          <cell r="F132" t="str">
            <v>D235301</v>
          </cell>
          <cell r="G132" t="str">
            <v>E530-3012976-D235301</v>
          </cell>
          <cell r="H132" t="str">
            <v>Wellsite Geologist (WSG)</v>
          </cell>
        </row>
        <row r="133">
          <cell r="C133">
            <v>3012975</v>
          </cell>
          <cell r="E133" t="str">
            <v>E530</v>
          </cell>
          <cell r="F133" t="str">
            <v>D235301</v>
          </cell>
          <cell r="G133" t="str">
            <v>E530-3012975-D235301</v>
          </cell>
          <cell r="H133" t="str">
            <v>Well testing</v>
          </cell>
        </row>
        <row r="134">
          <cell r="C134">
            <v>3010173</v>
          </cell>
          <cell r="E134" t="str">
            <v>E530</v>
          </cell>
          <cell r="F134" t="str">
            <v>D235301</v>
          </cell>
          <cell r="G134" t="str">
            <v>E530-3010173-D235301</v>
          </cell>
          <cell r="H134" t="str">
            <v>Explosive</v>
          </cell>
        </row>
        <row r="135">
          <cell r="C135">
            <v>3010172</v>
          </cell>
          <cell r="E135" t="str">
            <v>E530</v>
          </cell>
          <cell r="F135" t="str">
            <v>D235301</v>
          </cell>
          <cell r="G135" t="str">
            <v>E530-3010172-D235301</v>
          </cell>
          <cell r="H135" t="str">
            <v>LIH</v>
          </cell>
        </row>
        <row r="136">
          <cell r="C136">
            <v>3010106</v>
          </cell>
          <cell r="E136" t="str">
            <v>E530</v>
          </cell>
          <cell r="F136" t="str">
            <v>D235301</v>
          </cell>
          <cell r="G136" t="str">
            <v>E530-3010106-D235301</v>
          </cell>
          <cell r="H136" t="str">
            <v>Well Cost DRJ-Steam 6</v>
          </cell>
        </row>
        <row r="137">
          <cell r="C137">
            <v>3010105</v>
          </cell>
          <cell r="E137" t="str">
            <v>E530</v>
          </cell>
          <cell r="F137" t="str">
            <v>D235301</v>
          </cell>
          <cell r="G137" t="str">
            <v>E530-3010105-D235301</v>
          </cell>
          <cell r="H137" t="str">
            <v>Well Cost DRJ-Steam 5</v>
          </cell>
        </row>
        <row r="138">
          <cell r="C138">
            <v>3010104</v>
          </cell>
          <cell r="E138" t="str">
            <v>E530</v>
          </cell>
          <cell r="F138" t="str">
            <v>D235301</v>
          </cell>
          <cell r="G138" t="str">
            <v>E530-3010104-D235301</v>
          </cell>
          <cell r="H138" t="str">
            <v>Well Cost DRJ-Steam 4</v>
          </cell>
        </row>
        <row r="139">
          <cell r="C139">
            <v>3010103</v>
          </cell>
          <cell r="E139" t="str">
            <v>E530</v>
          </cell>
          <cell r="F139" t="str">
            <v>D235301</v>
          </cell>
          <cell r="G139" t="str">
            <v>E530-3010103-D235301</v>
          </cell>
          <cell r="H139" t="str">
            <v>Well Cost DRJ-Steam 3</v>
          </cell>
        </row>
        <row r="140">
          <cell r="C140">
            <v>3010102</v>
          </cell>
          <cell r="E140" t="str">
            <v>E530</v>
          </cell>
          <cell r="F140" t="str">
            <v>D235301</v>
          </cell>
          <cell r="G140" t="str">
            <v>E530-3010102-D235301</v>
          </cell>
          <cell r="H140" t="str">
            <v>Well Cost DRJ-Steam 2</v>
          </cell>
        </row>
        <row r="141">
          <cell r="C141">
            <v>3010161</v>
          </cell>
          <cell r="E141" t="str">
            <v>E530</v>
          </cell>
          <cell r="F141" t="str">
            <v>D235301</v>
          </cell>
          <cell r="G141" t="str">
            <v>E530-3010161-D235301</v>
          </cell>
          <cell r="H141" t="str">
            <v>Rig Skid</v>
          </cell>
        </row>
        <row r="142">
          <cell r="C142">
            <v>3010156</v>
          </cell>
          <cell r="E142" t="str">
            <v>E530</v>
          </cell>
          <cell r="F142" t="str">
            <v>D235301</v>
          </cell>
          <cell r="G142" t="str">
            <v>E530-3010156-D235301</v>
          </cell>
          <cell r="H142" t="str">
            <v>Rig Move</v>
          </cell>
        </row>
        <row r="143">
          <cell r="C143">
            <v>3010169</v>
          </cell>
          <cell r="E143" t="str">
            <v>E530</v>
          </cell>
          <cell r="F143" t="str">
            <v>D235301</v>
          </cell>
          <cell r="G143" t="str">
            <v>E530-3010169-D235301</v>
          </cell>
          <cell r="H143" t="str">
            <v>Mobilization (incl. inter-field move)</v>
          </cell>
        </row>
        <row r="144">
          <cell r="C144">
            <v>3010101</v>
          </cell>
          <cell r="E144" t="str">
            <v>E530</v>
          </cell>
          <cell r="F144" t="str">
            <v>D235301</v>
          </cell>
          <cell r="G144" t="str">
            <v>E530-3010101-D235301</v>
          </cell>
          <cell r="H144" t="str">
            <v>Well Cost DRJ Steam 1</v>
          </cell>
        </row>
        <row r="145">
          <cell r="C145">
            <v>9999999</v>
          </cell>
          <cell r="E145" t="str">
            <v>Spare</v>
          </cell>
          <cell r="F145" t="str">
            <v>Spare</v>
          </cell>
          <cell r="G145" t="str">
            <v>Spare</v>
          </cell>
          <cell r="H145" t="str">
            <v>Spare</v>
          </cell>
        </row>
        <row r="1265">
          <cell r="C1265" t="str">
            <v>API non API Machine Shop Serv</v>
          </cell>
        </row>
        <row r="1266">
          <cell r="C1266" t="str">
            <v>Bits, Reamer and Core heads</v>
          </cell>
        </row>
        <row r="1267">
          <cell r="C1267" t="str">
            <v>Casing Installation</v>
          </cell>
        </row>
        <row r="1268">
          <cell r="C1268" t="str">
            <v>Cement, Cementing &amp; Pump Fees</v>
          </cell>
        </row>
        <row r="1269">
          <cell r="C1269" t="str">
            <v>Contract Rig</v>
          </cell>
        </row>
        <row r="1270">
          <cell r="C1270" t="str">
            <v>Coring</v>
          </cell>
        </row>
        <row r="1271">
          <cell r="C1271" t="str">
            <v>Directional Drilling &amp; Surveys</v>
          </cell>
        </row>
        <row r="1272">
          <cell r="C1272" t="str">
            <v>Drilling Rig O&amp;M</v>
          </cell>
        </row>
        <row r="1273">
          <cell r="C1273" t="str">
            <v>Drilling Safety, Health &amp; Enviro</v>
          </cell>
        </row>
        <row r="1274">
          <cell r="C1274" t="str">
            <v>Equipment Rental</v>
          </cell>
        </row>
        <row r="1275">
          <cell r="C1275" t="str">
            <v>Explosive Handling &amp; Permitting</v>
          </cell>
        </row>
        <row r="1276">
          <cell r="C1276" t="str">
            <v>Land Transportation</v>
          </cell>
        </row>
        <row r="1277">
          <cell r="C1277" t="str">
            <v>Mud Logging Service</v>
          </cell>
        </row>
        <row r="1278">
          <cell r="C1278" t="str">
            <v>Mud, Chemical and Eng Serv</v>
          </cell>
        </row>
        <row r="1279">
          <cell r="C1279" t="str">
            <v>NDT Inspection</v>
          </cell>
        </row>
        <row r="1280">
          <cell r="C1280" t="str">
            <v>Open Hole Electrical Logging Serv</v>
          </cell>
        </row>
        <row r="1281">
          <cell r="C1281" t="str">
            <v>Other Transportation</v>
          </cell>
        </row>
        <row r="1282">
          <cell r="C1282" t="str">
            <v>Rig Inspection</v>
          </cell>
        </row>
        <row r="1283">
          <cell r="C1283" t="str">
            <v>Service Lines &amp; Comm</v>
          </cell>
        </row>
        <row r="1284">
          <cell r="C1284" t="str">
            <v>Supervision</v>
          </cell>
        </row>
        <row r="1285">
          <cell r="C1285" t="str">
            <v>Vehicle Inspection</v>
          </cell>
        </row>
        <row r="1286">
          <cell r="C1286" t="str">
            <v>Welding Services</v>
          </cell>
        </row>
        <row r="1287">
          <cell r="C1287" t="str">
            <v>&gt;&gt;&gt;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"/>
      <sheetName val="DMO-Dec2004"/>
      <sheetName val="Rec JIB"/>
      <sheetName val="Reconciliation"/>
      <sheetName val="FTP&amp;NONFTP"/>
      <sheetName val="Cost Recovery_ Details"/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"/>
      <sheetName val="R-14.OIL"/>
      <sheetName val="R-14.GAS"/>
      <sheetName val="R-15"/>
      <sheetName val="R-16.1"/>
      <sheetName val="R-16.1.1"/>
      <sheetName val="R-16.1.2"/>
      <sheetName val="R-16.1.3"/>
      <sheetName val="R-16.2"/>
      <sheetName val="R-16.2.1"/>
      <sheetName val="R-17"/>
      <sheetName val="Cost Input Sheet"/>
      <sheetName val="Economic Model"/>
      <sheetName val="PSA and Tax"/>
      <sheetName val="Customize Your Invoice"/>
      <sheetName val="Invoice"/>
      <sheetName val="PAPER"/>
      <sheetName val="Input Data"/>
      <sheetName val="EXPL INPUT"/>
      <sheetName val="MASTER_references"/>
      <sheetName val="MASTER_personel data"/>
      <sheetName val="Controls"/>
      <sheetName val="Base"/>
      <sheetName val="Sch-01"/>
      <sheetName val="Database"/>
      <sheetName val="Criterias"/>
      <sheetName val="Marshal -1"/>
      <sheetName val="Quarter"/>
      <sheetName val="General"/>
      <sheetName val="charts"/>
      <sheetName val="Summary"/>
      <sheetName val="24V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>
        <row r="36">
          <cell r="AM36">
            <v>27</v>
          </cell>
        </row>
        <row r="37">
          <cell r="AM37">
            <v>28</v>
          </cell>
        </row>
        <row r="38">
          <cell r="AM38">
            <v>29</v>
          </cell>
        </row>
        <row r="39">
          <cell r="AM39">
            <v>30</v>
          </cell>
        </row>
        <row r="40">
          <cell r="AM40">
            <v>31</v>
          </cell>
        </row>
        <row r="41">
          <cell r="AM41">
            <v>32</v>
          </cell>
        </row>
        <row r="42">
          <cell r="AM42">
            <v>33</v>
          </cell>
        </row>
      </sheetData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6224C-084F-43CE-AF1D-EF0BFA63AFDA}" name="Table26" displayName="Table26" ref="A1:P1212" totalsRowShown="0" headerRowDxfId="49">
  <autoFilter ref="A1:P1212" xr:uid="{58B6224C-084F-43CE-AF1D-EF0BFA63AFDA}"/>
  <tableColumns count="16">
    <tableColumn id="1" xr3:uid="{C9544AC0-EC27-4666-A307-919105FF5B15}" name="#"/>
    <tableColumn id="2" xr3:uid="{8C36E2A7-6A93-482A-A859-944F93BCD1A1}" name="LEVEL"/>
    <tableColumn id="3" xr3:uid="{8C42F954-0C0C-4C16-A028-AF660D0A7646}" name="LABEL"/>
    <tableColumn id="4" xr3:uid="{3FBBFA0E-B7F7-4CB7-84D0-58B18467A684}" name="WBS CODE"/>
    <tableColumn id="5" xr3:uid="{8C983ECF-1643-48B6-800E-CEDCCB4ECA43}" name="LVL 1"/>
    <tableColumn id="6" xr3:uid="{443EFB0E-368E-4958-ADED-E98717BD81E8}" name="LVL 2"/>
    <tableColumn id="7" xr3:uid="{80665265-25A7-4BFB-A127-B2AC35B0933D}" name="LVL 3"/>
    <tableColumn id="8" xr3:uid="{EAE12AE4-AA69-4983-A808-91B451E945AB}" name="LVL 4"/>
    <tableColumn id="9" xr3:uid="{4670CEF6-4007-4CAB-847C-DA03D107751D}" name="LVL 5"/>
    <tableColumn id="10" xr3:uid="{50F3C324-637E-49FB-B6DC-D1AE0BA011CA}" name="Tag_Level_2"/>
    <tableColumn id="11" xr3:uid="{63DFBCEC-CB5E-4FD9-8E6A-9A7013ACE4DE}" name="Tag_Level_3"/>
    <tableColumn id="12" xr3:uid="{A9831876-93B4-47C9-897A-AF38D0BEC076}" name="Tag_Level_4"/>
    <tableColumn id="13" xr3:uid="{08D80BC4-5FD4-4694-9CD8-99827CDB7E23}" name="Tag_LVL5"/>
    <tableColumn id="14" xr3:uid="{31E6F8EA-5DCE-42C4-912F-BA7D94E35936}" name="Tag_Well_Pad"/>
    <tableColumn id="15" xr3:uid="{06051C48-159F-4B85-A3DD-FFD612C19D4C}" name="Tag_Well_or_Pad"/>
    <tableColumn id="16" xr3:uid="{58291DF1-9C1B-4763-A8BE-3BDA793187FA}" name="Middle Number" dataDxfId="48">
      <calculatedColumnFormula>_xlfn.TEXTBEFORE(_xlfn.TEXTAFTER(Table26[[#This Row],[WBS CODE]], "-"), "-")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A3C75B-5BD5-4A30-8504-8DD91CE8E643}" name="Table3" displayName="Table3" ref="A1215:D1219" totalsRowShown="0">
  <autoFilter ref="A1215:D1219" xr:uid="{7EA3C75B-5BD5-4A30-8504-8DD91CE8E643}"/>
  <tableColumns count="4">
    <tableColumn id="1" xr3:uid="{D12B14C3-CE6B-40D2-A523-16A1F2972DF2}" name="#"/>
    <tableColumn id="2" xr3:uid="{6B606C4B-42B4-4DF2-824D-871B671FEA35}" name="Middle Digit" dataDxfId="47"/>
    <tableColumn id="3" xr3:uid="{D0396380-2553-4FDA-A266-8D7E7E546753}" name="No of Digit">
      <calculatedColumnFormula>ROUNDUP(Table3[[#This Row],['#]] / 5, 0) * 5</calculatedColumnFormula>
    </tableColumn>
    <tableColumn id="4" xr3:uid="{865BE349-DC02-4E1E-B739-ABDB05951EDA}" name="Description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6881D8-60A1-43AA-8BB2-93B2FBF43D08}" name="Table4" displayName="Table4" ref="A1222:D1260" totalsRowShown="0" headerRowDxfId="46" tableBorderDxfId="45">
  <autoFilter ref="A1222:D1260" xr:uid="{4A6881D8-60A1-43AA-8BB2-93B2FBF43D08}"/>
  <sortState xmlns:xlrd2="http://schemas.microsoft.com/office/spreadsheetml/2017/richdata2" ref="A1223:D1260">
    <sortCondition ref="B1222:B1260"/>
  </sortState>
  <tableColumns count="4">
    <tableColumn id="1" xr3:uid="{E85FE756-12AE-433F-8755-FEC1C4E486AD}" name="#">
      <calculatedColumnFormula>MAX($A$1222:A1222)+1</calculatedColumnFormula>
    </tableColumn>
    <tableColumn id="2" xr3:uid="{060D2C0D-4699-46EA-8116-EA0EAC2F696E}" name="Middle Digit"/>
    <tableColumn id="3" xr3:uid="{7B6C4720-A90F-4195-8F51-775438A3C68C}" name="No of Digit"/>
    <tableColumn id="4" xr3:uid="{B95F92DE-4A1C-4317-BDF5-2148A219416B}" name="Description">
      <calculatedColumnFormula>INDEX(Table26[Tag_Level_3], MATCH(B1223, Table26[Middle Number],0))</calculatedColumnFormula>
    </tableColumn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4C4A7E-DDB6-4D42-9463-8C0C1C895E2F}" name="Table5" displayName="Table5" ref="A1264:E1388" totalsRowShown="0" headerRowDxfId="44" tableBorderDxfId="43">
  <autoFilter ref="A1264:E1388" xr:uid="{794C4A7E-DDB6-4D42-9463-8C0C1C895E2F}"/>
  <sortState xmlns:xlrd2="http://schemas.microsoft.com/office/spreadsheetml/2017/richdata2" ref="A1265:D1388">
    <sortCondition ref="B1264:B1388"/>
  </sortState>
  <tableColumns count="5">
    <tableColumn id="1" xr3:uid="{604D7F43-9F62-4467-AF7F-6925472F5082}" name="#"/>
    <tableColumn id="2" xr3:uid="{D3FE4DBF-F968-4DE8-ADBB-3B7075C9B540}" name="Middle Digit"/>
    <tableColumn id="3" xr3:uid="{8041C45B-0D29-423D-88BD-BDE09145FC0C}" name="No of Digit"/>
    <tableColumn id="4" xr3:uid="{FE9E4496-3CC8-420A-B657-839F9A02DD57}" name="Description" dataDxfId="42">
      <calculatedColumnFormula>INDEX(Table26[Tag_Level_4], MATCH(B1265, Table26[Middle Number],0))</calculatedColumnFormula>
    </tableColumn>
    <tableColumn id="5" xr3:uid="{25026BEE-930F-4218-A377-5252E017618F}" name="Column1" dataDxfId="41">
      <calculatedColumnFormula>RIGHT(Table5[[#This Row],[Middle Digit]],2)</calculatedColumnFormula>
    </tableColumn>
  </tableColumns>
  <tableStyleInfo name="TableStyleLight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BD80CF-15B2-4923-8FCD-5A8AFDA03277}" name="Table6" displayName="Table6" ref="A1393:E1783" totalsRowShown="0" headerRowDxfId="40" tableBorderDxfId="39">
  <autoFilter ref="A1393:E1783" xr:uid="{EABD80CF-15B2-4923-8FCD-5A8AFDA03277}">
    <filterColumn colId="4">
      <filters>
        <filter val="08"/>
      </filters>
    </filterColumn>
  </autoFilter>
  <tableColumns count="5">
    <tableColumn id="1" xr3:uid="{63152385-FB98-41E3-A140-AB950AD25A60}" name="#"/>
    <tableColumn id="2" xr3:uid="{1CEFD356-E844-4F67-A6B2-D4AF828BA256}" name="Middle Digit"/>
    <tableColumn id="3" xr3:uid="{D3F51A27-8A63-4463-A34C-8086F998A178}" name="No of Digit"/>
    <tableColumn id="4" xr3:uid="{D2030C0F-EA30-4AA4-BA96-3519D4AECFFC}" name="Description" dataDxfId="38">
      <calculatedColumnFormula>INDEX(Table26[Tag_LVL5], MATCH(Table6[[#This Row],[Middle Digit]],Table26[Middle Number],0))</calculatedColumnFormula>
    </tableColumn>
    <tableColumn id="5" xr3:uid="{6F208B4C-8633-4240-B9FA-1921B9044143}" name="Column1" dataDxfId="37">
      <calculatedColumnFormula>RIGHT(Table6[[#This Row],[Middle Digit]],2)</calculatedColumnFormula>
    </tableColumn>
  </tableColumns>
  <tableStyleInfo name="TableStyleLight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C3E35-E485-4650-A7BE-5E55CBC218A9}" name="Table2" displayName="Table2" ref="A1:AE2426" totalsRowShown="0" headerRowDxfId="36" dataDxfId="35" headerRowCellStyle="Normal 2">
  <autoFilter ref="A1:AE2426" xr:uid="{22EC3E35-E485-4650-A7BE-5E55CBC218A9}">
    <filterColumn colId="30">
      <filters>
        <filter val="Well"/>
      </filters>
    </filterColumn>
  </autoFilter>
  <tableColumns count="31">
    <tableColumn id="1" xr3:uid="{DB878936-F919-4D0C-BA63-F1F6B9E61B64}" name="No" dataDxfId="34"/>
    <tableColumn id="2" xr3:uid="{01FE222E-9F7C-4DA5-B1D3-91394B758FA4}" name="Level" dataDxfId="33"/>
    <tableColumn id="3" xr3:uid="{049B4E35-6F3B-4774-B8DB-E2048F739DE0}" name="WBS_Desc" dataDxfId="32"/>
    <tableColumn id="4" xr3:uid="{E712DF3C-574A-47CA-8CCB-87A3CC918806}" name="WBS_ID" dataDxfId="31"/>
    <tableColumn id="5" xr3:uid="{74732697-D7D2-4C64-ADB3-ADBDFB9B58E0}" name="AFE/Projec" dataDxfId="30"/>
    <tableColumn id="6" xr3:uid="{5F04ABB7-AB11-4F8A-89DE-CD9C07663E74}" name="Budget" dataDxfId="29"/>
    <tableColumn id="7" xr3:uid="{3B20D58B-BFC8-42A8-8B9F-B63238E969AB}" name="Budget2" dataDxfId="28"/>
    <tableColumn id="8" xr3:uid="{7B03AF6B-8D7D-4121-AEF6-179438508A5B}" name="Release" dataDxfId="27"/>
    <tableColumn id="9" xr3:uid="{E3CBB6F0-D3BF-4E9A-8B6A-27A9A0A91D82}" name="Release3" dataDxfId="26"/>
    <tableColumn id="10" xr3:uid="{3E3793A0-6E19-44E5-BC8E-6353B9231067}" name="ProCstPlan" dataDxfId="25"/>
    <tableColumn id="11" xr3:uid="{4ADCB475-C461-49DB-8426-9EE832A434F2}" name="ProCstPlan4" dataDxfId="24"/>
    <tableColumn id="12" xr3:uid="{DCAF8943-CBB1-41E5-AF78-70183121DD89}" name="Tot.cst.cm" dataDxfId="23"/>
    <tableColumn id="13" xr3:uid="{B31FE6F4-0275-4514-BF9B-01CF40C45793}" name="Tot.cst.cm5" dataDxfId="22"/>
    <tableColumn id="14" xr3:uid="{C11114E8-5A9D-4F05-B628-C5927CA9290A}" name="Act.costs" dataDxfId="21"/>
    <tableColumn id="15" xr3:uid="{9099144C-8A57-4061-AF67-E5E1D88B739B}" name="Act.costs6" dataDxfId="20"/>
    <tableColumn id="16" xr3:uid="{B5DE4D99-2212-4CAA-A007-7279AAF07D40}" name="CAPEX" dataDxfId="19"/>
    <tableColumn id="17" xr3:uid="{6313D6DC-A020-48FD-BC49-5C1DAFBAE359}" name="OPEX" dataDxfId="18"/>
    <tableColumn id="18" xr3:uid="{7BC563B1-2B03-404F-B0AE-2BA06A87181B}" name="Resp.persn" dataDxfId="17"/>
    <tableColumn id="19" xr3:uid="{0BDAD6B5-B791-4C0A-B5B7-EDA4ECB4C99D}" name="Life Cycle" dataDxfId="16"/>
    <tableColumn id="20" xr3:uid="{06DE4621-88F2-4F87-A827-DCA0D8EB9AF6}" name="Status" dataDxfId="15"/>
    <tableColumn id="21" xr3:uid="{77D65DAC-259D-4FBF-80ED-9ED4A4904691}" name="Code_L1" dataDxfId="14" dataCellStyle="Normal 2">
      <calculatedColumnFormula>IF(IFERROR(INDEX(WBS_Dictionary!E$2:E$1212, MATCH(Table2[[#This Row],[WBS_ID]], Table26[WBS CODE],0)), "") = "", "null", IFERROR(INDEX(WBS_Dictionary!E$2:E$1212, MATCH(Table2[[#This Row],[WBS_ID]], Table26[WBS CODE],0)), ""))</calculatedColumnFormula>
    </tableColumn>
    <tableColumn id="22" xr3:uid="{F090465F-A578-412E-B88F-1C635BD223B3}" name="Code_L2" dataDxfId="13" dataCellStyle="Normal 2">
      <calculatedColumnFormula>IF(IFERROR(INDEX(WBS_Dictionary!F$2:F$1212, MATCH(Table2[[#This Row],[WBS_ID]], Table26[WBS CODE],0)), "") = "", "null", IFERROR(INDEX(WBS_Dictionary!F$2:F$1212, MATCH(Table2[[#This Row],[WBS_ID]], Table26[WBS CODE],0)), ""))</calculatedColumnFormula>
    </tableColumn>
    <tableColumn id="23" xr3:uid="{4F4281E1-9C0E-4BB6-AC39-4463A7760D59}" name="Code_L3" dataDxfId="12" dataCellStyle="Normal 2">
      <calculatedColumnFormula>IF(IFERROR(INDEX(WBS_Dictionary!G$2:G$1212, MATCH(Table2[[#This Row],[WBS_ID]], Table26[WBS CODE],0)), "") = "", "null", IFERROR(INDEX(WBS_Dictionary!G$2:G$1212, MATCH(Table2[[#This Row],[WBS_ID]], Table26[WBS CODE],0)), ""))</calculatedColumnFormula>
    </tableColumn>
    <tableColumn id="24" xr3:uid="{49B8D3EF-679E-4828-9CD4-5BF0AF875915}" name="Code_L4" dataDxfId="11" dataCellStyle="Normal 2">
      <calculatedColumnFormula>IF(IFERROR(INDEX(WBS_Dictionary!H$2:H$1212, MATCH(Table2[[#This Row],[WBS_ID]], Table26[WBS CODE],0)), "") = "", "null", IFERROR(INDEX(WBS_Dictionary!H$2:H$1212, MATCH(Table2[[#This Row],[WBS_ID]], Table26[WBS CODE],0)), ""))</calculatedColumnFormula>
    </tableColumn>
    <tableColumn id="25" xr3:uid="{05E62952-A681-46B6-9374-C34BBF37EFDC}" name="LVL 5" dataDxfId="10" dataCellStyle="Normal 2">
      <calculatedColumnFormula>IF(IFERROR(INDEX(WBS_Dictionary!I$2:I$1212, MATCH(Table2[[#This Row],[WBS_ID]], Table26[WBS CODE],0)), "") = "", "null", IFERROR(INDEX(WBS_Dictionary!I$2:I$1212, MATCH(Table2[[#This Row],[WBS_ID]], Table26[WBS CODE],0)), ""))</calculatedColumnFormula>
    </tableColumn>
    <tableColumn id="26" xr3:uid="{D8797D89-0B55-4819-B190-75C614080239}" name="Tag_L2" dataDxfId="9" dataCellStyle="Normal 2">
      <calculatedColumnFormula>IF(IFERROR(INDEX(WBS_Dictionary!J$2:J$1212, MATCH(Table2[[#This Row],[WBS_ID]], Table26[WBS CODE],0)), "") = "", "null", IFERROR(INDEX(WBS_Dictionary!J$2:J$1212, MATCH(Table2[[#This Row],[WBS_ID]], Table26[WBS CODE],0)), ""))</calculatedColumnFormula>
    </tableColumn>
    <tableColumn id="27" xr3:uid="{5B71F3C6-AFC1-43CE-8225-262E237F5F1D}" name="Tag_L3" dataDxfId="8" dataCellStyle="Normal 2">
      <calculatedColumnFormula>IF(IFERROR(INDEX(WBS_Dictionary!K$2:K$1212, MATCH(Table2[[#This Row],[WBS_ID]], Table26[WBS CODE],0)), "") = "", "null", IFERROR(INDEX(WBS_Dictionary!K$2:K$1212, MATCH(Table2[[#This Row],[WBS_ID]], Table26[WBS CODE],0)), ""))</calculatedColumnFormula>
    </tableColumn>
    <tableColumn id="28" xr3:uid="{2D23BD99-9CBC-452B-9ACB-829A43800950}" name="Tag_L4" dataDxfId="7" dataCellStyle="Normal 2">
      <calculatedColumnFormula>IF(IFERROR(INDEX(WBS_Dictionary!L$2:L$1212, MATCH(Table2[[#This Row],[WBS_ID]], Table26[WBS CODE],0)), "") = "", "null", IFERROR(INDEX(WBS_Dictionary!L$2:L$1212, MATCH(Table2[[#This Row],[WBS_ID]], Table26[WBS CODE],0)), ""))</calculatedColumnFormula>
    </tableColumn>
    <tableColumn id="29" xr3:uid="{15666569-402B-45B8-B1D4-64B6E8ED6602}" name="Tag_L5" dataDxfId="6" dataCellStyle="Normal 2">
      <calculatedColumnFormula>IF(IFERROR(INDEX(WBS_Dictionary!M$2:M$1212, MATCH(Table2[[#This Row],[WBS_ID]], Table26[WBS CODE],0)), "") = "", "null", IFERROR(INDEX(WBS_Dictionary!M$2:M$1212, MATCH(Table2[[#This Row],[WBS_ID]], Table26[WBS CODE],0)), ""))</calculatedColumnFormula>
    </tableColumn>
    <tableColumn id="30" xr3:uid="{1524BF65-7BCA-4C61-AFD7-A0154CDB5DBE}" name="Tag_Well_Pad_Name" dataDxfId="5" dataCellStyle="Normal 2">
      <calculatedColumnFormula>IF(IFERROR(INDEX(WBS_Dictionary!N$2:N$1212, MATCH(Table2[[#This Row],[WBS_ID]], Table26[WBS CODE],0)), "") = "", "null", IFERROR(INDEX(WBS_Dictionary!N$2:N$1212, MATCH(Table2[[#This Row],[WBS_ID]], Table26[WBS CODE],0)), ""))</calculatedColumnFormula>
    </tableColumn>
    <tableColumn id="31" xr3:uid="{7073E70E-2442-4AB0-812A-88EB7591D0D3}" name="Tag_Well_or_Pad" dataDxfId="4" dataCellStyle="Normal 2">
      <calculatedColumnFormula>IF(IFERROR(INDEX(WBS_Dictionary!O$2:O$1212, MATCH(Table2[[#This Row],[WBS_ID]], Table26[WBS CODE],0)), "") = "", "null", IFERROR(INDEX(WBS_Dictionary!O$2:O$1212, MATCH(Table2[[#This Row],[WBS_ID]], Table26[WBS CODE],0)), ""))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BE9B-3257-47EE-9D20-D13B7357C122}">
  <dimension ref="A1:P1783"/>
  <sheetViews>
    <sheetView tabSelected="1" topLeftCell="A417" workbookViewId="0">
      <selection activeCell="H423" sqref="H423"/>
    </sheetView>
  </sheetViews>
  <sheetFormatPr defaultRowHeight="13.8" x14ac:dyDescent="0.3"/>
  <cols>
    <col min="2" max="2" width="12.88671875" customWidth="1"/>
    <col min="3" max="3" width="43.5546875" bestFit="1" customWidth="1"/>
    <col min="4" max="4" width="34.44140625" bestFit="1" customWidth="1"/>
    <col min="5" max="5" width="15.33203125" bestFit="1" customWidth="1"/>
    <col min="6" max="6" width="18.44140625" bestFit="1" customWidth="1"/>
    <col min="7" max="7" width="20.44140625" bestFit="1" customWidth="1"/>
    <col min="8" max="8" width="22.5546875" bestFit="1" customWidth="1"/>
    <col min="9" max="9" width="24.5546875" bestFit="1" customWidth="1"/>
    <col min="10" max="10" width="18.6640625" bestFit="1" customWidth="1"/>
    <col min="11" max="12" width="34.44140625" bestFit="1" customWidth="1"/>
    <col min="13" max="13" width="35.109375" bestFit="1" customWidth="1"/>
    <col min="14" max="14" width="16.33203125" bestFit="1" customWidth="1"/>
    <col min="15" max="15" width="19" bestFit="1" customWidth="1"/>
    <col min="16" max="16" width="18.109375" bestFit="1" customWidth="1"/>
  </cols>
  <sheetData>
    <row r="1" spans="1:16" ht="13.0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5738</v>
      </c>
    </row>
    <row r="2" spans="1:16" ht="13.05" x14ac:dyDescent="0.3">
      <c r="A2">
        <v>1</v>
      </c>
      <c r="B2" t="s">
        <v>15</v>
      </c>
      <c r="C2" t="s">
        <v>16</v>
      </c>
      <c r="D2" t="s">
        <v>17</v>
      </c>
      <c r="E2" t="s">
        <v>17</v>
      </c>
      <c r="F2" s="4"/>
      <c r="G2" s="4"/>
      <c r="H2" s="4"/>
      <c r="I2" s="4"/>
      <c r="J2" s="4"/>
      <c r="K2" s="4"/>
      <c r="L2" s="4"/>
      <c r="M2" s="4"/>
      <c r="N2" s="4"/>
      <c r="O2" s="4"/>
      <c r="P2" t="str">
        <f>_xlfn.TEXTBEFORE(_xlfn.TEXTAFTER(Table26[[#This Row],[WBS CODE]], "-"), "-")</f>
        <v>30</v>
      </c>
    </row>
    <row r="3" spans="1:16" ht="13.05" x14ac:dyDescent="0.3">
      <c r="A3">
        <v>2</v>
      </c>
      <c r="B3" s="4" t="s">
        <v>18</v>
      </c>
      <c r="C3" s="4" t="s">
        <v>19</v>
      </c>
      <c r="D3" s="4" t="s">
        <v>20</v>
      </c>
      <c r="E3" t="s">
        <v>17</v>
      </c>
      <c r="F3" s="4" t="s">
        <v>20</v>
      </c>
      <c r="G3" s="4"/>
      <c r="H3" s="4"/>
      <c r="I3" s="4"/>
      <c r="J3" s="4" t="s">
        <v>19</v>
      </c>
      <c r="K3" s="4"/>
      <c r="L3" s="4"/>
      <c r="M3" s="4"/>
      <c r="N3" s="4"/>
      <c r="O3" s="4"/>
      <c r="P3" t="str">
        <f>_xlfn.TEXTBEFORE(_xlfn.TEXTAFTER(Table26[[#This Row],[WBS CODE]], "-"), "-")</f>
        <v>30203</v>
      </c>
    </row>
    <row r="4" spans="1:16" ht="13.05" x14ac:dyDescent="0.3">
      <c r="A4">
        <v>3</v>
      </c>
      <c r="B4" s="4" t="s">
        <v>21</v>
      </c>
      <c r="C4" s="4" t="s">
        <v>22</v>
      </c>
      <c r="D4" s="4" t="s">
        <v>23</v>
      </c>
      <c r="E4" t="s">
        <v>17</v>
      </c>
      <c r="F4" s="4" t="s">
        <v>20</v>
      </c>
      <c r="G4" s="4" t="s">
        <v>23</v>
      </c>
      <c r="H4" s="4"/>
      <c r="I4" s="4"/>
      <c r="J4" s="4" t="s">
        <v>19</v>
      </c>
      <c r="K4" s="4" t="s">
        <v>881</v>
      </c>
      <c r="L4" s="4"/>
      <c r="M4" s="4"/>
      <c r="N4" s="4" t="s">
        <v>24</v>
      </c>
      <c r="O4" s="4" t="s">
        <v>25</v>
      </c>
      <c r="P4" t="str">
        <f>_xlfn.TEXTBEFORE(_xlfn.TEXTAFTER(Table26[[#This Row],[WBS CODE]], "-"), "-")</f>
        <v>3020390</v>
      </c>
    </row>
    <row r="5" spans="1:16" ht="13.05" x14ac:dyDescent="0.3">
      <c r="A5">
        <v>4</v>
      </c>
      <c r="B5" s="4" t="s">
        <v>26</v>
      </c>
      <c r="C5" s="4" t="s">
        <v>27</v>
      </c>
      <c r="D5" s="4" t="s">
        <v>28</v>
      </c>
      <c r="E5" t="s">
        <v>17</v>
      </c>
      <c r="F5" s="4" t="s">
        <v>20</v>
      </c>
      <c r="G5" s="4" t="s">
        <v>23</v>
      </c>
      <c r="H5" s="4" t="s">
        <v>28</v>
      </c>
      <c r="I5" s="4"/>
      <c r="J5" s="4" t="s">
        <v>19</v>
      </c>
      <c r="K5" s="4" t="s">
        <v>881</v>
      </c>
      <c r="L5" s="4" t="s">
        <v>29</v>
      </c>
      <c r="M5" s="4"/>
      <c r="N5" s="4" t="s">
        <v>24</v>
      </c>
      <c r="O5" s="4" t="s">
        <v>25</v>
      </c>
      <c r="P5" t="str">
        <f>_xlfn.TEXTBEFORE(_xlfn.TEXTAFTER(Table26[[#This Row],[WBS CODE]], "-"), "-")</f>
        <v>302039009</v>
      </c>
    </row>
    <row r="6" spans="1:16" ht="13.05" x14ac:dyDescent="0.3">
      <c r="A6">
        <v>5</v>
      </c>
      <c r="B6" s="4" t="s">
        <v>30</v>
      </c>
      <c r="C6" s="4" t="s">
        <v>31</v>
      </c>
      <c r="D6" s="4" t="s">
        <v>32</v>
      </c>
      <c r="E6" t="s">
        <v>17</v>
      </c>
      <c r="F6" s="4" t="s">
        <v>20</v>
      </c>
      <c r="G6" s="4" t="s">
        <v>23</v>
      </c>
      <c r="H6" s="4" t="s">
        <v>28</v>
      </c>
      <c r="I6" s="4" t="s">
        <v>32</v>
      </c>
      <c r="J6" s="4" t="s">
        <v>19</v>
      </c>
      <c r="K6" s="4" t="s">
        <v>881</v>
      </c>
      <c r="L6" s="4" t="s">
        <v>29</v>
      </c>
      <c r="M6" s="4" t="s">
        <v>33</v>
      </c>
      <c r="N6" s="4" t="s">
        <v>24</v>
      </c>
      <c r="O6" s="4" t="s">
        <v>25</v>
      </c>
      <c r="P6" t="str">
        <f>_xlfn.TEXTBEFORE(_xlfn.TEXTAFTER(Table26[[#This Row],[WBS CODE]], "-"), "-")</f>
        <v>30203900963</v>
      </c>
    </row>
    <row r="7" spans="1:16" ht="13.05" x14ac:dyDescent="0.3">
      <c r="A7">
        <v>6</v>
      </c>
      <c r="B7" s="4" t="s">
        <v>26</v>
      </c>
      <c r="C7" s="4" t="s">
        <v>34</v>
      </c>
      <c r="D7" s="4" t="s">
        <v>35</v>
      </c>
      <c r="E7" t="s">
        <v>17</v>
      </c>
      <c r="F7" s="4" t="s">
        <v>20</v>
      </c>
      <c r="G7" s="4" t="s">
        <v>23</v>
      </c>
      <c r="H7" s="4" t="s">
        <v>35</v>
      </c>
      <c r="I7" s="4"/>
      <c r="J7" s="4" t="s">
        <v>19</v>
      </c>
      <c r="K7" s="4" t="s">
        <v>881</v>
      </c>
      <c r="L7" s="4" t="s">
        <v>36</v>
      </c>
      <c r="M7" s="4"/>
      <c r="N7" s="4" t="s">
        <v>24</v>
      </c>
      <c r="O7" s="4" t="s">
        <v>25</v>
      </c>
      <c r="P7" t="str">
        <f>_xlfn.TEXTBEFORE(_xlfn.TEXTAFTER(Table26[[#This Row],[WBS CODE]], "-"), "-")</f>
        <v>302039008</v>
      </c>
    </row>
    <row r="8" spans="1:16" ht="13.05" x14ac:dyDescent="0.3">
      <c r="A8">
        <v>7</v>
      </c>
      <c r="B8" s="4" t="s">
        <v>30</v>
      </c>
      <c r="C8" s="4" t="s">
        <v>37</v>
      </c>
      <c r="D8" s="4" t="s">
        <v>38</v>
      </c>
      <c r="E8" t="s">
        <v>17</v>
      </c>
      <c r="F8" s="4" t="s">
        <v>20</v>
      </c>
      <c r="G8" s="4" t="s">
        <v>23</v>
      </c>
      <c r="H8" s="4" t="s">
        <v>35</v>
      </c>
      <c r="I8" s="4" t="s">
        <v>38</v>
      </c>
      <c r="J8" s="4" t="s">
        <v>19</v>
      </c>
      <c r="K8" s="4" t="s">
        <v>881</v>
      </c>
      <c r="L8" s="4" t="s">
        <v>36</v>
      </c>
      <c r="M8" s="4" t="s">
        <v>39</v>
      </c>
      <c r="N8" s="4" t="s">
        <v>24</v>
      </c>
      <c r="O8" s="4" t="s">
        <v>25</v>
      </c>
      <c r="P8" t="str">
        <f>_xlfn.TEXTBEFORE(_xlfn.TEXTAFTER(Table26[[#This Row],[WBS CODE]], "-"), "-")</f>
        <v>30203900821</v>
      </c>
    </row>
    <row r="9" spans="1:16" ht="13.05" x14ac:dyDescent="0.3">
      <c r="A9">
        <v>8</v>
      </c>
      <c r="B9" s="4" t="s">
        <v>30</v>
      </c>
      <c r="C9" s="4" t="s">
        <v>40</v>
      </c>
      <c r="D9" s="4" t="s">
        <v>41</v>
      </c>
      <c r="E9" t="s">
        <v>17</v>
      </c>
      <c r="F9" s="4" t="s">
        <v>20</v>
      </c>
      <c r="G9" s="4" t="s">
        <v>23</v>
      </c>
      <c r="H9" s="4" t="s">
        <v>35</v>
      </c>
      <c r="I9" s="4" t="s">
        <v>41</v>
      </c>
      <c r="J9" s="4" t="s">
        <v>19</v>
      </c>
      <c r="K9" s="4" t="s">
        <v>881</v>
      </c>
      <c r="L9" s="4" t="s">
        <v>36</v>
      </c>
      <c r="M9" s="4" t="s">
        <v>42</v>
      </c>
      <c r="N9" s="4" t="s">
        <v>24</v>
      </c>
      <c r="O9" s="4" t="s">
        <v>25</v>
      </c>
      <c r="P9" t="str">
        <f>_xlfn.TEXTBEFORE(_xlfn.TEXTAFTER(Table26[[#This Row],[WBS CODE]], "-"), "-")</f>
        <v>30203900860</v>
      </c>
    </row>
    <row r="10" spans="1:16" ht="13.05" x14ac:dyDescent="0.3">
      <c r="A10">
        <v>9</v>
      </c>
      <c r="B10" s="4" t="s">
        <v>26</v>
      </c>
      <c r="C10" s="4" t="s">
        <v>43</v>
      </c>
      <c r="D10" s="4" t="s">
        <v>44</v>
      </c>
      <c r="E10" t="s">
        <v>17</v>
      </c>
      <c r="F10" s="4" t="s">
        <v>20</v>
      </c>
      <c r="G10" s="4" t="s">
        <v>23</v>
      </c>
      <c r="H10" s="4" t="s">
        <v>44</v>
      </c>
      <c r="I10" s="4"/>
      <c r="J10" s="4" t="s">
        <v>19</v>
      </c>
      <c r="K10" s="4" t="s">
        <v>881</v>
      </c>
      <c r="L10" s="4" t="s">
        <v>45</v>
      </c>
      <c r="M10" s="4"/>
      <c r="N10" s="4" t="s">
        <v>24</v>
      </c>
      <c r="O10" s="4" t="s">
        <v>25</v>
      </c>
      <c r="P10" t="str">
        <f>_xlfn.TEXTBEFORE(_xlfn.TEXTAFTER(Table26[[#This Row],[WBS CODE]], "-"), "-")</f>
        <v>302039007</v>
      </c>
    </row>
    <row r="11" spans="1:16" ht="13.05" x14ac:dyDescent="0.3">
      <c r="A11">
        <v>10</v>
      </c>
      <c r="B11" s="4" t="s">
        <v>30</v>
      </c>
      <c r="C11" s="4" t="s">
        <v>46</v>
      </c>
      <c r="D11" s="4" t="s">
        <v>47</v>
      </c>
      <c r="E11" t="s">
        <v>17</v>
      </c>
      <c r="F11" s="4" t="s">
        <v>20</v>
      </c>
      <c r="G11" s="4" t="s">
        <v>23</v>
      </c>
      <c r="H11" s="4" t="s">
        <v>44</v>
      </c>
      <c r="I11" s="4" t="s">
        <v>47</v>
      </c>
      <c r="J11" s="4" t="s">
        <v>19</v>
      </c>
      <c r="K11" s="4" t="s">
        <v>881</v>
      </c>
      <c r="L11" s="4" t="s">
        <v>45</v>
      </c>
      <c r="M11" s="4" t="s">
        <v>45</v>
      </c>
      <c r="N11" s="4" t="s">
        <v>24</v>
      </c>
      <c r="O11" s="4" t="s">
        <v>25</v>
      </c>
      <c r="P11" t="str">
        <f>_xlfn.TEXTBEFORE(_xlfn.TEXTAFTER(Table26[[#This Row],[WBS CODE]], "-"), "-")</f>
        <v>30203900759</v>
      </c>
    </row>
    <row r="12" spans="1:16" ht="13.05" x14ac:dyDescent="0.3">
      <c r="A12">
        <v>11</v>
      </c>
      <c r="B12" s="4" t="s">
        <v>21</v>
      </c>
      <c r="C12" s="4" t="s">
        <v>48</v>
      </c>
      <c r="D12" s="4" t="s">
        <v>49</v>
      </c>
      <c r="E12" t="s">
        <v>17</v>
      </c>
      <c r="F12" s="4" t="s">
        <v>20</v>
      </c>
      <c r="G12" s="4" t="s">
        <v>49</v>
      </c>
      <c r="H12" s="4"/>
      <c r="I12" s="4"/>
      <c r="J12" s="4" t="s">
        <v>19</v>
      </c>
      <c r="K12" s="4" t="s">
        <v>881</v>
      </c>
      <c r="L12" s="4"/>
      <c r="M12" s="4"/>
      <c r="N12" s="4" t="s">
        <v>50</v>
      </c>
      <c r="O12" s="4" t="s">
        <v>25</v>
      </c>
      <c r="P12" t="str">
        <f>_xlfn.TEXTBEFORE(_xlfn.TEXTAFTER(Table26[[#This Row],[WBS CODE]], "-"), "-")</f>
        <v>3020389</v>
      </c>
    </row>
    <row r="13" spans="1:16" ht="13.05" x14ac:dyDescent="0.3">
      <c r="A13">
        <v>12</v>
      </c>
      <c r="B13" s="4" t="s">
        <v>26</v>
      </c>
      <c r="C13" s="4" t="s">
        <v>51</v>
      </c>
      <c r="D13" s="4" t="s">
        <v>52</v>
      </c>
      <c r="E13" t="s">
        <v>17</v>
      </c>
      <c r="F13" s="4" t="s">
        <v>20</v>
      </c>
      <c r="G13" s="4" t="s">
        <v>49</v>
      </c>
      <c r="H13" s="4" t="s">
        <v>52</v>
      </c>
      <c r="I13" s="4"/>
      <c r="J13" s="4" t="s">
        <v>19</v>
      </c>
      <c r="K13" s="4" t="s">
        <v>881</v>
      </c>
      <c r="L13" s="4" t="s">
        <v>29</v>
      </c>
      <c r="M13" s="4"/>
      <c r="N13" s="4" t="s">
        <v>50</v>
      </c>
      <c r="O13" s="4" t="s">
        <v>25</v>
      </c>
      <c r="P13" t="str">
        <f>_xlfn.TEXTBEFORE(_xlfn.TEXTAFTER(Table26[[#This Row],[WBS CODE]], "-"), "-")</f>
        <v>302038909</v>
      </c>
    </row>
    <row r="14" spans="1:16" ht="13.05" x14ac:dyDescent="0.3">
      <c r="A14">
        <v>13</v>
      </c>
      <c r="B14" s="4" t="s">
        <v>30</v>
      </c>
      <c r="C14" s="4" t="s">
        <v>53</v>
      </c>
      <c r="D14" s="4" t="s">
        <v>54</v>
      </c>
      <c r="E14" t="s">
        <v>17</v>
      </c>
      <c r="F14" s="4" t="s">
        <v>20</v>
      </c>
      <c r="G14" s="4" t="s">
        <v>49</v>
      </c>
      <c r="H14" s="4" t="s">
        <v>52</v>
      </c>
      <c r="I14" s="4" t="s">
        <v>54</v>
      </c>
      <c r="J14" s="4" t="s">
        <v>19</v>
      </c>
      <c r="K14" s="4" t="s">
        <v>881</v>
      </c>
      <c r="L14" s="4" t="s">
        <v>29</v>
      </c>
      <c r="M14" s="4" t="s">
        <v>33</v>
      </c>
      <c r="N14" s="4" t="s">
        <v>50</v>
      </c>
      <c r="O14" s="4" t="s">
        <v>25</v>
      </c>
      <c r="P14" t="str">
        <f>_xlfn.TEXTBEFORE(_xlfn.TEXTAFTER(Table26[[#This Row],[WBS CODE]], "-"), "-")</f>
        <v>30203890963</v>
      </c>
    </row>
    <row r="15" spans="1:16" ht="13.05" x14ac:dyDescent="0.3">
      <c r="A15">
        <v>14</v>
      </c>
      <c r="B15" s="4" t="s">
        <v>26</v>
      </c>
      <c r="C15" s="4" t="s">
        <v>55</v>
      </c>
      <c r="D15" s="4" t="s">
        <v>56</v>
      </c>
      <c r="E15" t="s">
        <v>17</v>
      </c>
      <c r="F15" s="4" t="s">
        <v>20</v>
      </c>
      <c r="G15" s="4" t="s">
        <v>49</v>
      </c>
      <c r="H15" s="4" t="s">
        <v>56</v>
      </c>
      <c r="I15" s="4"/>
      <c r="J15" s="4" t="s">
        <v>19</v>
      </c>
      <c r="K15" s="4" t="s">
        <v>881</v>
      </c>
      <c r="L15" s="4" t="s">
        <v>36</v>
      </c>
      <c r="M15" s="4"/>
      <c r="N15" s="4" t="s">
        <v>50</v>
      </c>
      <c r="O15" s="4" t="s">
        <v>25</v>
      </c>
      <c r="P15" t="str">
        <f>_xlfn.TEXTBEFORE(_xlfn.TEXTAFTER(Table26[[#This Row],[WBS CODE]], "-"), "-")</f>
        <v>302038908</v>
      </c>
    </row>
    <row r="16" spans="1:16" ht="13.05" x14ac:dyDescent="0.3">
      <c r="A16">
        <v>15</v>
      </c>
      <c r="B16" s="4" t="s">
        <v>30</v>
      </c>
      <c r="C16" s="4" t="s">
        <v>57</v>
      </c>
      <c r="D16" s="4" t="s">
        <v>58</v>
      </c>
      <c r="E16" t="s">
        <v>17</v>
      </c>
      <c r="F16" s="4" t="s">
        <v>20</v>
      </c>
      <c r="G16" s="4" t="s">
        <v>49</v>
      </c>
      <c r="H16" s="4" t="s">
        <v>56</v>
      </c>
      <c r="I16" s="4" t="s">
        <v>58</v>
      </c>
      <c r="J16" s="4" t="s">
        <v>19</v>
      </c>
      <c r="K16" s="4" t="s">
        <v>881</v>
      </c>
      <c r="L16" s="4" t="s">
        <v>36</v>
      </c>
      <c r="M16" s="4" t="s">
        <v>39</v>
      </c>
      <c r="N16" s="4" t="s">
        <v>50</v>
      </c>
      <c r="O16" s="4" t="s">
        <v>25</v>
      </c>
      <c r="P16" t="str">
        <f>_xlfn.TEXTBEFORE(_xlfn.TEXTAFTER(Table26[[#This Row],[WBS CODE]], "-"), "-")</f>
        <v>30203890821</v>
      </c>
    </row>
    <row r="17" spans="1:16" ht="13.05" x14ac:dyDescent="0.3">
      <c r="A17">
        <v>16</v>
      </c>
      <c r="B17" s="4" t="s">
        <v>30</v>
      </c>
      <c r="C17" s="4" t="s">
        <v>59</v>
      </c>
      <c r="D17" s="4" t="s">
        <v>60</v>
      </c>
      <c r="E17" t="s">
        <v>17</v>
      </c>
      <c r="F17" s="4" t="s">
        <v>20</v>
      </c>
      <c r="G17" s="4" t="s">
        <v>49</v>
      </c>
      <c r="H17" s="4" t="s">
        <v>56</v>
      </c>
      <c r="I17" s="4" t="s">
        <v>60</v>
      </c>
      <c r="J17" s="4" t="s">
        <v>19</v>
      </c>
      <c r="K17" s="4" t="s">
        <v>881</v>
      </c>
      <c r="L17" s="4" t="s">
        <v>36</v>
      </c>
      <c r="M17" s="4" t="s">
        <v>42</v>
      </c>
      <c r="N17" s="4" t="s">
        <v>50</v>
      </c>
      <c r="O17" s="4" t="s">
        <v>25</v>
      </c>
      <c r="P17" t="str">
        <f>_xlfn.TEXTBEFORE(_xlfn.TEXTAFTER(Table26[[#This Row],[WBS CODE]], "-"), "-")</f>
        <v>30203890860</v>
      </c>
    </row>
    <row r="18" spans="1:16" ht="13.05" x14ac:dyDescent="0.3">
      <c r="A18">
        <v>17</v>
      </c>
      <c r="B18" s="4" t="s">
        <v>26</v>
      </c>
      <c r="C18" s="4" t="s">
        <v>61</v>
      </c>
      <c r="D18" s="4" t="s">
        <v>62</v>
      </c>
      <c r="E18" t="s">
        <v>17</v>
      </c>
      <c r="F18" s="4" t="s">
        <v>20</v>
      </c>
      <c r="G18" s="4" t="s">
        <v>49</v>
      </c>
      <c r="H18" s="4" t="s">
        <v>62</v>
      </c>
      <c r="I18" s="4"/>
      <c r="J18" s="4" t="s">
        <v>19</v>
      </c>
      <c r="K18" s="4" t="s">
        <v>881</v>
      </c>
      <c r="L18" s="4" t="s">
        <v>45</v>
      </c>
      <c r="M18" s="4"/>
      <c r="N18" s="4" t="s">
        <v>50</v>
      </c>
      <c r="O18" s="4" t="s">
        <v>25</v>
      </c>
      <c r="P18" t="str">
        <f>_xlfn.TEXTBEFORE(_xlfn.TEXTAFTER(Table26[[#This Row],[WBS CODE]], "-"), "-")</f>
        <v>302038907</v>
      </c>
    </row>
    <row r="19" spans="1:16" ht="13.05" x14ac:dyDescent="0.3">
      <c r="A19">
        <v>18</v>
      </c>
      <c r="B19" s="4" t="s">
        <v>30</v>
      </c>
      <c r="C19" s="4" t="s">
        <v>63</v>
      </c>
      <c r="D19" s="4" t="s">
        <v>64</v>
      </c>
      <c r="E19" t="s">
        <v>17</v>
      </c>
      <c r="F19" s="4" t="s">
        <v>20</v>
      </c>
      <c r="G19" s="4" t="s">
        <v>49</v>
      </c>
      <c r="H19" s="4" t="s">
        <v>62</v>
      </c>
      <c r="I19" s="4" t="s">
        <v>64</v>
      </c>
      <c r="J19" s="4" t="s">
        <v>19</v>
      </c>
      <c r="K19" s="4" t="s">
        <v>881</v>
      </c>
      <c r="L19" s="4" t="s">
        <v>45</v>
      </c>
      <c r="M19" s="4" t="s">
        <v>45</v>
      </c>
      <c r="N19" s="4" t="s">
        <v>50</v>
      </c>
      <c r="O19" s="4" t="s">
        <v>25</v>
      </c>
      <c r="P19" t="str">
        <f>_xlfn.TEXTBEFORE(_xlfn.TEXTAFTER(Table26[[#This Row],[WBS CODE]], "-"), "-")</f>
        <v>30203890759</v>
      </c>
    </row>
    <row r="20" spans="1:16" ht="13.05" x14ac:dyDescent="0.3">
      <c r="A20">
        <v>19</v>
      </c>
      <c r="B20" s="4" t="s">
        <v>21</v>
      </c>
      <c r="C20" s="4" t="s">
        <v>65</v>
      </c>
      <c r="D20" s="4" t="s">
        <v>66</v>
      </c>
      <c r="E20" t="s">
        <v>17</v>
      </c>
      <c r="F20" s="4" t="s">
        <v>20</v>
      </c>
      <c r="G20" s="4" t="s">
        <v>66</v>
      </c>
      <c r="H20" s="4"/>
      <c r="I20" s="4"/>
      <c r="J20" s="4" t="s">
        <v>19</v>
      </c>
      <c r="K20" s="4" t="s">
        <v>881</v>
      </c>
      <c r="L20" s="4"/>
      <c r="M20" s="4"/>
      <c r="N20" s="4" t="s">
        <v>67</v>
      </c>
      <c r="O20" s="4" t="s">
        <v>25</v>
      </c>
      <c r="P20" t="str">
        <f>_xlfn.TEXTBEFORE(_xlfn.TEXTAFTER(Table26[[#This Row],[WBS CODE]], "-"), "-")</f>
        <v>3020388</v>
      </c>
    </row>
    <row r="21" spans="1:16" ht="13.05" x14ac:dyDescent="0.3">
      <c r="A21">
        <v>20</v>
      </c>
      <c r="B21" s="4" t="s">
        <v>26</v>
      </c>
      <c r="C21" s="4" t="s">
        <v>68</v>
      </c>
      <c r="D21" s="4" t="s">
        <v>69</v>
      </c>
      <c r="E21" t="s">
        <v>17</v>
      </c>
      <c r="F21" s="4" t="s">
        <v>20</v>
      </c>
      <c r="G21" s="4" t="s">
        <v>66</v>
      </c>
      <c r="H21" s="4" t="s">
        <v>69</v>
      </c>
      <c r="I21" s="4"/>
      <c r="J21" s="4" t="s">
        <v>19</v>
      </c>
      <c r="K21" s="4" t="s">
        <v>881</v>
      </c>
      <c r="L21" s="4" t="s">
        <v>29</v>
      </c>
      <c r="M21" s="4"/>
      <c r="N21" s="4" t="s">
        <v>67</v>
      </c>
      <c r="O21" s="4" t="s">
        <v>25</v>
      </c>
      <c r="P21" t="str">
        <f>_xlfn.TEXTBEFORE(_xlfn.TEXTAFTER(Table26[[#This Row],[WBS CODE]], "-"), "-")</f>
        <v>302038809</v>
      </c>
    </row>
    <row r="22" spans="1:16" ht="13.05" x14ac:dyDescent="0.3">
      <c r="A22">
        <v>21</v>
      </c>
      <c r="B22" s="4" t="s">
        <v>30</v>
      </c>
      <c r="C22" s="4" t="s">
        <v>70</v>
      </c>
      <c r="D22" s="4" t="s">
        <v>71</v>
      </c>
      <c r="E22" t="s">
        <v>17</v>
      </c>
      <c r="F22" s="4" t="s">
        <v>20</v>
      </c>
      <c r="G22" s="4" t="s">
        <v>66</v>
      </c>
      <c r="H22" s="4" t="s">
        <v>69</v>
      </c>
      <c r="I22" s="4" t="s">
        <v>71</v>
      </c>
      <c r="J22" s="4" t="s">
        <v>19</v>
      </c>
      <c r="K22" s="4" t="s">
        <v>881</v>
      </c>
      <c r="L22" s="4" t="s">
        <v>29</v>
      </c>
      <c r="M22" s="4" t="s">
        <v>33</v>
      </c>
      <c r="N22" s="4" t="s">
        <v>67</v>
      </c>
      <c r="O22" s="4" t="s">
        <v>25</v>
      </c>
      <c r="P22" t="str">
        <f>_xlfn.TEXTBEFORE(_xlfn.TEXTAFTER(Table26[[#This Row],[WBS CODE]], "-"), "-")</f>
        <v>30203880963</v>
      </c>
    </row>
    <row r="23" spans="1:16" ht="13.05" x14ac:dyDescent="0.3">
      <c r="A23">
        <v>22</v>
      </c>
      <c r="B23" s="4" t="s">
        <v>26</v>
      </c>
      <c r="C23" s="4" t="s">
        <v>72</v>
      </c>
      <c r="D23" s="4" t="s">
        <v>73</v>
      </c>
      <c r="E23" t="s">
        <v>17</v>
      </c>
      <c r="F23" s="4" t="s">
        <v>20</v>
      </c>
      <c r="G23" s="4" t="s">
        <v>66</v>
      </c>
      <c r="H23" s="4" t="s">
        <v>73</v>
      </c>
      <c r="I23" s="4"/>
      <c r="J23" s="4" t="s">
        <v>19</v>
      </c>
      <c r="K23" s="4" t="s">
        <v>881</v>
      </c>
      <c r="L23" s="4" t="s">
        <v>36</v>
      </c>
      <c r="M23" s="4"/>
      <c r="N23" s="4" t="s">
        <v>67</v>
      </c>
      <c r="O23" s="4" t="s">
        <v>25</v>
      </c>
      <c r="P23" t="str">
        <f>_xlfn.TEXTBEFORE(_xlfn.TEXTAFTER(Table26[[#This Row],[WBS CODE]], "-"), "-")</f>
        <v>302038808</v>
      </c>
    </row>
    <row r="24" spans="1:16" ht="13.05" x14ac:dyDescent="0.3">
      <c r="A24">
        <v>23</v>
      </c>
      <c r="B24" s="4" t="s">
        <v>30</v>
      </c>
      <c r="C24" s="4" t="s">
        <v>74</v>
      </c>
      <c r="D24" s="4" t="s">
        <v>75</v>
      </c>
      <c r="E24" t="s">
        <v>17</v>
      </c>
      <c r="F24" s="4" t="s">
        <v>20</v>
      </c>
      <c r="G24" s="4" t="s">
        <v>66</v>
      </c>
      <c r="H24" s="4" t="s">
        <v>73</v>
      </c>
      <c r="I24" s="4" t="s">
        <v>75</v>
      </c>
      <c r="J24" s="4" t="s">
        <v>19</v>
      </c>
      <c r="K24" s="4" t="s">
        <v>881</v>
      </c>
      <c r="L24" s="4" t="s">
        <v>36</v>
      </c>
      <c r="M24" s="4" t="s">
        <v>39</v>
      </c>
      <c r="N24" s="4" t="s">
        <v>67</v>
      </c>
      <c r="O24" s="4" t="s">
        <v>25</v>
      </c>
      <c r="P24" t="str">
        <f>_xlfn.TEXTBEFORE(_xlfn.TEXTAFTER(Table26[[#This Row],[WBS CODE]], "-"), "-")</f>
        <v>30203880821</v>
      </c>
    </row>
    <row r="25" spans="1:16" ht="13.05" x14ac:dyDescent="0.3">
      <c r="A25">
        <v>24</v>
      </c>
      <c r="B25" s="4" t="s">
        <v>30</v>
      </c>
      <c r="C25" s="4" t="s">
        <v>76</v>
      </c>
      <c r="D25" s="4" t="s">
        <v>77</v>
      </c>
      <c r="E25" t="s">
        <v>17</v>
      </c>
      <c r="F25" s="4" t="s">
        <v>20</v>
      </c>
      <c r="G25" s="4" t="s">
        <v>66</v>
      </c>
      <c r="H25" s="4" t="s">
        <v>73</v>
      </c>
      <c r="I25" s="4" t="s">
        <v>77</v>
      </c>
      <c r="J25" s="4" t="s">
        <v>19</v>
      </c>
      <c r="K25" s="4" t="s">
        <v>881</v>
      </c>
      <c r="L25" s="4" t="s">
        <v>36</v>
      </c>
      <c r="M25" s="4" t="s">
        <v>42</v>
      </c>
      <c r="N25" s="4" t="s">
        <v>67</v>
      </c>
      <c r="O25" s="4" t="s">
        <v>25</v>
      </c>
      <c r="P25" t="str">
        <f>_xlfn.TEXTBEFORE(_xlfn.TEXTAFTER(Table26[[#This Row],[WBS CODE]], "-"), "-")</f>
        <v>30203880860</v>
      </c>
    </row>
    <row r="26" spans="1:16" ht="13.05" x14ac:dyDescent="0.3">
      <c r="A26">
        <v>25</v>
      </c>
      <c r="B26" s="4" t="s">
        <v>26</v>
      </c>
      <c r="C26" s="4" t="s">
        <v>78</v>
      </c>
      <c r="D26" s="4" t="s">
        <v>79</v>
      </c>
      <c r="E26" t="s">
        <v>17</v>
      </c>
      <c r="F26" s="4" t="s">
        <v>20</v>
      </c>
      <c r="G26" s="4" t="s">
        <v>66</v>
      </c>
      <c r="H26" s="4" t="s">
        <v>79</v>
      </c>
      <c r="I26" s="4"/>
      <c r="J26" s="4" t="s">
        <v>19</v>
      </c>
      <c r="K26" s="4" t="s">
        <v>881</v>
      </c>
      <c r="L26" s="4" t="s">
        <v>45</v>
      </c>
      <c r="M26" s="4"/>
      <c r="N26" s="4" t="s">
        <v>67</v>
      </c>
      <c r="O26" s="4" t="s">
        <v>25</v>
      </c>
      <c r="P26" t="str">
        <f>_xlfn.TEXTBEFORE(_xlfn.TEXTAFTER(Table26[[#This Row],[WBS CODE]], "-"), "-")</f>
        <v>302038807</v>
      </c>
    </row>
    <row r="27" spans="1:16" ht="13.05" x14ac:dyDescent="0.3">
      <c r="A27">
        <v>26</v>
      </c>
      <c r="B27" s="4" t="s">
        <v>30</v>
      </c>
      <c r="C27" s="4" t="s">
        <v>80</v>
      </c>
      <c r="D27" s="4" t="s">
        <v>81</v>
      </c>
      <c r="E27" t="s">
        <v>17</v>
      </c>
      <c r="F27" s="4" t="s">
        <v>20</v>
      </c>
      <c r="G27" s="4" t="s">
        <v>66</v>
      </c>
      <c r="H27" s="4" t="s">
        <v>79</v>
      </c>
      <c r="I27" s="4" t="s">
        <v>81</v>
      </c>
      <c r="J27" s="4" t="s">
        <v>19</v>
      </c>
      <c r="K27" s="4" t="s">
        <v>881</v>
      </c>
      <c r="L27" s="4" t="s">
        <v>45</v>
      </c>
      <c r="M27" s="4" t="s">
        <v>45</v>
      </c>
      <c r="N27" s="4" t="s">
        <v>67</v>
      </c>
      <c r="O27" s="4" t="s">
        <v>25</v>
      </c>
      <c r="P27" t="str">
        <f>_xlfn.TEXTBEFORE(_xlfn.TEXTAFTER(Table26[[#This Row],[WBS CODE]], "-"), "-")</f>
        <v>30203880759</v>
      </c>
    </row>
    <row r="28" spans="1:16" ht="13.05" x14ac:dyDescent="0.3">
      <c r="A28">
        <v>27</v>
      </c>
      <c r="B28" s="4" t="s">
        <v>21</v>
      </c>
      <c r="C28" s="4" t="s">
        <v>82</v>
      </c>
      <c r="D28" s="4" t="s">
        <v>83</v>
      </c>
      <c r="E28" t="s">
        <v>17</v>
      </c>
      <c r="F28" s="4" t="s">
        <v>20</v>
      </c>
      <c r="G28" s="4" t="s">
        <v>83</v>
      </c>
      <c r="H28" s="4"/>
      <c r="I28" s="4"/>
      <c r="J28" s="4" t="s">
        <v>19</v>
      </c>
      <c r="K28" s="4" t="s">
        <v>881</v>
      </c>
      <c r="L28" s="4"/>
      <c r="M28" s="4"/>
      <c r="N28" s="4" t="s">
        <v>84</v>
      </c>
      <c r="O28" s="4" t="s">
        <v>25</v>
      </c>
      <c r="P28" t="str">
        <f>_xlfn.TEXTBEFORE(_xlfn.TEXTAFTER(Table26[[#This Row],[WBS CODE]], "-"), "-")</f>
        <v>3020387</v>
      </c>
    </row>
    <row r="29" spans="1:16" x14ac:dyDescent="0.3">
      <c r="A29">
        <v>28</v>
      </c>
      <c r="B29" s="4" t="s">
        <v>26</v>
      </c>
      <c r="C29" s="4" t="s">
        <v>85</v>
      </c>
      <c r="D29" s="4" t="s">
        <v>86</v>
      </c>
      <c r="E29" t="s">
        <v>17</v>
      </c>
      <c r="F29" s="4" t="s">
        <v>20</v>
      </c>
      <c r="G29" s="4" t="s">
        <v>83</v>
      </c>
      <c r="H29" s="4" t="s">
        <v>86</v>
      </c>
      <c r="I29" s="4"/>
      <c r="J29" s="4" t="s">
        <v>19</v>
      </c>
      <c r="K29" s="4" t="s">
        <v>881</v>
      </c>
      <c r="L29" s="4" t="s">
        <v>29</v>
      </c>
      <c r="M29" s="4"/>
      <c r="N29" s="4" t="s">
        <v>84</v>
      </c>
      <c r="O29" s="4" t="s">
        <v>25</v>
      </c>
      <c r="P29" t="str">
        <f>_xlfn.TEXTBEFORE(_xlfn.TEXTAFTER(Table26[[#This Row],[WBS CODE]], "-"), "-")</f>
        <v>302038709</v>
      </c>
    </row>
    <row r="30" spans="1:16" x14ac:dyDescent="0.3">
      <c r="A30">
        <v>29</v>
      </c>
      <c r="B30" s="4" t="s">
        <v>30</v>
      </c>
      <c r="C30" s="4" t="s">
        <v>87</v>
      </c>
      <c r="D30" s="4" t="s">
        <v>88</v>
      </c>
      <c r="E30" t="s">
        <v>17</v>
      </c>
      <c r="F30" s="4" t="s">
        <v>20</v>
      </c>
      <c r="G30" s="4" t="s">
        <v>83</v>
      </c>
      <c r="H30" s="4" t="s">
        <v>86</v>
      </c>
      <c r="I30" s="4" t="s">
        <v>88</v>
      </c>
      <c r="J30" s="4" t="s">
        <v>19</v>
      </c>
      <c r="K30" s="4" t="s">
        <v>881</v>
      </c>
      <c r="L30" s="4" t="s">
        <v>29</v>
      </c>
      <c r="M30" s="4" t="s">
        <v>33</v>
      </c>
      <c r="N30" s="4" t="s">
        <v>84</v>
      </c>
      <c r="O30" s="4" t="s">
        <v>25</v>
      </c>
      <c r="P30" t="str">
        <f>_xlfn.TEXTBEFORE(_xlfn.TEXTAFTER(Table26[[#This Row],[WBS CODE]], "-"), "-")</f>
        <v>30203870963</v>
      </c>
    </row>
    <row r="31" spans="1:16" x14ac:dyDescent="0.3">
      <c r="A31">
        <v>30</v>
      </c>
      <c r="B31" s="4" t="s">
        <v>26</v>
      </c>
      <c r="C31" s="4" t="s">
        <v>89</v>
      </c>
      <c r="D31" s="4" t="s">
        <v>90</v>
      </c>
      <c r="E31" t="s">
        <v>17</v>
      </c>
      <c r="F31" s="4" t="s">
        <v>20</v>
      </c>
      <c r="G31" s="4" t="s">
        <v>83</v>
      </c>
      <c r="H31" s="4" t="s">
        <v>90</v>
      </c>
      <c r="I31" s="4"/>
      <c r="J31" s="4" t="s">
        <v>19</v>
      </c>
      <c r="K31" s="4" t="s">
        <v>881</v>
      </c>
      <c r="L31" s="4" t="s">
        <v>36</v>
      </c>
      <c r="M31" s="4"/>
      <c r="N31" s="4" t="s">
        <v>84</v>
      </c>
      <c r="O31" s="4" t="s">
        <v>25</v>
      </c>
      <c r="P31" t="str">
        <f>_xlfn.TEXTBEFORE(_xlfn.TEXTAFTER(Table26[[#This Row],[WBS CODE]], "-"), "-")</f>
        <v>302038708</v>
      </c>
    </row>
    <row r="32" spans="1:16" x14ac:dyDescent="0.3">
      <c r="A32">
        <v>31</v>
      </c>
      <c r="B32" s="4" t="s">
        <v>30</v>
      </c>
      <c r="C32" s="4" t="s">
        <v>91</v>
      </c>
      <c r="D32" s="4" t="s">
        <v>92</v>
      </c>
      <c r="E32" t="s">
        <v>17</v>
      </c>
      <c r="F32" s="4" t="s">
        <v>20</v>
      </c>
      <c r="G32" s="4" t="s">
        <v>83</v>
      </c>
      <c r="H32" s="4" t="s">
        <v>90</v>
      </c>
      <c r="I32" s="4" t="s">
        <v>92</v>
      </c>
      <c r="J32" s="4" t="s">
        <v>19</v>
      </c>
      <c r="K32" s="4" t="s">
        <v>881</v>
      </c>
      <c r="L32" s="4" t="s">
        <v>36</v>
      </c>
      <c r="M32" s="4" t="s">
        <v>39</v>
      </c>
      <c r="N32" s="4" t="s">
        <v>84</v>
      </c>
      <c r="O32" s="4" t="s">
        <v>25</v>
      </c>
      <c r="P32" t="str">
        <f>_xlfn.TEXTBEFORE(_xlfn.TEXTAFTER(Table26[[#This Row],[WBS CODE]], "-"), "-")</f>
        <v>30203870821</v>
      </c>
    </row>
    <row r="33" spans="1:16" x14ac:dyDescent="0.3">
      <c r="A33">
        <v>32</v>
      </c>
      <c r="B33" s="4" t="s">
        <v>30</v>
      </c>
      <c r="C33" s="4" t="s">
        <v>93</v>
      </c>
      <c r="D33" s="4" t="s">
        <v>94</v>
      </c>
      <c r="E33" t="s">
        <v>17</v>
      </c>
      <c r="F33" s="4" t="s">
        <v>20</v>
      </c>
      <c r="G33" s="4" t="s">
        <v>83</v>
      </c>
      <c r="H33" s="4" t="s">
        <v>90</v>
      </c>
      <c r="I33" s="4" t="s">
        <v>94</v>
      </c>
      <c r="J33" s="4" t="s">
        <v>19</v>
      </c>
      <c r="K33" s="4" t="s">
        <v>881</v>
      </c>
      <c r="L33" s="4" t="s">
        <v>36</v>
      </c>
      <c r="M33" s="4" t="s">
        <v>42</v>
      </c>
      <c r="N33" s="4" t="s">
        <v>84</v>
      </c>
      <c r="O33" s="4" t="s">
        <v>25</v>
      </c>
      <c r="P33" t="str">
        <f>_xlfn.TEXTBEFORE(_xlfn.TEXTAFTER(Table26[[#This Row],[WBS CODE]], "-"), "-")</f>
        <v>30203870860</v>
      </c>
    </row>
    <row r="34" spans="1:16" x14ac:dyDescent="0.3">
      <c r="A34">
        <v>33</v>
      </c>
      <c r="B34" s="4" t="s">
        <v>26</v>
      </c>
      <c r="C34" s="4" t="s">
        <v>95</v>
      </c>
      <c r="D34" s="4" t="s">
        <v>96</v>
      </c>
      <c r="E34" t="s">
        <v>17</v>
      </c>
      <c r="F34" s="4" t="s">
        <v>20</v>
      </c>
      <c r="G34" s="4" t="s">
        <v>83</v>
      </c>
      <c r="H34" s="4" t="s">
        <v>96</v>
      </c>
      <c r="I34" s="4"/>
      <c r="J34" s="4" t="s">
        <v>19</v>
      </c>
      <c r="K34" s="4" t="s">
        <v>881</v>
      </c>
      <c r="L34" s="4" t="s">
        <v>45</v>
      </c>
      <c r="M34" s="4"/>
      <c r="N34" s="4" t="s">
        <v>84</v>
      </c>
      <c r="O34" s="4" t="s">
        <v>25</v>
      </c>
      <c r="P34" t="str">
        <f>_xlfn.TEXTBEFORE(_xlfn.TEXTAFTER(Table26[[#This Row],[WBS CODE]], "-"), "-")</f>
        <v>302038707</v>
      </c>
    </row>
    <row r="35" spans="1:16" x14ac:dyDescent="0.3">
      <c r="A35">
        <v>34</v>
      </c>
      <c r="B35" s="4" t="s">
        <v>30</v>
      </c>
      <c r="C35" s="4" t="s">
        <v>97</v>
      </c>
      <c r="D35" s="4" t="s">
        <v>98</v>
      </c>
      <c r="E35" t="s">
        <v>17</v>
      </c>
      <c r="F35" s="4" t="s">
        <v>20</v>
      </c>
      <c r="G35" s="4" t="s">
        <v>83</v>
      </c>
      <c r="H35" s="4" t="s">
        <v>96</v>
      </c>
      <c r="I35" s="4" t="s">
        <v>98</v>
      </c>
      <c r="J35" s="4" t="s">
        <v>19</v>
      </c>
      <c r="K35" s="4" t="s">
        <v>881</v>
      </c>
      <c r="L35" s="4" t="s">
        <v>45</v>
      </c>
      <c r="M35" s="4" t="s">
        <v>45</v>
      </c>
      <c r="N35" s="4" t="s">
        <v>84</v>
      </c>
      <c r="O35" s="4" t="s">
        <v>25</v>
      </c>
      <c r="P35" t="str">
        <f>_xlfn.TEXTBEFORE(_xlfn.TEXTAFTER(Table26[[#This Row],[WBS CODE]], "-"), "-")</f>
        <v>30203870759</v>
      </c>
    </row>
    <row r="36" spans="1:16" x14ac:dyDescent="0.3">
      <c r="A36">
        <v>35</v>
      </c>
      <c r="B36" s="4" t="s">
        <v>21</v>
      </c>
      <c r="C36" s="4" t="s">
        <v>99</v>
      </c>
      <c r="D36" s="4" t="s">
        <v>100</v>
      </c>
      <c r="E36" t="s">
        <v>17</v>
      </c>
      <c r="F36" s="4" t="s">
        <v>20</v>
      </c>
      <c r="G36" s="4" t="s">
        <v>100</v>
      </c>
      <c r="H36" s="4"/>
      <c r="I36" s="4"/>
      <c r="J36" s="4" t="s">
        <v>19</v>
      </c>
      <c r="K36" s="4" t="s">
        <v>101</v>
      </c>
      <c r="L36" s="4"/>
      <c r="M36" s="4"/>
      <c r="N36" s="4" t="s">
        <v>24</v>
      </c>
      <c r="O36" s="4" t="s">
        <v>25</v>
      </c>
      <c r="P36" t="str">
        <f>_xlfn.TEXTBEFORE(_xlfn.TEXTAFTER(Table26[[#This Row],[WBS CODE]], "-"), "-")</f>
        <v>3020394</v>
      </c>
    </row>
    <row r="37" spans="1:16" x14ac:dyDescent="0.3">
      <c r="A37">
        <v>36</v>
      </c>
      <c r="B37" s="4" t="s">
        <v>26</v>
      </c>
      <c r="C37" s="4" t="s">
        <v>102</v>
      </c>
      <c r="D37" s="4" t="s">
        <v>103</v>
      </c>
      <c r="E37" t="s">
        <v>17</v>
      </c>
      <c r="F37" s="4" t="s">
        <v>20</v>
      </c>
      <c r="G37" s="4" t="s">
        <v>100</v>
      </c>
      <c r="H37" s="4" t="s">
        <v>103</v>
      </c>
      <c r="I37" s="4"/>
      <c r="J37" s="4" t="s">
        <v>19</v>
      </c>
      <c r="K37" s="4" t="s">
        <v>101</v>
      </c>
      <c r="L37" s="4" t="s">
        <v>29</v>
      </c>
      <c r="M37" s="4"/>
      <c r="N37" s="4" t="s">
        <v>24</v>
      </c>
      <c r="O37" s="4" t="s">
        <v>25</v>
      </c>
      <c r="P37" t="str">
        <f>_xlfn.TEXTBEFORE(_xlfn.TEXTAFTER(Table26[[#This Row],[WBS CODE]], "-"), "-")</f>
        <v>302039409</v>
      </c>
    </row>
    <row r="38" spans="1:16" x14ac:dyDescent="0.3">
      <c r="A38">
        <v>37</v>
      </c>
      <c r="B38" s="4" t="s">
        <v>30</v>
      </c>
      <c r="C38" s="4" t="s">
        <v>104</v>
      </c>
      <c r="D38" s="4" t="s">
        <v>105</v>
      </c>
      <c r="E38" t="s">
        <v>17</v>
      </c>
      <c r="F38" s="4" t="s">
        <v>20</v>
      </c>
      <c r="G38" s="4" t="s">
        <v>100</v>
      </c>
      <c r="H38" s="4" t="s">
        <v>103</v>
      </c>
      <c r="I38" s="4" t="s">
        <v>105</v>
      </c>
      <c r="J38" s="4" t="s">
        <v>19</v>
      </c>
      <c r="K38" s="4" t="s">
        <v>101</v>
      </c>
      <c r="L38" s="4" t="s">
        <v>29</v>
      </c>
      <c r="M38" s="4" t="s">
        <v>29</v>
      </c>
      <c r="N38" s="4" t="s">
        <v>24</v>
      </c>
      <c r="O38" s="4" t="s">
        <v>25</v>
      </c>
      <c r="P38" t="str">
        <f>_xlfn.TEXTBEFORE(_xlfn.TEXTAFTER(Table26[[#This Row],[WBS CODE]], "-"), "-")</f>
        <v>30203940962</v>
      </c>
    </row>
    <row r="39" spans="1:16" x14ac:dyDescent="0.3">
      <c r="A39">
        <v>38</v>
      </c>
      <c r="B39" s="4" t="s">
        <v>26</v>
      </c>
      <c r="C39" s="4" t="s">
        <v>106</v>
      </c>
      <c r="D39" s="4" t="s">
        <v>107</v>
      </c>
      <c r="E39" t="s">
        <v>17</v>
      </c>
      <c r="F39" s="4" t="s">
        <v>20</v>
      </c>
      <c r="G39" s="4" t="s">
        <v>100</v>
      </c>
      <c r="H39" s="4" t="s">
        <v>107</v>
      </c>
      <c r="I39" s="4"/>
      <c r="J39" s="4" t="s">
        <v>19</v>
      </c>
      <c r="K39" s="4" t="s">
        <v>101</v>
      </c>
      <c r="L39" s="4" t="s">
        <v>36</v>
      </c>
      <c r="M39" s="4"/>
      <c r="N39" s="4" t="s">
        <v>24</v>
      </c>
      <c r="O39" s="4" t="s">
        <v>25</v>
      </c>
      <c r="P39" t="str">
        <f>_xlfn.TEXTBEFORE(_xlfn.TEXTAFTER(Table26[[#This Row],[WBS CODE]], "-"), "-")</f>
        <v>302039408</v>
      </c>
    </row>
    <row r="40" spans="1:16" x14ac:dyDescent="0.3">
      <c r="A40">
        <v>39</v>
      </c>
      <c r="B40" s="4" t="s">
        <v>30</v>
      </c>
      <c r="C40" s="4" t="s">
        <v>108</v>
      </c>
      <c r="D40" s="4" t="s">
        <v>109</v>
      </c>
      <c r="E40" t="s">
        <v>17</v>
      </c>
      <c r="F40" s="4" t="s">
        <v>20</v>
      </c>
      <c r="G40" s="4" t="s">
        <v>100</v>
      </c>
      <c r="H40" s="4" t="s">
        <v>107</v>
      </c>
      <c r="I40" s="4" t="s">
        <v>109</v>
      </c>
      <c r="J40" s="4" t="s">
        <v>19</v>
      </c>
      <c r="K40" s="4" t="s">
        <v>101</v>
      </c>
      <c r="L40" s="4" t="s">
        <v>36</v>
      </c>
      <c r="M40" s="4" t="s">
        <v>39</v>
      </c>
      <c r="N40" s="4" t="s">
        <v>24</v>
      </c>
      <c r="O40" s="4" t="s">
        <v>25</v>
      </c>
      <c r="P40" t="str">
        <f>_xlfn.TEXTBEFORE(_xlfn.TEXTAFTER(Table26[[#This Row],[WBS CODE]], "-"), "-")</f>
        <v>30203940821</v>
      </c>
    </row>
    <row r="41" spans="1:16" x14ac:dyDescent="0.3">
      <c r="A41">
        <v>40</v>
      </c>
      <c r="B41" s="4" t="s">
        <v>30</v>
      </c>
      <c r="C41" s="4" t="s">
        <v>110</v>
      </c>
      <c r="D41" s="4" t="s">
        <v>111</v>
      </c>
      <c r="E41" t="s">
        <v>17</v>
      </c>
      <c r="F41" s="4" t="s">
        <v>20</v>
      </c>
      <c r="G41" s="4" t="s">
        <v>100</v>
      </c>
      <c r="H41" s="4" t="s">
        <v>107</v>
      </c>
      <c r="I41" s="4" t="s">
        <v>111</v>
      </c>
      <c r="J41" s="4" t="s">
        <v>19</v>
      </c>
      <c r="K41" s="4" t="s">
        <v>101</v>
      </c>
      <c r="L41" s="4" t="s">
        <v>36</v>
      </c>
      <c r="M41" s="4" t="s">
        <v>42</v>
      </c>
      <c r="N41" s="4" t="s">
        <v>24</v>
      </c>
      <c r="O41" s="4" t="s">
        <v>25</v>
      </c>
      <c r="P41" t="str">
        <f>_xlfn.TEXTBEFORE(_xlfn.TEXTAFTER(Table26[[#This Row],[WBS CODE]], "-"), "-")</f>
        <v>30203940860</v>
      </c>
    </row>
    <row r="42" spans="1:16" x14ac:dyDescent="0.3">
      <c r="A42">
        <v>41</v>
      </c>
      <c r="B42" s="4" t="s">
        <v>26</v>
      </c>
      <c r="C42" s="4" t="s">
        <v>112</v>
      </c>
      <c r="D42" s="4" t="s">
        <v>113</v>
      </c>
      <c r="E42" t="s">
        <v>17</v>
      </c>
      <c r="F42" s="4" t="s">
        <v>20</v>
      </c>
      <c r="G42" s="4" t="s">
        <v>100</v>
      </c>
      <c r="H42" s="4" t="s">
        <v>113</v>
      </c>
      <c r="I42" s="4"/>
      <c r="J42" s="4" t="s">
        <v>19</v>
      </c>
      <c r="K42" s="4" t="s">
        <v>101</v>
      </c>
      <c r="L42" s="4" t="s">
        <v>45</v>
      </c>
      <c r="M42" s="4"/>
      <c r="N42" s="4" t="s">
        <v>24</v>
      </c>
      <c r="O42" s="4" t="s">
        <v>25</v>
      </c>
      <c r="P42" t="str">
        <f>_xlfn.TEXTBEFORE(_xlfn.TEXTAFTER(Table26[[#This Row],[WBS CODE]], "-"), "-")</f>
        <v>302039407</v>
      </c>
    </row>
    <row r="43" spans="1:16" x14ac:dyDescent="0.3">
      <c r="A43">
        <v>42</v>
      </c>
      <c r="B43" s="4" t="s">
        <v>30</v>
      </c>
      <c r="C43" s="4" t="s">
        <v>114</v>
      </c>
      <c r="D43" s="4" t="s">
        <v>115</v>
      </c>
      <c r="E43" t="s">
        <v>17</v>
      </c>
      <c r="F43" s="4" t="s">
        <v>20</v>
      </c>
      <c r="G43" s="4" t="s">
        <v>100</v>
      </c>
      <c r="H43" s="4" t="s">
        <v>113</v>
      </c>
      <c r="I43" s="4" t="s">
        <v>115</v>
      </c>
      <c r="J43" s="4" t="s">
        <v>19</v>
      </c>
      <c r="K43" s="4" t="s">
        <v>101</v>
      </c>
      <c r="L43" s="4" t="s">
        <v>45</v>
      </c>
      <c r="M43" s="4" t="s">
        <v>45</v>
      </c>
      <c r="N43" s="4" t="s">
        <v>24</v>
      </c>
      <c r="O43" s="4" t="s">
        <v>25</v>
      </c>
      <c r="P43" t="str">
        <f>_xlfn.TEXTBEFORE(_xlfn.TEXTAFTER(Table26[[#This Row],[WBS CODE]], "-"), "-")</f>
        <v>30203940759</v>
      </c>
    </row>
    <row r="44" spans="1:16" x14ac:dyDescent="0.3">
      <c r="A44">
        <v>43</v>
      </c>
      <c r="B44" s="4" t="s">
        <v>21</v>
      </c>
      <c r="C44" s="4" t="s">
        <v>116</v>
      </c>
      <c r="D44" s="4" t="s">
        <v>117</v>
      </c>
      <c r="E44" t="s">
        <v>17</v>
      </c>
      <c r="F44" s="4" t="s">
        <v>20</v>
      </c>
      <c r="G44" s="4" t="s">
        <v>117</v>
      </c>
      <c r="H44" s="4"/>
      <c r="I44" s="4"/>
      <c r="J44" s="4" t="s">
        <v>19</v>
      </c>
      <c r="K44" s="4" t="s">
        <v>101</v>
      </c>
      <c r="L44" s="4"/>
      <c r="M44" s="4"/>
      <c r="N44" s="4" t="s">
        <v>50</v>
      </c>
      <c r="O44" s="4" t="s">
        <v>25</v>
      </c>
      <c r="P44" t="str">
        <f>_xlfn.TEXTBEFORE(_xlfn.TEXTAFTER(Table26[[#This Row],[WBS CODE]], "-"), "-")</f>
        <v>3020393</v>
      </c>
    </row>
    <row r="45" spans="1:16" x14ac:dyDescent="0.3">
      <c r="A45">
        <v>44</v>
      </c>
      <c r="B45" s="4" t="s">
        <v>26</v>
      </c>
      <c r="C45" s="4" t="s">
        <v>118</v>
      </c>
      <c r="D45" s="4" t="s">
        <v>119</v>
      </c>
      <c r="E45" t="s">
        <v>17</v>
      </c>
      <c r="F45" s="4" t="s">
        <v>20</v>
      </c>
      <c r="G45" s="4" t="s">
        <v>117</v>
      </c>
      <c r="H45" s="4" t="s">
        <v>119</v>
      </c>
      <c r="I45" s="4"/>
      <c r="J45" s="4" t="s">
        <v>19</v>
      </c>
      <c r="K45" s="4" t="s">
        <v>101</v>
      </c>
      <c r="L45" s="4" t="s">
        <v>29</v>
      </c>
      <c r="M45" s="4"/>
      <c r="N45" s="4" t="s">
        <v>50</v>
      </c>
      <c r="O45" s="4" t="s">
        <v>25</v>
      </c>
      <c r="P45" t="str">
        <f>_xlfn.TEXTBEFORE(_xlfn.TEXTAFTER(Table26[[#This Row],[WBS CODE]], "-"), "-")</f>
        <v>302039309</v>
      </c>
    </row>
    <row r="46" spans="1:16" x14ac:dyDescent="0.3">
      <c r="A46">
        <v>45</v>
      </c>
      <c r="B46" s="4" t="s">
        <v>30</v>
      </c>
      <c r="C46" s="4" t="s">
        <v>120</v>
      </c>
      <c r="D46" s="4" t="s">
        <v>121</v>
      </c>
      <c r="E46" t="s">
        <v>17</v>
      </c>
      <c r="F46" s="4" t="s">
        <v>20</v>
      </c>
      <c r="G46" s="4" t="s">
        <v>117</v>
      </c>
      <c r="H46" s="4" t="s">
        <v>119</v>
      </c>
      <c r="I46" s="4" t="s">
        <v>121</v>
      </c>
      <c r="J46" s="4" t="s">
        <v>19</v>
      </c>
      <c r="K46" s="4" t="s">
        <v>101</v>
      </c>
      <c r="L46" s="4" t="s">
        <v>29</v>
      </c>
      <c r="M46" s="4" t="s">
        <v>29</v>
      </c>
      <c r="N46" s="4" t="s">
        <v>50</v>
      </c>
      <c r="O46" s="4" t="s">
        <v>25</v>
      </c>
      <c r="P46" t="str">
        <f>_xlfn.TEXTBEFORE(_xlfn.TEXTAFTER(Table26[[#This Row],[WBS CODE]], "-"), "-")</f>
        <v>30203930962</v>
      </c>
    </row>
    <row r="47" spans="1:16" x14ac:dyDescent="0.3">
      <c r="A47">
        <v>46</v>
      </c>
      <c r="B47" s="4" t="s">
        <v>26</v>
      </c>
      <c r="C47" s="4" t="s">
        <v>122</v>
      </c>
      <c r="D47" s="4" t="s">
        <v>123</v>
      </c>
      <c r="E47" t="s">
        <v>17</v>
      </c>
      <c r="F47" s="4" t="s">
        <v>20</v>
      </c>
      <c r="G47" s="4" t="s">
        <v>117</v>
      </c>
      <c r="H47" s="4" t="s">
        <v>123</v>
      </c>
      <c r="I47" s="4"/>
      <c r="J47" s="4" t="s">
        <v>19</v>
      </c>
      <c r="K47" s="4" t="s">
        <v>101</v>
      </c>
      <c r="L47" s="4" t="s">
        <v>36</v>
      </c>
      <c r="M47" s="4"/>
      <c r="N47" s="4" t="s">
        <v>50</v>
      </c>
      <c r="O47" s="4" t="s">
        <v>25</v>
      </c>
      <c r="P47" t="str">
        <f>_xlfn.TEXTBEFORE(_xlfn.TEXTAFTER(Table26[[#This Row],[WBS CODE]], "-"), "-")</f>
        <v>302039308</v>
      </c>
    </row>
    <row r="48" spans="1:16" x14ac:dyDescent="0.3">
      <c r="A48">
        <v>47</v>
      </c>
      <c r="B48" s="4" t="s">
        <v>30</v>
      </c>
      <c r="C48" s="4" t="s">
        <v>124</v>
      </c>
      <c r="D48" s="4" t="s">
        <v>125</v>
      </c>
      <c r="E48" t="s">
        <v>17</v>
      </c>
      <c r="F48" s="4" t="s">
        <v>20</v>
      </c>
      <c r="G48" s="4" t="s">
        <v>117</v>
      </c>
      <c r="H48" s="4" t="s">
        <v>123</v>
      </c>
      <c r="I48" s="4" t="s">
        <v>125</v>
      </c>
      <c r="J48" s="4" t="s">
        <v>19</v>
      </c>
      <c r="K48" s="4" t="s">
        <v>101</v>
      </c>
      <c r="L48" s="4" t="s">
        <v>36</v>
      </c>
      <c r="M48" s="4" t="s">
        <v>39</v>
      </c>
      <c r="N48" s="4" t="s">
        <v>50</v>
      </c>
      <c r="O48" s="4" t="s">
        <v>25</v>
      </c>
      <c r="P48" t="str">
        <f>_xlfn.TEXTBEFORE(_xlfn.TEXTAFTER(Table26[[#This Row],[WBS CODE]], "-"), "-")</f>
        <v>30203930821</v>
      </c>
    </row>
    <row r="49" spans="1:16" x14ac:dyDescent="0.3">
      <c r="A49">
        <v>48</v>
      </c>
      <c r="B49" s="4" t="s">
        <v>30</v>
      </c>
      <c r="C49" s="4" t="s">
        <v>126</v>
      </c>
      <c r="D49" s="4" t="s">
        <v>127</v>
      </c>
      <c r="E49" t="s">
        <v>17</v>
      </c>
      <c r="F49" s="4" t="s">
        <v>20</v>
      </c>
      <c r="G49" s="4" t="s">
        <v>117</v>
      </c>
      <c r="H49" s="4" t="s">
        <v>123</v>
      </c>
      <c r="I49" s="4" t="s">
        <v>127</v>
      </c>
      <c r="J49" s="4" t="s">
        <v>19</v>
      </c>
      <c r="K49" s="4" t="s">
        <v>101</v>
      </c>
      <c r="L49" s="4" t="s">
        <v>36</v>
      </c>
      <c r="M49" s="4" t="s">
        <v>42</v>
      </c>
      <c r="N49" s="4" t="s">
        <v>50</v>
      </c>
      <c r="O49" s="4" t="s">
        <v>25</v>
      </c>
      <c r="P49" t="str">
        <f>_xlfn.TEXTBEFORE(_xlfn.TEXTAFTER(Table26[[#This Row],[WBS CODE]], "-"), "-")</f>
        <v>30203930860</v>
      </c>
    </row>
    <row r="50" spans="1:16" x14ac:dyDescent="0.3">
      <c r="A50">
        <v>49</v>
      </c>
      <c r="B50" s="4" t="s">
        <v>26</v>
      </c>
      <c r="C50" s="4" t="s">
        <v>128</v>
      </c>
      <c r="D50" s="4" t="s">
        <v>129</v>
      </c>
      <c r="E50" t="s">
        <v>17</v>
      </c>
      <c r="F50" s="4" t="s">
        <v>20</v>
      </c>
      <c r="G50" s="4" t="s">
        <v>117</v>
      </c>
      <c r="H50" s="4" t="s">
        <v>129</v>
      </c>
      <c r="I50" s="4"/>
      <c r="J50" s="4" t="s">
        <v>19</v>
      </c>
      <c r="K50" s="4" t="s">
        <v>101</v>
      </c>
      <c r="L50" s="4" t="s">
        <v>45</v>
      </c>
      <c r="M50" s="4"/>
      <c r="N50" s="4" t="s">
        <v>50</v>
      </c>
      <c r="O50" s="4" t="s">
        <v>25</v>
      </c>
      <c r="P50" t="str">
        <f>_xlfn.TEXTBEFORE(_xlfn.TEXTAFTER(Table26[[#This Row],[WBS CODE]], "-"), "-")</f>
        <v>302039307</v>
      </c>
    </row>
    <row r="51" spans="1:16" x14ac:dyDescent="0.3">
      <c r="A51">
        <v>50</v>
      </c>
      <c r="B51" s="4" t="s">
        <v>30</v>
      </c>
      <c r="C51" s="4" t="s">
        <v>130</v>
      </c>
      <c r="D51" s="4" t="s">
        <v>131</v>
      </c>
      <c r="E51" t="s">
        <v>17</v>
      </c>
      <c r="F51" s="4" t="s">
        <v>20</v>
      </c>
      <c r="G51" s="4" t="s">
        <v>117</v>
      </c>
      <c r="H51" s="4" t="s">
        <v>129</v>
      </c>
      <c r="I51" s="4" t="s">
        <v>131</v>
      </c>
      <c r="J51" s="4" t="s">
        <v>19</v>
      </c>
      <c r="K51" s="4" t="s">
        <v>101</v>
      </c>
      <c r="L51" s="4" t="s">
        <v>45</v>
      </c>
      <c r="M51" s="4" t="s">
        <v>45</v>
      </c>
      <c r="N51" s="4" t="s">
        <v>50</v>
      </c>
      <c r="O51" s="4" t="s">
        <v>25</v>
      </c>
      <c r="P51" t="str">
        <f>_xlfn.TEXTBEFORE(_xlfn.TEXTAFTER(Table26[[#This Row],[WBS CODE]], "-"), "-")</f>
        <v>30203930759</v>
      </c>
    </row>
    <row r="52" spans="1:16" x14ac:dyDescent="0.3">
      <c r="A52">
        <v>51</v>
      </c>
      <c r="B52" s="4" t="s">
        <v>21</v>
      </c>
      <c r="C52" s="4" t="s">
        <v>132</v>
      </c>
      <c r="D52" s="4" t="s">
        <v>133</v>
      </c>
      <c r="E52" t="s">
        <v>17</v>
      </c>
      <c r="F52" s="4" t="s">
        <v>20</v>
      </c>
      <c r="G52" s="4" t="s">
        <v>133</v>
      </c>
      <c r="H52" s="4"/>
      <c r="I52" s="4"/>
      <c r="J52" s="4" t="s">
        <v>19</v>
      </c>
      <c r="K52" s="4" t="s">
        <v>101</v>
      </c>
      <c r="L52" s="4"/>
      <c r="M52" s="4"/>
      <c r="N52" s="4" t="s">
        <v>67</v>
      </c>
      <c r="O52" s="4" t="s">
        <v>25</v>
      </c>
      <c r="P52" t="str">
        <f>_xlfn.TEXTBEFORE(_xlfn.TEXTAFTER(Table26[[#This Row],[WBS CODE]], "-"), "-")</f>
        <v>3020392</v>
      </c>
    </row>
    <row r="53" spans="1:16" x14ac:dyDescent="0.3">
      <c r="A53">
        <v>52</v>
      </c>
      <c r="B53" s="4" t="s">
        <v>26</v>
      </c>
      <c r="C53" s="4" t="s">
        <v>134</v>
      </c>
      <c r="D53" s="4" t="s">
        <v>135</v>
      </c>
      <c r="E53" t="s">
        <v>17</v>
      </c>
      <c r="F53" s="4" t="s">
        <v>20</v>
      </c>
      <c r="G53" s="4" t="s">
        <v>133</v>
      </c>
      <c r="H53" s="4" t="s">
        <v>135</v>
      </c>
      <c r="I53" s="4"/>
      <c r="J53" s="4" t="s">
        <v>19</v>
      </c>
      <c r="K53" s="4" t="s">
        <v>101</v>
      </c>
      <c r="L53" s="4" t="s">
        <v>29</v>
      </c>
      <c r="M53" s="4"/>
      <c r="N53" s="4" t="s">
        <v>67</v>
      </c>
      <c r="O53" s="4" t="s">
        <v>25</v>
      </c>
      <c r="P53" t="str">
        <f>_xlfn.TEXTBEFORE(_xlfn.TEXTAFTER(Table26[[#This Row],[WBS CODE]], "-"), "-")</f>
        <v>302039209</v>
      </c>
    </row>
    <row r="54" spans="1:16" x14ac:dyDescent="0.3">
      <c r="A54">
        <v>53</v>
      </c>
      <c r="B54" s="4" t="s">
        <v>30</v>
      </c>
      <c r="C54" s="4" t="s">
        <v>136</v>
      </c>
      <c r="D54" s="4" t="s">
        <v>137</v>
      </c>
      <c r="E54" t="s">
        <v>17</v>
      </c>
      <c r="F54" s="4" t="s">
        <v>20</v>
      </c>
      <c r="G54" s="4" t="s">
        <v>133</v>
      </c>
      <c r="H54" s="4" t="s">
        <v>135</v>
      </c>
      <c r="I54" s="4" t="s">
        <v>137</v>
      </c>
      <c r="J54" s="4" t="s">
        <v>19</v>
      </c>
      <c r="K54" s="4" t="s">
        <v>101</v>
      </c>
      <c r="L54" s="4" t="s">
        <v>29</v>
      </c>
      <c r="M54" s="4" t="s">
        <v>29</v>
      </c>
      <c r="N54" s="4" t="s">
        <v>67</v>
      </c>
      <c r="O54" s="4" t="s">
        <v>25</v>
      </c>
      <c r="P54" t="str">
        <f>_xlfn.TEXTBEFORE(_xlfn.TEXTAFTER(Table26[[#This Row],[WBS CODE]], "-"), "-")</f>
        <v>30203920962</v>
      </c>
    </row>
    <row r="55" spans="1:16" x14ac:dyDescent="0.3">
      <c r="A55">
        <v>54</v>
      </c>
      <c r="B55" s="4" t="s">
        <v>26</v>
      </c>
      <c r="C55" s="4" t="s">
        <v>138</v>
      </c>
      <c r="D55" s="4" t="s">
        <v>139</v>
      </c>
      <c r="E55" t="s">
        <v>17</v>
      </c>
      <c r="F55" s="4" t="s">
        <v>20</v>
      </c>
      <c r="G55" s="4" t="s">
        <v>133</v>
      </c>
      <c r="H55" s="4" t="s">
        <v>139</v>
      </c>
      <c r="I55" s="4"/>
      <c r="J55" s="4" t="s">
        <v>19</v>
      </c>
      <c r="K55" s="4" t="s">
        <v>101</v>
      </c>
      <c r="L55" s="4" t="s">
        <v>36</v>
      </c>
      <c r="M55" s="4"/>
      <c r="N55" s="4" t="s">
        <v>67</v>
      </c>
      <c r="O55" s="4" t="s">
        <v>25</v>
      </c>
      <c r="P55" t="str">
        <f>_xlfn.TEXTBEFORE(_xlfn.TEXTAFTER(Table26[[#This Row],[WBS CODE]], "-"), "-")</f>
        <v>302039208</v>
      </c>
    </row>
    <row r="56" spans="1:16" x14ac:dyDescent="0.3">
      <c r="A56">
        <v>55</v>
      </c>
      <c r="B56" s="4" t="s">
        <v>30</v>
      </c>
      <c r="C56" s="4" t="s">
        <v>140</v>
      </c>
      <c r="D56" s="4" t="s">
        <v>141</v>
      </c>
      <c r="E56" t="s">
        <v>17</v>
      </c>
      <c r="F56" s="4" t="s">
        <v>20</v>
      </c>
      <c r="G56" s="4" t="s">
        <v>133</v>
      </c>
      <c r="H56" s="4" t="s">
        <v>139</v>
      </c>
      <c r="I56" s="4" t="s">
        <v>141</v>
      </c>
      <c r="J56" s="4" t="s">
        <v>19</v>
      </c>
      <c r="K56" s="4" t="s">
        <v>101</v>
      </c>
      <c r="L56" s="4" t="s">
        <v>36</v>
      </c>
      <c r="M56" s="4" t="s">
        <v>39</v>
      </c>
      <c r="N56" s="4" t="s">
        <v>67</v>
      </c>
      <c r="O56" s="4" t="s">
        <v>25</v>
      </c>
      <c r="P56" t="str">
        <f>_xlfn.TEXTBEFORE(_xlfn.TEXTAFTER(Table26[[#This Row],[WBS CODE]], "-"), "-")</f>
        <v>30203920821</v>
      </c>
    </row>
    <row r="57" spans="1:16" x14ac:dyDescent="0.3">
      <c r="A57">
        <v>56</v>
      </c>
      <c r="B57" s="4" t="s">
        <v>30</v>
      </c>
      <c r="C57" s="4" t="s">
        <v>142</v>
      </c>
      <c r="D57" s="4" t="s">
        <v>143</v>
      </c>
      <c r="E57" t="s">
        <v>17</v>
      </c>
      <c r="F57" s="4" t="s">
        <v>20</v>
      </c>
      <c r="G57" s="4" t="s">
        <v>133</v>
      </c>
      <c r="H57" s="4" t="s">
        <v>139</v>
      </c>
      <c r="I57" s="4" t="s">
        <v>143</v>
      </c>
      <c r="J57" s="4" t="s">
        <v>19</v>
      </c>
      <c r="K57" s="4" t="s">
        <v>101</v>
      </c>
      <c r="L57" s="4" t="s">
        <v>36</v>
      </c>
      <c r="M57" s="4" t="s">
        <v>42</v>
      </c>
      <c r="N57" s="4" t="s">
        <v>67</v>
      </c>
      <c r="O57" s="4" t="s">
        <v>25</v>
      </c>
      <c r="P57" t="str">
        <f>_xlfn.TEXTBEFORE(_xlfn.TEXTAFTER(Table26[[#This Row],[WBS CODE]], "-"), "-")</f>
        <v>30203920860</v>
      </c>
    </row>
    <row r="58" spans="1:16" x14ac:dyDescent="0.3">
      <c r="A58">
        <v>57</v>
      </c>
      <c r="B58" s="4" t="s">
        <v>26</v>
      </c>
      <c r="C58" s="4" t="s">
        <v>144</v>
      </c>
      <c r="D58" s="4" t="s">
        <v>145</v>
      </c>
      <c r="E58" t="s">
        <v>17</v>
      </c>
      <c r="F58" s="4" t="s">
        <v>20</v>
      </c>
      <c r="G58" s="4" t="s">
        <v>133</v>
      </c>
      <c r="H58" s="4" t="s">
        <v>145</v>
      </c>
      <c r="I58" s="4"/>
      <c r="J58" s="4" t="s">
        <v>19</v>
      </c>
      <c r="K58" s="4" t="s">
        <v>101</v>
      </c>
      <c r="L58" s="4" t="s">
        <v>45</v>
      </c>
      <c r="M58" s="4"/>
      <c r="N58" s="4" t="s">
        <v>67</v>
      </c>
      <c r="O58" s="4" t="s">
        <v>25</v>
      </c>
      <c r="P58" t="str">
        <f>_xlfn.TEXTBEFORE(_xlfn.TEXTAFTER(Table26[[#This Row],[WBS CODE]], "-"), "-")</f>
        <v>302039207</v>
      </c>
    </row>
    <row r="59" spans="1:16" x14ac:dyDescent="0.3">
      <c r="A59">
        <v>58</v>
      </c>
      <c r="B59" s="4" t="s">
        <v>30</v>
      </c>
      <c r="C59" s="4" t="s">
        <v>146</v>
      </c>
      <c r="D59" s="4" t="s">
        <v>147</v>
      </c>
      <c r="E59" t="s">
        <v>17</v>
      </c>
      <c r="F59" s="4" t="s">
        <v>20</v>
      </c>
      <c r="G59" s="4" t="s">
        <v>133</v>
      </c>
      <c r="H59" s="4" t="s">
        <v>145</v>
      </c>
      <c r="I59" s="4" t="s">
        <v>147</v>
      </c>
      <c r="J59" s="4" t="s">
        <v>19</v>
      </c>
      <c r="K59" s="4" t="s">
        <v>101</v>
      </c>
      <c r="L59" s="4" t="s">
        <v>45</v>
      </c>
      <c r="M59" s="4" t="s">
        <v>45</v>
      </c>
      <c r="N59" s="4" t="s">
        <v>67</v>
      </c>
      <c r="O59" s="4" t="s">
        <v>25</v>
      </c>
      <c r="P59" t="str">
        <f>_xlfn.TEXTBEFORE(_xlfn.TEXTAFTER(Table26[[#This Row],[WBS CODE]], "-"), "-")</f>
        <v>30203920759</v>
      </c>
    </row>
    <row r="60" spans="1:16" x14ac:dyDescent="0.3">
      <c r="A60">
        <v>59</v>
      </c>
      <c r="B60" s="4" t="s">
        <v>21</v>
      </c>
      <c r="C60" s="4" t="s">
        <v>148</v>
      </c>
      <c r="D60" s="4" t="s">
        <v>149</v>
      </c>
      <c r="E60" t="s">
        <v>17</v>
      </c>
      <c r="F60" s="4" t="s">
        <v>20</v>
      </c>
      <c r="G60" s="4" t="s">
        <v>149</v>
      </c>
      <c r="H60" s="4"/>
      <c r="I60" s="4"/>
      <c r="J60" s="4" t="s">
        <v>19</v>
      </c>
      <c r="K60" s="4" t="s">
        <v>150</v>
      </c>
      <c r="L60" s="4"/>
      <c r="M60" s="4"/>
      <c r="N60" s="4" t="s">
        <v>24</v>
      </c>
      <c r="O60" s="4" t="s">
        <v>25</v>
      </c>
      <c r="P60" t="str">
        <f>_xlfn.TEXTBEFORE(_xlfn.TEXTAFTER(Table26[[#This Row],[WBS CODE]], "-"), "-")</f>
        <v>3020386</v>
      </c>
    </row>
    <row r="61" spans="1:16" x14ac:dyDescent="0.3">
      <c r="A61">
        <v>60</v>
      </c>
      <c r="B61" s="4" t="s">
        <v>26</v>
      </c>
      <c r="C61" s="4" t="s">
        <v>151</v>
      </c>
      <c r="D61" s="4" t="s">
        <v>152</v>
      </c>
      <c r="E61" t="s">
        <v>17</v>
      </c>
      <c r="F61" s="4" t="s">
        <v>20</v>
      </c>
      <c r="G61" s="4" t="s">
        <v>149</v>
      </c>
      <c r="H61" s="4" t="s">
        <v>152</v>
      </c>
      <c r="I61" s="4"/>
      <c r="J61" s="4" t="s">
        <v>19</v>
      </c>
      <c r="K61" s="4" t="s">
        <v>150</v>
      </c>
      <c r="L61" s="4" t="s">
        <v>29</v>
      </c>
      <c r="M61" s="4"/>
      <c r="N61" s="4" t="s">
        <v>24</v>
      </c>
      <c r="O61" s="4" t="s">
        <v>25</v>
      </c>
      <c r="P61" t="str">
        <f>_xlfn.TEXTBEFORE(_xlfn.TEXTAFTER(Table26[[#This Row],[WBS CODE]], "-"), "-")</f>
        <v>302038609</v>
      </c>
    </row>
    <row r="62" spans="1:16" x14ac:dyDescent="0.3">
      <c r="A62">
        <v>61</v>
      </c>
      <c r="B62" s="4" t="s">
        <v>30</v>
      </c>
      <c r="C62" s="4" t="s">
        <v>153</v>
      </c>
      <c r="D62" s="4" t="s">
        <v>154</v>
      </c>
      <c r="E62" t="s">
        <v>17</v>
      </c>
      <c r="F62" s="4" t="s">
        <v>20</v>
      </c>
      <c r="G62" s="4" t="s">
        <v>149</v>
      </c>
      <c r="H62" s="4" t="s">
        <v>152</v>
      </c>
      <c r="I62" s="4" t="s">
        <v>154</v>
      </c>
      <c r="J62" s="4" t="s">
        <v>19</v>
      </c>
      <c r="K62" s="4" t="s">
        <v>150</v>
      </c>
      <c r="L62" s="4" t="s">
        <v>29</v>
      </c>
      <c r="M62" s="4" t="s">
        <v>29</v>
      </c>
      <c r="N62" s="4" t="s">
        <v>24</v>
      </c>
      <c r="O62" s="4" t="s">
        <v>25</v>
      </c>
      <c r="P62" t="str">
        <f>_xlfn.TEXTBEFORE(_xlfn.TEXTAFTER(Table26[[#This Row],[WBS CODE]], "-"), "-")</f>
        <v>30203860962</v>
      </c>
    </row>
    <row r="63" spans="1:16" x14ac:dyDescent="0.3">
      <c r="A63">
        <v>62</v>
      </c>
      <c r="B63" s="4" t="s">
        <v>26</v>
      </c>
      <c r="C63" s="4" t="s">
        <v>155</v>
      </c>
      <c r="D63" s="4" t="s">
        <v>156</v>
      </c>
      <c r="E63" t="s">
        <v>17</v>
      </c>
      <c r="F63" s="4" t="s">
        <v>20</v>
      </c>
      <c r="G63" s="4" t="s">
        <v>149</v>
      </c>
      <c r="H63" s="4" t="s">
        <v>156</v>
      </c>
      <c r="I63" s="4"/>
      <c r="J63" s="4" t="s">
        <v>19</v>
      </c>
      <c r="K63" s="4" t="s">
        <v>150</v>
      </c>
      <c r="L63" s="4" t="s">
        <v>36</v>
      </c>
      <c r="M63" s="4"/>
      <c r="N63" s="4" t="s">
        <v>24</v>
      </c>
      <c r="O63" s="4" t="s">
        <v>25</v>
      </c>
      <c r="P63" t="str">
        <f>_xlfn.TEXTBEFORE(_xlfn.TEXTAFTER(Table26[[#This Row],[WBS CODE]], "-"), "-")</f>
        <v>302038608</v>
      </c>
    </row>
    <row r="64" spans="1:16" x14ac:dyDescent="0.3">
      <c r="A64">
        <v>63</v>
      </c>
      <c r="B64" s="4" t="s">
        <v>30</v>
      </c>
      <c r="C64" s="4" t="s">
        <v>157</v>
      </c>
      <c r="D64" s="4" t="s">
        <v>158</v>
      </c>
      <c r="E64" t="s">
        <v>17</v>
      </c>
      <c r="F64" s="4" t="s">
        <v>20</v>
      </c>
      <c r="G64" s="4" t="s">
        <v>149</v>
      </c>
      <c r="H64" s="4" t="s">
        <v>156</v>
      </c>
      <c r="I64" s="4" t="s">
        <v>158</v>
      </c>
      <c r="J64" s="4" t="s">
        <v>19</v>
      </c>
      <c r="K64" s="4" t="s">
        <v>150</v>
      </c>
      <c r="L64" s="4" t="s">
        <v>36</v>
      </c>
      <c r="M64" s="4" t="s">
        <v>39</v>
      </c>
      <c r="N64" s="4" t="s">
        <v>24</v>
      </c>
      <c r="O64" s="4" t="s">
        <v>25</v>
      </c>
      <c r="P64" t="str">
        <f>_xlfn.TEXTBEFORE(_xlfn.TEXTAFTER(Table26[[#This Row],[WBS CODE]], "-"), "-")</f>
        <v>30203860821</v>
      </c>
    </row>
    <row r="65" spans="1:16" x14ac:dyDescent="0.3">
      <c r="A65">
        <v>64</v>
      </c>
      <c r="B65" s="4" t="s">
        <v>30</v>
      </c>
      <c r="C65" s="4" t="s">
        <v>159</v>
      </c>
      <c r="D65" s="4" t="s">
        <v>160</v>
      </c>
      <c r="E65" t="s">
        <v>17</v>
      </c>
      <c r="F65" s="4" t="s">
        <v>20</v>
      </c>
      <c r="G65" s="4" t="s">
        <v>149</v>
      </c>
      <c r="H65" s="4" t="s">
        <v>156</v>
      </c>
      <c r="I65" s="4" t="s">
        <v>160</v>
      </c>
      <c r="J65" s="4" t="s">
        <v>19</v>
      </c>
      <c r="K65" s="4" t="s">
        <v>150</v>
      </c>
      <c r="L65" s="4" t="s">
        <v>36</v>
      </c>
      <c r="M65" s="4" t="s">
        <v>42</v>
      </c>
      <c r="N65" s="4" t="s">
        <v>24</v>
      </c>
      <c r="O65" s="4" t="s">
        <v>25</v>
      </c>
      <c r="P65" t="str">
        <f>_xlfn.TEXTBEFORE(_xlfn.TEXTAFTER(Table26[[#This Row],[WBS CODE]], "-"), "-")</f>
        <v>30203860860</v>
      </c>
    </row>
    <row r="66" spans="1:16" x14ac:dyDescent="0.3">
      <c r="A66">
        <v>65</v>
      </c>
      <c r="B66" s="4" t="s">
        <v>26</v>
      </c>
      <c r="C66" s="4" t="s">
        <v>161</v>
      </c>
      <c r="D66" s="4" t="s">
        <v>162</v>
      </c>
      <c r="E66" t="s">
        <v>17</v>
      </c>
      <c r="F66" s="4" t="s">
        <v>20</v>
      </c>
      <c r="G66" s="4" t="s">
        <v>149</v>
      </c>
      <c r="H66" s="4" t="s">
        <v>162</v>
      </c>
      <c r="I66" s="4"/>
      <c r="J66" s="4" t="s">
        <v>19</v>
      </c>
      <c r="K66" s="4" t="s">
        <v>150</v>
      </c>
      <c r="L66" s="4" t="s">
        <v>45</v>
      </c>
      <c r="M66" s="4"/>
      <c r="N66" s="4" t="s">
        <v>24</v>
      </c>
      <c r="O66" s="4" t="s">
        <v>25</v>
      </c>
      <c r="P66" t="str">
        <f>_xlfn.TEXTBEFORE(_xlfn.TEXTAFTER(Table26[[#This Row],[WBS CODE]], "-"), "-")</f>
        <v>302038607</v>
      </c>
    </row>
    <row r="67" spans="1:16" x14ac:dyDescent="0.3">
      <c r="A67">
        <v>66</v>
      </c>
      <c r="B67" s="4" t="s">
        <v>30</v>
      </c>
      <c r="C67" s="4" t="s">
        <v>163</v>
      </c>
      <c r="D67" s="4" t="s">
        <v>164</v>
      </c>
      <c r="E67" t="s">
        <v>17</v>
      </c>
      <c r="F67" s="4" t="s">
        <v>20</v>
      </c>
      <c r="G67" s="4" t="s">
        <v>149</v>
      </c>
      <c r="H67" s="4" t="s">
        <v>162</v>
      </c>
      <c r="I67" s="4" t="s">
        <v>164</v>
      </c>
      <c r="J67" s="4" t="s">
        <v>19</v>
      </c>
      <c r="K67" s="4" t="s">
        <v>150</v>
      </c>
      <c r="L67" s="4" t="s">
        <v>45</v>
      </c>
      <c r="M67" s="4" t="s">
        <v>45</v>
      </c>
      <c r="N67" s="4" t="s">
        <v>24</v>
      </c>
      <c r="O67" s="4" t="s">
        <v>25</v>
      </c>
      <c r="P67" t="str">
        <f>_xlfn.TEXTBEFORE(_xlfn.TEXTAFTER(Table26[[#This Row],[WBS CODE]], "-"), "-")</f>
        <v>30203860759</v>
      </c>
    </row>
    <row r="68" spans="1:16" x14ac:dyDescent="0.3">
      <c r="A68">
        <v>67</v>
      </c>
      <c r="B68" s="4" t="s">
        <v>21</v>
      </c>
      <c r="C68" s="4" t="s">
        <v>165</v>
      </c>
      <c r="D68" s="4" t="s">
        <v>166</v>
      </c>
      <c r="E68" t="s">
        <v>17</v>
      </c>
      <c r="F68" s="4" t="s">
        <v>20</v>
      </c>
      <c r="G68" s="4" t="s">
        <v>166</v>
      </c>
      <c r="H68" s="4"/>
      <c r="I68" s="4"/>
      <c r="J68" s="4" t="s">
        <v>19</v>
      </c>
      <c r="K68" s="4" t="s">
        <v>150</v>
      </c>
      <c r="L68" s="4"/>
      <c r="M68" s="4"/>
      <c r="N68" s="4" t="s">
        <v>50</v>
      </c>
      <c r="O68" s="4" t="s">
        <v>25</v>
      </c>
      <c r="P68" t="str">
        <f>_xlfn.TEXTBEFORE(_xlfn.TEXTAFTER(Table26[[#This Row],[WBS CODE]], "-"), "-")</f>
        <v>3020385</v>
      </c>
    </row>
    <row r="69" spans="1:16" x14ac:dyDescent="0.3">
      <c r="A69">
        <v>68</v>
      </c>
      <c r="B69" s="4" t="s">
        <v>26</v>
      </c>
      <c r="C69" s="4" t="s">
        <v>167</v>
      </c>
      <c r="D69" s="4" t="s">
        <v>168</v>
      </c>
      <c r="E69" t="s">
        <v>17</v>
      </c>
      <c r="F69" s="4" t="s">
        <v>20</v>
      </c>
      <c r="G69" s="4" t="s">
        <v>166</v>
      </c>
      <c r="H69" s="4" t="s">
        <v>168</v>
      </c>
      <c r="I69" s="4"/>
      <c r="J69" s="4" t="s">
        <v>19</v>
      </c>
      <c r="K69" s="4" t="s">
        <v>150</v>
      </c>
      <c r="L69" s="4" t="s">
        <v>29</v>
      </c>
      <c r="M69" s="4"/>
      <c r="N69" s="4" t="s">
        <v>50</v>
      </c>
      <c r="O69" s="4" t="s">
        <v>25</v>
      </c>
      <c r="P69" t="str">
        <f>_xlfn.TEXTBEFORE(_xlfn.TEXTAFTER(Table26[[#This Row],[WBS CODE]], "-"), "-")</f>
        <v>302038509</v>
      </c>
    </row>
    <row r="70" spans="1:16" x14ac:dyDescent="0.3">
      <c r="A70">
        <v>69</v>
      </c>
      <c r="B70" s="4" t="s">
        <v>30</v>
      </c>
      <c r="C70" s="4" t="s">
        <v>169</v>
      </c>
      <c r="D70" s="4" t="s">
        <v>170</v>
      </c>
      <c r="E70" t="s">
        <v>17</v>
      </c>
      <c r="F70" s="4" t="s">
        <v>20</v>
      </c>
      <c r="G70" s="4" t="s">
        <v>166</v>
      </c>
      <c r="H70" s="4" t="s">
        <v>168</v>
      </c>
      <c r="I70" s="4" t="s">
        <v>170</v>
      </c>
      <c r="J70" s="4" t="s">
        <v>19</v>
      </c>
      <c r="K70" s="4" t="s">
        <v>150</v>
      </c>
      <c r="L70" s="4" t="s">
        <v>29</v>
      </c>
      <c r="M70" s="4" t="s">
        <v>29</v>
      </c>
      <c r="N70" s="4" t="s">
        <v>50</v>
      </c>
      <c r="O70" s="4" t="s">
        <v>25</v>
      </c>
      <c r="P70" t="str">
        <f>_xlfn.TEXTBEFORE(_xlfn.TEXTAFTER(Table26[[#This Row],[WBS CODE]], "-"), "-")</f>
        <v>30203850962</v>
      </c>
    </row>
    <row r="71" spans="1:16" x14ac:dyDescent="0.3">
      <c r="A71">
        <v>70</v>
      </c>
      <c r="B71" s="4" t="s">
        <v>26</v>
      </c>
      <c r="C71" s="4" t="s">
        <v>171</v>
      </c>
      <c r="D71" s="4" t="s">
        <v>172</v>
      </c>
      <c r="E71" t="s">
        <v>17</v>
      </c>
      <c r="F71" s="4" t="s">
        <v>20</v>
      </c>
      <c r="G71" s="4" t="s">
        <v>166</v>
      </c>
      <c r="H71" s="4" t="s">
        <v>172</v>
      </c>
      <c r="I71" s="4"/>
      <c r="J71" s="4" t="s">
        <v>19</v>
      </c>
      <c r="K71" s="4" t="s">
        <v>150</v>
      </c>
      <c r="L71" s="4" t="s">
        <v>36</v>
      </c>
      <c r="M71" s="4"/>
      <c r="N71" s="4" t="s">
        <v>50</v>
      </c>
      <c r="O71" s="4" t="s">
        <v>25</v>
      </c>
      <c r="P71" t="str">
        <f>_xlfn.TEXTBEFORE(_xlfn.TEXTAFTER(Table26[[#This Row],[WBS CODE]], "-"), "-")</f>
        <v>302038508</v>
      </c>
    </row>
    <row r="72" spans="1:16" x14ac:dyDescent="0.3">
      <c r="A72">
        <v>71</v>
      </c>
      <c r="B72" s="4" t="s">
        <v>30</v>
      </c>
      <c r="C72" s="4" t="s">
        <v>173</v>
      </c>
      <c r="D72" s="4" t="s">
        <v>174</v>
      </c>
      <c r="E72" t="s">
        <v>17</v>
      </c>
      <c r="F72" s="4" t="s">
        <v>20</v>
      </c>
      <c r="G72" s="4" t="s">
        <v>166</v>
      </c>
      <c r="H72" s="4" t="s">
        <v>172</v>
      </c>
      <c r="I72" s="4" t="s">
        <v>174</v>
      </c>
      <c r="J72" s="4" t="s">
        <v>19</v>
      </c>
      <c r="K72" s="4" t="s">
        <v>150</v>
      </c>
      <c r="L72" s="4" t="s">
        <v>36</v>
      </c>
      <c r="M72" s="4" t="s">
        <v>39</v>
      </c>
      <c r="N72" s="4" t="s">
        <v>50</v>
      </c>
      <c r="O72" s="4" t="s">
        <v>25</v>
      </c>
      <c r="P72" t="str">
        <f>_xlfn.TEXTBEFORE(_xlfn.TEXTAFTER(Table26[[#This Row],[WBS CODE]], "-"), "-")</f>
        <v>30203850821</v>
      </c>
    </row>
    <row r="73" spans="1:16" x14ac:dyDescent="0.3">
      <c r="A73">
        <v>72</v>
      </c>
      <c r="B73" s="4" t="s">
        <v>30</v>
      </c>
      <c r="C73" s="4" t="s">
        <v>175</v>
      </c>
      <c r="D73" s="4" t="s">
        <v>176</v>
      </c>
      <c r="E73" t="s">
        <v>17</v>
      </c>
      <c r="F73" s="4" t="s">
        <v>20</v>
      </c>
      <c r="G73" s="4" t="s">
        <v>166</v>
      </c>
      <c r="H73" s="4" t="s">
        <v>172</v>
      </c>
      <c r="I73" s="4" t="s">
        <v>176</v>
      </c>
      <c r="J73" s="4" t="s">
        <v>19</v>
      </c>
      <c r="K73" s="4" t="s">
        <v>150</v>
      </c>
      <c r="L73" s="4" t="s">
        <v>36</v>
      </c>
      <c r="M73" s="4" t="s">
        <v>42</v>
      </c>
      <c r="N73" s="4" t="s">
        <v>50</v>
      </c>
      <c r="O73" s="4" t="s">
        <v>25</v>
      </c>
      <c r="P73" t="str">
        <f>_xlfn.TEXTBEFORE(_xlfn.TEXTAFTER(Table26[[#This Row],[WBS CODE]], "-"), "-")</f>
        <v>30203850860</v>
      </c>
    </row>
    <row r="74" spans="1:16" x14ac:dyDescent="0.3">
      <c r="A74">
        <v>73</v>
      </c>
      <c r="B74" s="4" t="s">
        <v>26</v>
      </c>
      <c r="C74" s="4" t="s">
        <v>177</v>
      </c>
      <c r="D74" s="4" t="s">
        <v>178</v>
      </c>
      <c r="E74" t="s">
        <v>17</v>
      </c>
      <c r="F74" s="4" t="s">
        <v>20</v>
      </c>
      <c r="G74" s="4" t="s">
        <v>166</v>
      </c>
      <c r="H74" s="4" t="s">
        <v>178</v>
      </c>
      <c r="I74" s="4"/>
      <c r="J74" s="4" t="s">
        <v>19</v>
      </c>
      <c r="K74" s="4" t="s">
        <v>150</v>
      </c>
      <c r="L74" s="4" t="s">
        <v>45</v>
      </c>
      <c r="M74" s="4"/>
      <c r="N74" s="4" t="s">
        <v>50</v>
      </c>
      <c r="O74" s="4" t="s">
        <v>25</v>
      </c>
      <c r="P74" t="str">
        <f>_xlfn.TEXTBEFORE(_xlfn.TEXTAFTER(Table26[[#This Row],[WBS CODE]], "-"), "-")</f>
        <v>302038507</v>
      </c>
    </row>
    <row r="75" spans="1:16" x14ac:dyDescent="0.3">
      <c r="A75">
        <v>74</v>
      </c>
      <c r="B75" s="4" t="s">
        <v>30</v>
      </c>
      <c r="C75" s="4" t="s">
        <v>179</v>
      </c>
      <c r="D75" s="4" t="s">
        <v>180</v>
      </c>
      <c r="E75" t="s">
        <v>17</v>
      </c>
      <c r="F75" s="4" t="s">
        <v>20</v>
      </c>
      <c r="G75" s="4" t="s">
        <v>166</v>
      </c>
      <c r="H75" s="4" t="s">
        <v>178</v>
      </c>
      <c r="I75" s="4" t="s">
        <v>180</v>
      </c>
      <c r="J75" s="4" t="s">
        <v>19</v>
      </c>
      <c r="K75" s="4" t="s">
        <v>150</v>
      </c>
      <c r="L75" s="4" t="s">
        <v>45</v>
      </c>
      <c r="M75" s="4" t="s">
        <v>45</v>
      </c>
      <c r="N75" s="4" t="s">
        <v>50</v>
      </c>
      <c r="O75" s="4" t="s">
        <v>25</v>
      </c>
      <c r="P75" t="str">
        <f>_xlfn.TEXTBEFORE(_xlfn.TEXTAFTER(Table26[[#This Row],[WBS CODE]], "-"), "-")</f>
        <v>30203850759</v>
      </c>
    </row>
    <row r="76" spans="1:16" x14ac:dyDescent="0.3">
      <c r="A76">
        <v>75</v>
      </c>
      <c r="B76" s="4" t="s">
        <v>21</v>
      </c>
      <c r="C76" s="4" t="s">
        <v>181</v>
      </c>
      <c r="D76" s="4" t="s">
        <v>182</v>
      </c>
      <c r="E76" t="s">
        <v>17</v>
      </c>
      <c r="F76" s="4" t="s">
        <v>20</v>
      </c>
      <c r="G76" s="4" t="s">
        <v>182</v>
      </c>
      <c r="H76" s="4"/>
      <c r="I76" s="4"/>
      <c r="J76" s="4" t="s">
        <v>19</v>
      </c>
      <c r="K76" s="4" t="s">
        <v>150</v>
      </c>
      <c r="L76" s="4"/>
      <c r="M76" s="4"/>
      <c r="N76" s="4" t="s">
        <v>67</v>
      </c>
      <c r="O76" s="4" t="s">
        <v>25</v>
      </c>
      <c r="P76" t="str">
        <f>_xlfn.TEXTBEFORE(_xlfn.TEXTAFTER(Table26[[#This Row],[WBS CODE]], "-"), "-")</f>
        <v>3020384</v>
      </c>
    </row>
    <row r="77" spans="1:16" x14ac:dyDescent="0.3">
      <c r="A77">
        <v>76</v>
      </c>
      <c r="B77" s="4" t="s">
        <v>26</v>
      </c>
      <c r="C77" s="4" t="s">
        <v>183</v>
      </c>
      <c r="D77" s="4" t="s">
        <v>184</v>
      </c>
      <c r="E77" t="s">
        <v>17</v>
      </c>
      <c r="F77" s="4" t="s">
        <v>20</v>
      </c>
      <c r="G77" s="4" t="s">
        <v>182</v>
      </c>
      <c r="H77" s="4" t="s">
        <v>184</v>
      </c>
      <c r="I77" s="4"/>
      <c r="J77" s="4" t="s">
        <v>19</v>
      </c>
      <c r="K77" s="4" t="s">
        <v>150</v>
      </c>
      <c r="L77" s="4" t="s">
        <v>29</v>
      </c>
      <c r="M77" s="4"/>
      <c r="N77" s="4" t="s">
        <v>67</v>
      </c>
      <c r="O77" s="4" t="s">
        <v>25</v>
      </c>
      <c r="P77" t="str">
        <f>_xlfn.TEXTBEFORE(_xlfn.TEXTAFTER(Table26[[#This Row],[WBS CODE]], "-"), "-")</f>
        <v>302038409</v>
      </c>
    </row>
    <row r="78" spans="1:16" x14ac:dyDescent="0.3">
      <c r="A78">
        <v>77</v>
      </c>
      <c r="B78" s="4" t="s">
        <v>30</v>
      </c>
      <c r="C78" s="4" t="s">
        <v>185</v>
      </c>
      <c r="D78" s="4" t="s">
        <v>186</v>
      </c>
      <c r="E78" t="s">
        <v>17</v>
      </c>
      <c r="F78" s="4" t="s">
        <v>20</v>
      </c>
      <c r="G78" s="4" t="s">
        <v>182</v>
      </c>
      <c r="H78" s="4" t="s">
        <v>184</v>
      </c>
      <c r="I78" s="4" t="s">
        <v>186</v>
      </c>
      <c r="J78" s="4" t="s">
        <v>19</v>
      </c>
      <c r="K78" s="4" t="s">
        <v>150</v>
      </c>
      <c r="L78" s="4" t="s">
        <v>29</v>
      </c>
      <c r="M78" s="4" t="s">
        <v>29</v>
      </c>
      <c r="N78" s="4" t="s">
        <v>67</v>
      </c>
      <c r="O78" s="4" t="s">
        <v>25</v>
      </c>
      <c r="P78" t="str">
        <f>_xlfn.TEXTBEFORE(_xlfn.TEXTAFTER(Table26[[#This Row],[WBS CODE]], "-"), "-")</f>
        <v>30203840962</v>
      </c>
    </row>
    <row r="79" spans="1:16" x14ac:dyDescent="0.3">
      <c r="A79">
        <v>78</v>
      </c>
      <c r="B79" s="4" t="s">
        <v>26</v>
      </c>
      <c r="C79" s="4" t="s">
        <v>187</v>
      </c>
      <c r="D79" s="4" t="s">
        <v>188</v>
      </c>
      <c r="E79" t="s">
        <v>17</v>
      </c>
      <c r="F79" s="4" t="s">
        <v>20</v>
      </c>
      <c r="G79" s="4" t="s">
        <v>182</v>
      </c>
      <c r="H79" s="4" t="s">
        <v>188</v>
      </c>
      <c r="I79" s="4"/>
      <c r="J79" s="4" t="s">
        <v>19</v>
      </c>
      <c r="K79" s="4" t="s">
        <v>150</v>
      </c>
      <c r="L79" s="4" t="s">
        <v>36</v>
      </c>
      <c r="M79" s="4"/>
      <c r="N79" s="4" t="s">
        <v>67</v>
      </c>
      <c r="O79" s="4" t="s">
        <v>25</v>
      </c>
      <c r="P79" t="str">
        <f>_xlfn.TEXTBEFORE(_xlfn.TEXTAFTER(Table26[[#This Row],[WBS CODE]], "-"), "-")</f>
        <v>302038408</v>
      </c>
    </row>
    <row r="80" spans="1:16" x14ac:dyDescent="0.3">
      <c r="A80">
        <v>79</v>
      </c>
      <c r="B80" s="4" t="s">
        <v>30</v>
      </c>
      <c r="C80" s="4" t="s">
        <v>189</v>
      </c>
      <c r="D80" s="4" t="s">
        <v>190</v>
      </c>
      <c r="E80" t="s">
        <v>17</v>
      </c>
      <c r="F80" s="4" t="s">
        <v>20</v>
      </c>
      <c r="G80" s="4" t="s">
        <v>182</v>
      </c>
      <c r="H80" s="4" t="s">
        <v>188</v>
      </c>
      <c r="I80" s="4" t="s">
        <v>190</v>
      </c>
      <c r="J80" s="4" t="s">
        <v>19</v>
      </c>
      <c r="K80" s="4" t="s">
        <v>150</v>
      </c>
      <c r="L80" s="4" t="s">
        <v>36</v>
      </c>
      <c r="M80" s="4" t="s">
        <v>39</v>
      </c>
      <c r="N80" s="4" t="s">
        <v>67</v>
      </c>
      <c r="O80" s="4" t="s">
        <v>25</v>
      </c>
      <c r="P80" t="str">
        <f>_xlfn.TEXTBEFORE(_xlfn.TEXTAFTER(Table26[[#This Row],[WBS CODE]], "-"), "-")</f>
        <v>30203840821</v>
      </c>
    </row>
    <row r="81" spans="1:16" x14ac:dyDescent="0.3">
      <c r="A81">
        <v>80</v>
      </c>
      <c r="B81" s="4" t="s">
        <v>30</v>
      </c>
      <c r="C81" s="4" t="s">
        <v>191</v>
      </c>
      <c r="D81" s="4" t="s">
        <v>192</v>
      </c>
      <c r="E81" t="s">
        <v>17</v>
      </c>
      <c r="F81" s="4" t="s">
        <v>20</v>
      </c>
      <c r="G81" s="4" t="s">
        <v>182</v>
      </c>
      <c r="H81" s="4" t="s">
        <v>188</v>
      </c>
      <c r="I81" s="4" t="s">
        <v>192</v>
      </c>
      <c r="J81" s="4" t="s">
        <v>19</v>
      </c>
      <c r="K81" s="4" t="s">
        <v>150</v>
      </c>
      <c r="L81" s="4" t="s">
        <v>36</v>
      </c>
      <c r="M81" s="4" t="s">
        <v>42</v>
      </c>
      <c r="N81" s="4" t="s">
        <v>67</v>
      </c>
      <c r="O81" s="4" t="s">
        <v>25</v>
      </c>
      <c r="P81" t="str">
        <f>_xlfn.TEXTBEFORE(_xlfn.TEXTAFTER(Table26[[#This Row],[WBS CODE]], "-"), "-")</f>
        <v>30203840860</v>
      </c>
    </row>
    <row r="82" spans="1:16" x14ac:dyDescent="0.3">
      <c r="A82">
        <v>81</v>
      </c>
      <c r="B82" s="4" t="s">
        <v>26</v>
      </c>
      <c r="C82" s="4" t="s">
        <v>193</v>
      </c>
      <c r="D82" s="4" t="s">
        <v>194</v>
      </c>
      <c r="E82" t="s">
        <v>17</v>
      </c>
      <c r="F82" s="4" t="s">
        <v>20</v>
      </c>
      <c r="G82" s="4" t="s">
        <v>182</v>
      </c>
      <c r="H82" s="4" t="s">
        <v>194</v>
      </c>
      <c r="I82" s="4"/>
      <c r="J82" s="4" t="s">
        <v>19</v>
      </c>
      <c r="K82" s="4" t="s">
        <v>150</v>
      </c>
      <c r="L82" s="4" t="s">
        <v>45</v>
      </c>
      <c r="M82" s="4"/>
      <c r="N82" s="4" t="s">
        <v>67</v>
      </c>
      <c r="O82" s="4" t="s">
        <v>25</v>
      </c>
      <c r="P82" t="str">
        <f>_xlfn.TEXTBEFORE(_xlfn.TEXTAFTER(Table26[[#This Row],[WBS CODE]], "-"), "-")</f>
        <v>302038407</v>
      </c>
    </row>
    <row r="83" spans="1:16" x14ac:dyDescent="0.3">
      <c r="A83">
        <v>82</v>
      </c>
      <c r="B83" s="4" t="s">
        <v>30</v>
      </c>
      <c r="C83" s="4" t="s">
        <v>195</v>
      </c>
      <c r="D83" s="4" t="s">
        <v>196</v>
      </c>
      <c r="E83" t="s">
        <v>17</v>
      </c>
      <c r="F83" s="4" t="s">
        <v>20</v>
      </c>
      <c r="G83" s="4" t="s">
        <v>182</v>
      </c>
      <c r="H83" s="4" t="s">
        <v>194</v>
      </c>
      <c r="I83" s="4" t="s">
        <v>196</v>
      </c>
      <c r="J83" s="4" t="s">
        <v>19</v>
      </c>
      <c r="K83" s="4" t="s">
        <v>150</v>
      </c>
      <c r="L83" s="4" t="s">
        <v>45</v>
      </c>
      <c r="M83" s="4" t="s">
        <v>45</v>
      </c>
      <c r="N83" s="4" t="s">
        <v>67</v>
      </c>
      <c r="O83" s="4" t="s">
        <v>25</v>
      </c>
      <c r="P83" t="str">
        <f>_xlfn.TEXTBEFORE(_xlfn.TEXTAFTER(Table26[[#This Row],[WBS CODE]], "-"), "-")</f>
        <v>30203840759</v>
      </c>
    </row>
    <row r="84" spans="1:16" x14ac:dyDescent="0.3">
      <c r="A84">
        <v>83</v>
      </c>
      <c r="B84" s="4" t="s">
        <v>21</v>
      </c>
      <c r="C84" s="4" t="s">
        <v>197</v>
      </c>
      <c r="D84" s="4" t="s">
        <v>198</v>
      </c>
      <c r="E84" t="s">
        <v>17</v>
      </c>
      <c r="F84" s="4" t="s">
        <v>20</v>
      </c>
      <c r="G84" s="4" t="s">
        <v>198</v>
      </c>
      <c r="H84" s="4"/>
      <c r="I84" s="4"/>
      <c r="J84" s="4" t="s">
        <v>19</v>
      </c>
      <c r="K84" s="4" t="s">
        <v>150</v>
      </c>
      <c r="L84" s="4"/>
      <c r="M84" s="4"/>
      <c r="N84" s="4" t="s">
        <v>84</v>
      </c>
      <c r="O84" s="4" t="s">
        <v>25</v>
      </c>
      <c r="P84" t="str">
        <f>_xlfn.TEXTBEFORE(_xlfn.TEXTAFTER(Table26[[#This Row],[WBS CODE]], "-"), "-")</f>
        <v>3020383</v>
      </c>
    </row>
    <row r="85" spans="1:16" x14ac:dyDescent="0.3">
      <c r="A85">
        <v>84</v>
      </c>
      <c r="B85" s="4" t="s">
        <v>26</v>
      </c>
      <c r="C85" s="4" t="s">
        <v>199</v>
      </c>
      <c r="D85" s="4" t="s">
        <v>200</v>
      </c>
      <c r="E85" t="s">
        <v>17</v>
      </c>
      <c r="F85" s="4" t="s">
        <v>20</v>
      </c>
      <c r="G85" s="4" t="s">
        <v>198</v>
      </c>
      <c r="H85" s="4" t="s">
        <v>200</v>
      </c>
      <c r="I85" s="4"/>
      <c r="J85" s="4" t="s">
        <v>19</v>
      </c>
      <c r="K85" s="4" t="s">
        <v>150</v>
      </c>
      <c r="L85" s="4" t="s">
        <v>29</v>
      </c>
      <c r="M85" s="4"/>
      <c r="N85" s="4" t="s">
        <v>84</v>
      </c>
      <c r="O85" s="4" t="s">
        <v>25</v>
      </c>
      <c r="P85" t="str">
        <f>_xlfn.TEXTBEFORE(_xlfn.TEXTAFTER(Table26[[#This Row],[WBS CODE]], "-"), "-")</f>
        <v>302038309</v>
      </c>
    </row>
    <row r="86" spans="1:16" x14ac:dyDescent="0.3">
      <c r="A86">
        <v>85</v>
      </c>
      <c r="B86" s="4" t="s">
        <v>30</v>
      </c>
      <c r="C86" s="4" t="s">
        <v>201</v>
      </c>
      <c r="D86" s="4" t="s">
        <v>202</v>
      </c>
      <c r="E86" t="s">
        <v>17</v>
      </c>
      <c r="F86" s="4" t="s">
        <v>20</v>
      </c>
      <c r="G86" s="4" t="s">
        <v>198</v>
      </c>
      <c r="H86" s="4" t="s">
        <v>200</v>
      </c>
      <c r="I86" s="4" t="s">
        <v>202</v>
      </c>
      <c r="J86" s="4" t="s">
        <v>19</v>
      </c>
      <c r="K86" s="4" t="s">
        <v>150</v>
      </c>
      <c r="L86" s="4" t="s">
        <v>29</v>
      </c>
      <c r="M86" s="4" t="s">
        <v>29</v>
      </c>
      <c r="N86" s="4" t="s">
        <v>84</v>
      </c>
      <c r="O86" s="4" t="s">
        <v>25</v>
      </c>
      <c r="P86" t="str">
        <f>_xlfn.TEXTBEFORE(_xlfn.TEXTAFTER(Table26[[#This Row],[WBS CODE]], "-"), "-")</f>
        <v>30203830962</v>
      </c>
    </row>
    <row r="87" spans="1:16" x14ac:dyDescent="0.3">
      <c r="A87">
        <v>86</v>
      </c>
      <c r="B87" s="4" t="s">
        <v>26</v>
      </c>
      <c r="C87" s="4" t="s">
        <v>203</v>
      </c>
      <c r="D87" s="4" t="s">
        <v>204</v>
      </c>
      <c r="E87" t="s">
        <v>17</v>
      </c>
      <c r="F87" s="4" t="s">
        <v>20</v>
      </c>
      <c r="G87" s="4" t="s">
        <v>198</v>
      </c>
      <c r="H87" s="4" t="s">
        <v>204</v>
      </c>
      <c r="I87" s="4"/>
      <c r="J87" s="4" t="s">
        <v>19</v>
      </c>
      <c r="K87" s="4" t="s">
        <v>150</v>
      </c>
      <c r="L87" s="4" t="s">
        <v>36</v>
      </c>
      <c r="M87" s="4"/>
      <c r="N87" s="4" t="s">
        <v>84</v>
      </c>
      <c r="O87" s="4" t="s">
        <v>25</v>
      </c>
      <c r="P87" t="str">
        <f>_xlfn.TEXTBEFORE(_xlfn.TEXTAFTER(Table26[[#This Row],[WBS CODE]], "-"), "-")</f>
        <v>302038308</v>
      </c>
    </row>
    <row r="88" spans="1:16" x14ac:dyDescent="0.3">
      <c r="A88">
        <v>87</v>
      </c>
      <c r="B88" s="4" t="s">
        <v>30</v>
      </c>
      <c r="C88" s="4" t="s">
        <v>205</v>
      </c>
      <c r="D88" s="4" t="s">
        <v>206</v>
      </c>
      <c r="E88" t="s">
        <v>17</v>
      </c>
      <c r="F88" s="4" t="s">
        <v>20</v>
      </c>
      <c r="G88" s="4" t="s">
        <v>198</v>
      </c>
      <c r="H88" s="4" t="s">
        <v>204</v>
      </c>
      <c r="I88" s="4" t="s">
        <v>206</v>
      </c>
      <c r="J88" s="4" t="s">
        <v>19</v>
      </c>
      <c r="K88" s="4" t="s">
        <v>150</v>
      </c>
      <c r="L88" s="4" t="s">
        <v>36</v>
      </c>
      <c r="M88" s="4" t="s">
        <v>39</v>
      </c>
      <c r="N88" s="4" t="s">
        <v>84</v>
      </c>
      <c r="O88" s="4" t="s">
        <v>25</v>
      </c>
      <c r="P88" t="str">
        <f>_xlfn.TEXTBEFORE(_xlfn.TEXTAFTER(Table26[[#This Row],[WBS CODE]], "-"), "-")</f>
        <v>30203830821</v>
      </c>
    </row>
    <row r="89" spans="1:16" x14ac:dyDescent="0.3">
      <c r="A89">
        <v>88</v>
      </c>
      <c r="B89" s="4" t="s">
        <v>30</v>
      </c>
      <c r="C89" s="4" t="s">
        <v>207</v>
      </c>
      <c r="D89" s="4" t="s">
        <v>208</v>
      </c>
      <c r="E89" t="s">
        <v>17</v>
      </c>
      <c r="F89" s="4" t="s">
        <v>20</v>
      </c>
      <c r="G89" s="4" t="s">
        <v>198</v>
      </c>
      <c r="H89" s="4" t="s">
        <v>204</v>
      </c>
      <c r="I89" s="4" t="s">
        <v>208</v>
      </c>
      <c r="J89" s="4" t="s">
        <v>19</v>
      </c>
      <c r="K89" s="4" t="s">
        <v>150</v>
      </c>
      <c r="L89" s="4" t="s">
        <v>36</v>
      </c>
      <c r="M89" s="4" t="s">
        <v>42</v>
      </c>
      <c r="N89" s="4" t="s">
        <v>84</v>
      </c>
      <c r="O89" s="4" t="s">
        <v>25</v>
      </c>
      <c r="P89" t="str">
        <f>_xlfn.TEXTBEFORE(_xlfn.TEXTAFTER(Table26[[#This Row],[WBS CODE]], "-"), "-")</f>
        <v>30203830860</v>
      </c>
    </row>
    <row r="90" spans="1:16" x14ac:dyDescent="0.3">
      <c r="A90">
        <v>89</v>
      </c>
      <c r="B90" s="4" t="s">
        <v>26</v>
      </c>
      <c r="C90" s="4" t="s">
        <v>209</v>
      </c>
      <c r="D90" s="4" t="s">
        <v>210</v>
      </c>
      <c r="E90" t="s">
        <v>17</v>
      </c>
      <c r="F90" s="4" t="s">
        <v>20</v>
      </c>
      <c r="G90" s="4" t="s">
        <v>198</v>
      </c>
      <c r="H90" s="4" t="s">
        <v>210</v>
      </c>
      <c r="I90" s="4"/>
      <c r="J90" s="4" t="s">
        <v>19</v>
      </c>
      <c r="K90" s="4" t="s">
        <v>150</v>
      </c>
      <c r="L90" s="4" t="s">
        <v>45</v>
      </c>
      <c r="M90" s="4"/>
      <c r="N90" s="4" t="s">
        <v>84</v>
      </c>
      <c r="O90" s="4" t="s">
        <v>25</v>
      </c>
      <c r="P90" t="str">
        <f>_xlfn.TEXTBEFORE(_xlfn.TEXTAFTER(Table26[[#This Row],[WBS CODE]], "-"), "-")</f>
        <v>302038307</v>
      </c>
    </row>
    <row r="91" spans="1:16" x14ac:dyDescent="0.3">
      <c r="A91">
        <v>90</v>
      </c>
      <c r="B91" s="4" t="s">
        <v>30</v>
      </c>
      <c r="C91" s="4" t="s">
        <v>211</v>
      </c>
      <c r="D91" s="4" t="s">
        <v>212</v>
      </c>
      <c r="E91" t="s">
        <v>17</v>
      </c>
      <c r="F91" s="4" t="s">
        <v>20</v>
      </c>
      <c r="G91" s="4" t="s">
        <v>198</v>
      </c>
      <c r="H91" s="4" t="s">
        <v>210</v>
      </c>
      <c r="I91" s="4" t="s">
        <v>212</v>
      </c>
      <c r="J91" s="4" t="s">
        <v>19</v>
      </c>
      <c r="K91" s="4" t="s">
        <v>150</v>
      </c>
      <c r="L91" s="4" t="s">
        <v>45</v>
      </c>
      <c r="M91" s="4" t="s">
        <v>45</v>
      </c>
      <c r="N91" s="4" t="s">
        <v>84</v>
      </c>
      <c r="O91" s="4" t="s">
        <v>25</v>
      </c>
      <c r="P91" t="str">
        <f>_xlfn.TEXTBEFORE(_xlfn.TEXTAFTER(Table26[[#This Row],[WBS CODE]], "-"), "-")</f>
        <v>30203830759</v>
      </c>
    </row>
    <row r="92" spans="1:16" x14ac:dyDescent="0.3">
      <c r="A92">
        <v>91</v>
      </c>
      <c r="B92" s="4" t="s">
        <v>21</v>
      </c>
      <c r="C92" s="4" t="s">
        <v>213</v>
      </c>
      <c r="D92" s="4" t="s">
        <v>214</v>
      </c>
      <c r="E92" t="s">
        <v>17</v>
      </c>
      <c r="F92" s="4" t="s">
        <v>20</v>
      </c>
      <c r="G92" s="4" t="s">
        <v>214</v>
      </c>
      <c r="H92" s="4"/>
      <c r="I92" s="4"/>
      <c r="J92" s="4" t="s">
        <v>19</v>
      </c>
      <c r="K92" s="4" t="s">
        <v>215</v>
      </c>
      <c r="L92" s="4"/>
      <c r="M92" s="4"/>
      <c r="N92" s="4"/>
      <c r="O92" s="4"/>
      <c r="P92" t="str">
        <f>_xlfn.TEXTBEFORE(_xlfn.TEXTAFTER(Table26[[#This Row],[WBS CODE]], "-"), "-")</f>
        <v>3020374</v>
      </c>
    </row>
    <row r="93" spans="1:16" x14ac:dyDescent="0.3">
      <c r="A93">
        <v>92</v>
      </c>
      <c r="B93" s="4" t="s">
        <v>26</v>
      </c>
      <c r="C93" s="4" t="s">
        <v>216</v>
      </c>
      <c r="D93" s="4" t="s">
        <v>217</v>
      </c>
      <c r="E93" t="s">
        <v>17</v>
      </c>
      <c r="F93" s="4" t="s">
        <v>20</v>
      </c>
      <c r="G93" s="4" t="s">
        <v>214</v>
      </c>
      <c r="H93" s="4" t="s">
        <v>217</v>
      </c>
      <c r="I93" s="4"/>
      <c r="J93" s="4" t="s">
        <v>19</v>
      </c>
      <c r="K93" s="4" t="s">
        <v>215</v>
      </c>
      <c r="L93" s="4" t="s">
        <v>215</v>
      </c>
      <c r="M93" s="4"/>
      <c r="N93" s="4" t="s">
        <v>218</v>
      </c>
      <c r="O93" s="4" t="s">
        <v>219</v>
      </c>
      <c r="P93" t="str">
        <f>_xlfn.TEXTBEFORE(_xlfn.TEXTAFTER(Table26[[#This Row],[WBS CODE]], "-"), "-")</f>
        <v>302037406</v>
      </c>
    </row>
    <row r="94" spans="1:16" x14ac:dyDescent="0.3">
      <c r="A94">
        <v>93</v>
      </c>
      <c r="B94" s="4" t="s">
        <v>30</v>
      </c>
      <c r="C94" s="4" t="s">
        <v>220</v>
      </c>
      <c r="D94" s="4" t="s">
        <v>221</v>
      </c>
      <c r="E94" t="s">
        <v>17</v>
      </c>
      <c r="F94" s="4" t="s">
        <v>20</v>
      </c>
      <c r="G94" s="4" t="s">
        <v>214</v>
      </c>
      <c r="H94" s="4" t="s">
        <v>217</v>
      </c>
      <c r="I94" s="4" t="s">
        <v>221</v>
      </c>
      <c r="J94" s="4" t="s">
        <v>19</v>
      </c>
      <c r="K94" s="4" t="s">
        <v>215</v>
      </c>
      <c r="L94" s="4" t="s">
        <v>215</v>
      </c>
      <c r="M94" s="4" t="s">
        <v>222</v>
      </c>
      <c r="N94" s="4" t="s">
        <v>218</v>
      </c>
      <c r="O94" s="4" t="s">
        <v>219</v>
      </c>
      <c r="P94" t="str">
        <f>_xlfn.TEXTBEFORE(_xlfn.TEXTAFTER(Table26[[#This Row],[WBS CODE]], "-"), "-")</f>
        <v>30203740660</v>
      </c>
    </row>
    <row r="95" spans="1:16" x14ac:dyDescent="0.3">
      <c r="A95">
        <v>94</v>
      </c>
      <c r="B95" s="4" t="s">
        <v>30</v>
      </c>
      <c r="C95" s="4" t="s">
        <v>223</v>
      </c>
      <c r="D95" s="4" t="s">
        <v>224</v>
      </c>
      <c r="E95" t="s">
        <v>17</v>
      </c>
      <c r="F95" s="4" t="s">
        <v>20</v>
      </c>
      <c r="G95" s="4" t="s">
        <v>214</v>
      </c>
      <c r="H95" s="4" t="s">
        <v>217</v>
      </c>
      <c r="I95" s="4" t="s">
        <v>224</v>
      </c>
      <c r="J95" s="4" t="s">
        <v>19</v>
      </c>
      <c r="K95" s="4" t="s">
        <v>215</v>
      </c>
      <c r="L95" s="4" t="s">
        <v>215</v>
      </c>
      <c r="M95" s="4" t="s">
        <v>225</v>
      </c>
      <c r="N95" s="4" t="s">
        <v>218</v>
      </c>
      <c r="O95" s="4" t="s">
        <v>219</v>
      </c>
      <c r="P95" t="str">
        <f>_xlfn.TEXTBEFORE(_xlfn.TEXTAFTER(Table26[[#This Row],[WBS CODE]], "-"), "-")</f>
        <v>30203740603</v>
      </c>
    </row>
    <row r="96" spans="1:16" x14ac:dyDescent="0.3">
      <c r="A96">
        <v>95</v>
      </c>
      <c r="B96" s="4" t="s">
        <v>26</v>
      </c>
      <c r="C96" s="4" t="s">
        <v>226</v>
      </c>
      <c r="D96" s="4" t="s">
        <v>227</v>
      </c>
      <c r="E96" t="s">
        <v>17</v>
      </c>
      <c r="F96" s="4" t="s">
        <v>20</v>
      </c>
      <c r="G96" s="4" t="s">
        <v>214</v>
      </c>
      <c r="H96" s="4" t="s">
        <v>227</v>
      </c>
      <c r="I96" s="4"/>
      <c r="J96" s="4" t="s">
        <v>19</v>
      </c>
      <c r="K96" s="4" t="s">
        <v>215</v>
      </c>
      <c r="L96" s="4" t="s">
        <v>215</v>
      </c>
      <c r="M96" s="4"/>
      <c r="N96" s="4" t="s">
        <v>228</v>
      </c>
      <c r="O96" s="4" t="s">
        <v>219</v>
      </c>
      <c r="P96" t="str">
        <f>_xlfn.TEXTBEFORE(_xlfn.TEXTAFTER(Table26[[#This Row],[WBS CODE]], "-"), "-")</f>
        <v>302037405</v>
      </c>
    </row>
    <row r="97" spans="1:16" x14ac:dyDescent="0.3">
      <c r="A97">
        <v>96</v>
      </c>
      <c r="B97" s="4" t="s">
        <v>30</v>
      </c>
      <c r="C97" s="4" t="s">
        <v>229</v>
      </c>
      <c r="D97" s="4" t="s">
        <v>230</v>
      </c>
      <c r="E97" t="s">
        <v>17</v>
      </c>
      <c r="F97" s="4" t="s">
        <v>20</v>
      </c>
      <c r="G97" s="4" t="s">
        <v>214</v>
      </c>
      <c r="H97" s="4" t="s">
        <v>227</v>
      </c>
      <c r="I97" s="4" t="s">
        <v>230</v>
      </c>
      <c r="J97" s="4" t="s">
        <v>19</v>
      </c>
      <c r="K97" s="4" t="s">
        <v>215</v>
      </c>
      <c r="L97" s="4" t="s">
        <v>215</v>
      </c>
      <c r="M97" s="4" t="s">
        <v>222</v>
      </c>
      <c r="N97" s="4" t="s">
        <v>228</v>
      </c>
      <c r="O97" s="4" t="s">
        <v>219</v>
      </c>
      <c r="P97" t="str">
        <f>_xlfn.TEXTBEFORE(_xlfn.TEXTAFTER(Table26[[#This Row],[WBS CODE]], "-"), "-")</f>
        <v>30203740560</v>
      </c>
    </row>
    <row r="98" spans="1:16" x14ac:dyDescent="0.3">
      <c r="A98">
        <v>97</v>
      </c>
      <c r="B98" s="4" t="s">
        <v>30</v>
      </c>
      <c r="C98" s="4" t="s">
        <v>231</v>
      </c>
      <c r="D98" s="4" t="s">
        <v>232</v>
      </c>
      <c r="E98" t="s">
        <v>17</v>
      </c>
      <c r="F98" s="4" t="s">
        <v>20</v>
      </c>
      <c r="G98" s="4" t="s">
        <v>214</v>
      </c>
      <c r="H98" s="4" t="s">
        <v>227</v>
      </c>
      <c r="I98" s="4" t="s">
        <v>232</v>
      </c>
      <c r="J98" s="4" t="s">
        <v>19</v>
      </c>
      <c r="K98" s="4" t="s">
        <v>215</v>
      </c>
      <c r="L98" s="4" t="s">
        <v>215</v>
      </c>
      <c r="M98" s="4" t="s">
        <v>225</v>
      </c>
      <c r="N98" s="4" t="s">
        <v>228</v>
      </c>
      <c r="O98" s="4" t="s">
        <v>219</v>
      </c>
      <c r="P98" t="str">
        <f>_xlfn.TEXTBEFORE(_xlfn.TEXTAFTER(Table26[[#This Row],[WBS CODE]], "-"), "-")</f>
        <v>30203740503</v>
      </c>
    </row>
    <row r="99" spans="1:16" x14ac:dyDescent="0.3">
      <c r="A99">
        <v>98</v>
      </c>
      <c r="B99" s="4" t="s">
        <v>26</v>
      </c>
      <c r="C99" s="4" t="s">
        <v>233</v>
      </c>
      <c r="D99" s="4" t="s">
        <v>234</v>
      </c>
      <c r="E99" t="s">
        <v>17</v>
      </c>
      <c r="F99" s="4" t="s">
        <v>20</v>
      </c>
      <c r="G99" s="4" t="s">
        <v>214</v>
      </c>
      <c r="H99" s="4" t="s">
        <v>234</v>
      </c>
      <c r="I99" s="4"/>
      <c r="J99" s="4" t="s">
        <v>19</v>
      </c>
      <c r="K99" s="4" t="s">
        <v>215</v>
      </c>
      <c r="L99" s="4" t="s">
        <v>215</v>
      </c>
      <c r="M99" s="4"/>
      <c r="N99" s="4" t="s">
        <v>235</v>
      </c>
      <c r="O99" s="4" t="s">
        <v>219</v>
      </c>
      <c r="P99" t="str">
        <f>_xlfn.TEXTBEFORE(_xlfn.TEXTAFTER(Table26[[#This Row],[WBS CODE]], "-"), "-")</f>
        <v>302037404</v>
      </c>
    </row>
    <row r="100" spans="1:16" x14ac:dyDescent="0.3">
      <c r="A100">
        <v>99</v>
      </c>
      <c r="B100" s="4" t="s">
        <v>30</v>
      </c>
      <c r="C100" s="4" t="s">
        <v>236</v>
      </c>
      <c r="D100" s="4" t="s">
        <v>237</v>
      </c>
      <c r="E100" t="s">
        <v>17</v>
      </c>
      <c r="F100" s="4" t="s">
        <v>20</v>
      </c>
      <c r="G100" s="4" t="s">
        <v>214</v>
      </c>
      <c r="H100" s="4" t="s">
        <v>234</v>
      </c>
      <c r="I100" s="4" t="s">
        <v>237</v>
      </c>
      <c r="J100" s="4" t="s">
        <v>19</v>
      </c>
      <c r="K100" s="4" t="s">
        <v>215</v>
      </c>
      <c r="L100" s="4" t="s">
        <v>215</v>
      </c>
      <c r="M100" s="4" t="s">
        <v>222</v>
      </c>
      <c r="N100" s="4" t="s">
        <v>235</v>
      </c>
      <c r="O100" s="4" t="s">
        <v>219</v>
      </c>
      <c r="P100" t="str">
        <f>_xlfn.TEXTBEFORE(_xlfn.TEXTAFTER(Table26[[#This Row],[WBS CODE]], "-"), "-")</f>
        <v>30203740460</v>
      </c>
    </row>
    <row r="101" spans="1:16" x14ac:dyDescent="0.3">
      <c r="A101">
        <v>100</v>
      </c>
      <c r="B101" s="4" t="s">
        <v>30</v>
      </c>
      <c r="C101" s="4" t="s">
        <v>238</v>
      </c>
      <c r="D101" s="4" t="s">
        <v>239</v>
      </c>
      <c r="E101" t="s">
        <v>17</v>
      </c>
      <c r="F101" s="4" t="s">
        <v>20</v>
      </c>
      <c r="G101" s="4" t="s">
        <v>214</v>
      </c>
      <c r="H101" s="4" t="s">
        <v>234</v>
      </c>
      <c r="I101" s="4" t="s">
        <v>239</v>
      </c>
      <c r="J101" s="4" t="s">
        <v>19</v>
      </c>
      <c r="K101" s="4" t="s">
        <v>215</v>
      </c>
      <c r="L101" s="4" t="s">
        <v>215</v>
      </c>
      <c r="M101" s="4" t="s">
        <v>225</v>
      </c>
      <c r="N101" s="4" t="s">
        <v>235</v>
      </c>
      <c r="O101" s="4" t="s">
        <v>219</v>
      </c>
      <c r="P101" t="str">
        <f>_xlfn.TEXTBEFORE(_xlfn.TEXTAFTER(Table26[[#This Row],[WBS CODE]], "-"), "-")</f>
        <v>30203740403</v>
      </c>
    </row>
    <row r="102" spans="1:16" x14ac:dyDescent="0.3">
      <c r="A102">
        <v>101</v>
      </c>
      <c r="B102" s="4" t="s">
        <v>26</v>
      </c>
      <c r="C102" s="4" t="s">
        <v>240</v>
      </c>
      <c r="D102" s="4" t="s">
        <v>241</v>
      </c>
      <c r="E102" t="s">
        <v>17</v>
      </c>
      <c r="F102" s="4" t="s">
        <v>20</v>
      </c>
      <c r="G102" s="4" t="s">
        <v>214</v>
      </c>
      <c r="H102" s="4" t="s">
        <v>241</v>
      </c>
      <c r="I102" s="4"/>
      <c r="J102" s="4" t="s">
        <v>19</v>
      </c>
      <c r="K102" s="4" t="s">
        <v>215</v>
      </c>
      <c r="L102" s="4" t="s">
        <v>215</v>
      </c>
      <c r="M102" s="4"/>
      <c r="N102" s="4" t="s">
        <v>242</v>
      </c>
      <c r="O102" s="4" t="s">
        <v>219</v>
      </c>
      <c r="P102" t="str">
        <f>_xlfn.TEXTBEFORE(_xlfn.TEXTAFTER(Table26[[#This Row],[WBS CODE]], "-"), "-")</f>
        <v>302037403</v>
      </c>
    </row>
    <row r="103" spans="1:16" x14ac:dyDescent="0.3">
      <c r="A103">
        <v>102</v>
      </c>
      <c r="B103" s="4" t="s">
        <v>30</v>
      </c>
      <c r="C103" s="4" t="s">
        <v>243</v>
      </c>
      <c r="D103" s="4" t="s">
        <v>244</v>
      </c>
      <c r="E103" t="s">
        <v>17</v>
      </c>
      <c r="F103" s="4" t="s">
        <v>20</v>
      </c>
      <c r="G103" s="4" t="s">
        <v>214</v>
      </c>
      <c r="H103" s="4" t="s">
        <v>241</v>
      </c>
      <c r="I103" s="4" t="s">
        <v>244</v>
      </c>
      <c r="J103" s="4" t="s">
        <v>19</v>
      </c>
      <c r="K103" s="4" t="s">
        <v>215</v>
      </c>
      <c r="L103" s="4" t="s">
        <v>215</v>
      </c>
      <c r="M103" s="4" t="s">
        <v>222</v>
      </c>
      <c r="N103" s="4" t="s">
        <v>242</v>
      </c>
      <c r="O103" s="4" t="s">
        <v>219</v>
      </c>
      <c r="P103" t="str">
        <f>_xlfn.TEXTBEFORE(_xlfn.TEXTAFTER(Table26[[#This Row],[WBS CODE]], "-"), "-")</f>
        <v>30203740360</v>
      </c>
    </row>
    <row r="104" spans="1:16" x14ac:dyDescent="0.3">
      <c r="A104">
        <v>103</v>
      </c>
      <c r="B104" s="4" t="s">
        <v>30</v>
      </c>
      <c r="C104" s="4" t="s">
        <v>245</v>
      </c>
      <c r="D104" s="4" t="s">
        <v>246</v>
      </c>
      <c r="E104" t="s">
        <v>17</v>
      </c>
      <c r="F104" s="4" t="s">
        <v>20</v>
      </c>
      <c r="G104" s="4" t="s">
        <v>214</v>
      </c>
      <c r="H104" s="4" t="s">
        <v>241</v>
      </c>
      <c r="I104" s="4" t="s">
        <v>246</v>
      </c>
      <c r="J104" s="4" t="s">
        <v>19</v>
      </c>
      <c r="K104" s="4" t="s">
        <v>215</v>
      </c>
      <c r="L104" s="4" t="s">
        <v>215</v>
      </c>
      <c r="M104" s="4" t="s">
        <v>225</v>
      </c>
      <c r="N104" s="4" t="s">
        <v>242</v>
      </c>
      <c r="O104" s="4" t="s">
        <v>219</v>
      </c>
      <c r="P104" t="str">
        <f>_xlfn.TEXTBEFORE(_xlfn.TEXTAFTER(Table26[[#This Row],[WBS CODE]], "-"), "-")</f>
        <v>30203740303</v>
      </c>
    </row>
    <row r="105" spans="1:16" x14ac:dyDescent="0.3">
      <c r="A105">
        <v>104</v>
      </c>
      <c r="B105" s="4" t="s">
        <v>26</v>
      </c>
      <c r="C105" s="4" t="s">
        <v>247</v>
      </c>
      <c r="D105" s="4" t="s">
        <v>248</v>
      </c>
      <c r="E105" t="s">
        <v>17</v>
      </c>
      <c r="F105" s="4" t="s">
        <v>20</v>
      </c>
      <c r="G105" s="4" t="s">
        <v>214</v>
      </c>
      <c r="H105" s="4" t="s">
        <v>248</v>
      </c>
      <c r="I105" s="4"/>
      <c r="J105" s="4" t="s">
        <v>19</v>
      </c>
      <c r="K105" s="4" t="s">
        <v>215</v>
      </c>
      <c r="L105" s="4" t="s">
        <v>215</v>
      </c>
      <c r="M105" s="4"/>
      <c r="N105" s="4" t="s">
        <v>249</v>
      </c>
      <c r="O105" s="4" t="s">
        <v>219</v>
      </c>
      <c r="P105" t="str">
        <f>_xlfn.TEXTBEFORE(_xlfn.TEXTAFTER(Table26[[#This Row],[WBS CODE]], "-"), "-")</f>
        <v>302037402</v>
      </c>
    </row>
    <row r="106" spans="1:16" x14ac:dyDescent="0.3">
      <c r="A106">
        <v>105</v>
      </c>
      <c r="B106" s="4" t="s">
        <v>30</v>
      </c>
      <c r="C106" s="4" t="s">
        <v>250</v>
      </c>
      <c r="D106" s="4" t="s">
        <v>251</v>
      </c>
      <c r="E106" t="s">
        <v>17</v>
      </c>
      <c r="F106" s="4" t="s">
        <v>20</v>
      </c>
      <c r="G106" s="4" t="s">
        <v>214</v>
      </c>
      <c r="H106" s="4" t="s">
        <v>248</v>
      </c>
      <c r="I106" s="4" t="s">
        <v>251</v>
      </c>
      <c r="J106" s="4" t="s">
        <v>19</v>
      </c>
      <c r="K106" s="4" t="s">
        <v>215</v>
      </c>
      <c r="L106" s="4" t="s">
        <v>215</v>
      </c>
      <c r="M106" s="4" t="s">
        <v>222</v>
      </c>
      <c r="N106" s="4" t="s">
        <v>249</v>
      </c>
      <c r="O106" s="4" t="s">
        <v>219</v>
      </c>
      <c r="P106" t="str">
        <f>_xlfn.TEXTBEFORE(_xlfn.TEXTAFTER(Table26[[#This Row],[WBS CODE]], "-"), "-")</f>
        <v>30203740260</v>
      </c>
    </row>
    <row r="107" spans="1:16" x14ac:dyDescent="0.3">
      <c r="A107">
        <v>106</v>
      </c>
      <c r="B107" s="4" t="s">
        <v>30</v>
      </c>
      <c r="C107" s="4" t="s">
        <v>252</v>
      </c>
      <c r="D107" s="4" t="s">
        <v>253</v>
      </c>
      <c r="E107" t="s">
        <v>17</v>
      </c>
      <c r="F107" s="4" t="s">
        <v>20</v>
      </c>
      <c r="G107" s="4" t="s">
        <v>214</v>
      </c>
      <c r="H107" s="4" t="s">
        <v>248</v>
      </c>
      <c r="I107" s="4" t="s">
        <v>253</v>
      </c>
      <c r="J107" s="4" t="s">
        <v>19</v>
      </c>
      <c r="K107" s="4" t="s">
        <v>215</v>
      </c>
      <c r="L107" s="4" t="s">
        <v>215</v>
      </c>
      <c r="M107" s="4" t="s">
        <v>225</v>
      </c>
      <c r="N107" s="4" t="s">
        <v>249</v>
      </c>
      <c r="O107" s="4" t="s">
        <v>219</v>
      </c>
      <c r="P107" t="str">
        <f>_xlfn.TEXTBEFORE(_xlfn.TEXTAFTER(Table26[[#This Row],[WBS CODE]], "-"), "-")</f>
        <v>30203740203</v>
      </c>
    </row>
    <row r="108" spans="1:16" x14ac:dyDescent="0.3">
      <c r="A108">
        <v>107</v>
      </c>
      <c r="B108" s="4" t="s">
        <v>26</v>
      </c>
      <c r="C108" s="4" t="s">
        <v>254</v>
      </c>
      <c r="D108" s="4" t="s">
        <v>255</v>
      </c>
      <c r="E108" t="s">
        <v>17</v>
      </c>
      <c r="F108" s="4" t="s">
        <v>20</v>
      </c>
      <c r="G108" s="4" t="s">
        <v>214</v>
      </c>
      <c r="H108" s="4" t="s">
        <v>255</v>
      </c>
      <c r="I108" s="4"/>
      <c r="J108" s="4" t="s">
        <v>19</v>
      </c>
      <c r="K108" s="4" t="s">
        <v>215</v>
      </c>
      <c r="L108" s="4" t="s">
        <v>215</v>
      </c>
      <c r="M108" s="4"/>
      <c r="N108" s="4" t="s">
        <v>256</v>
      </c>
      <c r="O108" s="4" t="s">
        <v>219</v>
      </c>
      <c r="P108" t="str">
        <f>_xlfn.TEXTBEFORE(_xlfn.TEXTAFTER(Table26[[#This Row],[WBS CODE]], "-"), "-")</f>
        <v>302037401</v>
      </c>
    </row>
    <row r="109" spans="1:16" x14ac:dyDescent="0.3">
      <c r="A109">
        <v>108</v>
      </c>
      <c r="B109" s="4" t="s">
        <v>30</v>
      </c>
      <c r="C109" s="4" t="s">
        <v>257</v>
      </c>
      <c r="D109" s="4" t="s">
        <v>258</v>
      </c>
      <c r="E109" t="s">
        <v>17</v>
      </c>
      <c r="F109" s="4" t="s">
        <v>20</v>
      </c>
      <c r="G109" s="4" t="s">
        <v>214</v>
      </c>
      <c r="H109" s="4" t="s">
        <v>255</v>
      </c>
      <c r="I109" s="4" t="s">
        <v>258</v>
      </c>
      <c r="J109" s="4" t="s">
        <v>19</v>
      </c>
      <c r="K109" s="4" t="s">
        <v>215</v>
      </c>
      <c r="L109" s="4" t="s">
        <v>215</v>
      </c>
      <c r="M109" s="4" t="s">
        <v>222</v>
      </c>
      <c r="N109" s="4" t="s">
        <v>256</v>
      </c>
      <c r="O109" s="4" t="s">
        <v>219</v>
      </c>
      <c r="P109" t="str">
        <f>_xlfn.TEXTBEFORE(_xlfn.TEXTAFTER(Table26[[#This Row],[WBS CODE]], "-"), "-")</f>
        <v>30203740160</v>
      </c>
    </row>
    <row r="110" spans="1:16" x14ac:dyDescent="0.3">
      <c r="A110">
        <v>109</v>
      </c>
      <c r="B110" s="4" t="s">
        <v>30</v>
      </c>
      <c r="C110" s="4" t="s">
        <v>259</v>
      </c>
      <c r="D110" s="4" t="s">
        <v>260</v>
      </c>
      <c r="E110" t="s">
        <v>17</v>
      </c>
      <c r="F110" s="4" t="s">
        <v>20</v>
      </c>
      <c r="G110" s="4" t="s">
        <v>214</v>
      </c>
      <c r="H110" s="4" t="s">
        <v>255</v>
      </c>
      <c r="I110" s="4" t="s">
        <v>260</v>
      </c>
      <c r="J110" s="4" t="s">
        <v>19</v>
      </c>
      <c r="K110" s="4" t="s">
        <v>215</v>
      </c>
      <c r="L110" s="4" t="s">
        <v>215</v>
      </c>
      <c r="M110" s="4" t="s">
        <v>225</v>
      </c>
      <c r="N110" s="4" t="s">
        <v>256</v>
      </c>
      <c r="O110" s="4" t="s">
        <v>219</v>
      </c>
      <c r="P110" t="str">
        <f>_xlfn.TEXTBEFORE(_xlfn.TEXTAFTER(Table26[[#This Row],[WBS CODE]], "-"), "-")</f>
        <v>30203740103</v>
      </c>
    </row>
    <row r="111" spans="1:16" x14ac:dyDescent="0.3">
      <c r="A111">
        <v>110</v>
      </c>
      <c r="B111" s="4" t="s">
        <v>18</v>
      </c>
      <c r="C111" s="4" t="s">
        <v>261</v>
      </c>
      <c r="D111" s="4" t="s">
        <v>262</v>
      </c>
      <c r="E111" t="s">
        <v>17</v>
      </c>
      <c r="F111" s="4" t="s">
        <v>262</v>
      </c>
      <c r="G111" s="4"/>
      <c r="H111" s="4"/>
      <c r="I111" s="4"/>
      <c r="J111" s="4" t="s">
        <v>261</v>
      </c>
      <c r="K111" s="4"/>
      <c r="L111" s="4"/>
      <c r="M111" s="4"/>
      <c r="N111" s="4"/>
      <c r="O111" s="4"/>
      <c r="P111" t="str">
        <f>_xlfn.TEXTBEFORE(_xlfn.TEXTAFTER(Table26[[#This Row],[WBS CODE]], "-"), "-")</f>
        <v>30129</v>
      </c>
    </row>
    <row r="112" spans="1:16" x14ac:dyDescent="0.3">
      <c r="A112">
        <v>111</v>
      </c>
      <c r="B112" s="4" t="s">
        <v>21</v>
      </c>
      <c r="C112" s="4" t="s">
        <v>263</v>
      </c>
      <c r="D112" s="4" t="s">
        <v>264</v>
      </c>
      <c r="E112" t="s">
        <v>17</v>
      </c>
      <c r="F112" s="4" t="s">
        <v>262</v>
      </c>
      <c r="G112" s="4" t="s">
        <v>264</v>
      </c>
      <c r="H112" s="4"/>
      <c r="I112" s="4"/>
      <c r="J112" s="4" t="s">
        <v>261</v>
      </c>
      <c r="K112" s="4" t="s">
        <v>263</v>
      </c>
      <c r="L112" s="4"/>
      <c r="M112" s="4"/>
      <c r="N112" s="4"/>
      <c r="O112" s="4"/>
      <c r="P112" t="str">
        <f>_xlfn.TEXTBEFORE(_xlfn.TEXTAFTER(Table26[[#This Row],[WBS CODE]], "-"), "-")</f>
        <v>3012991</v>
      </c>
    </row>
    <row r="113" spans="1:16" x14ac:dyDescent="0.3">
      <c r="A113">
        <v>112</v>
      </c>
      <c r="B113" s="4" t="s">
        <v>26</v>
      </c>
      <c r="C113" s="4" t="s">
        <v>263</v>
      </c>
      <c r="D113" s="4" t="s">
        <v>265</v>
      </c>
      <c r="E113" t="s">
        <v>17</v>
      </c>
      <c r="F113" s="4" t="s">
        <v>262</v>
      </c>
      <c r="G113" s="4" t="s">
        <v>264</v>
      </c>
      <c r="H113" s="4" t="s">
        <v>265</v>
      </c>
      <c r="I113" s="4"/>
      <c r="J113" s="4" t="s">
        <v>261</v>
      </c>
      <c r="K113" s="4" t="s">
        <v>263</v>
      </c>
      <c r="L113" s="4" t="s">
        <v>266</v>
      </c>
      <c r="M113" s="4"/>
      <c r="N113" s="4"/>
      <c r="O113" s="4"/>
      <c r="P113" t="str">
        <f>_xlfn.TEXTBEFORE(_xlfn.TEXTAFTER(Table26[[#This Row],[WBS CODE]], "-"), "-")</f>
        <v>301299127</v>
      </c>
    </row>
    <row r="114" spans="1:16" x14ac:dyDescent="0.3">
      <c r="A114">
        <v>113</v>
      </c>
      <c r="B114" s="4" t="s">
        <v>30</v>
      </c>
      <c r="C114" s="4" t="s">
        <v>263</v>
      </c>
      <c r="D114" s="4" t="s">
        <v>267</v>
      </c>
      <c r="E114" t="s">
        <v>17</v>
      </c>
      <c r="F114" s="4" t="s">
        <v>262</v>
      </c>
      <c r="G114" s="4" t="s">
        <v>264</v>
      </c>
      <c r="H114" s="4" t="s">
        <v>265</v>
      </c>
      <c r="I114" s="4" t="s">
        <v>267</v>
      </c>
      <c r="J114" s="4" t="s">
        <v>261</v>
      </c>
      <c r="K114" s="4" t="s">
        <v>263</v>
      </c>
      <c r="L114" s="4" t="s">
        <v>266</v>
      </c>
      <c r="M114" s="4" t="s">
        <v>268</v>
      </c>
      <c r="N114" s="4"/>
      <c r="O114" s="4"/>
      <c r="P114" t="str">
        <f>_xlfn.TEXTBEFORE(_xlfn.TEXTAFTER(Table26[[#This Row],[WBS CODE]], "-"), "-")</f>
        <v>30129912724</v>
      </c>
    </row>
    <row r="115" spans="1:16" x14ac:dyDescent="0.3">
      <c r="A115">
        <v>114</v>
      </c>
      <c r="B115" s="4" t="s">
        <v>21</v>
      </c>
      <c r="C115" s="4" t="s">
        <v>269</v>
      </c>
      <c r="D115" s="4" t="s">
        <v>270</v>
      </c>
      <c r="E115" t="s">
        <v>17</v>
      </c>
      <c r="F115" s="4" t="s">
        <v>262</v>
      </c>
      <c r="G115" s="4" t="s">
        <v>270</v>
      </c>
      <c r="H115" s="4"/>
      <c r="I115" s="4"/>
      <c r="J115" s="4" t="s">
        <v>261</v>
      </c>
      <c r="K115" s="4" t="s">
        <v>271</v>
      </c>
      <c r="L115" s="4"/>
      <c r="M115" s="4"/>
      <c r="N115" s="4"/>
      <c r="O115" s="4"/>
      <c r="P115" t="str">
        <f>_xlfn.TEXTBEFORE(_xlfn.TEXTAFTER(Table26[[#This Row],[WBS CODE]], "-"), "-")</f>
        <v>3012982</v>
      </c>
    </row>
    <row r="116" spans="1:16" x14ac:dyDescent="0.3">
      <c r="A116">
        <v>115</v>
      </c>
      <c r="B116" s="4" t="s">
        <v>26</v>
      </c>
      <c r="C116" s="4" t="s">
        <v>266</v>
      </c>
      <c r="D116" s="4" t="s">
        <v>272</v>
      </c>
      <c r="E116" t="s">
        <v>17</v>
      </c>
      <c r="F116" s="4" t="s">
        <v>262</v>
      </c>
      <c r="G116" s="4" t="s">
        <v>270</v>
      </c>
      <c r="H116" s="4" t="s">
        <v>272</v>
      </c>
      <c r="I116" s="4"/>
      <c r="J116" s="4" t="s">
        <v>261</v>
      </c>
      <c r="K116" s="4" t="s">
        <v>271</v>
      </c>
      <c r="L116" s="4" t="s">
        <v>273</v>
      </c>
      <c r="M116" s="4"/>
      <c r="N116" s="4"/>
      <c r="O116" s="4"/>
      <c r="P116" t="str">
        <f>_xlfn.TEXTBEFORE(_xlfn.TEXTAFTER(Table26[[#This Row],[WBS CODE]], "-"), "-")</f>
        <v>301298264</v>
      </c>
    </row>
    <row r="117" spans="1:16" x14ac:dyDescent="0.3">
      <c r="A117">
        <v>116</v>
      </c>
      <c r="B117" s="4" t="s">
        <v>30</v>
      </c>
      <c r="C117" s="4" t="s">
        <v>266</v>
      </c>
      <c r="D117" s="4" t="s">
        <v>274</v>
      </c>
      <c r="E117" t="s">
        <v>17</v>
      </c>
      <c r="F117" s="4" t="s">
        <v>262</v>
      </c>
      <c r="G117" s="4" t="s">
        <v>270</v>
      </c>
      <c r="H117" s="4" t="s">
        <v>272</v>
      </c>
      <c r="I117" s="4" t="s">
        <v>274</v>
      </c>
      <c r="J117" s="4" t="s">
        <v>261</v>
      </c>
      <c r="K117" s="4" t="s">
        <v>271</v>
      </c>
      <c r="L117" s="4" t="s">
        <v>273</v>
      </c>
      <c r="M117" s="4" t="s">
        <v>266</v>
      </c>
      <c r="N117" s="4"/>
      <c r="O117" s="4"/>
      <c r="P117" t="str">
        <f>_xlfn.TEXTBEFORE(_xlfn.TEXTAFTER(Table26[[#This Row],[WBS CODE]], "-"), "-")</f>
        <v>30129826460</v>
      </c>
    </row>
    <row r="118" spans="1:16" x14ac:dyDescent="0.3">
      <c r="A118">
        <v>117</v>
      </c>
      <c r="B118" s="4" t="s">
        <v>21</v>
      </c>
      <c r="C118" s="4" t="s">
        <v>273</v>
      </c>
      <c r="D118" s="4" t="s">
        <v>275</v>
      </c>
      <c r="E118" t="s">
        <v>17</v>
      </c>
      <c r="F118" s="4" t="s">
        <v>262</v>
      </c>
      <c r="G118" s="4" t="s">
        <v>275</v>
      </c>
      <c r="H118" s="4"/>
      <c r="I118" s="4"/>
      <c r="J118" s="4" t="s">
        <v>261</v>
      </c>
      <c r="K118" s="4" t="s">
        <v>273</v>
      </c>
      <c r="L118" s="4"/>
      <c r="M118" s="4"/>
      <c r="N118" s="4"/>
      <c r="O118" s="4"/>
      <c r="P118" t="str">
        <f>_xlfn.TEXTBEFORE(_xlfn.TEXTAFTER(Table26[[#This Row],[WBS CODE]], "-"), "-")</f>
        <v>3012914</v>
      </c>
    </row>
    <row r="119" spans="1:16" x14ac:dyDescent="0.3">
      <c r="A119">
        <v>118</v>
      </c>
      <c r="B119" s="4" t="s">
        <v>26</v>
      </c>
      <c r="C119" s="4" t="s">
        <v>273</v>
      </c>
      <c r="D119" s="4" t="s">
        <v>276</v>
      </c>
      <c r="E119" t="s">
        <v>17</v>
      </c>
      <c r="F119" s="4" t="s">
        <v>262</v>
      </c>
      <c r="G119" s="4" t="s">
        <v>275</v>
      </c>
      <c r="H119" s="4" t="s">
        <v>276</v>
      </c>
      <c r="I119" s="4"/>
      <c r="J119" s="4" t="s">
        <v>261</v>
      </c>
      <c r="K119" s="4" t="s">
        <v>273</v>
      </c>
      <c r="L119" s="4" t="s">
        <v>277</v>
      </c>
      <c r="M119" s="4"/>
      <c r="N119" s="4"/>
      <c r="O119" s="4"/>
      <c r="P119" t="str">
        <f>_xlfn.TEXTBEFORE(_xlfn.TEXTAFTER(Table26[[#This Row],[WBS CODE]], "-"), "-")</f>
        <v>301291463</v>
      </c>
    </row>
    <row r="120" spans="1:16" x14ac:dyDescent="0.3">
      <c r="A120">
        <v>119</v>
      </c>
      <c r="B120" s="4" t="s">
        <v>30</v>
      </c>
      <c r="C120" s="4" t="s">
        <v>273</v>
      </c>
      <c r="D120" s="4" t="s">
        <v>278</v>
      </c>
      <c r="E120" t="s">
        <v>17</v>
      </c>
      <c r="F120" s="4" t="s">
        <v>262</v>
      </c>
      <c r="G120" s="4" t="s">
        <v>275</v>
      </c>
      <c r="H120" s="4" t="s">
        <v>276</v>
      </c>
      <c r="I120" s="4" t="s">
        <v>278</v>
      </c>
      <c r="J120" s="4" t="s">
        <v>261</v>
      </c>
      <c r="K120" s="4" t="s">
        <v>273</v>
      </c>
      <c r="L120" s="4" t="s">
        <v>277</v>
      </c>
      <c r="M120" s="4" t="s">
        <v>273</v>
      </c>
      <c r="N120" s="4"/>
      <c r="O120" s="4"/>
      <c r="P120" t="str">
        <f>_xlfn.TEXTBEFORE(_xlfn.TEXTAFTER(Table26[[#This Row],[WBS CODE]], "-"), "-")</f>
        <v>30129146321</v>
      </c>
    </row>
    <row r="121" spans="1:16" x14ac:dyDescent="0.3">
      <c r="A121">
        <v>120</v>
      </c>
      <c r="B121" s="4" t="s">
        <v>21</v>
      </c>
      <c r="C121" s="4" t="s">
        <v>279</v>
      </c>
      <c r="D121" s="4" t="s">
        <v>280</v>
      </c>
      <c r="E121" t="s">
        <v>17</v>
      </c>
      <c r="F121" s="4" t="s">
        <v>262</v>
      </c>
      <c r="G121" s="4" t="s">
        <v>280</v>
      </c>
      <c r="H121" s="4"/>
      <c r="I121" s="4"/>
      <c r="J121" s="4" t="s">
        <v>261</v>
      </c>
      <c r="K121" s="4" t="s">
        <v>277</v>
      </c>
      <c r="L121" s="4"/>
      <c r="M121" s="4"/>
      <c r="N121" s="4"/>
      <c r="O121" s="4"/>
      <c r="P121" t="str">
        <f>_xlfn.TEXTBEFORE(_xlfn.TEXTAFTER(Table26[[#This Row],[WBS CODE]], "-"), "-")</f>
        <v>3012981</v>
      </c>
    </row>
    <row r="122" spans="1:16" x14ac:dyDescent="0.3">
      <c r="A122">
        <v>121</v>
      </c>
      <c r="B122" s="4" t="s">
        <v>26</v>
      </c>
      <c r="C122" s="4" t="s">
        <v>279</v>
      </c>
      <c r="D122" s="4" t="s">
        <v>281</v>
      </c>
      <c r="E122" t="s">
        <v>17</v>
      </c>
      <c r="F122" s="4" t="s">
        <v>262</v>
      </c>
      <c r="G122" s="4" t="s">
        <v>280</v>
      </c>
      <c r="H122" s="4" t="s">
        <v>281</v>
      </c>
      <c r="I122" s="4"/>
      <c r="J122" s="4" t="s">
        <v>261</v>
      </c>
      <c r="K122" s="4" t="s">
        <v>277</v>
      </c>
      <c r="L122" s="4" t="s">
        <v>277</v>
      </c>
      <c r="M122" s="4"/>
      <c r="N122" s="4"/>
      <c r="O122" s="4"/>
      <c r="P122" t="str">
        <f>_xlfn.TEXTBEFORE(_xlfn.TEXTAFTER(Table26[[#This Row],[WBS CODE]], "-"), "-")</f>
        <v>301298160</v>
      </c>
    </row>
    <row r="123" spans="1:16" x14ac:dyDescent="0.3">
      <c r="A123">
        <v>122</v>
      </c>
      <c r="B123" s="4" t="s">
        <v>30</v>
      </c>
      <c r="C123" s="4" t="s">
        <v>279</v>
      </c>
      <c r="D123" s="4" t="s">
        <v>282</v>
      </c>
      <c r="E123" t="s">
        <v>17</v>
      </c>
      <c r="F123" s="4" t="s">
        <v>262</v>
      </c>
      <c r="G123" s="4" t="s">
        <v>280</v>
      </c>
      <c r="H123" s="4" t="s">
        <v>281</v>
      </c>
      <c r="I123" s="4" t="s">
        <v>282</v>
      </c>
      <c r="J123" s="4" t="s">
        <v>261</v>
      </c>
      <c r="K123" s="4" t="s">
        <v>277</v>
      </c>
      <c r="L123" s="4" t="s">
        <v>277</v>
      </c>
      <c r="M123" s="4" t="s">
        <v>277</v>
      </c>
      <c r="N123" s="4"/>
      <c r="O123" s="4"/>
      <c r="P123" t="str">
        <f>_xlfn.TEXTBEFORE(_xlfn.TEXTAFTER(Table26[[#This Row],[WBS CODE]], "-"), "-")</f>
        <v>30129816043</v>
      </c>
    </row>
    <row r="124" spans="1:16" x14ac:dyDescent="0.3">
      <c r="A124">
        <v>123</v>
      </c>
      <c r="B124" s="4" t="s">
        <v>21</v>
      </c>
      <c r="C124" s="4" t="s">
        <v>283</v>
      </c>
      <c r="D124" s="4" t="s">
        <v>284</v>
      </c>
      <c r="E124" t="s">
        <v>17</v>
      </c>
      <c r="F124" s="4" t="s">
        <v>262</v>
      </c>
      <c r="G124" s="4" t="s">
        <v>284</v>
      </c>
      <c r="H124" s="4"/>
      <c r="I124" s="4"/>
      <c r="J124" s="4" t="s">
        <v>261</v>
      </c>
      <c r="K124" s="4" t="s">
        <v>283</v>
      </c>
      <c r="L124" s="4"/>
      <c r="M124" s="4"/>
      <c r="N124" s="4"/>
      <c r="O124" s="4"/>
      <c r="P124" t="str">
        <f>_xlfn.TEXTBEFORE(_xlfn.TEXTAFTER(Table26[[#This Row],[WBS CODE]], "-"), "-")</f>
        <v>3012979</v>
      </c>
    </row>
    <row r="125" spans="1:16" x14ac:dyDescent="0.3">
      <c r="A125">
        <v>124</v>
      </c>
      <c r="B125" s="4" t="s">
        <v>26</v>
      </c>
      <c r="C125" s="4" t="s">
        <v>285</v>
      </c>
      <c r="D125" s="4" t="s">
        <v>286</v>
      </c>
      <c r="E125" t="s">
        <v>17</v>
      </c>
      <c r="F125" s="4" t="s">
        <v>262</v>
      </c>
      <c r="G125" s="4" t="s">
        <v>284</v>
      </c>
      <c r="H125" s="4" t="s">
        <v>286</v>
      </c>
      <c r="I125" s="4"/>
      <c r="J125" s="4" t="s">
        <v>261</v>
      </c>
      <c r="K125" s="4" t="s">
        <v>283</v>
      </c>
      <c r="L125" s="4" t="s">
        <v>283</v>
      </c>
      <c r="M125" s="4"/>
      <c r="N125" s="4" t="s">
        <v>218</v>
      </c>
      <c r="O125" s="4" t="s">
        <v>219</v>
      </c>
      <c r="P125" t="str">
        <f>_xlfn.TEXTBEFORE(_xlfn.TEXTAFTER(Table26[[#This Row],[WBS CODE]], "-"), "-")</f>
        <v>301297906</v>
      </c>
    </row>
    <row r="126" spans="1:16" x14ac:dyDescent="0.3">
      <c r="A126">
        <v>125</v>
      </c>
      <c r="B126" s="4" t="s">
        <v>30</v>
      </c>
      <c r="C126" s="4" t="s">
        <v>285</v>
      </c>
      <c r="D126" s="4" t="s">
        <v>287</v>
      </c>
      <c r="E126" t="s">
        <v>17</v>
      </c>
      <c r="F126" s="4" t="s">
        <v>262</v>
      </c>
      <c r="G126" s="4" t="s">
        <v>284</v>
      </c>
      <c r="H126" s="4" t="s">
        <v>286</v>
      </c>
      <c r="I126" s="4" t="s">
        <v>287</v>
      </c>
      <c r="J126" s="4" t="s">
        <v>261</v>
      </c>
      <c r="K126" s="4" t="s">
        <v>283</v>
      </c>
      <c r="L126" s="4" t="s">
        <v>283</v>
      </c>
      <c r="M126" s="4" t="s">
        <v>288</v>
      </c>
      <c r="N126" s="4" t="s">
        <v>218</v>
      </c>
      <c r="O126" s="4" t="s">
        <v>219</v>
      </c>
      <c r="P126" t="str">
        <f>_xlfn.TEXTBEFORE(_xlfn.TEXTAFTER(Table26[[#This Row],[WBS CODE]], "-"), "-")</f>
        <v>30129790606</v>
      </c>
    </row>
    <row r="127" spans="1:16" x14ac:dyDescent="0.3">
      <c r="A127">
        <v>126</v>
      </c>
      <c r="B127" s="4" t="s">
        <v>26</v>
      </c>
      <c r="C127" s="4" t="s">
        <v>289</v>
      </c>
      <c r="D127" s="4" t="s">
        <v>290</v>
      </c>
      <c r="E127" t="s">
        <v>17</v>
      </c>
      <c r="F127" s="4" t="s">
        <v>262</v>
      </c>
      <c r="G127" s="4" t="s">
        <v>284</v>
      </c>
      <c r="H127" s="4" t="s">
        <v>290</v>
      </c>
      <c r="I127" s="4"/>
      <c r="J127" s="4" t="s">
        <v>261</v>
      </c>
      <c r="K127" s="4" t="s">
        <v>283</v>
      </c>
      <c r="L127" s="4" t="s">
        <v>283</v>
      </c>
      <c r="M127" s="4"/>
      <c r="N127" s="4" t="s">
        <v>228</v>
      </c>
      <c r="O127" s="4" t="s">
        <v>219</v>
      </c>
      <c r="P127" t="str">
        <f>_xlfn.TEXTBEFORE(_xlfn.TEXTAFTER(Table26[[#This Row],[WBS CODE]], "-"), "-")</f>
        <v>301297905</v>
      </c>
    </row>
    <row r="128" spans="1:16" x14ac:dyDescent="0.3">
      <c r="A128">
        <v>127</v>
      </c>
      <c r="B128" s="4" t="s">
        <v>30</v>
      </c>
      <c r="C128" s="4" t="s">
        <v>289</v>
      </c>
      <c r="D128" s="4" t="s">
        <v>291</v>
      </c>
      <c r="E128" t="s">
        <v>17</v>
      </c>
      <c r="F128" s="4" t="s">
        <v>262</v>
      </c>
      <c r="G128" s="4" t="s">
        <v>284</v>
      </c>
      <c r="H128" s="4" t="s">
        <v>290</v>
      </c>
      <c r="I128" s="4" t="s">
        <v>291</v>
      </c>
      <c r="J128" s="4" t="s">
        <v>261</v>
      </c>
      <c r="K128" s="4" t="s">
        <v>283</v>
      </c>
      <c r="L128" s="4" t="s">
        <v>283</v>
      </c>
      <c r="M128" s="4" t="s">
        <v>288</v>
      </c>
      <c r="N128" s="4" t="s">
        <v>228</v>
      </c>
      <c r="O128" s="4" t="s">
        <v>219</v>
      </c>
      <c r="P128" t="str">
        <f>_xlfn.TEXTBEFORE(_xlfn.TEXTAFTER(Table26[[#This Row],[WBS CODE]], "-"), "-")</f>
        <v>30129790505</v>
      </c>
    </row>
    <row r="129" spans="1:16" x14ac:dyDescent="0.3">
      <c r="A129">
        <v>128</v>
      </c>
      <c r="B129" s="4" t="s">
        <v>26</v>
      </c>
      <c r="C129" s="4" t="s">
        <v>292</v>
      </c>
      <c r="D129" s="4" t="s">
        <v>293</v>
      </c>
      <c r="E129" t="s">
        <v>17</v>
      </c>
      <c r="F129" s="4" t="s">
        <v>262</v>
      </c>
      <c r="G129" s="4" t="s">
        <v>284</v>
      </c>
      <c r="H129" s="4" t="s">
        <v>293</v>
      </c>
      <c r="I129" s="4"/>
      <c r="J129" s="4" t="s">
        <v>261</v>
      </c>
      <c r="K129" s="4" t="s">
        <v>283</v>
      </c>
      <c r="L129" s="4" t="s">
        <v>283</v>
      </c>
      <c r="M129" s="4"/>
      <c r="N129" s="4" t="s">
        <v>235</v>
      </c>
      <c r="O129" s="4" t="s">
        <v>219</v>
      </c>
      <c r="P129" t="str">
        <f>_xlfn.TEXTBEFORE(_xlfn.TEXTAFTER(Table26[[#This Row],[WBS CODE]], "-"), "-")</f>
        <v>301297904</v>
      </c>
    </row>
    <row r="130" spans="1:16" x14ac:dyDescent="0.3">
      <c r="A130">
        <v>129</v>
      </c>
      <c r="B130" s="4" t="s">
        <v>30</v>
      </c>
      <c r="C130" s="4" t="s">
        <v>292</v>
      </c>
      <c r="D130" s="4" t="s">
        <v>294</v>
      </c>
      <c r="E130" t="s">
        <v>17</v>
      </c>
      <c r="F130" s="4" t="s">
        <v>262</v>
      </c>
      <c r="G130" s="4" t="s">
        <v>284</v>
      </c>
      <c r="H130" s="4" t="s">
        <v>293</v>
      </c>
      <c r="I130" s="4" t="s">
        <v>294</v>
      </c>
      <c r="J130" s="4" t="s">
        <v>261</v>
      </c>
      <c r="K130" s="4" t="s">
        <v>283</v>
      </c>
      <c r="L130" s="4" t="s">
        <v>283</v>
      </c>
      <c r="M130" s="4" t="s">
        <v>288</v>
      </c>
      <c r="N130" s="4" t="s">
        <v>235</v>
      </c>
      <c r="O130" s="4" t="s">
        <v>219</v>
      </c>
      <c r="P130" t="str">
        <f>_xlfn.TEXTBEFORE(_xlfn.TEXTAFTER(Table26[[#This Row],[WBS CODE]], "-"), "-")</f>
        <v>30129790404</v>
      </c>
    </row>
    <row r="131" spans="1:16" x14ac:dyDescent="0.3">
      <c r="A131">
        <v>130</v>
      </c>
      <c r="B131" s="4" t="s">
        <v>26</v>
      </c>
      <c r="C131" s="4" t="s">
        <v>295</v>
      </c>
      <c r="D131" s="4" t="s">
        <v>296</v>
      </c>
      <c r="E131" t="s">
        <v>17</v>
      </c>
      <c r="F131" s="4" t="s">
        <v>262</v>
      </c>
      <c r="G131" s="4" t="s">
        <v>284</v>
      </c>
      <c r="H131" s="4" t="s">
        <v>296</v>
      </c>
      <c r="I131" s="4"/>
      <c r="J131" s="4" t="s">
        <v>261</v>
      </c>
      <c r="K131" s="4" t="s">
        <v>283</v>
      </c>
      <c r="L131" s="4" t="s">
        <v>283</v>
      </c>
      <c r="M131" s="4"/>
      <c r="N131" s="4" t="s">
        <v>242</v>
      </c>
      <c r="O131" s="4" t="s">
        <v>219</v>
      </c>
      <c r="P131" t="str">
        <f>_xlfn.TEXTBEFORE(_xlfn.TEXTAFTER(Table26[[#This Row],[WBS CODE]], "-"), "-")</f>
        <v>301297903</v>
      </c>
    </row>
    <row r="132" spans="1:16" x14ac:dyDescent="0.3">
      <c r="A132">
        <v>131</v>
      </c>
      <c r="B132" s="4" t="s">
        <v>30</v>
      </c>
      <c r="C132" s="4" t="s">
        <v>295</v>
      </c>
      <c r="D132" s="4" t="s">
        <v>297</v>
      </c>
      <c r="E132" t="s">
        <v>17</v>
      </c>
      <c r="F132" s="4" t="s">
        <v>262</v>
      </c>
      <c r="G132" s="4" t="s">
        <v>284</v>
      </c>
      <c r="H132" s="4" t="s">
        <v>296</v>
      </c>
      <c r="I132" s="4" t="s">
        <v>297</v>
      </c>
      <c r="J132" s="4" t="s">
        <v>261</v>
      </c>
      <c r="K132" s="4" t="s">
        <v>283</v>
      </c>
      <c r="L132" s="4" t="s">
        <v>283</v>
      </c>
      <c r="M132" s="4" t="s">
        <v>288</v>
      </c>
      <c r="N132" s="4" t="s">
        <v>242</v>
      </c>
      <c r="O132" s="4" t="s">
        <v>219</v>
      </c>
      <c r="P132" t="str">
        <f>_xlfn.TEXTBEFORE(_xlfn.TEXTAFTER(Table26[[#This Row],[WBS CODE]], "-"), "-")</f>
        <v>30129790303</v>
      </c>
    </row>
    <row r="133" spans="1:16" x14ac:dyDescent="0.3">
      <c r="A133">
        <v>132</v>
      </c>
      <c r="B133" s="4" t="s">
        <v>26</v>
      </c>
      <c r="C133" s="4" t="s">
        <v>298</v>
      </c>
      <c r="D133" s="4" t="s">
        <v>299</v>
      </c>
      <c r="E133" t="s">
        <v>17</v>
      </c>
      <c r="F133" s="4" t="s">
        <v>262</v>
      </c>
      <c r="G133" s="4" t="s">
        <v>284</v>
      </c>
      <c r="H133" s="4" t="s">
        <v>299</v>
      </c>
      <c r="I133" s="4"/>
      <c r="J133" s="4" t="s">
        <v>261</v>
      </c>
      <c r="K133" s="4" t="s">
        <v>283</v>
      </c>
      <c r="L133" s="4" t="s">
        <v>283</v>
      </c>
      <c r="M133" s="4"/>
      <c r="N133" s="4" t="s">
        <v>249</v>
      </c>
      <c r="O133" s="4" t="s">
        <v>219</v>
      </c>
      <c r="P133" t="str">
        <f>_xlfn.TEXTBEFORE(_xlfn.TEXTAFTER(Table26[[#This Row],[WBS CODE]], "-"), "-")</f>
        <v>301297902</v>
      </c>
    </row>
    <row r="134" spans="1:16" x14ac:dyDescent="0.3">
      <c r="A134">
        <v>133</v>
      </c>
      <c r="B134" s="4" t="s">
        <v>30</v>
      </c>
      <c r="C134" s="4" t="s">
        <v>298</v>
      </c>
      <c r="D134" s="4" t="s">
        <v>300</v>
      </c>
      <c r="E134" t="s">
        <v>17</v>
      </c>
      <c r="F134" s="4" t="s">
        <v>262</v>
      </c>
      <c r="G134" s="4" t="s">
        <v>284</v>
      </c>
      <c r="H134" s="4" t="s">
        <v>299</v>
      </c>
      <c r="I134" s="4" t="s">
        <v>300</v>
      </c>
      <c r="J134" s="4" t="s">
        <v>261</v>
      </c>
      <c r="K134" s="4" t="s">
        <v>283</v>
      </c>
      <c r="L134" s="4" t="s">
        <v>283</v>
      </c>
      <c r="M134" s="4" t="s">
        <v>288</v>
      </c>
      <c r="N134" s="4" t="s">
        <v>249</v>
      </c>
      <c r="O134" s="4" t="s">
        <v>219</v>
      </c>
      <c r="P134" t="str">
        <f>_xlfn.TEXTBEFORE(_xlfn.TEXTAFTER(Table26[[#This Row],[WBS CODE]], "-"), "-")</f>
        <v>30129790202</v>
      </c>
    </row>
    <row r="135" spans="1:16" x14ac:dyDescent="0.3">
      <c r="A135">
        <v>134</v>
      </c>
      <c r="B135" s="4" t="s">
        <v>26</v>
      </c>
      <c r="C135" s="4" t="s">
        <v>301</v>
      </c>
      <c r="D135" s="4" t="s">
        <v>302</v>
      </c>
      <c r="E135" t="s">
        <v>17</v>
      </c>
      <c r="F135" s="4" t="s">
        <v>262</v>
      </c>
      <c r="G135" s="4" t="s">
        <v>284</v>
      </c>
      <c r="H135" s="4" t="s">
        <v>302</v>
      </c>
      <c r="I135" s="4"/>
      <c r="J135" s="4" t="s">
        <v>261</v>
      </c>
      <c r="K135" s="4" t="s">
        <v>283</v>
      </c>
      <c r="L135" s="4" t="s">
        <v>283</v>
      </c>
      <c r="M135" s="4"/>
      <c r="N135" s="4" t="s">
        <v>256</v>
      </c>
      <c r="O135" s="4" t="s">
        <v>219</v>
      </c>
      <c r="P135" t="str">
        <f>_xlfn.TEXTBEFORE(_xlfn.TEXTAFTER(Table26[[#This Row],[WBS CODE]], "-"), "-")</f>
        <v>301297901</v>
      </c>
    </row>
    <row r="136" spans="1:16" x14ac:dyDescent="0.3">
      <c r="A136">
        <v>135</v>
      </c>
      <c r="B136" s="4" t="s">
        <v>30</v>
      </c>
      <c r="C136" s="4" t="s">
        <v>301</v>
      </c>
      <c r="D136" s="4" t="s">
        <v>303</v>
      </c>
      <c r="E136" t="s">
        <v>17</v>
      </c>
      <c r="F136" s="4" t="s">
        <v>262</v>
      </c>
      <c r="G136" s="4" t="s">
        <v>284</v>
      </c>
      <c r="H136" s="4" t="s">
        <v>302</v>
      </c>
      <c r="I136" s="4" t="s">
        <v>303</v>
      </c>
      <c r="J136" s="4" t="s">
        <v>261</v>
      </c>
      <c r="K136" s="4" t="s">
        <v>283</v>
      </c>
      <c r="L136" s="4" t="s">
        <v>283</v>
      </c>
      <c r="M136" s="4" t="s">
        <v>288</v>
      </c>
      <c r="N136" s="4" t="s">
        <v>256</v>
      </c>
      <c r="O136" s="4" t="s">
        <v>219</v>
      </c>
      <c r="P136" t="str">
        <f>_xlfn.TEXTBEFORE(_xlfn.TEXTAFTER(Table26[[#This Row],[WBS CODE]], "-"), "-")</f>
        <v>30129790101</v>
      </c>
    </row>
    <row r="137" spans="1:16" x14ac:dyDescent="0.3">
      <c r="A137">
        <v>136</v>
      </c>
      <c r="B137" s="4" t="s">
        <v>21</v>
      </c>
      <c r="C137" s="4" t="s">
        <v>304</v>
      </c>
      <c r="D137" s="4" t="s">
        <v>305</v>
      </c>
      <c r="E137" t="s">
        <v>17</v>
      </c>
      <c r="F137" s="4" t="s">
        <v>262</v>
      </c>
      <c r="G137" s="4" t="s">
        <v>305</v>
      </c>
      <c r="H137" s="4"/>
      <c r="I137" s="4"/>
      <c r="J137" s="4" t="s">
        <v>261</v>
      </c>
      <c r="K137" s="4" t="s">
        <v>306</v>
      </c>
      <c r="L137" s="4"/>
      <c r="M137" s="4"/>
      <c r="N137" s="4"/>
      <c r="O137" s="4"/>
      <c r="P137" t="str">
        <f>_xlfn.TEXTBEFORE(_xlfn.TEXTAFTER(Table26[[#This Row],[WBS CODE]], "-"), "-")</f>
        <v>3012978</v>
      </c>
    </row>
    <row r="138" spans="1:16" x14ac:dyDescent="0.3">
      <c r="A138">
        <v>137</v>
      </c>
      <c r="B138" s="4" t="s">
        <v>26</v>
      </c>
      <c r="C138" s="4" t="s">
        <v>307</v>
      </c>
      <c r="D138" s="4" t="s">
        <v>308</v>
      </c>
      <c r="E138" t="s">
        <v>17</v>
      </c>
      <c r="F138" s="4" t="s">
        <v>262</v>
      </c>
      <c r="G138" s="4" t="s">
        <v>305</v>
      </c>
      <c r="H138" s="4" t="s">
        <v>308</v>
      </c>
      <c r="I138" s="4"/>
      <c r="J138" s="4" t="s">
        <v>261</v>
      </c>
      <c r="K138" s="4" t="s">
        <v>306</v>
      </c>
      <c r="L138" s="4" t="s">
        <v>307</v>
      </c>
      <c r="M138" s="4"/>
      <c r="N138" s="4"/>
      <c r="O138" s="4"/>
      <c r="P138" t="str">
        <f>_xlfn.TEXTBEFORE(_xlfn.TEXTAFTER(Table26[[#This Row],[WBS CODE]], "-"), "-")</f>
        <v>301297856</v>
      </c>
    </row>
    <row r="139" spans="1:16" x14ac:dyDescent="0.3">
      <c r="A139">
        <v>138</v>
      </c>
      <c r="B139" s="4" t="s">
        <v>30</v>
      </c>
      <c r="C139" s="4" t="s">
        <v>307</v>
      </c>
      <c r="D139" s="4" t="s">
        <v>309</v>
      </c>
      <c r="E139" t="s">
        <v>17</v>
      </c>
      <c r="F139" s="4" t="s">
        <v>262</v>
      </c>
      <c r="G139" s="4" t="s">
        <v>305</v>
      </c>
      <c r="H139" s="4" t="s">
        <v>308</v>
      </c>
      <c r="I139" s="4" t="s">
        <v>309</v>
      </c>
      <c r="J139" s="4" t="s">
        <v>261</v>
      </c>
      <c r="K139" s="4" t="s">
        <v>306</v>
      </c>
      <c r="L139" s="4" t="s">
        <v>307</v>
      </c>
      <c r="M139" s="4" t="s">
        <v>307</v>
      </c>
      <c r="N139" s="4"/>
      <c r="O139" s="4"/>
      <c r="P139" t="str">
        <f>_xlfn.TEXTBEFORE(_xlfn.TEXTAFTER(Table26[[#This Row],[WBS CODE]], "-"), "-")</f>
        <v>30129785627</v>
      </c>
    </row>
    <row r="140" spans="1:16" x14ac:dyDescent="0.3">
      <c r="A140">
        <v>139</v>
      </c>
      <c r="B140" s="4" t="s">
        <v>26</v>
      </c>
      <c r="C140" s="4" t="s">
        <v>310</v>
      </c>
      <c r="D140" s="4" t="s">
        <v>311</v>
      </c>
      <c r="E140" t="s">
        <v>17</v>
      </c>
      <c r="F140" s="4" t="s">
        <v>262</v>
      </c>
      <c r="G140" s="4" t="s">
        <v>305</v>
      </c>
      <c r="H140" s="4" t="s">
        <v>311</v>
      </c>
      <c r="I140" s="4"/>
      <c r="J140" s="4" t="s">
        <v>261</v>
      </c>
      <c r="K140" s="4" t="s">
        <v>306</v>
      </c>
      <c r="L140" s="4" t="s">
        <v>310</v>
      </c>
      <c r="M140" s="4"/>
      <c r="N140" s="4"/>
      <c r="O140" s="4"/>
      <c r="P140" t="str">
        <f>_xlfn.TEXTBEFORE(_xlfn.TEXTAFTER(Table26[[#This Row],[WBS CODE]], "-"), "-")</f>
        <v>301297862</v>
      </c>
    </row>
    <row r="141" spans="1:16" x14ac:dyDescent="0.3">
      <c r="A141">
        <v>140</v>
      </c>
      <c r="B141" s="4" t="s">
        <v>30</v>
      </c>
      <c r="C141" s="4" t="s">
        <v>310</v>
      </c>
      <c r="D141" s="4" t="s">
        <v>312</v>
      </c>
      <c r="E141" t="s">
        <v>17</v>
      </c>
      <c r="F141" s="4" t="s">
        <v>262</v>
      </c>
      <c r="G141" s="4" t="s">
        <v>305</v>
      </c>
      <c r="H141" s="4" t="s">
        <v>311</v>
      </c>
      <c r="I141" s="4" t="s">
        <v>312</v>
      </c>
      <c r="J141" s="4" t="s">
        <v>261</v>
      </c>
      <c r="K141" s="4" t="s">
        <v>306</v>
      </c>
      <c r="L141" s="4" t="s">
        <v>310</v>
      </c>
      <c r="M141" s="4" t="s">
        <v>310</v>
      </c>
      <c r="N141" s="4"/>
      <c r="O141" s="4"/>
      <c r="P141" t="str">
        <f>_xlfn.TEXTBEFORE(_xlfn.TEXTAFTER(Table26[[#This Row],[WBS CODE]], "-"), "-")</f>
        <v>30129786227</v>
      </c>
    </row>
    <row r="142" spans="1:16" x14ac:dyDescent="0.3">
      <c r="A142">
        <v>141</v>
      </c>
      <c r="B142" s="4" t="s">
        <v>21</v>
      </c>
      <c r="C142" s="4" t="s">
        <v>313</v>
      </c>
      <c r="D142" s="4" t="s">
        <v>314</v>
      </c>
      <c r="E142" t="s">
        <v>17</v>
      </c>
      <c r="F142" s="4" t="s">
        <v>262</v>
      </c>
      <c r="G142" s="4" t="s">
        <v>314</v>
      </c>
      <c r="H142" s="4"/>
      <c r="I142" s="4"/>
      <c r="J142" s="4" t="s">
        <v>261</v>
      </c>
      <c r="K142" s="4" t="s">
        <v>313</v>
      </c>
      <c r="L142" s="4"/>
      <c r="M142" s="4"/>
      <c r="N142" s="4"/>
      <c r="O142" s="4"/>
      <c r="P142" t="str">
        <f>_xlfn.TEXTBEFORE(_xlfn.TEXTAFTER(Table26[[#This Row],[WBS CODE]], "-"), "-")</f>
        <v>3012977</v>
      </c>
    </row>
    <row r="143" spans="1:16" x14ac:dyDescent="0.3">
      <c r="A143">
        <v>142</v>
      </c>
      <c r="B143" s="4" t="s">
        <v>26</v>
      </c>
      <c r="C143" s="4" t="s">
        <v>315</v>
      </c>
      <c r="D143" s="4" t="s">
        <v>316</v>
      </c>
      <c r="E143" t="s">
        <v>17</v>
      </c>
      <c r="F143" s="4" t="s">
        <v>262</v>
      </c>
      <c r="G143" s="4" t="s">
        <v>314</v>
      </c>
      <c r="H143" s="4" t="s">
        <v>316</v>
      </c>
      <c r="I143" s="4"/>
      <c r="J143" s="4" t="s">
        <v>261</v>
      </c>
      <c r="K143" s="4" t="s">
        <v>313</v>
      </c>
      <c r="L143" s="4" t="s">
        <v>315</v>
      </c>
      <c r="M143" s="4"/>
      <c r="N143" s="4"/>
      <c r="O143" s="4"/>
      <c r="P143" t="str">
        <f>_xlfn.TEXTBEFORE(_xlfn.TEXTAFTER(Table26[[#This Row],[WBS CODE]], "-"), "-")</f>
        <v>301297727</v>
      </c>
    </row>
    <row r="144" spans="1:16" x14ac:dyDescent="0.3">
      <c r="A144">
        <v>143</v>
      </c>
      <c r="B144" s="4" t="s">
        <v>30</v>
      </c>
      <c r="C144" s="4" t="s">
        <v>317</v>
      </c>
      <c r="D144" s="4" t="s">
        <v>318</v>
      </c>
      <c r="E144" t="s">
        <v>17</v>
      </c>
      <c r="F144" s="4" t="s">
        <v>262</v>
      </c>
      <c r="G144" s="4" t="s">
        <v>314</v>
      </c>
      <c r="H144" s="4" t="s">
        <v>316</v>
      </c>
      <c r="I144" s="4" t="s">
        <v>318</v>
      </c>
      <c r="J144" s="4" t="s">
        <v>261</v>
      </c>
      <c r="K144" s="4" t="s">
        <v>313</v>
      </c>
      <c r="L144" s="4" t="s">
        <v>315</v>
      </c>
      <c r="M144" s="4" t="s">
        <v>317</v>
      </c>
      <c r="N144" s="4"/>
      <c r="O144" s="4"/>
      <c r="P144" t="str">
        <f>_xlfn.TEXTBEFORE(_xlfn.TEXTAFTER(Table26[[#This Row],[WBS CODE]], "-"), "-")</f>
        <v>30129772724</v>
      </c>
    </row>
    <row r="145" spans="1:16" x14ac:dyDescent="0.3">
      <c r="A145">
        <v>144</v>
      </c>
      <c r="B145" s="4" t="s">
        <v>26</v>
      </c>
      <c r="C145" s="4" t="s">
        <v>319</v>
      </c>
      <c r="D145" s="4" t="s">
        <v>320</v>
      </c>
      <c r="E145" t="s">
        <v>17</v>
      </c>
      <c r="F145" s="4" t="s">
        <v>262</v>
      </c>
      <c r="G145" s="4" t="s">
        <v>314</v>
      </c>
      <c r="H145" s="4" t="s">
        <v>320</v>
      </c>
      <c r="I145" s="4"/>
      <c r="J145" s="4" t="s">
        <v>261</v>
      </c>
      <c r="K145" s="4" t="s">
        <v>313</v>
      </c>
      <c r="L145" s="4" t="s">
        <v>319</v>
      </c>
      <c r="M145" s="4"/>
      <c r="N145" s="4"/>
      <c r="O145" s="4"/>
      <c r="P145" t="str">
        <f>_xlfn.TEXTBEFORE(_xlfn.TEXTAFTER(Table26[[#This Row],[WBS CODE]], "-"), "-")</f>
        <v>301297759</v>
      </c>
    </row>
    <row r="146" spans="1:16" x14ac:dyDescent="0.3">
      <c r="A146">
        <v>145</v>
      </c>
      <c r="B146" s="4" t="s">
        <v>30</v>
      </c>
      <c r="C146" s="4" t="s">
        <v>319</v>
      </c>
      <c r="D146" s="4" t="s">
        <v>321</v>
      </c>
      <c r="E146" t="s">
        <v>17</v>
      </c>
      <c r="F146" s="4" t="s">
        <v>262</v>
      </c>
      <c r="G146" s="4" t="s">
        <v>314</v>
      </c>
      <c r="H146" s="4" t="s">
        <v>320</v>
      </c>
      <c r="I146" s="4" t="s">
        <v>321</v>
      </c>
      <c r="J146" s="4" t="s">
        <v>261</v>
      </c>
      <c r="K146" s="4" t="s">
        <v>313</v>
      </c>
      <c r="L146" s="4" t="s">
        <v>319</v>
      </c>
      <c r="M146" s="4" t="s">
        <v>319</v>
      </c>
      <c r="N146" s="4"/>
      <c r="O146" s="4"/>
      <c r="P146" t="str">
        <f>_xlfn.TEXTBEFORE(_xlfn.TEXTAFTER(Table26[[#This Row],[WBS CODE]], "-"), "-")</f>
        <v>30129775920</v>
      </c>
    </row>
    <row r="147" spans="1:16" x14ac:dyDescent="0.3">
      <c r="A147">
        <v>146</v>
      </c>
      <c r="B147" s="4" t="s">
        <v>26</v>
      </c>
      <c r="C147" s="4" t="s">
        <v>322</v>
      </c>
      <c r="D147" s="4" t="s">
        <v>323</v>
      </c>
      <c r="E147" t="s">
        <v>17</v>
      </c>
      <c r="F147" s="4" t="s">
        <v>262</v>
      </c>
      <c r="G147" s="4" t="s">
        <v>314</v>
      </c>
      <c r="H147" s="4" t="s">
        <v>323</v>
      </c>
      <c r="I147" s="4"/>
      <c r="J147" s="4" t="s">
        <v>261</v>
      </c>
      <c r="K147" s="4" t="s">
        <v>313</v>
      </c>
      <c r="L147" s="4" t="s">
        <v>322</v>
      </c>
      <c r="M147" s="4"/>
      <c r="N147" s="4"/>
      <c r="O147" s="4"/>
      <c r="P147" t="str">
        <f>_xlfn.TEXTBEFORE(_xlfn.TEXTAFTER(Table26[[#This Row],[WBS CODE]], "-"), "-")</f>
        <v>301297757</v>
      </c>
    </row>
    <row r="148" spans="1:16" x14ac:dyDescent="0.3">
      <c r="A148">
        <v>147</v>
      </c>
      <c r="B148" s="4" t="s">
        <v>30</v>
      </c>
      <c r="C148" s="4" t="s">
        <v>322</v>
      </c>
      <c r="D148" s="4" t="s">
        <v>324</v>
      </c>
      <c r="E148" t="s">
        <v>17</v>
      </c>
      <c r="F148" s="4" t="s">
        <v>262</v>
      </c>
      <c r="G148" s="4" t="s">
        <v>314</v>
      </c>
      <c r="H148" s="4" t="s">
        <v>323</v>
      </c>
      <c r="I148" s="4" t="s">
        <v>324</v>
      </c>
      <c r="J148" s="4" t="s">
        <v>261</v>
      </c>
      <c r="K148" s="4" t="s">
        <v>313</v>
      </c>
      <c r="L148" s="4" t="s">
        <v>322</v>
      </c>
      <c r="M148" s="4" t="s">
        <v>322</v>
      </c>
      <c r="N148" s="4"/>
      <c r="O148" s="4"/>
      <c r="P148" t="str">
        <f>_xlfn.TEXTBEFORE(_xlfn.TEXTAFTER(Table26[[#This Row],[WBS CODE]], "-"), "-")</f>
        <v>30129775736</v>
      </c>
    </row>
    <row r="149" spans="1:16" x14ac:dyDescent="0.3">
      <c r="A149">
        <v>148</v>
      </c>
      <c r="B149" s="4" t="s">
        <v>26</v>
      </c>
      <c r="C149" s="4" t="s">
        <v>325</v>
      </c>
      <c r="D149" s="4" t="s">
        <v>326</v>
      </c>
      <c r="E149" t="s">
        <v>17</v>
      </c>
      <c r="F149" s="4" t="s">
        <v>262</v>
      </c>
      <c r="G149" s="4" t="s">
        <v>314</v>
      </c>
      <c r="H149" s="4" t="s">
        <v>326</v>
      </c>
      <c r="I149" s="4"/>
      <c r="J149" s="4" t="s">
        <v>261</v>
      </c>
      <c r="K149" s="4" t="s">
        <v>313</v>
      </c>
      <c r="L149" s="4" t="s">
        <v>325</v>
      </c>
      <c r="M149" s="4"/>
      <c r="N149" s="4"/>
      <c r="O149" s="4"/>
      <c r="P149" t="str">
        <f>_xlfn.TEXTBEFORE(_xlfn.TEXTAFTER(Table26[[#This Row],[WBS CODE]], "-"), "-")</f>
        <v>301297758</v>
      </c>
    </row>
    <row r="150" spans="1:16" x14ac:dyDescent="0.3">
      <c r="A150">
        <v>149</v>
      </c>
      <c r="B150" s="4" t="s">
        <v>30</v>
      </c>
      <c r="C150" s="4" t="s">
        <v>327</v>
      </c>
      <c r="D150" s="4" t="s">
        <v>328</v>
      </c>
      <c r="E150" t="s">
        <v>17</v>
      </c>
      <c r="F150" s="4" t="s">
        <v>262</v>
      </c>
      <c r="G150" s="4" t="s">
        <v>314</v>
      </c>
      <c r="H150" s="4" t="s">
        <v>326</v>
      </c>
      <c r="I150" s="4" t="s">
        <v>328</v>
      </c>
      <c r="J150" s="4" t="s">
        <v>261</v>
      </c>
      <c r="K150" s="4" t="s">
        <v>313</v>
      </c>
      <c r="L150" s="4" t="s">
        <v>325</v>
      </c>
      <c r="M150" s="4" t="s">
        <v>327</v>
      </c>
      <c r="N150" s="4"/>
      <c r="O150" s="4"/>
      <c r="P150" t="str">
        <f>_xlfn.TEXTBEFORE(_xlfn.TEXTAFTER(Table26[[#This Row],[WBS CODE]], "-"), "-")</f>
        <v>30129775816</v>
      </c>
    </row>
    <row r="151" spans="1:16" x14ac:dyDescent="0.3">
      <c r="A151">
        <v>150</v>
      </c>
      <c r="B151" s="4" t="s">
        <v>30</v>
      </c>
      <c r="C151" s="4" t="s">
        <v>329</v>
      </c>
      <c r="D151" s="4" t="s">
        <v>330</v>
      </c>
      <c r="E151" t="s">
        <v>17</v>
      </c>
      <c r="F151" s="4" t="s">
        <v>262</v>
      </c>
      <c r="G151" s="4" t="s">
        <v>314</v>
      </c>
      <c r="H151" s="4" t="s">
        <v>326</v>
      </c>
      <c r="I151" s="4" t="s">
        <v>330</v>
      </c>
      <c r="J151" s="4" t="s">
        <v>261</v>
      </c>
      <c r="K151" s="4" t="s">
        <v>313</v>
      </c>
      <c r="L151" s="4" t="s">
        <v>325</v>
      </c>
      <c r="M151" s="4" t="s">
        <v>331</v>
      </c>
      <c r="N151" s="4"/>
      <c r="O151" s="4"/>
      <c r="P151" t="str">
        <f>_xlfn.TEXTBEFORE(_xlfn.TEXTAFTER(Table26[[#This Row],[WBS CODE]], "-"), "-")</f>
        <v>30129775817</v>
      </c>
    </row>
    <row r="152" spans="1:16" x14ac:dyDescent="0.3">
      <c r="A152">
        <v>151</v>
      </c>
      <c r="B152" s="4" t="s">
        <v>21</v>
      </c>
      <c r="C152" s="4" t="s">
        <v>332</v>
      </c>
      <c r="D152" s="4" t="s">
        <v>333</v>
      </c>
      <c r="E152" t="s">
        <v>17</v>
      </c>
      <c r="F152" s="4" t="s">
        <v>262</v>
      </c>
      <c r="G152" s="4" t="s">
        <v>333</v>
      </c>
      <c r="H152" s="4"/>
      <c r="I152" s="4"/>
      <c r="J152" s="4" t="s">
        <v>261</v>
      </c>
      <c r="K152" s="4" t="s">
        <v>332</v>
      </c>
      <c r="L152" s="4"/>
      <c r="M152" s="4"/>
      <c r="N152" s="4"/>
      <c r="O152" s="4"/>
      <c r="P152" t="str">
        <f>_xlfn.TEXTBEFORE(_xlfn.TEXTAFTER(Table26[[#This Row],[WBS CODE]], "-"), "-")</f>
        <v>3012976</v>
      </c>
    </row>
    <row r="153" spans="1:16" x14ac:dyDescent="0.3">
      <c r="A153">
        <v>152</v>
      </c>
      <c r="B153" s="4" t="s">
        <v>26</v>
      </c>
      <c r="C153" s="4" t="s">
        <v>334</v>
      </c>
      <c r="D153" s="4" t="s">
        <v>335</v>
      </c>
      <c r="E153" t="s">
        <v>17</v>
      </c>
      <c r="F153" s="4" t="s">
        <v>262</v>
      </c>
      <c r="G153" s="4" t="s">
        <v>333</v>
      </c>
      <c r="H153" s="4" t="s">
        <v>335</v>
      </c>
      <c r="I153" s="4"/>
      <c r="J153" s="4" t="s">
        <v>261</v>
      </c>
      <c r="K153" s="4" t="s">
        <v>332</v>
      </c>
      <c r="L153" s="4" t="s">
        <v>332</v>
      </c>
      <c r="M153" s="4"/>
      <c r="N153" s="4" t="s">
        <v>218</v>
      </c>
      <c r="O153" s="4" t="s">
        <v>219</v>
      </c>
      <c r="P153" t="str">
        <f>_xlfn.TEXTBEFORE(_xlfn.TEXTAFTER(Table26[[#This Row],[WBS CODE]], "-"), "-")</f>
        <v>301297606</v>
      </c>
    </row>
    <row r="154" spans="1:16" x14ac:dyDescent="0.3">
      <c r="A154">
        <v>153</v>
      </c>
      <c r="B154" s="4" t="s">
        <v>30</v>
      </c>
      <c r="C154" s="4" t="s">
        <v>334</v>
      </c>
      <c r="D154" s="4" t="s">
        <v>336</v>
      </c>
      <c r="E154" t="s">
        <v>17</v>
      </c>
      <c r="F154" s="4" t="s">
        <v>262</v>
      </c>
      <c r="G154" s="4" t="s">
        <v>333</v>
      </c>
      <c r="H154" s="4" t="s">
        <v>335</v>
      </c>
      <c r="I154" s="4" t="s">
        <v>336</v>
      </c>
      <c r="J154" s="4" t="s">
        <v>261</v>
      </c>
      <c r="K154" s="4" t="s">
        <v>332</v>
      </c>
      <c r="L154" s="4" t="s">
        <v>332</v>
      </c>
      <c r="M154" s="4" t="s">
        <v>332</v>
      </c>
      <c r="N154" s="4" t="s">
        <v>218</v>
      </c>
      <c r="O154" s="4" t="s">
        <v>219</v>
      </c>
      <c r="P154" t="str">
        <f>_xlfn.TEXTBEFORE(_xlfn.TEXTAFTER(Table26[[#This Row],[WBS CODE]], "-"), "-")</f>
        <v>30129760606</v>
      </c>
    </row>
    <row r="155" spans="1:16" x14ac:dyDescent="0.3">
      <c r="A155">
        <v>154</v>
      </c>
      <c r="B155" s="4" t="s">
        <v>26</v>
      </c>
      <c r="C155" s="4" t="s">
        <v>337</v>
      </c>
      <c r="D155" s="4" t="s">
        <v>338</v>
      </c>
      <c r="E155" t="s">
        <v>17</v>
      </c>
      <c r="F155" s="4" t="s">
        <v>262</v>
      </c>
      <c r="G155" s="4" t="s">
        <v>333</v>
      </c>
      <c r="H155" s="4" t="s">
        <v>338</v>
      </c>
      <c r="I155" s="4"/>
      <c r="J155" s="4" t="s">
        <v>261</v>
      </c>
      <c r="K155" s="4" t="s">
        <v>332</v>
      </c>
      <c r="L155" s="4" t="s">
        <v>332</v>
      </c>
      <c r="M155" s="4"/>
      <c r="N155" s="4" t="s">
        <v>228</v>
      </c>
      <c r="O155" s="4" t="s">
        <v>219</v>
      </c>
      <c r="P155" t="str">
        <f>_xlfn.TEXTBEFORE(_xlfn.TEXTAFTER(Table26[[#This Row],[WBS CODE]], "-"), "-")</f>
        <v>301297605</v>
      </c>
    </row>
    <row r="156" spans="1:16" x14ac:dyDescent="0.3">
      <c r="A156">
        <v>155</v>
      </c>
      <c r="B156" s="4" t="s">
        <v>30</v>
      </c>
      <c r="C156" s="4" t="s">
        <v>337</v>
      </c>
      <c r="D156" s="4" t="s">
        <v>339</v>
      </c>
      <c r="E156" t="s">
        <v>17</v>
      </c>
      <c r="F156" s="4" t="s">
        <v>262</v>
      </c>
      <c r="G156" s="4" t="s">
        <v>333</v>
      </c>
      <c r="H156" s="4" t="s">
        <v>338</v>
      </c>
      <c r="I156" s="4" t="s">
        <v>339</v>
      </c>
      <c r="J156" s="4" t="s">
        <v>261</v>
      </c>
      <c r="K156" s="4" t="s">
        <v>332</v>
      </c>
      <c r="L156" s="4" t="s">
        <v>332</v>
      </c>
      <c r="M156" s="4" t="s">
        <v>332</v>
      </c>
      <c r="N156" s="4" t="s">
        <v>228</v>
      </c>
      <c r="O156" s="4" t="s">
        <v>219</v>
      </c>
      <c r="P156" t="str">
        <f>_xlfn.TEXTBEFORE(_xlfn.TEXTAFTER(Table26[[#This Row],[WBS CODE]], "-"), "-")</f>
        <v>30129760505</v>
      </c>
    </row>
    <row r="157" spans="1:16" x14ac:dyDescent="0.3">
      <c r="A157">
        <v>156</v>
      </c>
      <c r="B157" s="4" t="s">
        <v>26</v>
      </c>
      <c r="C157" s="4" t="s">
        <v>340</v>
      </c>
      <c r="D157" s="4" t="s">
        <v>341</v>
      </c>
      <c r="E157" t="s">
        <v>17</v>
      </c>
      <c r="F157" s="4" t="s">
        <v>262</v>
      </c>
      <c r="G157" s="4" t="s">
        <v>333</v>
      </c>
      <c r="H157" s="4" t="s">
        <v>341</v>
      </c>
      <c r="I157" s="4"/>
      <c r="J157" s="4" t="s">
        <v>261</v>
      </c>
      <c r="K157" s="4" t="s">
        <v>332</v>
      </c>
      <c r="L157" s="4" t="s">
        <v>332</v>
      </c>
      <c r="M157" s="4"/>
      <c r="N157" s="4" t="s">
        <v>235</v>
      </c>
      <c r="O157" s="4" t="s">
        <v>219</v>
      </c>
      <c r="P157" t="str">
        <f>_xlfn.TEXTBEFORE(_xlfn.TEXTAFTER(Table26[[#This Row],[WBS CODE]], "-"), "-")</f>
        <v>301297604</v>
      </c>
    </row>
    <row r="158" spans="1:16" x14ac:dyDescent="0.3">
      <c r="A158">
        <v>157</v>
      </c>
      <c r="B158" s="4" t="s">
        <v>30</v>
      </c>
      <c r="C158" s="4" t="s">
        <v>340</v>
      </c>
      <c r="D158" s="4" t="s">
        <v>342</v>
      </c>
      <c r="E158" t="s">
        <v>17</v>
      </c>
      <c r="F158" s="4" t="s">
        <v>262</v>
      </c>
      <c r="G158" s="4" t="s">
        <v>333</v>
      </c>
      <c r="H158" s="4" t="s">
        <v>341</v>
      </c>
      <c r="I158" s="4" t="s">
        <v>342</v>
      </c>
      <c r="J158" s="4" t="s">
        <v>261</v>
      </c>
      <c r="K158" s="4" t="s">
        <v>332</v>
      </c>
      <c r="L158" s="4" t="s">
        <v>332</v>
      </c>
      <c r="M158" s="4" t="s">
        <v>332</v>
      </c>
      <c r="N158" s="4" t="s">
        <v>235</v>
      </c>
      <c r="O158" s="4" t="s">
        <v>219</v>
      </c>
      <c r="P158" t="str">
        <f>_xlfn.TEXTBEFORE(_xlfn.TEXTAFTER(Table26[[#This Row],[WBS CODE]], "-"), "-")</f>
        <v>30129760404</v>
      </c>
    </row>
    <row r="159" spans="1:16" x14ac:dyDescent="0.3">
      <c r="A159">
        <v>158</v>
      </c>
      <c r="B159" s="4" t="s">
        <v>26</v>
      </c>
      <c r="C159" s="4" t="s">
        <v>343</v>
      </c>
      <c r="D159" s="4" t="s">
        <v>344</v>
      </c>
      <c r="E159" t="s">
        <v>17</v>
      </c>
      <c r="F159" s="4" t="s">
        <v>262</v>
      </c>
      <c r="G159" s="4" t="s">
        <v>333</v>
      </c>
      <c r="H159" s="4" t="s">
        <v>344</v>
      </c>
      <c r="I159" s="4"/>
      <c r="J159" s="4" t="s">
        <v>261</v>
      </c>
      <c r="K159" s="4" t="s">
        <v>332</v>
      </c>
      <c r="L159" s="4" t="s">
        <v>332</v>
      </c>
      <c r="M159" s="4"/>
      <c r="N159" s="4" t="s">
        <v>242</v>
      </c>
      <c r="O159" s="4" t="s">
        <v>219</v>
      </c>
      <c r="P159" t="str">
        <f>_xlfn.TEXTBEFORE(_xlfn.TEXTAFTER(Table26[[#This Row],[WBS CODE]], "-"), "-")</f>
        <v>301297603</v>
      </c>
    </row>
    <row r="160" spans="1:16" x14ac:dyDescent="0.3">
      <c r="A160">
        <v>159</v>
      </c>
      <c r="B160" s="4" t="s">
        <v>30</v>
      </c>
      <c r="C160" s="4" t="s">
        <v>343</v>
      </c>
      <c r="D160" s="4" t="s">
        <v>345</v>
      </c>
      <c r="E160" t="s">
        <v>17</v>
      </c>
      <c r="F160" s="4" t="s">
        <v>262</v>
      </c>
      <c r="G160" s="4" t="s">
        <v>333</v>
      </c>
      <c r="H160" s="4" t="s">
        <v>344</v>
      </c>
      <c r="I160" s="4" t="s">
        <v>345</v>
      </c>
      <c r="J160" s="4" t="s">
        <v>261</v>
      </c>
      <c r="K160" s="4" t="s">
        <v>332</v>
      </c>
      <c r="L160" s="4" t="s">
        <v>332</v>
      </c>
      <c r="M160" s="4" t="s">
        <v>332</v>
      </c>
      <c r="N160" s="4" t="s">
        <v>242</v>
      </c>
      <c r="O160" s="4" t="s">
        <v>219</v>
      </c>
      <c r="P160" t="str">
        <f>_xlfn.TEXTBEFORE(_xlfn.TEXTAFTER(Table26[[#This Row],[WBS CODE]], "-"), "-")</f>
        <v>30129760303</v>
      </c>
    </row>
    <row r="161" spans="1:16" x14ac:dyDescent="0.3">
      <c r="A161">
        <v>160</v>
      </c>
      <c r="B161" s="4" t="s">
        <v>26</v>
      </c>
      <c r="C161" s="4" t="s">
        <v>346</v>
      </c>
      <c r="D161" s="4" t="s">
        <v>347</v>
      </c>
      <c r="E161" t="s">
        <v>17</v>
      </c>
      <c r="F161" s="4" t="s">
        <v>262</v>
      </c>
      <c r="G161" s="4" t="s">
        <v>333</v>
      </c>
      <c r="H161" s="4" t="s">
        <v>347</v>
      </c>
      <c r="I161" s="4"/>
      <c r="J161" s="4" t="s">
        <v>261</v>
      </c>
      <c r="K161" s="4" t="s">
        <v>332</v>
      </c>
      <c r="L161" s="4" t="s">
        <v>332</v>
      </c>
      <c r="M161" s="4"/>
      <c r="N161" s="4" t="s">
        <v>249</v>
      </c>
      <c r="O161" s="4" t="s">
        <v>219</v>
      </c>
      <c r="P161" t="str">
        <f>_xlfn.TEXTBEFORE(_xlfn.TEXTAFTER(Table26[[#This Row],[WBS CODE]], "-"), "-")</f>
        <v>301297602</v>
      </c>
    </row>
    <row r="162" spans="1:16" x14ac:dyDescent="0.3">
      <c r="A162">
        <v>161</v>
      </c>
      <c r="B162" s="4" t="s">
        <v>30</v>
      </c>
      <c r="C162" s="4" t="s">
        <v>346</v>
      </c>
      <c r="D162" s="4" t="s">
        <v>348</v>
      </c>
      <c r="E162" t="s">
        <v>17</v>
      </c>
      <c r="F162" s="4" t="s">
        <v>262</v>
      </c>
      <c r="G162" s="4" t="s">
        <v>333</v>
      </c>
      <c r="H162" s="4" t="s">
        <v>347</v>
      </c>
      <c r="I162" s="4" t="s">
        <v>348</v>
      </c>
      <c r="J162" s="4" t="s">
        <v>261</v>
      </c>
      <c r="K162" s="4" t="s">
        <v>332</v>
      </c>
      <c r="L162" s="4" t="s">
        <v>332</v>
      </c>
      <c r="M162" s="4" t="s">
        <v>332</v>
      </c>
      <c r="N162" s="4" t="s">
        <v>249</v>
      </c>
      <c r="O162" s="4" t="s">
        <v>219</v>
      </c>
      <c r="P162" t="str">
        <f>_xlfn.TEXTBEFORE(_xlfn.TEXTAFTER(Table26[[#This Row],[WBS CODE]], "-"), "-")</f>
        <v>30129760202</v>
      </c>
    </row>
    <row r="163" spans="1:16" x14ac:dyDescent="0.3">
      <c r="A163">
        <v>162</v>
      </c>
      <c r="B163" s="4" t="s">
        <v>26</v>
      </c>
      <c r="C163" s="4" t="s">
        <v>349</v>
      </c>
      <c r="D163" s="4" t="s">
        <v>350</v>
      </c>
      <c r="E163" t="s">
        <v>17</v>
      </c>
      <c r="F163" s="4" t="s">
        <v>262</v>
      </c>
      <c r="G163" s="4" t="s">
        <v>333</v>
      </c>
      <c r="H163" s="4" t="s">
        <v>350</v>
      </c>
      <c r="I163" s="4"/>
      <c r="J163" s="4" t="s">
        <v>261</v>
      </c>
      <c r="K163" s="4" t="s">
        <v>332</v>
      </c>
      <c r="L163" s="4" t="s">
        <v>332</v>
      </c>
      <c r="M163" s="4"/>
      <c r="N163" s="4" t="s">
        <v>256</v>
      </c>
      <c r="O163" s="4" t="s">
        <v>219</v>
      </c>
      <c r="P163" t="str">
        <f>_xlfn.TEXTBEFORE(_xlfn.TEXTAFTER(Table26[[#This Row],[WBS CODE]], "-"), "-")</f>
        <v>301297601</v>
      </c>
    </row>
    <row r="164" spans="1:16" x14ac:dyDescent="0.3">
      <c r="A164">
        <v>163</v>
      </c>
      <c r="B164" s="4" t="s">
        <v>30</v>
      </c>
      <c r="C164" s="4" t="s">
        <v>349</v>
      </c>
      <c r="D164" s="4" t="s">
        <v>351</v>
      </c>
      <c r="E164" t="s">
        <v>17</v>
      </c>
      <c r="F164" s="4" t="s">
        <v>262</v>
      </c>
      <c r="G164" s="4" t="s">
        <v>333</v>
      </c>
      <c r="H164" s="4" t="s">
        <v>350</v>
      </c>
      <c r="I164" s="4" t="s">
        <v>351</v>
      </c>
      <c r="J164" s="4" t="s">
        <v>261</v>
      </c>
      <c r="K164" s="4" t="s">
        <v>332</v>
      </c>
      <c r="L164" s="4" t="s">
        <v>332</v>
      </c>
      <c r="M164" s="4" t="s">
        <v>332</v>
      </c>
      <c r="N164" s="4" t="s">
        <v>256</v>
      </c>
      <c r="O164" s="4" t="s">
        <v>219</v>
      </c>
      <c r="P164" t="str">
        <f>_xlfn.TEXTBEFORE(_xlfn.TEXTAFTER(Table26[[#This Row],[WBS CODE]], "-"), "-")</f>
        <v>30129760101</v>
      </c>
    </row>
    <row r="165" spans="1:16" x14ac:dyDescent="0.3">
      <c r="A165">
        <v>164</v>
      </c>
      <c r="B165" s="4" t="s">
        <v>21</v>
      </c>
      <c r="C165" s="4" t="s">
        <v>352</v>
      </c>
      <c r="D165" s="4" t="s">
        <v>353</v>
      </c>
      <c r="E165" t="s">
        <v>17</v>
      </c>
      <c r="F165" s="4" t="s">
        <v>262</v>
      </c>
      <c r="G165" s="4" t="s">
        <v>353</v>
      </c>
      <c r="H165" s="4"/>
      <c r="I165" s="4"/>
      <c r="J165" s="4" t="s">
        <v>261</v>
      </c>
      <c r="K165" s="4" t="s">
        <v>354</v>
      </c>
      <c r="L165" s="4"/>
      <c r="M165" s="4"/>
      <c r="N165" s="4"/>
      <c r="O165" s="4"/>
      <c r="P165" t="str">
        <f>_xlfn.TEXTBEFORE(_xlfn.TEXTAFTER(Table26[[#This Row],[WBS CODE]], "-"), "-")</f>
        <v>3012975</v>
      </c>
    </row>
    <row r="166" spans="1:16" x14ac:dyDescent="0.3">
      <c r="A166">
        <v>165</v>
      </c>
      <c r="B166" s="4" t="s">
        <v>26</v>
      </c>
      <c r="C166" s="4" t="s">
        <v>355</v>
      </c>
      <c r="D166" s="4" t="s">
        <v>356</v>
      </c>
      <c r="E166" t="s">
        <v>17</v>
      </c>
      <c r="F166" s="4" t="s">
        <v>262</v>
      </c>
      <c r="G166" s="4" t="s">
        <v>353</v>
      </c>
      <c r="H166" s="4" t="s">
        <v>356</v>
      </c>
      <c r="I166" s="4"/>
      <c r="J166" s="4" t="s">
        <v>261</v>
      </c>
      <c r="K166" s="4" t="s">
        <v>354</v>
      </c>
      <c r="L166" s="4" t="s">
        <v>354</v>
      </c>
      <c r="M166" s="4"/>
      <c r="N166" s="4" t="s">
        <v>218</v>
      </c>
      <c r="O166" s="4" t="s">
        <v>219</v>
      </c>
      <c r="P166" t="str">
        <f>_xlfn.TEXTBEFORE(_xlfn.TEXTAFTER(Table26[[#This Row],[WBS CODE]], "-"), "-")</f>
        <v>301297506</v>
      </c>
    </row>
    <row r="167" spans="1:16" x14ac:dyDescent="0.3">
      <c r="A167">
        <v>166</v>
      </c>
      <c r="B167" s="4" t="s">
        <v>30</v>
      </c>
      <c r="C167" s="4" t="s">
        <v>355</v>
      </c>
      <c r="D167" s="4" t="s">
        <v>357</v>
      </c>
      <c r="E167" t="s">
        <v>17</v>
      </c>
      <c r="F167" s="4" t="s">
        <v>262</v>
      </c>
      <c r="G167" s="4" t="s">
        <v>353</v>
      </c>
      <c r="H167" s="4" t="s">
        <v>356</v>
      </c>
      <c r="I167" s="4" t="s">
        <v>357</v>
      </c>
      <c r="J167" s="4" t="s">
        <v>261</v>
      </c>
      <c r="K167" s="4" t="s">
        <v>354</v>
      </c>
      <c r="L167" s="4" t="s">
        <v>354</v>
      </c>
      <c r="M167" s="4" t="s">
        <v>354</v>
      </c>
      <c r="N167" s="4" t="s">
        <v>218</v>
      </c>
      <c r="O167" s="4" t="s">
        <v>219</v>
      </c>
      <c r="P167" t="str">
        <f>_xlfn.TEXTBEFORE(_xlfn.TEXTAFTER(Table26[[#This Row],[WBS CODE]], "-"), "-")</f>
        <v>30129750606</v>
      </c>
    </row>
    <row r="168" spans="1:16" x14ac:dyDescent="0.3">
      <c r="A168">
        <v>167</v>
      </c>
      <c r="B168" s="4" t="s">
        <v>26</v>
      </c>
      <c r="C168" s="4" t="s">
        <v>358</v>
      </c>
      <c r="D168" s="4" t="s">
        <v>359</v>
      </c>
      <c r="E168" t="s">
        <v>17</v>
      </c>
      <c r="F168" s="4" t="s">
        <v>262</v>
      </c>
      <c r="G168" s="4" t="s">
        <v>353</v>
      </c>
      <c r="H168" s="4" t="s">
        <v>359</v>
      </c>
      <c r="I168" s="4"/>
      <c r="J168" s="4" t="s">
        <v>261</v>
      </c>
      <c r="K168" s="4" t="s">
        <v>354</v>
      </c>
      <c r="L168" s="4" t="s">
        <v>354</v>
      </c>
      <c r="M168" s="4"/>
      <c r="N168" s="4" t="s">
        <v>228</v>
      </c>
      <c r="O168" s="4" t="s">
        <v>219</v>
      </c>
      <c r="P168" t="str">
        <f>_xlfn.TEXTBEFORE(_xlfn.TEXTAFTER(Table26[[#This Row],[WBS CODE]], "-"), "-")</f>
        <v>301297505</v>
      </c>
    </row>
    <row r="169" spans="1:16" x14ac:dyDescent="0.3">
      <c r="A169">
        <v>168</v>
      </c>
      <c r="B169" s="4" t="s">
        <v>30</v>
      </c>
      <c r="C169" s="4" t="s">
        <v>358</v>
      </c>
      <c r="D169" s="4" t="s">
        <v>360</v>
      </c>
      <c r="E169" t="s">
        <v>17</v>
      </c>
      <c r="F169" s="4" t="s">
        <v>262</v>
      </c>
      <c r="G169" s="4" t="s">
        <v>353</v>
      </c>
      <c r="H169" s="4" t="s">
        <v>359</v>
      </c>
      <c r="I169" s="4" t="s">
        <v>360</v>
      </c>
      <c r="J169" s="4" t="s">
        <v>261</v>
      </c>
      <c r="K169" s="4" t="s">
        <v>354</v>
      </c>
      <c r="L169" s="4" t="s">
        <v>354</v>
      </c>
      <c r="M169" s="4" t="s">
        <v>354</v>
      </c>
      <c r="N169" s="4" t="s">
        <v>228</v>
      </c>
      <c r="O169" s="4" t="s">
        <v>219</v>
      </c>
      <c r="P169" t="str">
        <f>_xlfn.TEXTBEFORE(_xlfn.TEXTAFTER(Table26[[#This Row],[WBS CODE]], "-"), "-")</f>
        <v>30129750505</v>
      </c>
    </row>
    <row r="170" spans="1:16" x14ac:dyDescent="0.3">
      <c r="A170">
        <v>169</v>
      </c>
      <c r="B170" s="4" t="s">
        <v>26</v>
      </c>
      <c r="C170" s="4" t="s">
        <v>361</v>
      </c>
      <c r="D170" s="4" t="s">
        <v>362</v>
      </c>
      <c r="E170" t="s">
        <v>17</v>
      </c>
      <c r="F170" s="4" t="s">
        <v>262</v>
      </c>
      <c r="G170" s="4" t="s">
        <v>353</v>
      </c>
      <c r="H170" s="4" t="s">
        <v>362</v>
      </c>
      <c r="I170" s="4"/>
      <c r="J170" s="4" t="s">
        <v>261</v>
      </c>
      <c r="K170" s="4" t="s">
        <v>354</v>
      </c>
      <c r="L170" s="4" t="s">
        <v>354</v>
      </c>
      <c r="M170" s="4"/>
      <c r="N170" s="4" t="s">
        <v>235</v>
      </c>
      <c r="O170" s="4" t="s">
        <v>219</v>
      </c>
      <c r="P170" t="str">
        <f>_xlfn.TEXTBEFORE(_xlfn.TEXTAFTER(Table26[[#This Row],[WBS CODE]], "-"), "-")</f>
        <v>301297504</v>
      </c>
    </row>
    <row r="171" spans="1:16" x14ac:dyDescent="0.3">
      <c r="A171">
        <v>170</v>
      </c>
      <c r="B171" s="4" t="s">
        <v>30</v>
      </c>
      <c r="C171" s="4" t="s">
        <v>361</v>
      </c>
      <c r="D171" s="4" t="s">
        <v>363</v>
      </c>
      <c r="E171" t="s">
        <v>17</v>
      </c>
      <c r="F171" s="4" t="s">
        <v>262</v>
      </c>
      <c r="G171" s="4" t="s">
        <v>353</v>
      </c>
      <c r="H171" s="4" t="s">
        <v>362</v>
      </c>
      <c r="I171" s="4" t="s">
        <v>363</v>
      </c>
      <c r="J171" s="4" t="s">
        <v>261</v>
      </c>
      <c r="K171" s="4" t="s">
        <v>354</v>
      </c>
      <c r="L171" s="4" t="s">
        <v>354</v>
      </c>
      <c r="M171" s="4" t="s">
        <v>354</v>
      </c>
      <c r="N171" s="4" t="s">
        <v>235</v>
      </c>
      <c r="O171" s="4" t="s">
        <v>219</v>
      </c>
      <c r="P171" t="str">
        <f>_xlfn.TEXTBEFORE(_xlfn.TEXTAFTER(Table26[[#This Row],[WBS CODE]], "-"), "-")</f>
        <v>30129750404</v>
      </c>
    </row>
    <row r="172" spans="1:16" x14ac:dyDescent="0.3">
      <c r="A172">
        <v>171</v>
      </c>
      <c r="B172" s="4" t="s">
        <v>26</v>
      </c>
      <c r="C172" s="4" t="s">
        <v>364</v>
      </c>
      <c r="D172" s="4" t="s">
        <v>365</v>
      </c>
      <c r="E172" t="s">
        <v>17</v>
      </c>
      <c r="F172" s="4" t="s">
        <v>262</v>
      </c>
      <c r="G172" s="4" t="s">
        <v>353</v>
      </c>
      <c r="H172" s="4" t="s">
        <v>365</v>
      </c>
      <c r="I172" s="4"/>
      <c r="J172" s="4" t="s">
        <v>261</v>
      </c>
      <c r="K172" s="4" t="s">
        <v>354</v>
      </c>
      <c r="L172" s="4" t="s">
        <v>354</v>
      </c>
      <c r="M172" s="4"/>
      <c r="N172" s="4" t="s">
        <v>242</v>
      </c>
      <c r="O172" s="4" t="s">
        <v>219</v>
      </c>
      <c r="P172" t="str">
        <f>_xlfn.TEXTBEFORE(_xlfn.TEXTAFTER(Table26[[#This Row],[WBS CODE]], "-"), "-")</f>
        <v>301297503</v>
      </c>
    </row>
    <row r="173" spans="1:16" x14ac:dyDescent="0.3">
      <c r="A173">
        <v>172</v>
      </c>
      <c r="B173" s="4" t="s">
        <v>30</v>
      </c>
      <c r="C173" s="4" t="s">
        <v>364</v>
      </c>
      <c r="D173" s="4" t="s">
        <v>366</v>
      </c>
      <c r="E173" t="s">
        <v>17</v>
      </c>
      <c r="F173" s="4" t="s">
        <v>262</v>
      </c>
      <c r="G173" s="4" t="s">
        <v>353</v>
      </c>
      <c r="H173" s="4" t="s">
        <v>365</v>
      </c>
      <c r="I173" s="4" t="s">
        <v>366</v>
      </c>
      <c r="J173" s="4" t="s">
        <v>261</v>
      </c>
      <c r="K173" s="4" t="s">
        <v>354</v>
      </c>
      <c r="L173" s="4" t="s">
        <v>354</v>
      </c>
      <c r="M173" s="4" t="s">
        <v>354</v>
      </c>
      <c r="N173" s="4" t="s">
        <v>242</v>
      </c>
      <c r="O173" s="4" t="s">
        <v>219</v>
      </c>
      <c r="P173" t="str">
        <f>_xlfn.TEXTBEFORE(_xlfn.TEXTAFTER(Table26[[#This Row],[WBS CODE]], "-"), "-")</f>
        <v>30129750303</v>
      </c>
    </row>
    <row r="174" spans="1:16" x14ac:dyDescent="0.3">
      <c r="A174">
        <v>173</v>
      </c>
      <c r="B174" s="4" t="s">
        <v>26</v>
      </c>
      <c r="C174" s="4" t="s">
        <v>367</v>
      </c>
      <c r="D174" s="4" t="s">
        <v>368</v>
      </c>
      <c r="E174" t="s">
        <v>17</v>
      </c>
      <c r="F174" s="4" t="s">
        <v>262</v>
      </c>
      <c r="G174" s="4" t="s">
        <v>353</v>
      </c>
      <c r="H174" s="4" t="s">
        <v>368</v>
      </c>
      <c r="I174" s="4"/>
      <c r="J174" s="4" t="s">
        <v>261</v>
      </c>
      <c r="K174" s="4" t="s">
        <v>354</v>
      </c>
      <c r="L174" s="4" t="s">
        <v>354</v>
      </c>
      <c r="M174" s="4"/>
      <c r="N174" s="4" t="s">
        <v>249</v>
      </c>
      <c r="O174" s="4" t="s">
        <v>219</v>
      </c>
      <c r="P174" t="str">
        <f>_xlfn.TEXTBEFORE(_xlfn.TEXTAFTER(Table26[[#This Row],[WBS CODE]], "-"), "-")</f>
        <v>301297502</v>
      </c>
    </row>
    <row r="175" spans="1:16" x14ac:dyDescent="0.3">
      <c r="A175">
        <v>174</v>
      </c>
      <c r="B175" s="4" t="s">
        <v>30</v>
      </c>
      <c r="C175" s="4" t="s">
        <v>367</v>
      </c>
      <c r="D175" s="4" t="s">
        <v>369</v>
      </c>
      <c r="E175" t="s">
        <v>17</v>
      </c>
      <c r="F175" s="4" t="s">
        <v>262</v>
      </c>
      <c r="G175" s="4" t="s">
        <v>353</v>
      </c>
      <c r="H175" s="4" t="s">
        <v>368</v>
      </c>
      <c r="I175" s="4" t="s">
        <v>369</v>
      </c>
      <c r="J175" s="4" t="s">
        <v>261</v>
      </c>
      <c r="K175" s="4" t="s">
        <v>354</v>
      </c>
      <c r="L175" s="4" t="s">
        <v>354</v>
      </c>
      <c r="M175" s="4" t="s">
        <v>354</v>
      </c>
      <c r="N175" s="4" t="s">
        <v>249</v>
      </c>
      <c r="O175" s="4" t="s">
        <v>219</v>
      </c>
      <c r="P175" t="str">
        <f>_xlfn.TEXTBEFORE(_xlfn.TEXTAFTER(Table26[[#This Row],[WBS CODE]], "-"), "-")</f>
        <v>30129750202</v>
      </c>
    </row>
    <row r="176" spans="1:16" x14ac:dyDescent="0.3">
      <c r="A176">
        <v>175</v>
      </c>
      <c r="B176" s="4" t="s">
        <v>26</v>
      </c>
      <c r="C176" s="4" t="s">
        <v>370</v>
      </c>
      <c r="D176" s="4" t="s">
        <v>371</v>
      </c>
      <c r="E176" t="s">
        <v>17</v>
      </c>
      <c r="F176" s="4" t="s">
        <v>262</v>
      </c>
      <c r="G176" s="4" t="s">
        <v>353</v>
      </c>
      <c r="H176" s="4" t="s">
        <v>371</v>
      </c>
      <c r="I176" s="4"/>
      <c r="J176" s="4" t="s">
        <v>261</v>
      </c>
      <c r="K176" s="4" t="s">
        <v>354</v>
      </c>
      <c r="L176" s="4" t="s">
        <v>354</v>
      </c>
      <c r="M176" s="4"/>
      <c r="N176" s="4" t="s">
        <v>256</v>
      </c>
      <c r="O176" s="4" t="s">
        <v>219</v>
      </c>
      <c r="P176" t="str">
        <f>_xlfn.TEXTBEFORE(_xlfn.TEXTAFTER(Table26[[#This Row],[WBS CODE]], "-"), "-")</f>
        <v>301297501</v>
      </c>
    </row>
    <row r="177" spans="1:16" x14ac:dyDescent="0.3">
      <c r="A177">
        <v>176</v>
      </c>
      <c r="B177" s="4" t="s">
        <v>30</v>
      </c>
      <c r="C177" s="4" t="s">
        <v>370</v>
      </c>
      <c r="D177" s="4" t="s">
        <v>372</v>
      </c>
      <c r="E177" t="s">
        <v>17</v>
      </c>
      <c r="F177" s="4" t="s">
        <v>262</v>
      </c>
      <c r="G177" s="4" t="s">
        <v>353</v>
      </c>
      <c r="H177" s="4" t="s">
        <v>371</v>
      </c>
      <c r="I177" s="4" t="s">
        <v>372</v>
      </c>
      <c r="J177" s="4" t="s">
        <v>261</v>
      </c>
      <c r="K177" s="4" t="s">
        <v>354</v>
      </c>
      <c r="L177" s="4" t="s">
        <v>354</v>
      </c>
      <c r="M177" s="4" t="s">
        <v>354</v>
      </c>
      <c r="N177" s="4" t="s">
        <v>256</v>
      </c>
      <c r="O177" s="4" t="s">
        <v>219</v>
      </c>
      <c r="P177" t="str">
        <f>_xlfn.TEXTBEFORE(_xlfn.TEXTAFTER(Table26[[#This Row],[WBS CODE]], "-"), "-")</f>
        <v>30129750101</v>
      </c>
    </row>
    <row r="178" spans="1:16" x14ac:dyDescent="0.3">
      <c r="A178">
        <v>177</v>
      </c>
      <c r="B178" s="4" t="s">
        <v>18</v>
      </c>
      <c r="C178" s="4" t="s">
        <v>373</v>
      </c>
      <c r="D178" s="4" t="s">
        <v>374</v>
      </c>
      <c r="E178" t="s">
        <v>17</v>
      </c>
      <c r="F178" s="4" t="s">
        <v>374</v>
      </c>
      <c r="G178" s="4"/>
      <c r="H178" s="4"/>
      <c r="I178" s="4"/>
      <c r="J178" s="4" t="s">
        <v>373</v>
      </c>
      <c r="K178" s="4"/>
      <c r="L178" s="4"/>
      <c r="M178" s="4"/>
      <c r="N178" s="4"/>
      <c r="O178" s="4"/>
      <c r="P178" t="str">
        <f>_xlfn.TEXTBEFORE(_xlfn.TEXTAFTER(Table26[[#This Row],[WBS CODE]], "-"), "-")</f>
        <v>30101</v>
      </c>
    </row>
    <row r="179" spans="1:16" x14ac:dyDescent="0.3">
      <c r="A179">
        <v>178</v>
      </c>
      <c r="B179" s="4" t="s">
        <v>21</v>
      </c>
      <c r="C179" s="4" t="s">
        <v>375</v>
      </c>
      <c r="D179" s="4" t="s">
        <v>376</v>
      </c>
      <c r="E179" t="s">
        <v>17</v>
      </c>
      <c r="F179" s="4" t="s">
        <v>374</v>
      </c>
      <c r="G179" s="4" t="s">
        <v>376</v>
      </c>
      <c r="H179" s="4"/>
      <c r="I179" s="4"/>
      <c r="J179" s="4" t="s">
        <v>373</v>
      </c>
      <c r="K179" s="4" t="s">
        <v>375</v>
      </c>
      <c r="L179" s="4"/>
      <c r="M179" s="4"/>
      <c r="N179" s="4"/>
      <c r="O179" s="4"/>
      <c r="P179" t="str">
        <f>_xlfn.TEXTBEFORE(_xlfn.TEXTAFTER(Table26[[#This Row],[WBS CODE]], "-"), "-")</f>
        <v>3010173</v>
      </c>
    </row>
    <row r="180" spans="1:16" x14ac:dyDescent="0.3">
      <c r="A180">
        <v>179</v>
      </c>
      <c r="B180" s="4" t="s">
        <v>26</v>
      </c>
      <c r="C180" s="4" t="s">
        <v>375</v>
      </c>
      <c r="D180" s="4" t="s">
        <v>377</v>
      </c>
      <c r="E180" t="s">
        <v>17</v>
      </c>
      <c r="F180" s="4" t="s">
        <v>374</v>
      </c>
      <c r="G180" s="4" t="s">
        <v>376</v>
      </c>
      <c r="H180" s="4" t="s">
        <v>377</v>
      </c>
      <c r="I180" s="4"/>
      <c r="J180" s="4" t="s">
        <v>373</v>
      </c>
      <c r="K180" s="4" t="s">
        <v>375</v>
      </c>
      <c r="L180" s="4" t="s">
        <v>375</v>
      </c>
      <c r="M180" s="4"/>
      <c r="N180" s="4"/>
      <c r="O180" s="4"/>
      <c r="P180" t="str">
        <f>_xlfn.TEXTBEFORE(_xlfn.TEXTAFTER(Table26[[#This Row],[WBS CODE]], "-"), "-")</f>
        <v>301017311</v>
      </c>
    </row>
    <row r="181" spans="1:16" x14ac:dyDescent="0.3">
      <c r="A181">
        <v>180</v>
      </c>
      <c r="B181" s="4" t="s">
        <v>30</v>
      </c>
      <c r="C181" s="4" t="s">
        <v>375</v>
      </c>
      <c r="D181" s="4" t="s">
        <v>378</v>
      </c>
      <c r="E181" t="s">
        <v>17</v>
      </c>
      <c r="F181" s="4" t="s">
        <v>374</v>
      </c>
      <c r="G181" s="4" t="s">
        <v>376</v>
      </c>
      <c r="H181" s="4" t="s">
        <v>377</v>
      </c>
      <c r="I181" s="4" t="s">
        <v>378</v>
      </c>
      <c r="J181" s="4" t="s">
        <v>373</v>
      </c>
      <c r="K181" s="4" t="s">
        <v>375</v>
      </c>
      <c r="L181" s="4" t="s">
        <v>375</v>
      </c>
      <c r="M181" s="4" t="s">
        <v>375</v>
      </c>
      <c r="N181" s="4"/>
      <c r="O181" s="4"/>
      <c r="P181" t="str">
        <f>_xlfn.TEXTBEFORE(_xlfn.TEXTAFTER(Table26[[#This Row],[WBS CODE]], "-"), "-")</f>
        <v>30101731160</v>
      </c>
    </row>
    <row r="182" spans="1:16" x14ac:dyDescent="0.3">
      <c r="A182">
        <v>181</v>
      </c>
      <c r="B182" s="4" t="s">
        <v>21</v>
      </c>
      <c r="C182" s="4" t="s">
        <v>379</v>
      </c>
      <c r="D182" s="4" t="s">
        <v>380</v>
      </c>
      <c r="E182" t="s">
        <v>17</v>
      </c>
      <c r="F182" s="4" t="s">
        <v>374</v>
      </c>
      <c r="G182" s="4" t="s">
        <v>380</v>
      </c>
      <c r="H182" s="4"/>
      <c r="I182" s="4"/>
      <c r="J182" s="4" t="s">
        <v>373</v>
      </c>
      <c r="K182" s="4" t="s">
        <v>379</v>
      </c>
      <c r="L182" s="4"/>
      <c r="M182" s="4"/>
      <c r="N182" s="4"/>
      <c r="O182" s="4"/>
      <c r="P182" t="str">
        <f>_xlfn.TEXTBEFORE(_xlfn.TEXTAFTER(Table26[[#This Row],[WBS CODE]], "-"), "-")</f>
        <v>3010172</v>
      </c>
    </row>
    <row r="183" spans="1:16" x14ac:dyDescent="0.3">
      <c r="A183">
        <v>182</v>
      </c>
      <c r="B183" s="4" t="s">
        <v>26</v>
      </c>
      <c r="C183" s="4" t="s">
        <v>379</v>
      </c>
      <c r="D183" s="4" t="s">
        <v>381</v>
      </c>
      <c r="E183" t="s">
        <v>17</v>
      </c>
      <c r="F183" s="4" t="s">
        <v>374</v>
      </c>
      <c r="G183" s="4" t="s">
        <v>380</v>
      </c>
      <c r="H183" s="4" t="s">
        <v>381</v>
      </c>
      <c r="I183" s="4"/>
      <c r="J183" s="4" t="s">
        <v>373</v>
      </c>
      <c r="K183" s="4" t="s">
        <v>379</v>
      </c>
      <c r="L183" s="4" t="s">
        <v>379</v>
      </c>
      <c r="M183" s="4"/>
      <c r="N183" s="4"/>
      <c r="O183" s="4"/>
      <c r="P183" t="str">
        <f>_xlfn.TEXTBEFORE(_xlfn.TEXTAFTER(Table26[[#This Row],[WBS CODE]], "-"), "-")</f>
        <v>301017299</v>
      </c>
    </row>
    <row r="184" spans="1:16" x14ac:dyDescent="0.3">
      <c r="A184">
        <v>183</v>
      </c>
      <c r="B184" s="4" t="s">
        <v>30</v>
      </c>
      <c r="C184" s="4" t="s">
        <v>379</v>
      </c>
      <c r="D184" s="4" t="s">
        <v>382</v>
      </c>
      <c r="E184" t="s">
        <v>17</v>
      </c>
      <c r="F184" s="4" t="s">
        <v>374</v>
      </c>
      <c r="G184" s="4" t="s">
        <v>380</v>
      </c>
      <c r="H184" s="4" t="s">
        <v>381</v>
      </c>
      <c r="I184" s="4" t="s">
        <v>382</v>
      </c>
      <c r="J184" s="4" t="s">
        <v>373</v>
      </c>
      <c r="K184" s="4" t="s">
        <v>379</v>
      </c>
      <c r="L184" s="4" t="s">
        <v>379</v>
      </c>
      <c r="M184" s="4" t="s">
        <v>379</v>
      </c>
      <c r="N184" s="4"/>
      <c r="O184" s="4"/>
      <c r="P184" t="str">
        <f>_xlfn.TEXTBEFORE(_xlfn.TEXTAFTER(Table26[[#This Row],[WBS CODE]], "-"), "-")</f>
        <v>30101729921</v>
      </c>
    </row>
    <row r="185" spans="1:16" x14ac:dyDescent="0.3">
      <c r="A185">
        <v>184</v>
      </c>
      <c r="B185" s="4" t="s">
        <v>21</v>
      </c>
      <c r="C185" s="4" t="s">
        <v>383</v>
      </c>
      <c r="D185" s="4" t="s">
        <v>384</v>
      </c>
      <c r="E185" t="s">
        <v>17</v>
      </c>
      <c r="F185" s="4" t="s">
        <v>374</v>
      </c>
      <c r="G185" s="4" t="s">
        <v>384</v>
      </c>
      <c r="H185" s="4"/>
      <c r="I185" s="4"/>
      <c r="J185" s="4" t="s">
        <v>373</v>
      </c>
      <c r="K185" s="4" t="s">
        <v>385</v>
      </c>
      <c r="L185" s="4"/>
      <c r="M185" s="4"/>
      <c r="N185" s="4" t="s">
        <v>218</v>
      </c>
      <c r="O185" s="4" t="s">
        <v>219</v>
      </c>
      <c r="P185" t="str">
        <f>_xlfn.TEXTBEFORE(_xlfn.TEXTAFTER(Table26[[#This Row],[WBS CODE]], "-"), "-")</f>
        <v>3010106</v>
      </c>
    </row>
    <row r="186" spans="1:16" x14ac:dyDescent="0.3">
      <c r="A186">
        <v>185</v>
      </c>
      <c r="B186" s="4" t="s">
        <v>26</v>
      </c>
      <c r="C186" s="4" t="s">
        <v>386</v>
      </c>
      <c r="D186" s="4" t="s">
        <v>387</v>
      </c>
      <c r="E186" t="s">
        <v>17</v>
      </c>
      <c r="F186" s="4" t="s">
        <v>374</v>
      </c>
      <c r="G186" s="4" t="s">
        <v>384</v>
      </c>
      <c r="H186" s="4" t="s">
        <v>387</v>
      </c>
      <c r="I186" s="4"/>
      <c r="J186" s="4" t="s">
        <v>373</v>
      </c>
      <c r="K186" s="4" t="s">
        <v>385</v>
      </c>
      <c r="L186" s="4" t="s">
        <v>900</v>
      </c>
      <c r="M186" s="4"/>
      <c r="N186" s="4" t="s">
        <v>218</v>
      </c>
      <c r="O186" s="4" t="s">
        <v>219</v>
      </c>
      <c r="P186" t="str">
        <f>_xlfn.TEXTBEFORE(_xlfn.TEXTAFTER(Table26[[#This Row],[WBS CODE]], "-"), "-")</f>
        <v>301010602</v>
      </c>
    </row>
    <row r="187" spans="1:16" x14ac:dyDescent="0.3">
      <c r="A187">
        <v>186</v>
      </c>
      <c r="B187" s="4" t="s">
        <v>30</v>
      </c>
      <c r="C187" s="4" t="s">
        <v>388</v>
      </c>
      <c r="D187" s="4" t="s">
        <v>389</v>
      </c>
      <c r="E187" t="s">
        <v>17</v>
      </c>
      <c r="F187" s="4" t="s">
        <v>374</v>
      </c>
      <c r="G187" s="4" t="s">
        <v>384</v>
      </c>
      <c r="H187" s="4" t="s">
        <v>387</v>
      </c>
      <c r="I187" s="4" t="s">
        <v>389</v>
      </c>
      <c r="J187" s="4" t="s">
        <v>373</v>
      </c>
      <c r="K187" s="4" t="s">
        <v>385</v>
      </c>
      <c r="L187" s="4" t="s">
        <v>900</v>
      </c>
      <c r="M187" s="4" t="s">
        <v>390</v>
      </c>
      <c r="N187" s="4" t="s">
        <v>218</v>
      </c>
      <c r="O187" s="4" t="s">
        <v>219</v>
      </c>
      <c r="P187" t="str">
        <f>_xlfn.TEXTBEFORE(_xlfn.TEXTAFTER(Table26[[#This Row],[WBS CODE]], "-"), "-")</f>
        <v>30101060224</v>
      </c>
    </row>
    <row r="188" spans="1:16" x14ac:dyDescent="0.3">
      <c r="A188">
        <v>187</v>
      </c>
      <c r="B188" s="4" t="s">
        <v>30</v>
      </c>
      <c r="C188" s="4" t="s">
        <v>391</v>
      </c>
      <c r="D188" s="4" t="s">
        <v>392</v>
      </c>
      <c r="E188" t="s">
        <v>17</v>
      </c>
      <c r="F188" s="4" t="s">
        <v>374</v>
      </c>
      <c r="G188" s="4" t="s">
        <v>384</v>
      </c>
      <c r="H188" s="4" t="s">
        <v>387</v>
      </c>
      <c r="I188" s="4" t="s">
        <v>392</v>
      </c>
      <c r="J188" s="4" t="s">
        <v>373</v>
      </c>
      <c r="K188" s="4" t="s">
        <v>385</v>
      </c>
      <c r="L188" s="4" t="s">
        <v>900</v>
      </c>
      <c r="M188" s="4" t="s">
        <v>393</v>
      </c>
      <c r="N188" s="4" t="s">
        <v>218</v>
      </c>
      <c r="O188" s="4" t="s">
        <v>219</v>
      </c>
      <c r="P188" t="str">
        <f>_xlfn.TEXTBEFORE(_xlfn.TEXTAFTER(Table26[[#This Row],[WBS CODE]], "-"), "-")</f>
        <v>30101060298</v>
      </c>
    </row>
    <row r="189" spans="1:16" x14ac:dyDescent="0.3">
      <c r="A189">
        <v>188</v>
      </c>
      <c r="B189" s="4" t="s">
        <v>30</v>
      </c>
      <c r="C189" s="4" t="s">
        <v>394</v>
      </c>
      <c r="D189" s="4" t="s">
        <v>395</v>
      </c>
      <c r="E189" t="s">
        <v>17</v>
      </c>
      <c r="F189" s="4" t="s">
        <v>374</v>
      </c>
      <c r="G189" s="4" t="s">
        <v>384</v>
      </c>
      <c r="H189" s="4" t="s">
        <v>387</v>
      </c>
      <c r="I189" s="4" t="s">
        <v>395</v>
      </c>
      <c r="J189" s="4" t="s">
        <v>373</v>
      </c>
      <c r="K189" s="4" t="s">
        <v>385</v>
      </c>
      <c r="L189" s="4" t="s">
        <v>900</v>
      </c>
      <c r="M189" s="4" t="s">
        <v>396</v>
      </c>
      <c r="N189" s="4" t="s">
        <v>218</v>
      </c>
      <c r="O189" s="4" t="s">
        <v>219</v>
      </c>
      <c r="P189" t="str">
        <f>_xlfn.TEXTBEFORE(_xlfn.TEXTAFTER(Table26[[#This Row],[WBS CODE]], "-"), "-")</f>
        <v>30101060297</v>
      </c>
    </row>
    <row r="190" spans="1:16" x14ac:dyDescent="0.3">
      <c r="A190">
        <v>189</v>
      </c>
      <c r="B190" s="4" t="s">
        <v>30</v>
      </c>
      <c r="C190" s="4" t="s">
        <v>397</v>
      </c>
      <c r="D190" s="4" t="s">
        <v>398</v>
      </c>
      <c r="E190" t="s">
        <v>17</v>
      </c>
      <c r="F190" s="4" t="s">
        <v>374</v>
      </c>
      <c r="G190" s="4" t="s">
        <v>384</v>
      </c>
      <c r="H190" s="4" t="s">
        <v>387</v>
      </c>
      <c r="I190" s="4" t="s">
        <v>398</v>
      </c>
      <c r="J190" s="4" t="s">
        <v>373</v>
      </c>
      <c r="K190" s="4" t="s">
        <v>385</v>
      </c>
      <c r="L190" s="4" t="s">
        <v>900</v>
      </c>
      <c r="M190" s="4" t="s">
        <v>399</v>
      </c>
      <c r="N190" s="4" t="s">
        <v>218</v>
      </c>
      <c r="O190" s="4" t="s">
        <v>219</v>
      </c>
      <c r="P190" t="str">
        <f>_xlfn.TEXTBEFORE(_xlfn.TEXTAFTER(Table26[[#This Row],[WBS CODE]], "-"), "-")</f>
        <v>30101060296</v>
      </c>
    </row>
    <row r="191" spans="1:16" x14ac:dyDescent="0.3">
      <c r="A191">
        <v>190</v>
      </c>
      <c r="B191" s="4" t="s">
        <v>30</v>
      </c>
      <c r="C191" s="4" t="s">
        <v>400</v>
      </c>
      <c r="D191" s="4" t="s">
        <v>401</v>
      </c>
      <c r="E191" t="s">
        <v>17</v>
      </c>
      <c r="F191" s="4" t="s">
        <v>374</v>
      </c>
      <c r="G191" s="4" t="s">
        <v>384</v>
      </c>
      <c r="H191" s="4" t="s">
        <v>387</v>
      </c>
      <c r="I191" s="4" t="s">
        <v>401</v>
      </c>
      <c r="J191" s="4" t="s">
        <v>373</v>
      </c>
      <c r="K191" s="4" t="s">
        <v>385</v>
      </c>
      <c r="L191" s="4" t="s">
        <v>900</v>
      </c>
      <c r="M191" s="4" t="s">
        <v>402</v>
      </c>
      <c r="N191" s="4" t="s">
        <v>218</v>
      </c>
      <c r="O191" s="4" t="s">
        <v>219</v>
      </c>
      <c r="P191" t="str">
        <f>_xlfn.TEXTBEFORE(_xlfn.TEXTAFTER(Table26[[#This Row],[WBS CODE]], "-"), "-")</f>
        <v>30101060295</v>
      </c>
    </row>
    <row r="192" spans="1:16" x14ac:dyDescent="0.3">
      <c r="A192">
        <v>191</v>
      </c>
      <c r="B192" s="4" t="s">
        <v>30</v>
      </c>
      <c r="C192" s="4" t="s">
        <v>403</v>
      </c>
      <c r="D192" s="4" t="s">
        <v>404</v>
      </c>
      <c r="E192" t="s">
        <v>17</v>
      </c>
      <c r="F192" s="4" t="s">
        <v>374</v>
      </c>
      <c r="G192" s="4" t="s">
        <v>384</v>
      </c>
      <c r="H192" s="4" t="s">
        <v>387</v>
      </c>
      <c r="I192" s="4" t="s">
        <v>404</v>
      </c>
      <c r="J192" s="4" t="s">
        <v>373</v>
      </c>
      <c r="K192" s="4" t="s">
        <v>385</v>
      </c>
      <c r="L192" s="4" t="s">
        <v>900</v>
      </c>
      <c r="M192" s="4" t="s">
        <v>405</v>
      </c>
      <c r="N192" s="4" t="s">
        <v>218</v>
      </c>
      <c r="O192" s="4" t="s">
        <v>219</v>
      </c>
      <c r="P192" t="str">
        <f>_xlfn.TEXTBEFORE(_xlfn.TEXTAFTER(Table26[[#This Row],[WBS CODE]], "-"), "-")</f>
        <v>30101060294</v>
      </c>
    </row>
    <row r="193" spans="1:16" x14ac:dyDescent="0.3">
      <c r="A193">
        <v>192</v>
      </c>
      <c r="B193" s="4" t="s">
        <v>30</v>
      </c>
      <c r="C193" s="4" t="s">
        <v>406</v>
      </c>
      <c r="D193" s="4" t="s">
        <v>407</v>
      </c>
      <c r="E193" t="s">
        <v>17</v>
      </c>
      <c r="F193" s="4" t="s">
        <v>374</v>
      </c>
      <c r="G193" s="4" t="s">
        <v>384</v>
      </c>
      <c r="H193" s="4" t="s">
        <v>387</v>
      </c>
      <c r="I193" s="4" t="s">
        <v>407</v>
      </c>
      <c r="J193" s="4" t="s">
        <v>373</v>
      </c>
      <c r="K193" s="4" t="s">
        <v>385</v>
      </c>
      <c r="L193" s="4" t="s">
        <v>900</v>
      </c>
      <c r="M193" s="4" t="s">
        <v>408</v>
      </c>
      <c r="N193" s="4" t="s">
        <v>218</v>
      </c>
      <c r="O193" s="4" t="s">
        <v>219</v>
      </c>
      <c r="P193" t="str">
        <f>_xlfn.TEXTBEFORE(_xlfn.TEXTAFTER(Table26[[#This Row],[WBS CODE]], "-"), "-")</f>
        <v>30101060220</v>
      </c>
    </row>
    <row r="194" spans="1:16" x14ac:dyDescent="0.3">
      <c r="A194">
        <v>193</v>
      </c>
      <c r="B194" s="4" t="s">
        <v>30</v>
      </c>
      <c r="C194" s="4" t="s">
        <v>409</v>
      </c>
      <c r="D194" s="4" t="s">
        <v>410</v>
      </c>
      <c r="E194" t="s">
        <v>17</v>
      </c>
      <c r="F194" s="4" t="s">
        <v>374</v>
      </c>
      <c r="G194" s="4" t="s">
        <v>384</v>
      </c>
      <c r="H194" s="4" t="s">
        <v>387</v>
      </c>
      <c r="I194" s="4" t="s">
        <v>410</v>
      </c>
      <c r="J194" s="4" t="s">
        <v>373</v>
      </c>
      <c r="K194" s="4" t="s">
        <v>385</v>
      </c>
      <c r="L194" s="4" t="s">
        <v>900</v>
      </c>
      <c r="M194" s="4" t="s">
        <v>411</v>
      </c>
      <c r="N194" s="4" t="s">
        <v>218</v>
      </c>
      <c r="O194" s="4" t="s">
        <v>219</v>
      </c>
      <c r="P194" t="str">
        <f>_xlfn.TEXTBEFORE(_xlfn.TEXTAFTER(Table26[[#This Row],[WBS CODE]], "-"), "-")</f>
        <v>30101060217</v>
      </c>
    </row>
    <row r="195" spans="1:16" x14ac:dyDescent="0.3">
      <c r="A195">
        <v>194</v>
      </c>
      <c r="B195" s="4" t="s">
        <v>30</v>
      </c>
      <c r="C195" s="4" t="s">
        <v>412</v>
      </c>
      <c r="D195" s="4" t="s">
        <v>413</v>
      </c>
      <c r="E195" t="s">
        <v>17</v>
      </c>
      <c r="F195" s="4" t="s">
        <v>374</v>
      </c>
      <c r="G195" s="4" t="s">
        <v>384</v>
      </c>
      <c r="H195" s="4" t="s">
        <v>387</v>
      </c>
      <c r="I195" s="4" t="s">
        <v>413</v>
      </c>
      <c r="J195" s="4" t="s">
        <v>373</v>
      </c>
      <c r="K195" s="4" t="s">
        <v>385</v>
      </c>
      <c r="L195" s="4" t="s">
        <v>900</v>
      </c>
      <c r="M195" s="4" t="s">
        <v>414</v>
      </c>
      <c r="N195" s="4" t="s">
        <v>218</v>
      </c>
      <c r="O195" s="4" t="s">
        <v>219</v>
      </c>
      <c r="P195" t="str">
        <f>_xlfn.TEXTBEFORE(_xlfn.TEXTAFTER(Table26[[#This Row],[WBS CODE]], "-"), "-")</f>
        <v>30101060216</v>
      </c>
    </row>
    <row r="196" spans="1:16" x14ac:dyDescent="0.3">
      <c r="A196">
        <v>195</v>
      </c>
      <c r="B196" s="4" t="s">
        <v>30</v>
      </c>
      <c r="C196" s="4" t="s">
        <v>415</v>
      </c>
      <c r="D196" s="4" t="s">
        <v>416</v>
      </c>
      <c r="E196" t="s">
        <v>17</v>
      </c>
      <c r="F196" s="4" t="s">
        <v>374</v>
      </c>
      <c r="G196" s="4" t="s">
        <v>384</v>
      </c>
      <c r="H196" s="4" t="s">
        <v>387</v>
      </c>
      <c r="I196" s="4" t="s">
        <v>416</v>
      </c>
      <c r="J196" s="4" t="s">
        <v>373</v>
      </c>
      <c r="K196" s="4" t="s">
        <v>385</v>
      </c>
      <c r="L196" s="4" t="s">
        <v>900</v>
      </c>
      <c r="M196" s="4" t="s">
        <v>417</v>
      </c>
      <c r="N196" s="4" t="s">
        <v>218</v>
      </c>
      <c r="O196" s="4" t="s">
        <v>219</v>
      </c>
      <c r="P196" t="str">
        <f>_xlfn.TEXTBEFORE(_xlfn.TEXTAFTER(Table26[[#This Row],[WBS CODE]], "-"), "-")</f>
        <v>30101060215</v>
      </c>
    </row>
    <row r="197" spans="1:16" x14ac:dyDescent="0.3">
      <c r="A197">
        <v>196</v>
      </c>
      <c r="B197" s="4" t="s">
        <v>30</v>
      </c>
      <c r="C197" s="4" t="s">
        <v>418</v>
      </c>
      <c r="D197" s="4" t="s">
        <v>419</v>
      </c>
      <c r="E197" t="s">
        <v>17</v>
      </c>
      <c r="F197" s="4" t="s">
        <v>374</v>
      </c>
      <c r="G197" s="4" t="s">
        <v>384</v>
      </c>
      <c r="H197" s="4" t="s">
        <v>387</v>
      </c>
      <c r="I197" s="4" t="s">
        <v>419</v>
      </c>
      <c r="J197" s="4" t="s">
        <v>373</v>
      </c>
      <c r="K197" s="4" t="s">
        <v>385</v>
      </c>
      <c r="L197" s="4" t="s">
        <v>900</v>
      </c>
      <c r="M197" s="4" t="s">
        <v>420</v>
      </c>
      <c r="N197" s="4" t="s">
        <v>218</v>
      </c>
      <c r="O197" s="4" t="s">
        <v>219</v>
      </c>
      <c r="P197" t="str">
        <f>_xlfn.TEXTBEFORE(_xlfn.TEXTAFTER(Table26[[#This Row],[WBS CODE]], "-"), "-")</f>
        <v>30101060214</v>
      </c>
    </row>
    <row r="198" spans="1:16" x14ac:dyDescent="0.3">
      <c r="A198">
        <v>197</v>
      </c>
      <c r="B198" s="4" t="s">
        <v>30</v>
      </c>
      <c r="C198" s="4" t="s">
        <v>421</v>
      </c>
      <c r="D198" s="4" t="s">
        <v>422</v>
      </c>
      <c r="E198" t="s">
        <v>17</v>
      </c>
      <c r="F198" s="4" t="s">
        <v>374</v>
      </c>
      <c r="G198" s="4" t="s">
        <v>384</v>
      </c>
      <c r="H198" s="4" t="s">
        <v>387</v>
      </c>
      <c r="I198" s="4" t="s">
        <v>422</v>
      </c>
      <c r="J198" s="4" t="s">
        <v>373</v>
      </c>
      <c r="K198" s="4" t="s">
        <v>385</v>
      </c>
      <c r="L198" s="4" t="s">
        <v>900</v>
      </c>
      <c r="M198" s="4" t="s">
        <v>423</v>
      </c>
      <c r="N198" s="4" t="s">
        <v>218</v>
      </c>
      <c r="O198" s="4" t="s">
        <v>219</v>
      </c>
      <c r="P198" t="str">
        <f>_xlfn.TEXTBEFORE(_xlfn.TEXTAFTER(Table26[[#This Row],[WBS CODE]], "-"), "-")</f>
        <v>30101060213</v>
      </c>
    </row>
    <row r="199" spans="1:16" x14ac:dyDescent="0.3">
      <c r="A199">
        <v>198</v>
      </c>
      <c r="B199" s="4" t="s">
        <v>30</v>
      </c>
      <c r="C199" s="4" t="s">
        <v>424</v>
      </c>
      <c r="D199" s="4" t="s">
        <v>425</v>
      </c>
      <c r="E199" t="s">
        <v>17</v>
      </c>
      <c r="F199" s="4" t="s">
        <v>374</v>
      </c>
      <c r="G199" s="4" t="s">
        <v>384</v>
      </c>
      <c r="H199" s="4" t="s">
        <v>387</v>
      </c>
      <c r="I199" s="4" t="s">
        <v>425</v>
      </c>
      <c r="J199" s="4" t="s">
        <v>373</v>
      </c>
      <c r="K199" s="4" t="s">
        <v>385</v>
      </c>
      <c r="L199" s="4" t="s">
        <v>900</v>
      </c>
      <c r="M199" s="4" t="s">
        <v>426</v>
      </c>
      <c r="N199" s="4" t="s">
        <v>218</v>
      </c>
      <c r="O199" s="4" t="s">
        <v>219</v>
      </c>
      <c r="P199" t="str">
        <f>_xlfn.TEXTBEFORE(_xlfn.TEXTAFTER(Table26[[#This Row],[WBS CODE]], "-"), "-")</f>
        <v>30101060247</v>
      </c>
    </row>
    <row r="200" spans="1:16" x14ac:dyDescent="0.3">
      <c r="A200">
        <v>199</v>
      </c>
      <c r="B200" s="4" t="s">
        <v>30</v>
      </c>
      <c r="C200" s="4" t="s">
        <v>427</v>
      </c>
      <c r="D200" s="4" t="s">
        <v>428</v>
      </c>
      <c r="E200" t="s">
        <v>17</v>
      </c>
      <c r="F200" s="4" t="s">
        <v>374</v>
      </c>
      <c r="G200" s="4" t="s">
        <v>384</v>
      </c>
      <c r="H200" s="4" t="s">
        <v>387</v>
      </c>
      <c r="I200" s="4" t="s">
        <v>428</v>
      </c>
      <c r="J200" s="4" t="s">
        <v>373</v>
      </c>
      <c r="K200" s="4" t="s">
        <v>385</v>
      </c>
      <c r="L200" s="4" t="s">
        <v>900</v>
      </c>
      <c r="M200" s="4" t="s">
        <v>429</v>
      </c>
      <c r="N200" s="4" t="s">
        <v>218</v>
      </c>
      <c r="O200" s="4" t="s">
        <v>219</v>
      </c>
      <c r="P200" t="str">
        <f>_xlfn.TEXTBEFORE(_xlfn.TEXTAFTER(Table26[[#This Row],[WBS CODE]], "-"), "-")</f>
        <v>30101060212</v>
      </c>
    </row>
    <row r="201" spans="1:16" x14ac:dyDescent="0.3">
      <c r="A201">
        <v>200</v>
      </c>
      <c r="B201" s="4" t="s">
        <v>30</v>
      </c>
      <c r="C201" s="4" t="s">
        <v>430</v>
      </c>
      <c r="D201" s="4" t="s">
        <v>431</v>
      </c>
      <c r="E201" t="s">
        <v>17</v>
      </c>
      <c r="F201" s="4" t="s">
        <v>374</v>
      </c>
      <c r="G201" s="4" t="s">
        <v>384</v>
      </c>
      <c r="H201" s="4" t="s">
        <v>387</v>
      </c>
      <c r="I201" s="4" t="s">
        <v>431</v>
      </c>
      <c r="J201" s="4" t="s">
        <v>373</v>
      </c>
      <c r="K201" s="4" t="s">
        <v>385</v>
      </c>
      <c r="L201" s="4" t="s">
        <v>900</v>
      </c>
      <c r="M201" s="4" t="s">
        <v>432</v>
      </c>
      <c r="N201" s="4" t="s">
        <v>218</v>
      </c>
      <c r="O201" s="4" t="s">
        <v>219</v>
      </c>
      <c r="P201" t="str">
        <f>_xlfn.TEXTBEFORE(_xlfn.TEXTAFTER(Table26[[#This Row],[WBS CODE]], "-"), "-")</f>
        <v>30101060211</v>
      </c>
    </row>
    <row r="202" spans="1:16" x14ac:dyDescent="0.3">
      <c r="A202">
        <v>201</v>
      </c>
      <c r="B202" s="4" t="s">
        <v>30</v>
      </c>
      <c r="C202" s="4" t="s">
        <v>433</v>
      </c>
      <c r="D202" s="4" t="s">
        <v>434</v>
      </c>
      <c r="E202" t="s">
        <v>17</v>
      </c>
      <c r="F202" s="4" t="s">
        <v>374</v>
      </c>
      <c r="G202" s="4" t="s">
        <v>384</v>
      </c>
      <c r="H202" s="4" t="s">
        <v>387</v>
      </c>
      <c r="I202" s="4" t="s">
        <v>434</v>
      </c>
      <c r="J202" s="4" t="s">
        <v>373</v>
      </c>
      <c r="K202" s="4" t="s">
        <v>385</v>
      </c>
      <c r="L202" s="4" t="s">
        <v>900</v>
      </c>
      <c r="M202" s="4" t="s">
        <v>435</v>
      </c>
      <c r="N202" s="4" t="s">
        <v>218</v>
      </c>
      <c r="O202" s="4" t="s">
        <v>219</v>
      </c>
      <c r="P202" t="str">
        <f>_xlfn.TEXTBEFORE(_xlfn.TEXTAFTER(Table26[[#This Row],[WBS CODE]], "-"), "-")</f>
        <v>30101060210</v>
      </c>
    </row>
    <row r="203" spans="1:16" x14ac:dyDescent="0.3">
      <c r="A203">
        <v>202</v>
      </c>
      <c r="B203" s="4" t="s">
        <v>30</v>
      </c>
      <c r="C203" s="4" t="s">
        <v>436</v>
      </c>
      <c r="D203" s="4" t="s">
        <v>437</v>
      </c>
      <c r="E203" t="s">
        <v>17</v>
      </c>
      <c r="F203" s="4" t="s">
        <v>374</v>
      </c>
      <c r="G203" s="4" t="s">
        <v>384</v>
      </c>
      <c r="H203" s="4" t="s">
        <v>387</v>
      </c>
      <c r="I203" s="4" t="s">
        <v>437</v>
      </c>
      <c r="J203" s="4" t="s">
        <v>373</v>
      </c>
      <c r="K203" s="4" t="s">
        <v>385</v>
      </c>
      <c r="L203" s="4" t="s">
        <v>900</v>
      </c>
      <c r="M203" s="4" t="s">
        <v>438</v>
      </c>
      <c r="N203" s="4" t="s">
        <v>218</v>
      </c>
      <c r="O203" s="4" t="s">
        <v>219</v>
      </c>
      <c r="P203" t="str">
        <f>_xlfn.TEXTBEFORE(_xlfn.TEXTAFTER(Table26[[#This Row],[WBS CODE]], "-"), "-")</f>
        <v>30101060209</v>
      </c>
    </row>
    <row r="204" spans="1:16" x14ac:dyDescent="0.3">
      <c r="A204">
        <v>203</v>
      </c>
      <c r="B204" s="4" t="s">
        <v>30</v>
      </c>
      <c r="C204" s="4" t="s">
        <v>439</v>
      </c>
      <c r="D204" s="4" t="s">
        <v>440</v>
      </c>
      <c r="E204" t="s">
        <v>17</v>
      </c>
      <c r="F204" s="4" t="s">
        <v>374</v>
      </c>
      <c r="G204" s="4" t="s">
        <v>384</v>
      </c>
      <c r="H204" s="4" t="s">
        <v>387</v>
      </c>
      <c r="I204" s="4" t="s">
        <v>440</v>
      </c>
      <c r="J204" s="4" t="s">
        <v>373</v>
      </c>
      <c r="K204" s="4" t="s">
        <v>385</v>
      </c>
      <c r="L204" s="4" t="s">
        <v>900</v>
      </c>
      <c r="M204" s="4" t="s">
        <v>441</v>
      </c>
      <c r="N204" s="4" t="s">
        <v>218</v>
      </c>
      <c r="O204" s="4" t="s">
        <v>219</v>
      </c>
      <c r="P204" t="str">
        <f>_xlfn.TEXTBEFORE(_xlfn.TEXTAFTER(Table26[[#This Row],[WBS CODE]], "-"), "-")</f>
        <v>30101060208</v>
      </c>
    </row>
    <row r="205" spans="1:16" x14ac:dyDescent="0.3">
      <c r="A205">
        <v>204</v>
      </c>
      <c r="B205" s="4" t="s">
        <v>30</v>
      </c>
      <c r="C205" s="4" t="s">
        <v>442</v>
      </c>
      <c r="D205" s="4" t="s">
        <v>443</v>
      </c>
      <c r="E205" t="s">
        <v>17</v>
      </c>
      <c r="F205" s="4" t="s">
        <v>374</v>
      </c>
      <c r="G205" s="4" t="s">
        <v>384</v>
      </c>
      <c r="H205" s="4" t="s">
        <v>387</v>
      </c>
      <c r="I205" s="4" t="s">
        <v>443</v>
      </c>
      <c r="J205" s="4" t="s">
        <v>373</v>
      </c>
      <c r="K205" s="4" t="s">
        <v>385</v>
      </c>
      <c r="L205" s="4" t="s">
        <v>900</v>
      </c>
      <c r="M205" s="4" t="s">
        <v>444</v>
      </c>
      <c r="N205" s="4" t="s">
        <v>218</v>
      </c>
      <c r="O205" s="4" t="s">
        <v>219</v>
      </c>
      <c r="P205" t="str">
        <f>_xlfn.TEXTBEFORE(_xlfn.TEXTAFTER(Table26[[#This Row],[WBS CODE]], "-"), "-")</f>
        <v>30101060207</v>
      </c>
    </row>
    <row r="206" spans="1:16" x14ac:dyDescent="0.3">
      <c r="A206">
        <v>205</v>
      </c>
      <c r="B206" s="4" t="s">
        <v>30</v>
      </c>
      <c r="C206" s="4" t="s">
        <v>445</v>
      </c>
      <c r="D206" s="4" t="s">
        <v>446</v>
      </c>
      <c r="E206" t="s">
        <v>17</v>
      </c>
      <c r="F206" s="4" t="s">
        <v>374</v>
      </c>
      <c r="G206" s="4" t="s">
        <v>384</v>
      </c>
      <c r="H206" s="4" t="s">
        <v>387</v>
      </c>
      <c r="I206" s="4" t="s">
        <v>446</v>
      </c>
      <c r="J206" s="4" t="s">
        <v>373</v>
      </c>
      <c r="K206" s="4" t="s">
        <v>385</v>
      </c>
      <c r="L206" s="4" t="s">
        <v>900</v>
      </c>
      <c r="M206" s="4" t="s">
        <v>447</v>
      </c>
      <c r="N206" s="4" t="s">
        <v>218</v>
      </c>
      <c r="O206" s="4" t="s">
        <v>219</v>
      </c>
      <c r="P206" t="str">
        <f>_xlfn.TEXTBEFORE(_xlfn.TEXTAFTER(Table26[[#This Row],[WBS CODE]], "-"), "-")</f>
        <v>30101060205</v>
      </c>
    </row>
    <row r="207" spans="1:16" x14ac:dyDescent="0.3">
      <c r="A207">
        <v>206</v>
      </c>
      <c r="B207" s="4" t="s">
        <v>30</v>
      </c>
      <c r="C207" s="4" t="s">
        <v>448</v>
      </c>
      <c r="D207" s="4" t="s">
        <v>449</v>
      </c>
      <c r="E207" t="s">
        <v>17</v>
      </c>
      <c r="F207" s="4" t="s">
        <v>374</v>
      </c>
      <c r="G207" s="4" t="s">
        <v>384</v>
      </c>
      <c r="H207" s="4" t="s">
        <v>387</v>
      </c>
      <c r="I207" s="4" t="s">
        <v>449</v>
      </c>
      <c r="J207" s="4" t="s">
        <v>373</v>
      </c>
      <c r="K207" s="4" t="s">
        <v>385</v>
      </c>
      <c r="L207" s="4" t="s">
        <v>900</v>
      </c>
      <c r="M207" s="4" t="s">
        <v>450</v>
      </c>
      <c r="N207" s="4" t="s">
        <v>218</v>
      </c>
      <c r="O207" s="4" t="s">
        <v>219</v>
      </c>
      <c r="P207" t="str">
        <f>_xlfn.TEXTBEFORE(_xlfn.TEXTAFTER(Table26[[#This Row],[WBS CODE]], "-"), "-")</f>
        <v>30101060204</v>
      </c>
    </row>
    <row r="208" spans="1:16" x14ac:dyDescent="0.3">
      <c r="A208">
        <v>207</v>
      </c>
      <c r="B208" s="4" t="s">
        <v>26</v>
      </c>
      <c r="C208" s="4" t="s">
        <v>451</v>
      </c>
      <c r="D208" s="4" t="s">
        <v>452</v>
      </c>
      <c r="E208" t="s">
        <v>17</v>
      </c>
      <c r="F208" s="4" t="s">
        <v>374</v>
      </c>
      <c r="G208" s="4" t="s">
        <v>384</v>
      </c>
      <c r="H208" s="4" t="s">
        <v>452</v>
      </c>
      <c r="I208" s="4"/>
      <c r="J208" s="4" t="s">
        <v>373</v>
      </c>
      <c r="K208" s="4" t="s">
        <v>385</v>
      </c>
      <c r="L208" s="4" t="s">
        <v>39</v>
      </c>
      <c r="M208" s="4"/>
      <c r="N208" s="4" t="s">
        <v>218</v>
      </c>
      <c r="O208" s="4" t="s">
        <v>219</v>
      </c>
      <c r="P208" t="str">
        <f>_xlfn.TEXTBEFORE(_xlfn.TEXTAFTER(Table26[[#This Row],[WBS CODE]], "-"), "-")</f>
        <v>301010601</v>
      </c>
    </row>
    <row r="209" spans="1:16" x14ac:dyDescent="0.3">
      <c r="A209">
        <v>208</v>
      </c>
      <c r="B209" s="4" t="s">
        <v>30</v>
      </c>
      <c r="C209" s="4" t="s">
        <v>453</v>
      </c>
      <c r="D209" s="4" t="s">
        <v>454</v>
      </c>
      <c r="E209" t="s">
        <v>17</v>
      </c>
      <c r="F209" s="4" t="s">
        <v>374</v>
      </c>
      <c r="G209" s="4" t="s">
        <v>384</v>
      </c>
      <c r="H209" s="4" t="s">
        <v>452</v>
      </c>
      <c r="I209" s="4" t="s">
        <v>454</v>
      </c>
      <c r="J209" s="4" t="s">
        <v>373</v>
      </c>
      <c r="K209" s="4" t="s">
        <v>385</v>
      </c>
      <c r="L209" s="4" t="s">
        <v>39</v>
      </c>
      <c r="M209" s="4" t="s">
        <v>455</v>
      </c>
      <c r="N209" s="4" t="s">
        <v>218</v>
      </c>
      <c r="O209" s="4" t="s">
        <v>219</v>
      </c>
      <c r="P209" t="str">
        <f>_xlfn.TEXTBEFORE(_xlfn.TEXTAFTER(Table26[[#This Row],[WBS CODE]], "-"), "-")</f>
        <v>30101060160</v>
      </c>
    </row>
    <row r="210" spans="1:16" x14ac:dyDescent="0.3">
      <c r="A210">
        <v>209</v>
      </c>
      <c r="B210" s="4" t="s">
        <v>26</v>
      </c>
      <c r="C210" s="4" t="s">
        <v>456</v>
      </c>
      <c r="D210" s="4" t="s">
        <v>457</v>
      </c>
      <c r="E210" t="s">
        <v>17</v>
      </c>
      <c r="F210" s="4" t="s">
        <v>374</v>
      </c>
      <c r="G210" s="4" t="s">
        <v>384</v>
      </c>
      <c r="H210" s="4" t="s">
        <v>457</v>
      </c>
      <c r="I210" s="4"/>
      <c r="J210" s="4" t="s">
        <v>373</v>
      </c>
      <c r="K210" s="4" t="s">
        <v>385</v>
      </c>
      <c r="L210" s="4" t="s">
        <v>42</v>
      </c>
      <c r="M210" s="4"/>
      <c r="N210" s="4" t="s">
        <v>218</v>
      </c>
      <c r="O210" s="4" t="s">
        <v>219</v>
      </c>
      <c r="P210" t="str">
        <f>_xlfn.TEXTBEFORE(_xlfn.TEXTAFTER(Table26[[#This Row],[WBS CODE]], "-"), "-")</f>
        <v>301010661</v>
      </c>
    </row>
    <row r="211" spans="1:16" x14ac:dyDescent="0.3">
      <c r="A211">
        <v>210</v>
      </c>
      <c r="B211" s="4" t="s">
        <v>30</v>
      </c>
      <c r="C211" s="4" t="s">
        <v>458</v>
      </c>
      <c r="D211" s="4" t="s">
        <v>459</v>
      </c>
      <c r="E211" t="s">
        <v>17</v>
      </c>
      <c r="F211" s="4" t="s">
        <v>374</v>
      </c>
      <c r="G211" s="4" t="s">
        <v>384</v>
      </c>
      <c r="H211" s="4" t="s">
        <v>457</v>
      </c>
      <c r="I211" s="4" t="s">
        <v>459</v>
      </c>
      <c r="J211" s="4" t="s">
        <v>373</v>
      </c>
      <c r="K211" s="4" t="s">
        <v>385</v>
      </c>
      <c r="L211" s="4" t="s">
        <v>42</v>
      </c>
      <c r="M211" s="4" t="s">
        <v>460</v>
      </c>
      <c r="N211" s="4" t="s">
        <v>218</v>
      </c>
      <c r="O211" s="4" t="s">
        <v>219</v>
      </c>
      <c r="P211" t="str">
        <f>_xlfn.TEXTBEFORE(_xlfn.TEXTAFTER(Table26[[#This Row],[WBS CODE]], "-"), "-")</f>
        <v>30101066162</v>
      </c>
    </row>
    <row r="212" spans="1:16" x14ac:dyDescent="0.3">
      <c r="A212">
        <v>211</v>
      </c>
      <c r="B212" s="4" t="s">
        <v>30</v>
      </c>
      <c r="C212" s="4" t="s">
        <v>461</v>
      </c>
      <c r="D212" s="4" t="s">
        <v>462</v>
      </c>
      <c r="E212" t="s">
        <v>17</v>
      </c>
      <c r="F212" s="4" t="s">
        <v>374</v>
      </c>
      <c r="G212" s="4" t="s">
        <v>384</v>
      </c>
      <c r="H212" s="4" t="s">
        <v>457</v>
      </c>
      <c r="I212" s="4" t="s">
        <v>462</v>
      </c>
      <c r="J212" s="4" t="s">
        <v>373</v>
      </c>
      <c r="K212" s="4" t="s">
        <v>385</v>
      </c>
      <c r="L212" s="4" t="s">
        <v>42</v>
      </c>
      <c r="M212" s="4" t="s">
        <v>463</v>
      </c>
      <c r="N212" s="4" t="s">
        <v>218</v>
      </c>
      <c r="O212" s="4" t="s">
        <v>219</v>
      </c>
      <c r="P212" t="str">
        <f>_xlfn.TEXTBEFORE(_xlfn.TEXTAFTER(Table26[[#This Row],[WBS CODE]], "-"), "-")</f>
        <v>30101066193</v>
      </c>
    </row>
    <row r="213" spans="1:16" x14ac:dyDescent="0.3">
      <c r="A213">
        <v>212</v>
      </c>
      <c r="B213" s="4" t="s">
        <v>30</v>
      </c>
      <c r="C213" s="4" t="s">
        <v>464</v>
      </c>
      <c r="D213" s="4" t="s">
        <v>465</v>
      </c>
      <c r="E213" t="s">
        <v>17</v>
      </c>
      <c r="F213" s="4" t="s">
        <v>374</v>
      </c>
      <c r="G213" s="4" t="s">
        <v>384</v>
      </c>
      <c r="H213" s="4" t="s">
        <v>457</v>
      </c>
      <c r="I213" s="4" t="s">
        <v>465</v>
      </c>
      <c r="J213" s="4" t="s">
        <v>373</v>
      </c>
      <c r="K213" s="4" t="s">
        <v>385</v>
      </c>
      <c r="L213" s="4" t="s">
        <v>42</v>
      </c>
      <c r="M213" s="4" t="s">
        <v>466</v>
      </c>
      <c r="N213" s="4" t="s">
        <v>218</v>
      </c>
      <c r="O213" s="4" t="s">
        <v>219</v>
      </c>
      <c r="P213" t="str">
        <f>_xlfn.TEXTBEFORE(_xlfn.TEXTAFTER(Table26[[#This Row],[WBS CODE]], "-"), "-")</f>
        <v>30101066118</v>
      </c>
    </row>
    <row r="214" spans="1:16" x14ac:dyDescent="0.3">
      <c r="A214">
        <v>213</v>
      </c>
      <c r="B214" s="4" t="s">
        <v>30</v>
      </c>
      <c r="C214" s="4" t="s">
        <v>467</v>
      </c>
      <c r="D214" s="4" t="s">
        <v>468</v>
      </c>
      <c r="E214" t="s">
        <v>17</v>
      </c>
      <c r="F214" s="4" t="s">
        <v>374</v>
      </c>
      <c r="G214" s="4" t="s">
        <v>384</v>
      </c>
      <c r="H214" s="4" t="s">
        <v>457</v>
      </c>
      <c r="I214" s="4" t="s">
        <v>468</v>
      </c>
      <c r="J214" s="4" t="s">
        <v>373</v>
      </c>
      <c r="K214" s="4" t="s">
        <v>385</v>
      </c>
      <c r="L214" s="4" t="s">
        <v>42</v>
      </c>
      <c r="M214" s="4" t="s">
        <v>438</v>
      </c>
      <c r="N214" s="4" t="s">
        <v>218</v>
      </c>
      <c r="O214" s="4" t="s">
        <v>219</v>
      </c>
      <c r="P214" t="str">
        <f>_xlfn.TEXTBEFORE(_xlfn.TEXTAFTER(Table26[[#This Row],[WBS CODE]], "-"), "-")</f>
        <v>30101066102</v>
      </c>
    </row>
    <row r="215" spans="1:16" x14ac:dyDescent="0.3">
      <c r="A215">
        <v>214</v>
      </c>
      <c r="B215" s="4" t="s">
        <v>30</v>
      </c>
      <c r="C215" s="4" t="s">
        <v>469</v>
      </c>
      <c r="D215" s="4" t="s">
        <v>470</v>
      </c>
      <c r="E215" t="s">
        <v>17</v>
      </c>
      <c r="F215" s="4" t="s">
        <v>374</v>
      </c>
      <c r="G215" s="4" t="s">
        <v>384</v>
      </c>
      <c r="H215" s="4" t="s">
        <v>457</v>
      </c>
      <c r="I215" s="4" t="s">
        <v>470</v>
      </c>
      <c r="J215" s="4" t="s">
        <v>373</v>
      </c>
      <c r="K215" s="4" t="s">
        <v>385</v>
      </c>
      <c r="L215" s="4" t="s">
        <v>42</v>
      </c>
      <c r="M215" s="4" t="s">
        <v>471</v>
      </c>
      <c r="N215" s="4" t="s">
        <v>218</v>
      </c>
      <c r="O215" s="4" t="s">
        <v>219</v>
      </c>
      <c r="P215" t="str">
        <f>_xlfn.TEXTBEFORE(_xlfn.TEXTAFTER(Table26[[#This Row],[WBS CODE]], "-"), "-")</f>
        <v>30101066101</v>
      </c>
    </row>
    <row r="216" spans="1:16" x14ac:dyDescent="0.3">
      <c r="A216">
        <v>215</v>
      </c>
      <c r="B216" s="4" t="s">
        <v>21</v>
      </c>
      <c r="C216" s="4" t="s">
        <v>472</v>
      </c>
      <c r="D216" s="4" t="s">
        <v>473</v>
      </c>
      <c r="E216" t="s">
        <v>17</v>
      </c>
      <c r="F216" s="4" t="s">
        <v>374</v>
      </c>
      <c r="G216" s="4" t="s">
        <v>473</v>
      </c>
      <c r="H216" s="4"/>
      <c r="I216" s="4"/>
      <c r="J216" s="4" t="s">
        <v>373</v>
      </c>
      <c r="K216" s="4" t="s">
        <v>385</v>
      </c>
      <c r="L216" s="4"/>
      <c r="M216" s="4"/>
      <c r="N216" s="4" t="s">
        <v>228</v>
      </c>
      <c r="O216" s="4" t="s">
        <v>219</v>
      </c>
      <c r="P216" t="str">
        <f>_xlfn.TEXTBEFORE(_xlfn.TEXTAFTER(Table26[[#This Row],[WBS CODE]], "-"), "-")</f>
        <v>3010105</v>
      </c>
    </row>
    <row r="217" spans="1:16" x14ac:dyDescent="0.3">
      <c r="A217">
        <v>216</v>
      </c>
      <c r="B217" s="4" t="s">
        <v>26</v>
      </c>
      <c r="C217" s="4" t="s">
        <v>474</v>
      </c>
      <c r="D217" s="4" t="s">
        <v>475</v>
      </c>
      <c r="E217" t="s">
        <v>17</v>
      </c>
      <c r="F217" s="4" t="s">
        <v>374</v>
      </c>
      <c r="G217" s="4" t="s">
        <v>473</v>
      </c>
      <c r="H217" s="4" t="s">
        <v>475</v>
      </c>
      <c r="I217" s="4"/>
      <c r="J217" s="4" t="s">
        <v>373</v>
      </c>
      <c r="K217" s="4" t="s">
        <v>385</v>
      </c>
      <c r="L217" s="4" t="s">
        <v>900</v>
      </c>
      <c r="M217" s="4"/>
      <c r="N217" s="4" t="s">
        <v>228</v>
      </c>
      <c r="O217" s="4" t="s">
        <v>219</v>
      </c>
      <c r="P217" t="str">
        <f>_xlfn.TEXTBEFORE(_xlfn.TEXTAFTER(Table26[[#This Row],[WBS CODE]], "-"), "-")</f>
        <v>301010502</v>
      </c>
    </row>
    <row r="218" spans="1:16" x14ac:dyDescent="0.3">
      <c r="A218">
        <v>217</v>
      </c>
      <c r="B218" s="4" t="s">
        <v>30</v>
      </c>
      <c r="C218" s="4" t="s">
        <v>476</v>
      </c>
      <c r="D218" s="4" t="s">
        <v>477</v>
      </c>
      <c r="E218" t="s">
        <v>17</v>
      </c>
      <c r="F218" s="4" t="s">
        <v>374</v>
      </c>
      <c r="G218" s="4" t="s">
        <v>473</v>
      </c>
      <c r="H218" s="4" t="s">
        <v>475</v>
      </c>
      <c r="I218" s="4" t="s">
        <v>477</v>
      </c>
      <c r="J218" s="4" t="s">
        <v>373</v>
      </c>
      <c r="K218" s="4" t="s">
        <v>385</v>
      </c>
      <c r="L218" s="4" t="s">
        <v>900</v>
      </c>
      <c r="M218" s="4" t="s">
        <v>390</v>
      </c>
      <c r="N218" s="4" t="s">
        <v>228</v>
      </c>
      <c r="O218" s="4" t="s">
        <v>219</v>
      </c>
      <c r="P218" t="str">
        <f>_xlfn.TEXTBEFORE(_xlfn.TEXTAFTER(Table26[[#This Row],[WBS CODE]], "-"), "-")</f>
        <v>30101050224</v>
      </c>
    </row>
    <row r="219" spans="1:16" x14ac:dyDescent="0.3">
      <c r="A219">
        <v>218</v>
      </c>
      <c r="B219" s="4" t="s">
        <v>30</v>
      </c>
      <c r="C219" s="4" t="s">
        <v>478</v>
      </c>
      <c r="D219" s="4" t="s">
        <v>479</v>
      </c>
      <c r="E219" t="s">
        <v>17</v>
      </c>
      <c r="F219" s="4" t="s">
        <v>374</v>
      </c>
      <c r="G219" s="4" t="s">
        <v>473</v>
      </c>
      <c r="H219" s="4" t="s">
        <v>475</v>
      </c>
      <c r="I219" s="4" t="s">
        <v>479</v>
      </c>
      <c r="J219" s="4" t="s">
        <v>373</v>
      </c>
      <c r="K219" s="4" t="s">
        <v>385</v>
      </c>
      <c r="L219" s="4" t="s">
        <v>900</v>
      </c>
      <c r="M219" s="4" t="s">
        <v>393</v>
      </c>
      <c r="N219" s="4" t="s">
        <v>228</v>
      </c>
      <c r="O219" s="4" t="s">
        <v>219</v>
      </c>
      <c r="P219" t="str">
        <f>_xlfn.TEXTBEFORE(_xlfn.TEXTAFTER(Table26[[#This Row],[WBS CODE]], "-"), "-")</f>
        <v>30101050298</v>
      </c>
    </row>
    <row r="220" spans="1:16" x14ac:dyDescent="0.3">
      <c r="A220">
        <v>219</v>
      </c>
      <c r="B220" s="4" t="s">
        <v>30</v>
      </c>
      <c r="C220" s="4" t="s">
        <v>480</v>
      </c>
      <c r="D220" s="4" t="s">
        <v>481</v>
      </c>
      <c r="E220" t="s">
        <v>17</v>
      </c>
      <c r="F220" s="4" t="s">
        <v>374</v>
      </c>
      <c r="G220" s="4" t="s">
        <v>473</v>
      </c>
      <c r="H220" s="4" t="s">
        <v>475</v>
      </c>
      <c r="I220" s="4" t="s">
        <v>481</v>
      </c>
      <c r="J220" s="4" t="s">
        <v>373</v>
      </c>
      <c r="K220" s="4" t="s">
        <v>385</v>
      </c>
      <c r="L220" s="4" t="s">
        <v>900</v>
      </c>
      <c r="M220" s="4" t="s">
        <v>396</v>
      </c>
      <c r="N220" s="4" t="s">
        <v>228</v>
      </c>
      <c r="O220" s="4" t="s">
        <v>219</v>
      </c>
      <c r="P220" t="str">
        <f>_xlfn.TEXTBEFORE(_xlfn.TEXTAFTER(Table26[[#This Row],[WBS CODE]], "-"), "-")</f>
        <v>30101050297</v>
      </c>
    </row>
    <row r="221" spans="1:16" x14ac:dyDescent="0.3">
      <c r="A221">
        <v>220</v>
      </c>
      <c r="B221" s="4" t="s">
        <v>30</v>
      </c>
      <c r="C221" s="4" t="s">
        <v>482</v>
      </c>
      <c r="D221" s="4" t="s">
        <v>483</v>
      </c>
      <c r="E221" t="s">
        <v>17</v>
      </c>
      <c r="F221" s="4" t="s">
        <v>374</v>
      </c>
      <c r="G221" s="4" t="s">
        <v>473</v>
      </c>
      <c r="H221" s="4" t="s">
        <v>475</v>
      </c>
      <c r="I221" s="4" t="s">
        <v>483</v>
      </c>
      <c r="J221" s="4" t="s">
        <v>373</v>
      </c>
      <c r="K221" s="4" t="s">
        <v>385</v>
      </c>
      <c r="L221" s="4" t="s">
        <v>900</v>
      </c>
      <c r="M221" s="4" t="s">
        <v>399</v>
      </c>
      <c r="N221" s="4" t="s">
        <v>228</v>
      </c>
      <c r="O221" s="4" t="s">
        <v>219</v>
      </c>
      <c r="P221" t="str">
        <f>_xlfn.TEXTBEFORE(_xlfn.TEXTAFTER(Table26[[#This Row],[WBS CODE]], "-"), "-")</f>
        <v>30101050296</v>
      </c>
    </row>
    <row r="222" spans="1:16" x14ac:dyDescent="0.3">
      <c r="A222">
        <v>221</v>
      </c>
      <c r="B222" s="4" t="s">
        <v>30</v>
      </c>
      <c r="C222" s="4" t="s">
        <v>484</v>
      </c>
      <c r="D222" s="4" t="s">
        <v>485</v>
      </c>
      <c r="E222" t="s">
        <v>17</v>
      </c>
      <c r="F222" s="4" t="s">
        <v>374</v>
      </c>
      <c r="G222" s="4" t="s">
        <v>473</v>
      </c>
      <c r="H222" s="4" t="s">
        <v>475</v>
      </c>
      <c r="I222" s="4" t="s">
        <v>485</v>
      </c>
      <c r="J222" s="4" t="s">
        <v>373</v>
      </c>
      <c r="K222" s="4" t="s">
        <v>385</v>
      </c>
      <c r="L222" s="4" t="s">
        <v>900</v>
      </c>
      <c r="M222" s="4" t="s">
        <v>402</v>
      </c>
      <c r="N222" s="4" t="s">
        <v>228</v>
      </c>
      <c r="O222" s="4" t="s">
        <v>219</v>
      </c>
      <c r="P222" t="str">
        <f>_xlfn.TEXTBEFORE(_xlfn.TEXTAFTER(Table26[[#This Row],[WBS CODE]], "-"), "-")</f>
        <v>30101050295</v>
      </c>
    </row>
    <row r="223" spans="1:16" x14ac:dyDescent="0.3">
      <c r="A223">
        <v>222</v>
      </c>
      <c r="B223" s="4" t="s">
        <v>30</v>
      </c>
      <c r="C223" s="4" t="s">
        <v>486</v>
      </c>
      <c r="D223" s="4" t="s">
        <v>487</v>
      </c>
      <c r="E223" t="s">
        <v>17</v>
      </c>
      <c r="F223" s="4" t="s">
        <v>374</v>
      </c>
      <c r="G223" s="4" t="s">
        <v>473</v>
      </c>
      <c r="H223" s="4" t="s">
        <v>475</v>
      </c>
      <c r="I223" s="4" t="s">
        <v>487</v>
      </c>
      <c r="J223" s="4" t="s">
        <v>373</v>
      </c>
      <c r="K223" s="4" t="s">
        <v>385</v>
      </c>
      <c r="L223" s="4" t="s">
        <v>900</v>
      </c>
      <c r="M223" s="4" t="s">
        <v>405</v>
      </c>
      <c r="N223" s="4" t="s">
        <v>228</v>
      </c>
      <c r="O223" s="4" t="s">
        <v>219</v>
      </c>
      <c r="P223" t="str">
        <f>_xlfn.TEXTBEFORE(_xlfn.TEXTAFTER(Table26[[#This Row],[WBS CODE]], "-"), "-")</f>
        <v>30101050294</v>
      </c>
    </row>
    <row r="224" spans="1:16" x14ac:dyDescent="0.3">
      <c r="A224">
        <v>223</v>
      </c>
      <c r="B224" s="4" t="s">
        <v>30</v>
      </c>
      <c r="C224" s="4" t="s">
        <v>488</v>
      </c>
      <c r="D224" s="4" t="s">
        <v>489</v>
      </c>
      <c r="E224" t="s">
        <v>17</v>
      </c>
      <c r="F224" s="4" t="s">
        <v>374</v>
      </c>
      <c r="G224" s="4" t="s">
        <v>473</v>
      </c>
      <c r="H224" s="4" t="s">
        <v>475</v>
      </c>
      <c r="I224" s="4" t="s">
        <v>489</v>
      </c>
      <c r="J224" s="4" t="s">
        <v>373</v>
      </c>
      <c r="K224" s="4" t="s">
        <v>385</v>
      </c>
      <c r="L224" s="4" t="s">
        <v>900</v>
      </c>
      <c r="M224" s="4" t="s">
        <v>408</v>
      </c>
      <c r="N224" s="4" t="s">
        <v>228</v>
      </c>
      <c r="O224" s="4" t="s">
        <v>219</v>
      </c>
      <c r="P224" t="str">
        <f>_xlfn.TEXTBEFORE(_xlfn.TEXTAFTER(Table26[[#This Row],[WBS CODE]], "-"), "-")</f>
        <v>30101050220</v>
      </c>
    </row>
    <row r="225" spans="1:16" x14ac:dyDescent="0.3">
      <c r="A225">
        <v>224</v>
      </c>
      <c r="B225" s="4" t="s">
        <v>30</v>
      </c>
      <c r="C225" s="4" t="s">
        <v>490</v>
      </c>
      <c r="D225" s="4" t="s">
        <v>491</v>
      </c>
      <c r="E225" t="s">
        <v>17</v>
      </c>
      <c r="F225" s="4" t="s">
        <v>374</v>
      </c>
      <c r="G225" s="4" t="s">
        <v>473</v>
      </c>
      <c r="H225" s="4" t="s">
        <v>475</v>
      </c>
      <c r="I225" s="4" t="s">
        <v>491</v>
      </c>
      <c r="J225" s="4" t="s">
        <v>373</v>
      </c>
      <c r="K225" s="4" t="s">
        <v>385</v>
      </c>
      <c r="L225" s="4" t="s">
        <v>900</v>
      </c>
      <c r="M225" s="4" t="s">
        <v>411</v>
      </c>
      <c r="N225" s="4" t="s">
        <v>228</v>
      </c>
      <c r="O225" s="4" t="s">
        <v>219</v>
      </c>
      <c r="P225" t="str">
        <f>_xlfn.TEXTBEFORE(_xlfn.TEXTAFTER(Table26[[#This Row],[WBS CODE]], "-"), "-")</f>
        <v>30101050217</v>
      </c>
    </row>
    <row r="226" spans="1:16" x14ac:dyDescent="0.3">
      <c r="A226">
        <v>225</v>
      </c>
      <c r="B226" s="4" t="s">
        <v>30</v>
      </c>
      <c r="C226" s="4" t="s">
        <v>492</v>
      </c>
      <c r="D226" s="4" t="s">
        <v>493</v>
      </c>
      <c r="E226" t="s">
        <v>17</v>
      </c>
      <c r="F226" s="4" t="s">
        <v>374</v>
      </c>
      <c r="G226" s="4" t="s">
        <v>473</v>
      </c>
      <c r="H226" s="4" t="s">
        <v>475</v>
      </c>
      <c r="I226" s="4" t="s">
        <v>493</v>
      </c>
      <c r="J226" s="4" t="s">
        <v>373</v>
      </c>
      <c r="K226" s="4" t="s">
        <v>385</v>
      </c>
      <c r="L226" s="4" t="s">
        <v>900</v>
      </c>
      <c r="M226" s="4" t="s">
        <v>414</v>
      </c>
      <c r="N226" s="4" t="s">
        <v>228</v>
      </c>
      <c r="O226" s="4" t="s">
        <v>219</v>
      </c>
      <c r="P226" t="str">
        <f>_xlfn.TEXTBEFORE(_xlfn.TEXTAFTER(Table26[[#This Row],[WBS CODE]], "-"), "-")</f>
        <v>30101050216</v>
      </c>
    </row>
    <row r="227" spans="1:16" x14ac:dyDescent="0.3">
      <c r="A227">
        <v>226</v>
      </c>
      <c r="B227" s="4" t="s">
        <v>30</v>
      </c>
      <c r="C227" s="4" t="s">
        <v>494</v>
      </c>
      <c r="D227" s="4" t="s">
        <v>495</v>
      </c>
      <c r="E227" t="s">
        <v>17</v>
      </c>
      <c r="F227" s="4" t="s">
        <v>374</v>
      </c>
      <c r="G227" s="4" t="s">
        <v>473</v>
      </c>
      <c r="H227" s="4" t="s">
        <v>475</v>
      </c>
      <c r="I227" s="4" t="s">
        <v>495</v>
      </c>
      <c r="J227" s="4" t="s">
        <v>373</v>
      </c>
      <c r="K227" s="4" t="s">
        <v>385</v>
      </c>
      <c r="L227" s="4" t="s">
        <v>900</v>
      </c>
      <c r="M227" s="4" t="s">
        <v>417</v>
      </c>
      <c r="N227" s="4" t="s">
        <v>228</v>
      </c>
      <c r="O227" s="4" t="s">
        <v>219</v>
      </c>
      <c r="P227" t="str">
        <f>_xlfn.TEXTBEFORE(_xlfn.TEXTAFTER(Table26[[#This Row],[WBS CODE]], "-"), "-")</f>
        <v>30101050215</v>
      </c>
    </row>
    <row r="228" spans="1:16" x14ac:dyDescent="0.3">
      <c r="A228">
        <v>227</v>
      </c>
      <c r="B228" s="4" t="s">
        <v>30</v>
      </c>
      <c r="C228" s="4" t="s">
        <v>496</v>
      </c>
      <c r="D228" s="4" t="s">
        <v>497</v>
      </c>
      <c r="E228" t="s">
        <v>17</v>
      </c>
      <c r="F228" s="4" t="s">
        <v>374</v>
      </c>
      <c r="G228" s="4" t="s">
        <v>473</v>
      </c>
      <c r="H228" s="4" t="s">
        <v>475</v>
      </c>
      <c r="I228" s="4" t="s">
        <v>497</v>
      </c>
      <c r="J228" s="4" t="s">
        <v>373</v>
      </c>
      <c r="K228" s="4" t="s">
        <v>385</v>
      </c>
      <c r="L228" s="4" t="s">
        <v>900</v>
      </c>
      <c r="M228" s="4" t="s">
        <v>420</v>
      </c>
      <c r="N228" s="4" t="s">
        <v>228</v>
      </c>
      <c r="O228" s="4" t="s">
        <v>219</v>
      </c>
      <c r="P228" t="str">
        <f>_xlfn.TEXTBEFORE(_xlfn.TEXTAFTER(Table26[[#This Row],[WBS CODE]], "-"), "-")</f>
        <v>30101050214</v>
      </c>
    </row>
    <row r="229" spans="1:16" x14ac:dyDescent="0.3">
      <c r="A229">
        <v>228</v>
      </c>
      <c r="B229" s="4" t="s">
        <v>30</v>
      </c>
      <c r="C229" s="4" t="s">
        <v>498</v>
      </c>
      <c r="D229" s="4" t="s">
        <v>499</v>
      </c>
      <c r="E229" t="s">
        <v>17</v>
      </c>
      <c r="F229" s="4" t="s">
        <v>374</v>
      </c>
      <c r="G229" s="4" t="s">
        <v>473</v>
      </c>
      <c r="H229" s="4" t="s">
        <v>475</v>
      </c>
      <c r="I229" s="4" t="s">
        <v>499</v>
      </c>
      <c r="J229" s="4" t="s">
        <v>373</v>
      </c>
      <c r="K229" s="4" t="s">
        <v>385</v>
      </c>
      <c r="L229" s="4" t="s">
        <v>900</v>
      </c>
      <c r="M229" s="4" t="s">
        <v>423</v>
      </c>
      <c r="N229" s="4" t="s">
        <v>228</v>
      </c>
      <c r="O229" s="4" t="s">
        <v>219</v>
      </c>
      <c r="P229" t="str">
        <f>_xlfn.TEXTBEFORE(_xlfn.TEXTAFTER(Table26[[#This Row],[WBS CODE]], "-"), "-")</f>
        <v>30101050213</v>
      </c>
    </row>
    <row r="230" spans="1:16" x14ac:dyDescent="0.3">
      <c r="A230">
        <v>229</v>
      </c>
      <c r="B230" s="4" t="s">
        <v>30</v>
      </c>
      <c r="C230" s="4" t="s">
        <v>500</v>
      </c>
      <c r="D230" s="4" t="s">
        <v>501</v>
      </c>
      <c r="E230" t="s">
        <v>17</v>
      </c>
      <c r="F230" s="4" t="s">
        <v>374</v>
      </c>
      <c r="G230" s="4" t="s">
        <v>473</v>
      </c>
      <c r="H230" s="4" t="s">
        <v>475</v>
      </c>
      <c r="I230" s="4" t="s">
        <v>501</v>
      </c>
      <c r="J230" s="4" t="s">
        <v>373</v>
      </c>
      <c r="K230" s="4" t="s">
        <v>385</v>
      </c>
      <c r="L230" s="4" t="s">
        <v>900</v>
      </c>
      <c r="M230" s="4" t="s">
        <v>426</v>
      </c>
      <c r="N230" s="4" t="s">
        <v>228</v>
      </c>
      <c r="O230" s="4" t="s">
        <v>219</v>
      </c>
      <c r="P230" t="str">
        <f>_xlfn.TEXTBEFORE(_xlfn.TEXTAFTER(Table26[[#This Row],[WBS CODE]], "-"), "-")</f>
        <v>30101050247</v>
      </c>
    </row>
    <row r="231" spans="1:16" x14ac:dyDescent="0.3">
      <c r="A231">
        <v>230</v>
      </c>
      <c r="B231" s="4" t="s">
        <v>30</v>
      </c>
      <c r="C231" s="4" t="s">
        <v>502</v>
      </c>
      <c r="D231" s="4" t="s">
        <v>503</v>
      </c>
      <c r="E231" t="s">
        <v>17</v>
      </c>
      <c r="F231" s="4" t="s">
        <v>374</v>
      </c>
      <c r="G231" s="4" t="s">
        <v>473</v>
      </c>
      <c r="H231" s="4" t="s">
        <v>475</v>
      </c>
      <c r="I231" s="4" t="s">
        <v>503</v>
      </c>
      <c r="J231" s="4" t="s">
        <v>373</v>
      </c>
      <c r="K231" s="4" t="s">
        <v>385</v>
      </c>
      <c r="L231" s="4" t="s">
        <v>900</v>
      </c>
      <c r="M231" s="4" t="s">
        <v>429</v>
      </c>
      <c r="N231" s="4" t="s">
        <v>228</v>
      </c>
      <c r="O231" s="4" t="s">
        <v>219</v>
      </c>
      <c r="P231" t="str">
        <f>_xlfn.TEXTBEFORE(_xlfn.TEXTAFTER(Table26[[#This Row],[WBS CODE]], "-"), "-")</f>
        <v>30101050212</v>
      </c>
    </row>
    <row r="232" spans="1:16" x14ac:dyDescent="0.3">
      <c r="A232">
        <v>231</v>
      </c>
      <c r="B232" s="4" t="s">
        <v>30</v>
      </c>
      <c r="C232" s="4" t="s">
        <v>504</v>
      </c>
      <c r="D232" s="4" t="s">
        <v>505</v>
      </c>
      <c r="E232" t="s">
        <v>17</v>
      </c>
      <c r="F232" s="4" t="s">
        <v>374</v>
      </c>
      <c r="G232" s="4" t="s">
        <v>473</v>
      </c>
      <c r="H232" s="4" t="s">
        <v>475</v>
      </c>
      <c r="I232" s="4" t="s">
        <v>505</v>
      </c>
      <c r="J232" s="4" t="s">
        <v>373</v>
      </c>
      <c r="K232" s="4" t="s">
        <v>385</v>
      </c>
      <c r="L232" s="4" t="s">
        <v>900</v>
      </c>
      <c r="M232" s="4" t="s">
        <v>432</v>
      </c>
      <c r="N232" s="4" t="s">
        <v>228</v>
      </c>
      <c r="O232" s="4" t="s">
        <v>219</v>
      </c>
      <c r="P232" t="str">
        <f>_xlfn.TEXTBEFORE(_xlfn.TEXTAFTER(Table26[[#This Row],[WBS CODE]], "-"), "-")</f>
        <v>30101050211</v>
      </c>
    </row>
    <row r="233" spans="1:16" x14ac:dyDescent="0.3">
      <c r="A233">
        <v>232</v>
      </c>
      <c r="B233" s="4" t="s">
        <v>30</v>
      </c>
      <c r="C233" s="4" t="s">
        <v>506</v>
      </c>
      <c r="D233" s="4" t="s">
        <v>507</v>
      </c>
      <c r="E233" t="s">
        <v>17</v>
      </c>
      <c r="F233" s="4" t="s">
        <v>374</v>
      </c>
      <c r="G233" s="4" t="s">
        <v>473</v>
      </c>
      <c r="H233" s="4" t="s">
        <v>475</v>
      </c>
      <c r="I233" s="4" t="s">
        <v>507</v>
      </c>
      <c r="J233" s="4" t="s">
        <v>373</v>
      </c>
      <c r="K233" s="4" t="s">
        <v>385</v>
      </c>
      <c r="L233" s="4" t="s">
        <v>900</v>
      </c>
      <c r="M233" s="4" t="s">
        <v>435</v>
      </c>
      <c r="N233" s="4" t="s">
        <v>228</v>
      </c>
      <c r="O233" s="4" t="s">
        <v>219</v>
      </c>
      <c r="P233" t="str">
        <f>_xlfn.TEXTBEFORE(_xlfn.TEXTAFTER(Table26[[#This Row],[WBS CODE]], "-"), "-")</f>
        <v>30101050210</v>
      </c>
    </row>
    <row r="234" spans="1:16" x14ac:dyDescent="0.3">
      <c r="A234">
        <v>233</v>
      </c>
      <c r="B234" s="4" t="s">
        <v>30</v>
      </c>
      <c r="C234" s="4" t="s">
        <v>508</v>
      </c>
      <c r="D234" s="4" t="s">
        <v>509</v>
      </c>
      <c r="E234" t="s">
        <v>17</v>
      </c>
      <c r="F234" s="4" t="s">
        <v>374</v>
      </c>
      <c r="G234" s="4" t="s">
        <v>473</v>
      </c>
      <c r="H234" s="4" t="s">
        <v>475</v>
      </c>
      <c r="I234" s="4" t="s">
        <v>509</v>
      </c>
      <c r="J234" s="4" t="s">
        <v>373</v>
      </c>
      <c r="K234" s="4" t="s">
        <v>385</v>
      </c>
      <c r="L234" s="4" t="s">
        <v>900</v>
      </c>
      <c r="M234" s="4" t="s">
        <v>438</v>
      </c>
      <c r="N234" s="4" t="s">
        <v>228</v>
      </c>
      <c r="O234" s="4" t="s">
        <v>219</v>
      </c>
      <c r="P234" t="str">
        <f>_xlfn.TEXTBEFORE(_xlfn.TEXTAFTER(Table26[[#This Row],[WBS CODE]], "-"), "-")</f>
        <v>30101050209</v>
      </c>
    </row>
    <row r="235" spans="1:16" x14ac:dyDescent="0.3">
      <c r="A235">
        <v>234</v>
      </c>
      <c r="B235" s="4" t="s">
        <v>30</v>
      </c>
      <c r="C235" s="4" t="s">
        <v>510</v>
      </c>
      <c r="D235" s="4" t="s">
        <v>511</v>
      </c>
      <c r="E235" t="s">
        <v>17</v>
      </c>
      <c r="F235" s="4" t="s">
        <v>374</v>
      </c>
      <c r="G235" s="4" t="s">
        <v>473</v>
      </c>
      <c r="H235" s="4" t="s">
        <v>475</v>
      </c>
      <c r="I235" s="4" t="s">
        <v>511</v>
      </c>
      <c r="J235" s="4" t="s">
        <v>373</v>
      </c>
      <c r="K235" s="4" t="s">
        <v>385</v>
      </c>
      <c r="L235" s="4" t="s">
        <v>900</v>
      </c>
      <c r="M235" s="4" t="s">
        <v>441</v>
      </c>
      <c r="N235" s="4" t="s">
        <v>228</v>
      </c>
      <c r="O235" s="4" t="s">
        <v>219</v>
      </c>
      <c r="P235" t="str">
        <f>_xlfn.TEXTBEFORE(_xlfn.TEXTAFTER(Table26[[#This Row],[WBS CODE]], "-"), "-")</f>
        <v>30101050208</v>
      </c>
    </row>
    <row r="236" spans="1:16" x14ac:dyDescent="0.3">
      <c r="A236">
        <v>235</v>
      </c>
      <c r="B236" s="4" t="s">
        <v>30</v>
      </c>
      <c r="C236" s="4" t="s">
        <v>512</v>
      </c>
      <c r="D236" s="4" t="s">
        <v>513</v>
      </c>
      <c r="E236" t="s">
        <v>17</v>
      </c>
      <c r="F236" s="4" t="s">
        <v>374</v>
      </c>
      <c r="G236" s="4" t="s">
        <v>473</v>
      </c>
      <c r="H236" s="4" t="s">
        <v>475</v>
      </c>
      <c r="I236" s="4" t="s">
        <v>513</v>
      </c>
      <c r="J236" s="4" t="s">
        <v>373</v>
      </c>
      <c r="K236" s="4" t="s">
        <v>385</v>
      </c>
      <c r="L236" s="4" t="s">
        <v>900</v>
      </c>
      <c r="M236" s="4" t="s">
        <v>444</v>
      </c>
      <c r="N236" s="4" t="s">
        <v>228</v>
      </c>
      <c r="O236" s="4" t="s">
        <v>219</v>
      </c>
      <c r="P236" t="str">
        <f>_xlfn.TEXTBEFORE(_xlfn.TEXTAFTER(Table26[[#This Row],[WBS CODE]], "-"), "-")</f>
        <v>30101050207</v>
      </c>
    </row>
    <row r="237" spans="1:16" x14ac:dyDescent="0.3">
      <c r="A237">
        <v>236</v>
      </c>
      <c r="B237" s="4" t="s">
        <v>30</v>
      </c>
      <c r="C237" s="4" t="s">
        <v>514</v>
      </c>
      <c r="D237" s="4" t="s">
        <v>515</v>
      </c>
      <c r="E237" t="s">
        <v>17</v>
      </c>
      <c r="F237" s="4" t="s">
        <v>374</v>
      </c>
      <c r="G237" s="4" t="s">
        <v>473</v>
      </c>
      <c r="H237" s="4" t="s">
        <v>475</v>
      </c>
      <c r="I237" s="4" t="s">
        <v>515</v>
      </c>
      <c r="J237" s="4" t="s">
        <v>373</v>
      </c>
      <c r="K237" s="4" t="s">
        <v>385</v>
      </c>
      <c r="L237" s="4" t="s">
        <v>900</v>
      </c>
      <c r="M237" s="4" t="s">
        <v>447</v>
      </c>
      <c r="N237" s="4" t="s">
        <v>228</v>
      </c>
      <c r="O237" s="4" t="s">
        <v>219</v>
      </c>
      <c r="P237" t="str">
        <f>_xlfn.TEXTBEFORE(_xlfn.TEXTAFTER(Table26[[#This Row],[WBS CODE]], "-"), "-")</f>
        <v>30101050205</v>
      </c>
    </row>
    <row r="238" spans="1:16" x14ac:dyDescent="0.3">
      <c r="A238">
        <v>237</v>
      </c>
      <c r="B238" s="4" t="s">
        <v>30</v>
      </c>
      <c r="C238" s="4" t="s">
        <v>516</v>
      </c>
      <c r="D238" s="4" t="s">
        <v>517</v>
      </c>
      <c r="E238" t="s">
        <v>17</v>
      </c>
      <c r="F238" s="4" t="s">
        <v>374</v>
      </c>
      <c r="G238" s="4" t="s">
        <v>473</v>
      </c>
      <c r="H238" s="4" t="s">
        <v>475</v>
      </c>
      <c r="I238" s="4" t="s">
        <v>517</v>
      </c>
      <c r="J238" s="4" t="s">
        <v>373</v>
      </c>
      <c r="K238" s="4" t="s">
        <v>385</v>
      </c>
      <c r="L238" s="4" t="s">
        <v>900</v>
      </c>
      <c r="M238" s="4" t="s">
        <v>450</v>
      </c>
      <c r="N238" s="4" t="s">
        <v>228</v>
      </c>
      <c r="O238" s="4" t="s">
        <v>219</v>
      </c>
      <c r="P238" t="str">
        <f>_xlfn.TEXTBEFORE(_xlfn.TEXTAFTER(Table26[[#This Row],[WBS CODE]], "-"), "-")</f>
        <v>30101050204</v>
      </c>
    </row>
    <row r="239" spans="1:16" x14ac:dyDescent="0.3">
      <c r="A239">
        <v>238</v>
      </c>
      <c r="B239" s="4" t="s">
        <v>26</v>
      </c>
      <c r="C239" s="4" t="s">
        <v>518</v>
      </c>
      <c r="D239" s="4" t="s">
        <v>519</v>
      </c>
      <c r="E239" t="s">
        <v>17</v>
      </c>
      <c r="F239" s="4" t="s">
        <v>374</v>
      </c>
      <c r="G239" s="4" t="s">
        <v>473</v>
      </c>
      <c r="H239" s="4" t="s">
        <v>519</v>
      </c>
      <c r="I239" s="4"/>
      <c r="J239" s="4" t="s">
        <v>373</v>
      </c>
      <c r="K239" s="4" t="s">
        <v>385</v>
      </c>
      <c r="L239" s="4" t="s">
        <v>39</v>
      </c>
      <c r="M239" s="4"/>
      <c r="N239" s="4" t="s">
        <v>228</v>
      </c>
      <c r="O239" s="4" t="s">
        <v>219</v>
      </c>
      <c r="P239" t="str">
        <f>_xlfn.TEXTBEFORE(_xlfn.TEXTAFTER(Table26[[#This Row],[WBS CODE]], "-"), "-")</f>
        <v>301010501</v>
      </c>
    </row>
    <row r="240" spans="1:16" x14ac:dyDescent="0.3">
      <c r="A240">
        <v>239</v>
      </c>
      <c r="B240" s="4" t="s">
        <v>30</v>
      </c>
      <c r="C240" s="4" t="s">
        <v>520</v>
      </c>
      <c r="D240" s="4" t="s">
        <v>521</v>
      </c>
      <c r="E240" t="s">
        <v>17</v>
      </c>
      <c r="F240" s="4" t="s">
        <v>374</v>
      </c>
      <c r="G240" s="4" t="s">
        <v>473</v>
      </c>
      <c r="H240" s="4" t="s">
        <v>519</v>
      </c>
      <c r="I240" s="4" t="s">
        <v>521</v>
      </c>
      <c r="J240" s="4" t="s">
        <v>373</v>
      </c>
      <c r="K240" s="4" t="s">
        <v>385</v>
      </c>
      <c r="L240" s="4" t="s">
        <v>39</v>
      </c>
      <c r="M240" s="4" t="s">
        <v>455</v>
      </c>
      <c r="N240" s="4" t="s">
        <v>228</v>
      </c>
      <c r="O240" s="4" t="s">
        <v>219</v>
      </c>
      <c r="P240" t="str">
        <f>_xlfn.TEXTBEFORE(_xlfn.TEXTAFTER(Table26[[#This Row],[WBS CODE]], "-"), "-")</f>
        <v>30101050160</v>
      </c>
    </row>
    <row r="241" spans="1:16" x14ac:dyDescent="0.3">
      <c r="A241">
        <v>240</v>
      </c>
      <c r="B241" s="4" t="s">
        <v>26</v>
      </c>
      <c r="C241" s="4" t="s">
        <v>522</v>
      </c>
      <c r="D241" s="4" t="s">
        <v>523</v>
      </c>
      <c r="E241" t="s">
        <v>17</v>
      </c>
      <c r="F241" s="4" t="s">
        <v>374</v>
      </c>
      <c r="G241" s="4" t="s">
        <v>473</v>
      </c>
      <c r="H241" s="4" t="s">
        <v>523</v>
      </c>
      <c r="I241" s="4"/>
      <c r="J241" s="4" t="s">
        <v>373</v>
      </c>
      <c r="K241" s="4" t="s">
        <v>385</v>
      </c>
      <c r="L241" s="4" t="s">
        <v>42</v>
      </c>
      <c r="M241" s="4"/>
      <c r="N241" s="4" t="s">
        <v>228</v>
      </c>
      <c r="O241" s="4" t="s">
        <v>219</v>
      </c>
      <c r="P241" t="str">
        <f>_xlfn.TEXTBEFORE(_xlfn.TEXTAFTER(Table26[[#This Row],[WBS CODE]], "-"), "-")</f>
        <v>301010561</v>
      </c>
    </row>
    <row r="242" spans="1:16" x14ac:dyDescent="0.3">
      <c r="A242">
        <v>241</v>
      </c>
      <c r="B242" s="4" t="s">
        <v>30</v>
      </c>
      <c r="C242" s="4" t="s">
        <v>524</v>
      </c>
      <c r="D242" s="4" t="s">
        <v>525</v>
      </c>
      <c r="E242" t="s">
        <v>17</v>
      </c>
      <c r="F242" s="4" t="s">
        <v>374</v>
      </c>
      <c r="G242" s="4" t="s">
        <v>473</v>
      </c>
      <c r="H242" s="4" t="s">
        <v>523</v>
      </c>
      <c r="I242" s="4" t="s">
        <v>525</v>
      </c>
      <c r="J242" s="4" t="s">
        <v>373</v>
      </c>
      <c r="K242" s="4" t="s">
        <v>385</v>
      </c>
      <c r="L242" s="4" t="s">
        <v>42</v>
      </c>
      <c r="M242" s="4" t="s">
        <v>460</v>
      </c>
      <c r="N242" s="4" t="s">
        <v>228</v>
      </c>
      <c r="O242" s="4" t="s">
        <v>219</v>
      </c>
      <c r="P242" t="str">
        <f>_xlfn.TEXTBEFORE(_xlfn.TEXTAFTER(Table26[[#This Row],[WBS CODE]], "-"), "-")</f>
        <v>30101056162</v>
      </c>
    </row>
    <row r="243" spans="1:16" x14ac:dyDescent="0.3">
      <c r="A243">
        <v>242</v>
      </c>
      <c r="B243" s="4" t="s">
        <v>30</v>
      </c>
      <c r="C243" s="4" t="s">
        <v>526</v>
      </c>
      <c r="D243" s="4" t="s">
        <v>527</v>
      </c>
      <c r="E243" t="s">
        <v>17</v>
      </c>
      <c r="F243" s="4" t="s">
        <v>374</v>
      </c>
      <c r="G243" s="4" t="s">
        <v>473</v>
      </c>
      <c r="H243" s="4" t="s">
        <v>523</v>
      </c>
      <c r="I243" s="4" t="s">
        <v>527</v>
      </c>
      <c r="J243" s="4" t="s">
        <v>373</v>
      </c>
      <c r="K243" s="4" t="s">
        <v>385</v>
      </c>
      <c r="L243" s="4" t="s">
        <v>42</v>
      </c>
      <c r="M243" s="4" t="s">
        <v>463</v>
      </c>
      <c r="N243" s="4" t="s">
        <v>228</v>
      </c>
      <c r="O243" s="4" t="s">
        <v>219</v>
      </c>
      <c r="P243" t="str">
        <f>_xlfn.TEXTBEFORE(_xlfn.TEXTAFTER(Table26[[#This Row],[WBS CODE]], "-"), "-")</f>
        <v>30101056193</v>
      </c>
    </row>
    <row r="244" spans="1:16" x14ac:dyDescent="0.3">
      <c r="A244">
        <v>243</v>
      </c>
      <c r="B244" s="4" t="s">
        <v>30</v>
      </c>
      <c r="C244" s="4" t="s">
        <v>528</v>
      </c>
      <c r="D244" s="4" t="s">
        <v>529</v>
      </c>
      <c r="E244" t="s">
        <v>17</v>
      </c>
      <c r="F244" s="4" t="s">
        <v>374</v>
      </c>
      <c r="G244" s="4" t="s">
        <v>473</v>
      </c>
      <c r="H244" s="4" t="s">
        <v>523</v>
      </c>
      <c r="I244" s="4" t="s">
        <v>529</v>
      </c>
      <c r="J244" s="4" t="s">
        <v>373</v>
      </c>
      <c r="K244" s="4" t="s">
        <v>385</v>
      </c>
      <c r="L244" s="4" t="s">
        <v>42</v>
      </c>
      <c r="M244" s="4" t="s">
        <v>466</v>
      </c>
      <c r="N244" s="4" t="s">
        <v>228</v>
      </c>
      <c r="O244" s="4" t="s">
        <v>219</v>
      </c>
      <c r="P244" t="str">
        <f>_xlfn.TEXTBEFORE(_xlfn.TEXTAFTER(Table26[[#This Row],[WBS CODE]], "-"), "-")</f>
        <v>30101056118</v>
      </c>
    </row>
    <row r="245" spans="1:16" x14ac:dyDescent="0.3">
      <c r="A245">
        <v>244</v>
      </c>
      <c r="B245" s="4" t="s">
        <v>30</v>
      </c>
      <c r="C245" s="4" t="s">
        <v>530</v>
      </c>
      <c r="D245" s="4" t="s">
        <v>531</v>
      </c>
      <c r="E245" t="s">
        <v>17</v>
      </c>
      <c r="F245" s="4" t="s">
        <v>374</v>
      </c>
      <c r="G245" s="4" t="s">
        <v>473</v>
      </c>
      <c r="H245" s="4" t="s">
        <v>523</v>
      </c>
      <c r="I245" s="4" t="s">
        <v>531</v>
      </c>
      <c r="J245" s="4" t="s">
        <v>373</v>
      </c>
      <c r="K245" s="4" t="s">
        <v>385</v>
      </c>
      <c r="L245" s="4" t="s">
        <v>42</v>
      </c>
      <c r="M245" s="4" t="s">
        <v>438</v>
      </c>
      <c r="N245" s="4" t="s">
        <v>228</v>
      </c>
      <c r="O245" s="4" t="s">
        <v>219</v>
      </c>
      <c r="P245" t="str">
        <f>_xlfn.TEXTBEFORE(_xlfn.TEXTAFTER(Table26[[#This Row],[WBS CODE]], "-"), "-")</f>
        <v>30101056102</v>
      </c>
    </row>
    <row r="246" spans="1:16" x14ac:dyDescent="0.3">
      <c r="A246">
        <v>245</v>
      </c>
      <c r="B246" s="4" t="s">
        <v>30</v>
      </c>
      <c r="C246" s="4" t="s">
        <v>532</v>
      </c>
      <c r="D246" s="4" t="s">
        <v>533</v>
      </c>
      <c r="E246" t="s">
        <v>17</v>
      </c>
      <c r="F246" s="4" t="s">
        <v>374</v>
      </c>
      <c r="G246" s="4" t="s">
        <v>473</v>
      </c>
      <c r="H246" s="4" t="s">
        <v>523</v>
      </c>
      <c r="I246" s="4" t="s">
        <v>533</v>
      </c>
      <c r="J246" s="4" t="s">
        <v>373</v>
      </c>
      <c r="K246" s="4" t="s">
        <v>385</v>
      </c>
      <c r="L246" s="4" t="s">
        <v>42</v>
      </c>
      <c r="M246" s="4" t="s">
        <v>471</v>
      </c>
      <c r="N246" s="4" t="s">
        <v>228</v>
      </c>
      <c r="O246" s="4" t="s">
        <v>219</v>
      </c>
      <c r="P246" t="str">
        <f>_xlfn.TEXTBEFORE(_xlfn.TEXTAFTER(Table26[[#This Row],[WBS CODE]], "-"), "-")</f>
        <v>30101056101</v>
      </c>
    </row>
    <row r="247" spans="1:16" x14ac:dyDescent="0.3">
      <c r="A247">
        <v>246</v>
      </c>
      <c r="B247" s="4" t="s">
        <v>21</v>
      </c>
      <c r="C247" s="4" t="s">
        <v>534</v>
      </c>
      <c r="D247" s="4" t="s">
        <v>535</v>
      </c>
      <c r="E247" t="s">
        <v>17</v>
      </c>
      <c r="F247" s="4" t="s">
        <v>374</v>
      </c>
      <c r="G247" s="4" t="s">
        <v>535</v>
      </c>
      <c r="H247" s="4"/>
      <c r="I247" s="4"/>
      <c r="J247" s="4" t="s">
        <v>373</v>
      </c>
      <c r="K247" s="4" t="s">
        <v>385</v>
      </c>
      <c r="L247" s="4"/>
      <c r="M247" s="4"/>
      <c r="N247" s="4" t="s">
        <v>235</v>
      </c>
      <c r="O247" s="4" t="s">
        <v>219</v>
      </c>
      <c r="P247" t="str">
        <f>_xlfn.TEXTBEFORE(_xlfn.TEXTAFTER(Table26[[#This Row],[WBS CODE]], "-"), "-")</f>
        <v>3010104</v>
      </c>
    </row>
    <row r="248" spans="1:16" x14ac:dyDescent="0.3">
      <c r="A248">
        <v>247</v>
      </c>
      <c r="B248" s="4" t="s">
        <v>26</v>
      </c>
      <c r="C248" s="4" t="s">
        <v>536</v>
      </c>
      <c r="D248" s="4" t="s">
        <v>537</v>
      </c>
      <c r="E248" t="s">
        <v>17</v>
      </c>
      <c r="F248" s="4" t="s">
        <v>374</v>
      </c>
      <c r="G248" s="4" t="s">
        <v>535</v>
      </c>
      <c r="H248" s="4" t="s">
        <v>537</v>
      </c>
      <c r="I248" s="4"/>
      <c r="J248" s="4" t="s">
        <v>373</v>
      </c>
      <c r="K248" s="4" t="s">
        <v>385</v>
      </c>
      <c r="L248" s="4" t="s">
        <v>900</v>
      </c>
      <c r="M248" s="4"/>
      <c r="N248" s="4" t="s">
        <v>235</v>
      </c>
      <c r="O248" s="4" t="s">
        <v>219</v>
      </c>
      <c r="P248" t="str">
        <f>_xlfn.TEXTBEFORE(_xlfn.TEXTAFTER(Table26[[#This Row],[WBS CODE]], "-"), "-")</f>
        <v>301010402</v>
      </c>
    </row>
    <row r="249" spans="1:16" x14ac:dyDescent="0.3">
      <c r="A249">
        <v>248</v>
      </c>
      <c r="B249" s="4" t="s">
        <v>30</v>
      </c>
      <c r="C249" s="4" t="s">
        <v>538</v>
      </c>
      <c r="D249" s="4" t="s">
        <v>539</v>
      </c>
      <c r="E249" t="s">
        <v>17</v>
      </c>
      <c r="F249" s="4" t="s">
        <v>374</v>
      </c>
      <c r="G249" s="4" t="s">
        <v>535</v>
      </c>
      <c r="H249" s="4" t="s">
        <v>537</v>
      </c>
      <c r="I249" s="4" t="s">
        <v>539</v>
      </c>
      <c r="J249" s="4" t="s">
        <v>373</v>
      </c>
      <c r="K249" s="4" t="s">
        <v>385</v>
      </c>
      <c r="L249" s="4" t="s">
        <v>900</v>
      </c>
      <c r="M249" s="4" t="s">
        <v>390</v>
      </c>
      <c r="N249" s="4" t="s">
        <v>235</v>
      </c>
      <c r="O249" s="4" t="s">
        <v>219</v>
      </c>
      <c r="P249" t="str">
        <f>_xlfn.TEXTBEFORE(_xlfn.TEXTAFTER(Table26[[#This Row],[WBS CODE]], "-"), "-")</f>
        <v>30101040224</v>
      </c>
    </row>
    <row r="250" spans="1:16" x14ac:dyDescent="0.3">
      <c r="A250">
        <v>249</v>
      </c>
      <c r="B250" s="4" t="s">
        <v>30</v>
      </c>
      <c r="C250" s="4" t="s">
        <v>540</v>
      </c>
      <c r="D250" s="4" t="s">
        <v>541</v>
      </c>
      <c r="E250" t="s">
        <v>17</v>
      </c>
      <c r="F250" s="4" t="s">
        <v>374</v>
      </c>
      <c r="G250" s="4" t="s">
        <v>535</v>
      </c>
      <c r="H250" s="4" t="s">
        <v>537</v>
      </c>
      <c r="I250" s="4" t="s">
        <v>541</v>
      </c>
      <c r="J250" s="4" t="s">
        <v>373</v>
      </c>
      <c r="K250" s="4" t="s">
        <v>385</v>
      </c>
      <c r="L250" s="4" t="s">
        <v>900</v>
      </c>
      <c r="M250" s="4" t="s">
        <v>393</v>
      </c>
      <c r="N250" s="4" t="s">
        <v>235</v>
      </c>
      <c r="O250" s="4" t="s">
        <v>219</v>
      </c>
      <c r="P250" t="str">
        <f>_xlfn.TEXTBEFORE(_xlfn.TEXTAFTER(Table26[[#This Row],[WBS CODE]], "-"), "-")</f>
        <v>30101040298</v>
      </c>
    </row>
    <row r="251" spans="1:16" x14ac:dyDescent="0.3">
      <c r="A251">
        <v>250</v>
      </c>
      <c r="B251" s="4" t="s">
        <v>30</v>
      </c>
      <c r="C251" s="4" t="s">
        <v>542</v>
      </c>
      <c r="D251" s="4" t="s">
        <v>543</v>
      </c>
      <c r="E251" t="s">
        <v>17</v>
      </c>
      <c r="F251" s="4" t="s">
        <v>374</v>
      </c>
      <c r="G251" s="4" t="s">
        <v>535</v>
      </c>
      <c r="H251" s="4" t="s">
        <v>537</v>
      </c>
      <c r="I251" s="4" t="s">
        <v>543</v>
      </c>
      <c r="J251" s="4" t="s">
        <v>373</v>
      </c>
      <c r="K251" s="4" t="s">
        <v>385</v>
      </c>
      <c r="L251" s="4" t="s">
        <v>900</v>
      </c>
      <c r="M251" s="4" t="s">
        <v>396</v>
      </c>
      <c r="N251" s="4" t="s">
        <v>235</v>
      </c>
      <c r="O251" s="4" t="s">
        <v>219</v>
      </c>
      <c r="P251" t="str">
        <f>_xlfn.TEXTBEFORE(_xlfn.TEXTAFTER(Table26[[#This Row],[WBS CODE]], "-"), "-")</f>
        <v>30101040297</v>
      </c>
    </row>
    <row r="252" spans="1:16" x14ac:dyDescent="0.3">
      <c r="A252">
        <v>251</v>
      </c>
      <c r="B252" s="4" t="s">
        <v>30</v>
      </c>
      <c r="C252" s="4" t="s">
        <v>544</v>
      </c>
      <c r="D252" s="4" t="s">
        <v>545</v>
      </c>
      <c r="E252" t="s">
        <v>17</v>
      </c>
      <c r="F252" s="4" t="s">
        <v>374</v>
      </c>
      <c r="G252" s="4" t="s">
        <v>535</v>
      </c>
      <c r="H252" s="4" t="s">
        <v>537</v>
      </c>
      <c r="I252" s="4" t="s">
        <v>545</v>
      </c>
      <c r="J252" s="4" t="s">
        <v>373</v>
      </c>
      <c r="K252" s="4" t="s">
        <v>385</v>
      </c>
      <c r="L252" s="4" t="s">
        <v>900</v>
      </c>
      <c r="M252" s="4" t="s">
        <v>399</v>
      </c>
      <c r="N252" s="4" t="s">
        <v>235</v>
      </c>
      <c r="O252" s="4" t="s">
        <v>219</v>
      </c>
      <c r="P252" t="str">
        <f>_xlfn.TEXTBEFORE(_xlfn.TEXTAFTER(Table26[[#This Row],[WBS CODE]], "-"), "-")</f>
        <v>30101040296</v>
      </c>
    </row>
    <row r="253" spans="1:16" x14ac:dyDescent="0.3">
      <c r="A253">
        <v>252</v>
      </c>
      <c r="B253" s="4" t="s">
        <v>30</v>
      </c>
      <c r="C253" s="4" t="s">
        <v>546</v>
      </c>
      <c r="D253" s="4" t="s">
        <v>547</v>
      </c>
      <c r="E253" t="s">
        <v>17</v>
      </c>
      <c r="F253" s="4" t="s">
        <v>374</v>
      </c>
      <c r="G253" s="4" t="s">
        <v>535</v>
      </c>
      <c r="H253" s="4" t="s">
        <v>537</v>
      </c>
      <c r="I253" s="4" t="s">
        <v>547</v>
      </c>
      <c r="J253" s="4" t="s">
        <v>373</v>
      </c>
      <c r="K253" s="4" t="s">
        <v>385</v>
      </c>
      <c r="L253" s="4" t="s">
        <v>900</v>
      </c>
      <c r="M253" s="4" t="s">
        <v>402</v>
      </c>
      <c r="N253" s="4" t="s">
        <v>235</v>
      </c>
      <c r="O253" s="4" t="s">
        <v>219</v>
      </c>
      <c r="P253" t="str">
        <f>_xlfn.TEXTBEFORE(_xlfn.TEXTAFTER(Table26[[#This Row],[WBS CODE]], "-"), "-")</f>
        <v>30101040295</v>
      </c>
    </row>
    <row r="254" spans="1:16" x14ac:dyDescent="0.3">
      <c r="A254">
        <v>253</v>
      </c>
      <c r="B254" s="4" t="s">
        <v>30</v>
      </c>
      <c r="C254" s="4" t="s">
        <v>548</v>
      </c>
      <c r="D254" s="4" t="s">
        <v>549</v>
      </c>
      <c r="E254" t="s">
        <v>17</v>
      </c>
      <c r="F254" s="4" t="s">
        <v>374</v>
      </c>
      <c r="G254" s="4" t="s">
        <v>535</v>
      </c>
      <c r="H254" s="4" t="s">
        <v>537</v>
      </c>
      <c r="I254" s="4" t="s">
        <v>549</v>
      </c>
      <c r="J254" s="4" t="s">
        <v>373</v>
      </c>
      <c r="K254" s="4" t="s">
        <v>385</v>
      </c>
      <c r="L254" s="4" t="s">
        <v>900</v>
      </c>
      <c r="M254" s="4" t="s">
        <v>405</v>
      </c>
      <c r="N254" s="4" t="s">
        <v>235</v>
      </c>
      <c r="O254" s="4" t="s">
        <v>219</v>
      </c>
      <c r="P254" t="str">
        <f>_xlfn.TEXTBEFORE(_xlfn.TEXTAFTER(Table26[[#This Row],[WBS CODE]], "-"), "-")</f>
        <v>30101040294</v>
      </c>
    </row>
    <row r="255" spans="1:16" x14ac:dyDescent="0.3">
      <c r="A255">
        <v>254</v>
      </c>
      <c r="B255" s="4" t="s">
        <v>30</v>
      </c>
      <c r="C255" s="4" t="s">
        <v>550</v>
      </c>
      <c r="D255" s="4" t="s">
        <v>551</v>
      </c>
      <c r="E255" t="s">
        <v>17</v>
      </c>
      <c r="F255" s="4" t="s">
        <v>374</v>
      </c>
      <c r="G255" s="4" t="s">
        <v>535</v>
      </c>
      <c r="H255" s="4" t="s">
        <v>537</v>
      </c>
      <c r="I255" s="4" t="s">
        <v>551</v>
      </c>
      <c r="J255" s="4" t="s">
        <v>373</v>
      </c>
      <c r="K255" s="4" t="s">
        <v>385</v>
      </c>
      <c r="L255" s="4" t="s">
        <v>900</v>
      </c>
      <c r="M255" s="4" t="s">
        <v>408</v>
      </c>
      <c r="N255" s="4" t="s">
        <v>235</v>
      </c>
      <c r="O255" s="4" t="s">
        <v>219</v>
      </c>
      <c r="P255" t="str">
        <f>_xlfn.TEXTBEFORE(_xlfn.TEXTAFTER(Table26[[#This Row],[WBS CODE]], "-"), "-")</f>
        <v>30101040220</v>
      </c>
    </row>
    <row r="256" spans="1:16" x14ac:dyDescent="0.3">
      <c r="A256">
        <v>255</v>
      </c>
      <c r="B256" s="4" t="s">
        <v>30</v>
      </c>
      <c r="C256" s="4" t="s">
        <v>552</v>
      </c>
      <c r="D256" s="4" t="s">
        <v>553</v>
      </c>
      <c r="E256" t="s">
        <v>17</v>
      </c>
      <c r="F256" s="4" t="s">
        <v>374</v>
      </c>
      <c r="G256" s="4" t="s">
        <v>535</v>
      </c>
      <c r="H256" s="4" t="s">
        <v>537</v>
      </c>
      <c r="I256" s="4" t="s">
        <v>553</v>
      </c>
      <c r="J256" s="4" t="s">
        <v>373</v>
      </c>
      <c r="K256" s="4" t="s">
        <v>385</v>
      </c>
      <c r="L256" s="4" t="s">
        <v>900</v>
      </c>
      <c r="M256" s="4" t="s">
        <v>411</v>
      </c>
      <c r="N256" s="4" t="s">
        <v>235</v>
      </c>
      <c r="O256" s="4" t="s">
        <v>219</v>
      </c>
      <c r="P256" t="str">
        <f>_xlfn.TEXTBEFORE(_xlfn.TEXTAFTER(Table26[[#This Row],[WBS CODE]], "-"), "-")</f>
        <v>30101040217</v>
      </c>
    </row>
    <row r="257" spans="1:16" x14ac:dyDescent="0.3">
      <c r="A257">
        <v>256</v>
      </c>
      <c r="B257" s="4" t="s">
        <v>30</v>
      </c>
      <c r="C257" s="4" t="s">
        <v>554</v>
      </c>
      <c r="D257" s="4" t="s">
        <v>555</v>
      </c>
      <c r="E257" t="s">
        <v>17</v>
      </c>
      <c r="F257" s="4" t="s">
        <v>374</v>
      </c>
      <c r="G257" s="4" t="s">
        <v>535</v>
      </c>
      <c r="H257" s="4" t="s">
        <v>537</v>
      </c>
      <c r="I257" s="4" t="s">
        <v>555</v>
      </c>
      <c r="J257" s="4" t="s">
        <v>373</v>
      </c>
      <c r="K257" s="4" t="s">
        <v>385</v>
      </c>
      <c r="L257" s="4" t="s">
        <v>900</v>
      </c>
      <c r="M257" s="4" t="s">
        <v>414</v>
      </c>
      <c r="N257" s="4" t="s">
        <v>235</v>
      </c>
      <c r="O257" s="4" t="s">
        <v>219</v>
      </c>
      <c r="P257" t="str">
        <f>_xlfn.TEXTBEFORE(_xlfn.TEXTAFTER(Table26[[#This Row],[WBS CODE]], "-"), "-")</f>
        <v>30101040216</v>
      </c>
    </row>
    <row r="258" spans="1:16" x14ac:dyDescent="0.3">
      <c r="A258">
        <v>257</v>
      </c>
      <c r="B258" s="4" t="s">
        <v>30</v>
      </c>
      <c r="C258" s="4" t="s">
        <v>556</v>
      </c>
      <c r="D258" s="4" t="s">
        <v>557</v>
      </c>
      <c r="E258" t="s">
        <v>17</v>
      </c>
      <c r="F258" s="4" t="s">
        <v>374</v>
      </c>
      <c r="G258" s="4" t="s">
        <v>535</v>
      </c>
      <c r="H258" s="4" t="s">
        <v>537</v>
      </c>
      <c r="I258" s="4" t="s">
        <v>557</v>
      </c>
      <c r="J258" s="4" t="s">
        <v>373</v>
      </c>
      <c r="K258" s="4" t="s">
        <v>385</v>
      </c>
      <c r="L258" s="4" t="s">
        <v>900</v>
      </c>
      <c r="M258" s="4" t="s">
        <v>417</v>
      </c>
      <c r="N258" s="4" t="s">
        <v>235</v>
      </c>
      <c r="O258" s="4" t="s">
        <v>219</v>
      </c>
      <c r="P258" t="str">
        <f>_xlfn.TEXTBEFORE(_xlfn.TEXTAFTER(Table26[[#This Row],[WBS CODE]], "-"), "-")</f>
        <v>30101040215</v>
      </c>
    </row>
    <row r="259" spans="1:16" x14ac:dyDescent="0.3">
      <c r="A259">
        <v>258</v>
      </c>
      <c r="B259" s="4" t="s">
        <v>30</v>
      </c>
      <c r="C259" s="4" t="s">
        <v>558</v>
      </c>
      <c r="D259" s="4" t="s">
        <v>559</v>
      </c>
      <c r="E259" t="s">
        <v>17</v>
      </c>
      <c r="F259" s="4" t="s">
        <v>374</v>
      </c>
      <c r="G259" s="4" t="s">
        <v>535</v>
      </c>
      <c r="H259" s="4" t="s">
        <v>537</v>
      </c>
      <c r="I259" s="4" t="s">
        <v>559</v>
      </c>
      <c r="J259" s="4" t="s">
        <v>373</v>
      </c>
      <c r="K259" s="4" t="s">
        <v>385</v>
      </c>
      <c r="L259" s="4" t="s">
        <v>900</v>
      </c>
      <c r="M259" s="4" t="s">
        <v>420</v>
      </c>
      <c r="N259" s="4" t="s">
        <v>235</v>
      </c>
      <c r="O259" s="4" t="s">
        <v>219</v>
      </c>
      <c r="P259" t="str">
        <f>_xlfn.TEXTBEFORE(_xlfn.TEXTAFTER(Table26[[#This Row],[WBS CODE]], "-"), "-")</f>
        <v>30101040214</v>
      </c>
    </row>
    <row r="260" spans="1:16" x14ac:dyDescent="0.3">
      <c r="A260">
        <v>259</v>
      </c>
      <c r="B260" s="4" t="s">
        <v>30</v>
      </c>
      <c r="C260" s="4" t="s">
        <v>560</v>
      </c>
      <c r="D260" s="4" t="s">
        <v>561</v>
      </c>
      <c r="E260" t="s">
        <v>17</v>
      </c>
      <c r="F260" s="4" t="s">
        <v>374</v>
      </c>
      <c r="G260" s="4" t="s">
        <v>535</v>
      </c>
      <c r="H260" s="4" t="s">
        <v>537</v>
      </c>
      <c r="I260" s="4" t="s">
        <v>561</v>
      </c>
      <c r="J260" s="4" t="s">
        <v>373</v>
      </c>
      <c r="K260" s="4" t="s">
        <v>385</v>
      </c>
      <c r="L260" s="4" t="s">
        <v>900</v>
      </c>
      <c r="M260" s="4" t="s">
        <v>423</v>
      </c>
      <c r="N260" s="4" t="s">
        <v>235</v>
      </c>
      <c r="O260" s="4" t="s">
        <v>219</v>
      </c>
      <c r="P260" t="str">
        <f>_xlfn.TEXTBEFORE(_xlfn.TEXTAFTER(Table26[[#This Row],[WBS CODE]], "-"), "-")</f>
        <v>30101040213</v>
      </c>
    </row>
    <row r="261" spans="1:16" x14ac:dyDescent="0.3">
      <c r="A261">
        <v>260</v>
      </c>
      <c r="B261" s="4" t="s">
        <v>30</v>
      </c>
      <c r="C261" s="4" t="s">
        <v>562</v>
      </c>
      <c r="D261" s="4" t="s">
        <v>563</v>
      </c>
      <c r="E261" t="s">
        <v>17</v>
      </c>
      <c r="F261" s="4" t="s">
        <v>374</v>
      </c>
      <c r="G261" s="4" t="s">
        <v>535</v>
      </c>
      <c r="H261" s="4" t="s">
        <v>537</v>
      </c>
      <c r="I261" s="4" t="s">
        <v>563</v>
      </c>
      <c r="J261" s="4" t="s">
        <v>373</v>
      </c>
      <c r="K261" s="4" t="s">
        <v>385</v>
      </c>
      <c r="L261" s="4" t="s">
        <v>900</v>
      </c>
      <c r="M261" s="4" t="s">
        <v>426</v>
      </c>
      <c r="N261" s="4" t="s">
        <v>235</v>
      </c>
      <c r="O261" s="4" t="s">
        <v>219</v>
      </c>
      <c r="P261" t="str">
        <f>_xlfn.TEXTBEFORE(_xlfn.TEXTAFTER(Table26[[#This Row],[WBS CODE]], "-"), "-")</f>
        <v>30101040247</v>
      </c>
    </row>
    <row r="262" spans="1:16" x14ac:dyDescent="0.3">
      <c r="A262">
        <v>261</v>
      </c>
      <c r="B262" s="4" t="s">
        <v>30</v>
      </c>
      <c r="C262" s="4" t="s">
        <v>564</v>
      </c>
      <c r="D262" s="4" t="s">
        <v>565</v>
      </c>
      <c r="E262" t="s">
        <v>17</v>
      </c>
      <c r="F262" s="4" t="s">
        <v>374</v>
      </c>
      <c r="G262" s="4" t="s">
        <v>535</v>
      </c>
      <c r="H262" s="4" t="s">
        <v>537</v>
      </c>
      <c r="I262" s="4" t="s">
        <v>565</v>
      </c>
      <c r="J262" s="4" t="s">
        <v>373</v>
      </c>
      <c r="K262" s="4" t="s">
        <v>385</v>
      </c>
      <c r="L262" s="4" t="s">
        <v>900</v>
      </c>
      <c r="M262" s="4" t="s">
        <v>429</v>
      </c>
      <c r="N262" s="4" t="s">
        <v>235</v>
      </c>
      <c r="O262" s="4" t="s">
        <v>219</v>
      </c>
      <c r="P262" t="str">
        <f>_xlfn.TEXTBEFORE(_xlfn.TEXTAFTER(Table26[[#This Row],[WBS CODE]], "-"), "-")</f>
        <v>30101040212</v>
      </c>
    </row>
    <row r="263" spans="1:16" x14ac:dyDescent="0.3">
      <c r="A263">
        <v>262</v>
      </c>
      <c r="B263" s="4" t="s">
        <v>30</v>
      </c>
      <c r="C263" s="4" t="s">
        <v>566</v>
      </c>
      <c r="D263" s="4" t="s">
        <v>567</v>
      </c>
      <c r="E263" t="s">
        <v>17</v>
      </c>
      <c r="F263" s="4" t="s">
        <v>374</v>
      </c>
      <c r="G263" s="4" t="s">
        <v>535</v>
      </c>
      <c r="H263" s="4" t="s">
        <v>537</v>
      </c>
      <c r="I263" s="4" t="s">
        <v>567</v>
      </c>
      <c r="J263" s="4" t="s">
        <v>373</v>
      </c>
      <c r="K263" s="4" t="s">
        <v>385</v>
      </c>
      <c r="L263" s="4" t="s">
        <v>900</v>
      </c>
      <c r="M263" s="4" t="s">
        <v>432</v>
      </c>
      <c r="N263" s="4" t="s">
        <v>235</v>
      </c>
      <c r="O263" s="4" t="s">
        <v>219</v>
      </c>
      <c r="P263" t="str">
        <f>_xlfn.TEXTBEFORE(_xlfn.TEXTAFTER(Table26[[#This Row],[WBS CODE]], "-"), "-")</f>
        <v>30101040211</v>
      </c>
    </row>
    <row r="264" spans="1:16" x14ac:dyDescent="0.3">
      <c r="A264">
        <v>263</v>
      </c>
      <c r="B264" s="4" t="s">
        <v>30</v>
      </c>
      <c r="C264" s="4" t="s">
        <v>568</v>
      </c>
      <c r="D264" s="4" t="s">
        <v>569</v>
      </c>
      <c r="E264" t="s">
        <v>17</v>
      </c>
      <c r="F264" s="4" t="s">
        <v>374</v>
      </c>
      <c r="G264" s="4" t="s">
        <v>535</v>
      </c>
      <c r="H264" s="4" t="s">
        <v>537</v>
      </c>
      <c r="I264" s="4" t="s">
        <v>569</v>
      </c>
      <c r="J264" s="4" t="s">
        <v>373</v>
      </c>
      <c r="K264" s="4" t="s">
        <v>385</v>
      </c>
      <c r="L264" s="4" t="s">
        <v>900</v>
      </c>
      <c r="M264" s="4" t="s">
        <v>435</v>
      </c>
      <c r="N264" s="4" t="s">
        <v>235</v>
      </c>
      <c r="O264" s="4" t="s">
        <v>219</v>
      </c>
      <c r="P264" t="str">
        <f>_xlfn.TEXTBEFORE(_xlfn.TEXTAFTER(Table26[[#This Row],[WBS CODE]], "-"), "-")</f>
        <v>30101040210</v>
      </c>
    </row>
    <row r="265" spans="1:16" x14ac:dyDescent="0.3">
      <c r="A265">
        <v>264</v>
      </c>
      <c r="B265" s="4" t="s">
        <v>30</v>
      </c>
      <c r="C265" s="4" t="s">
        <v>570</v>
      </c>
      <c r="D265" s="4" t="s">
        <v>571</v>
      </c>
      <c r="E265" t="s">
        <v>17</v>
      </c>
      <c r="F265" s="4" t="s">
        <v>374</v>
      </c>
      <c r="G265" s="4" t="s">
        <v>535</v>
      </c>
      <c r="H265" s="4" t="s">
        <v>537</v>
      </c>
      <c r="I265" s="4" t="s">
        <v>571</v>
      </c>
      <c r="J265" s="4" t="s">
        <v>373</v>
      </c>
      <c r="K265" s="4" t="s">
        <v>385</v>
      </c>
      <c r="L265" s="4" t="s">
        <v>900</v>
      </c>
      <c r="M265" s="4" t="s">
        <v>438</v>
      </c>
      <c r="N265" s="4" t="s">
        <v>235</v>
      </c>
      <c r="O265" s="4" t="s">
        <v>219</v>
      </c>
      <c r="P265" t="str">
        <f>_xlfn.TEXTBEFORE(_xlfn.TEXTAFTER(Table26[[#This Row],[WBS CODE]], "-"), "-")</f>
        <v>30101040209</v>
      </c>
    </row>
    <row r="266" spans="1:16" x14ac:dyDescent="0.3">
      <c r="A266">
        <v>265</v>
      </c>
      <c r="B266" s="4" t="s">
        <v>30</v>
      </c>
      <c r="C266" s="4" t="s">
        <v>572</v>
      </c>
      <c r="D266" s="4" t="s">
        <v>573</v>
      </c>
      <c r="E266" t="s">
        <v>17</v>
      </c>
      <c r="F266" s="4" t="s">
        <v>374</v>
      </c>
      <c r="G266" s="4" t="s">
        <v>535</v>
      </c>
      <c r="H266" s="4" t="s">
        <v>537</v>
      </c>
      <c r="I266" s="4" t="s">
        <v>573</v>
      </c>
      <c r="J266" s="4" t="s">
        <v>373</v>
      </c>
      <c r="K266" s="4" t="s">
        <v>385</v>
      </c>
      <c r="L266" s="4" t="s">
        <v>900</v>
      </c>
      <c r="M266" s="4" t="s">
        <v>441</v>
      </c>
      <c r="N266" s="4" t="s">
        <v>235</v>
      </c>
      <c r="O266" s="4" t="s">
        <v>219</v>
      </c>
      <c r="P266" t="str">
        <f>_xlfn.TEXTBEFORE(_xlfn.TEXTAFTER(Table26[[#This Row],[WBS CODE]], "-"), "-")</f>
        <v>30101040208</v>
      </c>
    </row>
    <row r="267" spans="1:16" x14ac:dyDescent="0.3">
      <c r="A267">
        <v>266</v>
      </c>
      <c r="B267" s="4" t="s">
        <v>30</v>
      </c>
      <c r="C267" s="4" t="s">
        <v>574</v>
      </c>
      <c r="D267" s="4" t="s">
        <v>575</v>
      </c>
      <c r="E267" t="s">
        <v>17</v>
      </c>
      <c r="F267" s="4" t="s">
        <v>374</v>
      </c>
      <c r="G267" s="4" t="s">
        <v>535</v>
      </c>
      <c r="H267" s="4" t="s">
        <v>537</v>
      </c>
      <c r="I267" s="4" t="s">
        <v>575</v>
      </c>
      <c r="J267" s="4" t="s">
        <v>373</v>
      </c>
      <c r="K267" s="4" t="s">
        <v>385</v>
      </c>
      <c r="L267" s="4" t="s">
        <v>900</v>
      </c>
      <c r="M267" s="4" t="s">
        <v>444</v>
      </c>
      <c r="N267" s="4" t="s">
        <v>235</v>
      </c>
      <c r="O267" s="4" t="s">
        <v>219</v>
      </c>
      <c r="P267" t="str">
        <f>_xlfn.TEXTBEFORE(_xlfn.TEXTAFTER(Table26[[#This Row],[WBS CODE]], "-"), "-")</f>
        <v>30101040207</v>
      </c>
    </row>
    <row r="268" spans="1:16" x14ac:dyDescent="0.3">
      <c r="A268">
        <v>267</v>
      </c>
      <c r="B268" s="4" t="s">
        <v>30</v>
      </c>
      <c r="C268" s="4" t="s">
        <v>576</v>
      </c>
      <c r="D268" s="4" t="s">
        <v>577</v>
      </c>
      <c r="E268" t="s">
        <v>17</v>
      </c>
      <c r="F268" s="4" t="s">
        <v>374</v>
      </c>
      <c r="G268" s="4" t="s">
        <v>535</v>
      </c>
      <c r="H268" s="4" t="s">
        <v>537</v>
      </c>
      <c r="I268" s="4" t="s">
        <v>577</v>
      </c>
      <c r="J268" s="4" t="s">
        <v>373</v>
      </c>
      <c r="K268" s="4" t="s">
        <v>385</v>
      </c>
      <c r="L268" s="4" t="s">
        <v>900</v>
      </c>
      <c r="M268" s="4" t="s">
        <v>447</v>
      </c>
      <c r="N268" s="4" t="s">
        <v>235</v>
      </c>
      <c r="O268" s="4" t="s">
        <v>219</v>
      </c>
      <c r="P268" t="str">
        <f>_xlfn.TEXTBEFORE(_xlfn.TEXTAFTER(Table26[[#This Row],[WBS CODE]], "-"), "-")</f>
        <v>30101040205</v>
      </c>
    </row>
    <row r="269" spans="1:16" x14ac:dyDescent="0.3">
      <c r="A269">
        <v>268</v>
      </c>
      <c r="B269" s="4" t="s">
        <v>30</v>
      </c>
      <c r="C269" s="4" t="s">
        <v>578</v>
      </c>
      <c r="D269" s="4" t="s">
        <v>579</v>
      </c>
      <c r="E269" t="s">
        <v>17</v>
      </c>
      <c r="F269" s="4" t="s">
        <v>374</v>
      </c>
      <c r="G269" s="4" t="s">
        <v>535</v>
      </c>
      <c r="H269" s="4" t="s">
        <v>537</v>
      </c>
      <c r="I269" s="4" t="s">
        <v>579</v>
      </c>
      <c r="J269" s="4" t="s">
        <v>373</v>
      </c>
      <c r="K269" s="4" t="s">
        <v>385</v>
      </c>
      <c r="L269" s="4" t="s">
        <v>900</v>
      </c>
      <c r="M269" s="4" t="s">
        <v>450</v>
      </c>
      <c r="N269" s="4" t="s">
        <v>235</v>
      </c>
      <c r="O269" s="4" t="s">
        <v>219</v>
      </c>
      <c r="P269" t="str">
        <f>_xlfn.TEXTBEFORE(_xlfn.TEXTAFTER(Table26[[#This Row],[WBS CODE]], "-"), "-")</f>
        <v>30101040204</v>
      </c>
    </row>
    <row r="270" spans="1:16" x14ac:dyDescent="0.3">
      <c r="A270">
        <v>269</v>
      </c>
      <c r="B270" s="4" t="s">
        <v>26</v>
      </c>
      <c r="C270" s="4" t="s">
        <v>580</v>
      </c>
      <c r="D270" s="4" t="s">
        <v>581</v>
      </c>
      <c r="E270" t="s">
        <v>17</v>
      </c>
      <c r="F270" s="4" t="s">
        <v>374</v>
      </c>
      <c r="G270" s="4" t="s">
        <v>535</v>
      </c>
      <c r="H270" s="4" t="s">
        <v>581</v>
      </c>
      <c r="I270" s="4"/>
      <c r="J270" s="4" t="s">
        <v>373</v>
      </c>
      <c r="K270" s="4" t="s">
        <v>385</v>
      </c>
      <c r="L270" s="4" t="s">
        <v>39</v>
      </c>
      <c r="M270" s="4"/>
      <c r="N270" s="4" t="s">
        <v>235</v>
      </c>
      <c r="O270" s="4" t="s">
        <v>219</v>
      </c>
      <c r="P270" t="str">
        <f>_xlfn.TEXTBEFORE(_xlfn.TEXTAFTER(Table26[[#This Row],[WBS CODE]], "-"), "-")</f>
        <v>301010401</v>
      </c>
    </row>
    <row r="271" spans="1:16" x14ac:dyDescent="0.3">
      <c r="A271">
        <v>270</v>
      </c>
      <c r="B271" s="4" t="s">
        <v>30</v>
      </c>
      <c r="C271" s="4" t="s">
        <v>582</v>
      </c>
      <c r="D271" s="4" t="s">
        <v>583</v>
      </c>
      <c r="E271" t="s">
        <v>17</v>
      </c>
      <c r="F271" s="4" t="s">
        <v>374</v>
      </c>
      <c r="G271" s="4" t="s">
        <v>535</v>
      </c>
      <c r="H271" s="4" t="s">
        <v>581</v>
      </c>
      <c r="I271" s="4" t="s">
        <v>583</v>
      </c>
      <c r="J271" s="4" t="s">
        <v>373</v>
      </c>
      <c r="K271" s="4" t="s">
        <v>385</v>
      </c>
      <c r="L271" s="4" t="s">
        <v>39</v>
      </c>
      <c r="M271" s="4" t="s">
        <v>455</v>
      </c>
      <c r="N271" s="4" t="s">
        <v>235</v>
      </c>
      <c r="O271" s="4" t="s">
        <v>219</v>
      </c>
      <c r="P271" t="str">
        <f>_xlfn.TEXTBEFORE(_xlfn.TEXTAFTER(Table26[[#This Row],[WBS CODE]], "-"), "-")</f>
        <v>30101040160</v>
      </c>
    </row>
    <row r="272" spans="1:16" x14ac:dyDescent="0.3">
      <c r="A272">
        <v>271</v>
      </c>
      <c r="B272" s="4" t="s">
        <v>26</v>
      </c>
      <c r="C272" s="4" t="s">
        <v>584</v>
      </c>
      <c r="D272" s="4" t="s">
        <v>585</v>
      </c>
      <c r="E272" t="s">
        <v>17</v>
      </c>
      <c r="F272" s="4" t="s">
        <v>374</v>
      </c>
      <c r="G272" s="4" t="s">
        <v>535</v>
      </c>
      <c r="H272" s="4" t="s">
        <v>585</v>
      </c>
      <c r="I272" s="4"/>
      <c r="J272" s="4" t="s">
        <v>373</v>
      </c>
      <c r="K272" s="4" t="s">
        <v>385</v>
      </c>
      <c r="L272" s="4" t="s">
        <v>42</v>
      </c>
      <c r="M272" s="4"/>
      <c r="N272" s="4" t="s">
        <v>235</v>
      </c>
      <c r="O272" s="4" t="s">
        <v>219</v>
      </c>
      <c r="P272" t="str">
        <f>_xlfn.TEXTBEFORE(_xlfn.TEXTAFTER(Table26[[#This Row],[WBS CODE]], "-"), "-")</f>
        <v>301010461</v>
      </c>
    </row>
    <row r="273" spans="1:16" x14ac:dyDescent="0.3">
      <c r="A273">
        <v>272</v>
      </c>
      <c r="B273" s="4" t="s">
        <v>30</v>
      </c>
      <c r="C273" s="4" t="s">
        <v>586</v>
      </c>
      <c r="D273" s="4" t="s">
        <v>587</v>
      </c>
      <c r="E273" t="s">
        <v>17</v>
      </c>
      <c r="F273" s="4" t="s">
        <v>374</v>
      </c>
      <c r="G273" s="4" t="s">
        <v>535</v>
      </c>
      <c r="H273" s="4" t="s">
        <v>585</v>
      </c>
      <c r="I273" s="4" t="s">
        <v>587</v>
      </c>
      <c r="J273" s="4" t="s">
        <v>373</v>
      </c>
      <c r="K273" s="4" t="s">
        <v>385</v>
      </c>
      <c r="L273" s="4" t="s">
        <v>42</v>
      </c>
      <c r="M273" s="4" t="s">
        <v>460</v>
      </c>
      <c r="N273" s="4" t="s">
        <v>235</v>
      </c>
      <c r="O273" s="4" t="s">
        <v>219</v>
      </c>
      <c r="P273" t="str">
        <f>_xlfn.TEXTBEFORE(_xlfn.TEXTAFTER(Table26[[#This Row],[WBS CODE]], "-"), "-")</f>
        <v>30101046162</v>
      </c>
    </row>
    <row r="274" spans="1:16" x14ac:dyDescent="0.3">
      <c r="A274">
        <v>273</v>
      </c>
      <c r="B274" s="4" t="s">
        <v>30</v>
      </c>
      <c r="C274" s="4" t="s">
        <v>588</v>
      </c>
      <c r="D274" s="4" t="s">
        <v>589</v>
      </c>
      <c r="E274" t="s">
        <v>17</v>
      </c>
      <c r="F274" s="4" t="s">
        <v>374</v>
      </c>
      <c r="G274" s="4" t="s">
        <v>535</v>
      </c>
      <c r="H274" s="4" t="s">
        <v>585</v>
      </c>
      <c r="I274" s="4" t="s">
        <v>589</v>
      </c>
      <c r="J274" s="4" t="s">
        <v>373</v>
      </c>
      <c r="K274" s="4" t="s">
        <v>385</v>
      </c>
      <c r="L274" s="4" t="s">
        <v>42</v>
      </c>
      <c r="M274" s="4" t="s">
        <v>463</v>
      </c>
      <c r="N274" s="4" t="s">
        <v>235</v>
      </c>
      <c r="O274" s="4" t="s">
        <v>219</v>
      </c>
      <c r="P274" t="str">
        <f>_xlfn.TEXTBEFORE(_xlfn.TEXTAFTER(Table26[[#This Row],[WBS CODE]], "-"), "-")</f>
        <v>30101046193</v>
      </c>
    </row>
    <row r="275" spans="1:16" x14ac:dyDescent="0.3">
      <c r="A275">
        <v>274</v>
      </c>
      <c r="B275" s="4" t="s">
        <v>30</v>
      </c>
      <c r="C275" s="4" t="s">
        <v>590</v>
      </c>
      <c r="D275" s="4" t="s">
        <v>591</v>
      </c>
      <c r="E275" t="s">
        <v>17</v>
      </c>
      <c r="F275" s="4" t="s">
        <v>374</v>
      </c>
      <c r="G275" s="4" t="s">
        <v>535</v>
      </c>
      <c r="H275" s="4" t="s">
        <v>585</v>
      </c>
      <c r="I275" s="4" t="s">
        <v>591</v>
      </c>
      <c r="J275" s="4" t="s">
        <v>373</v>
      </c>
      <c r="K275" s="4" t="s">
        <v>385</v>
      </c>
      <c r="L275" s="4" t="s">
        <v>42</v>
      </c>
      <c r="M275" s="4" t="s">
        <v>466</v>
      </c>
      <c r="N275" s="4" t="s">
        <v>235</v>
      </c>
      <c r="O275" s="4" t="s">
        <v>219</v>
      </c>
      <c r="P275" t="str">
        <f>_xlfn.TEXTBEFORE(_xlfn.TEXTAFTER(Table26[[#This Row],[WBS CODE]], "-"), "-")</f>
        <v>30101046118</v>
      </c>
    </row>
    <row r="276" spans="1:16" x14ac:dyDescent="0.3">
      <c r="A276">
        <v>275</v>
      </c>
      <c r="B276" s="4" t="s">
        <v>30</v>
      </c>
      <c r="C276" s="4" t="s">
        <v>592</v>
      </c>
      <c r="D276" s="4" t="s">
        <v>593</v>
      </c>
      <c r="E276" t="s">
        <v>17</v>
      </c>
      <c r="F276" s="4" t="s">
        <v>374</v>
      </c>
      <c r="G276" s="4" t="s">
        <v>535</v>
      </c>
      <c r="H276" s="4" t="s">
        <v>585</v>
      </c>
      <c r="I276" s="4" t="s">
        <v>593</v>
      </c>
      <c r="J276" s="4" t="s">
        <v>373</v>
      </c>
      <c r="K276" s="4" t="s">
        <v>385</v>
      </c>
      <c r="L276" s="4" t="s">
        <v>42</v>
      </c>
      <c r="M276" s="4" t="s">
        <v>438</v>
      </c>
      <c r="N276" s="4" t="s">
        <v>235</v>
      </c>
      <c r="O276" s="4" t="s">
        <v>219</v>
      </c>
      <c r="P276" t="str">
        <f>_xlfn.TEXTBEFORE(_xlfn.TEXTAFTER(Table26[[#This Row],[WBS CODE]], "-"), "-")</f>
        <v>30101046102</v>
      </c>
    </row>
    <row r="277" spans="1:16" x14ac:dyDescent="0.3">
      <c r="A277">
        <v>276</v>
      </c>
      <c r="B277" s="4" t="s">
        <v>30</v>
      </c>
      <c r="C277" s="4" t="s">
        <v>594</v>
      </c>
      <c r="D277" s="4" t="s">
        <v>595</v>
      </c>
      <c r="E277" t="s">
        <v>17</v>
      </c>
      <c r="F277" s="4" t="s">
        <v>374</v>
      </c>
      <c r="G277" s="4" t="s">
        <v>535</v>
      </c>
      <c r="H277" s="4" t="s">
        <v>585</v>
      </c>
      <c r="I277" s="4" t="s">
        <v>595</v>
      </c>
      <c r="J277" s="4" t="s">
        <v>373</v>
      </c>
      <c r="K277" s="4" t="s">
        <v>385</v>
      </c>
      <c r="L277" s="4" t="s">
        <v>42</v>
      </c>
      <c r="M277" s="4" t="s">
        <v>471</v>
      </c>
      <c r="N277" s="4" t="s">
        <v>235</v>
      </c>
      <c r="O277" s="4" t="s">
        <v>219</v>
      </c>
      <c r="P277" t="str">
        <f>_xlfn.TEXTBEFORE(_xlfn.TEXTAFTER(Table26[[#This Row],[WBS CODE]], "-"), "-")</f>
        <v>30101046101</v>
      </c>
    </row>
    <row r="278" spans="1:16" x14ac:dyDescent="0.3">
      <c r="A278">
        <v>277</v>
      </c>
      <c r="B278" s="4" t="s">
        <v>21</v>
      </c>
      <c r="C278" s="4" t="s">
        <v>596</v>
      </c>
      <c r="D278" s="4" t="s">
        <v>597</v>
      </c>
      <c r="E278" t="s">
        <v>17</v>
      </c>
      <c r="F278" s="4" t="s">
        <v>374</v>
      </c>
      <c r="G278" s="4" t="s">
        <v>597</v>
      </c>
      <c r="H278" s="4"/>
      <c r="I278" s="4"/>
      <c r="J278" s="4" t="s">
        <v>373</v>
      </c>
      <c r="K278" s="4" t="s">
        <v>385</v>
      </c>
      <c r="L278" s="4"/>
      <c r="M278" s="4"/>
      <c r="N278" s="4" t="s">
        <v>242</v>
      </c>
      <c r="O278" s="4" t="s">
        <v>219</v>
      </c>
      <c r="P278" t="str">
        <f>_xlfn.TEXTBEFORE(_xlfn.TEXTAFTER(Table26[[#This Row],[WBS CODE]], "-"), "-")</f>
        <v>3010103</v>
      </c>
    </row>
    <row r="279" spans="1:16" x14ac:dyDescent="0.3">
      <c r="A279">
        <v>278</v>
      </c>
      <c r="B279" s="4" t="s">
        <v>26</v>
      </c>
      <c r="C279" s="4" t="s">
        <v>598</v>
      </c>
      <c r="D279" s="4" t="s">
        <v>599</v>
      </c>
      <c r="E279" t="s">
        <v>17</v>
      </c>
      <c r="F279" s="4" t="s">
        <v>374</v>
      </c>
      <c r="G279" s="4" t="s">
        <v>597</v>
      </c>
      <c r="H279" s="4" t="s">
        <v>599</v>
      </c>
      <c r="I279" s="4"/>
      <c r="J279" s="4" t="s">
        <v>373</v>
      </c>
      <c r="K279" s="4" t="s">
        <v>385</v>
      </c>
      <c r="L279" s="4" t="s">
        <v>900</v>
      </c>
      <c r="M279" s="4"/>
      <c r="N279" s="4" t="s">
        <v>242</v>
      </c>
      <c r="O279" s="4" t="s">
        <v>219</v>
      </c>
      <c r="P279" t="str">
        <f>_xlfn.TEXTBEFORE(_xlfn.TEXTAFTER(Table26[[#This Row],[WBS CODE]], "-"), "-")</f>
        <v>301010302</v>
      </c>
    </row>
    <row r="280" spans="1:16" x14ac:dyDescent="0.3">
      <c r="A280">
        <v>279</v>
      </c>
      <c r="B280" s="4" t="s">
        <v>30</v>
      </c>
      <c r="C280" s="4" t="s">
        <v>600</v>
      </c>
      <c r="D280" s="4" t="s">
        <v>601</v>
      </c>
      <c r="E280" t="s">
        <v>17</v>
      </c>
      <c r="F280" s="4" t="s">
        <v>374</v>
      </c>
      <c r="G280" s="4" t="s">
        <v>597</v>
      </c>
      <c r="H280" s="4" t="s">
        <v>599</v>
      </c>
      <c r="I280" s="4" t="s">
        <v>601</v>
      </c>
      <c r="J280" s="4" t="s">
        <v>373</v>
      </c>
      <c r="K280" s="4" t="s">
        <v>385</v>
      </c>
      <c r="L280" s="4" t="s">
        <v>900</v>
      </c>
      <c r="M280" s="4" t="s">
        <v>390</v>
      </c>
      <c r="N280" s="4" t="s">
        <v>242</v>
      </c>
      <c r="O280" s="4" t="s">
        <v>219</v>
      </c>
      <c r="P280" t="str">
        <f>_xlfn.TEXTBEFORE(_xlfn.TEXTAFTER(Table26[[#This Row],[WBS CODE]], "-"), "-")</f>
        <v>30101030224</v>
      </c>
    </row>
    <row r="281" spans="1:16" x14ac:dyDescent="0.3">
      <c r="A281">
        <v>280</v>
      </c>
      <c r="B281" s="4" t="s">
        <v>30</v>
      </c>
      <c r="C281" s="4" t="s">
        <v>602</v>
      </c>
      <c r="D281" s="4" t="s">
        <v>603</v>
      </c>
      <c r="E281" t="s">
        <v>17</v>
      </c>
      <c r="F281" s="4" t="s">
        <v>374</v>
      </c>
      <c r="G281" s="4" t="s">
        <v>597</v>
      </c>
      <c r="H281" s="4" t="s">
        <v>599</v>
      </c>
      <c r="I281" s="4" t="s">
        <v>603</v>
      </c>
      <c r="J281" s="4" t="s">
        <v>373</v>
      </c>
      <c r="K281" s="4" t="s">
        <v>385</v>
      </c>
      <c r="L281" s="4" t="s">
        <v>900</v>
      </c>
      <c r="M281" s="4" t="s">
        <v>393</v>
      </c>
      <c r="N281" s="4" t="s">
        <v>242</v>
      </c>
      <c r="O281" s="4" t="s">
        <v>219</v>
      </c>
      <c r="P281" t="str">
        <f>_xlfn.TEXTBEFORE(_xlfn.TEXTAFTER(Table26[[#This Row],[WBS CODE]], "-"), "-")</f>
        <v>30101030298</v>
      </c>
    </row>
    <row r="282" spans="1:16" x14ac:dyDescent="0.3">
      <c r="A282">
        <v>281</v>
      </c>
      <c r="B282" s="4" t="s">
        <v>30</v>
      </c>
      <c r="C282" s="4" t="s">
        <v>604</v>
      </c>
      <c r="D282" s="4" t="s">
        <v>605</v>
      </c>
      <c r="E282" t="s">
        <v>17</v>
      </c>
      <c r="F282" s="4" t="s">
        <v>374</v>
      </c>
      <c r="G282" s="4" t="s">
        <v>597</v>
      </c>
      <c r="H282" s="4" t="s">
        <v>599</v>
      </c>
      <c r="I282" s="4" t="s">
        <v>605</v>
      </c>
      <c r="J282" s="4" t="s">
        <v>373</v>
      </c>
      <c r="K282" s="4" t="s">
        <v>385</v>
      </c>
      <c r="L282" s="4" t="s">
        <v>900</v>
      </c>
      <c r="M282" s="4" t="s">
        <v>396</v>
      </c>
      <c r="N282" s="4" t="s">
        <v>242</v>
      </c>
      <c r="O282" s="4" t="s">
        <v>219</v>
      </c>
      <c r="P282" t="str">
        <f>_xlfn.TEXTBEFORE(_xlfn.TEXTAFTER(Table26[[#This Row],[WBS CODE]], "-"), "-")</f>
        <v>30101030297</v>
      </c>
    </row>
    <row r="283" spans="1:16" x14ac:dyDescent="0.3">
      <c r="A283">
        <v>282</v>
      </c>
      <c r="B283" s="4" t="s">
        <v>30</v>
      </c>
      <c r="C283" s="4" t="s">
        <v>606</v>
      </c>
      <c r="D283" s="4" t="s">
        <v>607</v>
      </c>
      <c r="E283" t="s">
        <v>17</v>
      </c>
      <c r="F283" s="4" t="s">
        <v>374</v>
      </c>
      <c r="G283" s="4" t="s">
        <v>597</v>
      </c>
      <c r="H283" s="4" t="s">
        <v>599</v>
      </c>
      <c r="I283" s="4" t="s">
        <v>607</v>
      </c>
      <c r="J283" s="4" t="s">
        <v>373</v>
      </c>
      <c r="K283" s="4" t="s">
        <v>385</v>
      </c>
      <c r="L283" s="4" t="s">
        <v>900</v>
      </c>
      <c r="M283" s="4" t="s">
        <v>399</v>
      </c>
      <c r="N283" s="4" t="s">
        <v>242</v>
      </c>
      <c r="O283" s="4" t="s">
        <v>219</v>
      </c>
      <c r="P283" t="str">
        <f>_xlfn.TEXTBEFORE(_xlfn.TEXTAFTER(Table26[[#This Row],[WBS CODE]], "-"), "-")</f>
        <v>30101030296</v>
      </c>
    </row>
    <row r="284" spans="1:16" x14ac:dyDescent="0.3">
      <c r="A284">
        <v>283</v>
      </c>
      <c r="B284" s="4" t="s">
        <v>30</v>
      </c>
      <c r="C284" s="4" t="s">
        <v>608</v>
      </c>
      <c r="D284" s="4" t="s">
        <v>609</v>
      </c>
      <c r="E284" t="s">
        <v>17</v>
      </c>
      <c r="F284" s="4" t="s">
        <v>374</v>
      </c>
      <c r="G284" s="4" t="s">
        <v>597</v>
      </c>
      <c r="H284" s="4" t="s">
        <v>599</v>
      </c>
      <c r="I284" s="4" t="s">
        <v>609</v>
      </c>
      <c r="J284" s="4" t="s">
        <v>373</v>
      </c>
      <c r="K284" s="4" t="s">
        <v>385</v>
      </c>
      <c r="L284" s="4" t="s">
        <v>900</v>
      </c>
      <c r="M284" s="4" t="s">
        <v>402</v>
      </c>
      <c r="N284" s="4" t="s">
        <v>242</v>
      </c>
      <c r="O284" s="4" t="s">
        <v>219</v>
      </c>
      <c r="P284" t="str">
        <f>_xlfn.TEXTBEFORE(_xlfn.TEXTAFTER(Table26[[#This Row],[WBS CODE]], "-"), "-")</f>
        <v>30101030295</v>
      </c>
    </row>
    <row r="285" spans="1:16" x14ac:dyDescent="0.3">
      <c r="A285">
        <v>284</v>
      </c>
      <c r="B285" s="4" t="s">
        <v>30</v>
      </c>
      <c r="C285" s="4" t="s">
        <v>610</v>
      </c>
      <c r="D285" s="4" t="s">
        <v>611</v>
      </c>
      <c r="E285" t="s">
        <v>17</v>
      </c>
      <c r="F285" s="4" t="s">
        <v>374</v>
      </c>
      <c r="G285" s="4" t="s">
        <v>597</v>
      </c>
      <c r="H285" s="4" t="s">
        <v>599</v>
      </c>
      <c r="I285" s="4" t="s">
        <v>611</v>
      </c>
      <c r="J285" s="4" t="s">
        <v>373</v>
      </c>
      <c r="K285" s="4" t="s">
        <v>385</v>
      </c>
      <c r="L285" s="4" t="s">
        <v>900</v>
      </c>
      <c r="M285" s="4" t="s">
        <v>405</v>
      </c>
      <c r="N285" s="4" t="s">
        <v>242</v>
      </c>
      <c r="O285" s="4" t="s">
        <v>219</v>
      </c>
      <c r="P285" t="str">
        <f>_xlfn.TEXTBEFORE(_xlfn.TEXTAFTER(Table26[[#This Row],[WBS CODE]], "-"), "-")</f>
        <v>30101030294</v>
      </c>
    </row>
    <row r="286" spans="1:16" x14ac:dyDescent="0.3">
      <c r="A286">
        <v>285</v>
      </c>
      <c r="B286" s="4" t="s">
        <v>30</v>
      </c>
      <c r="C286" s="4" t="s">
        <v>612</v>
      </c>
      <c r="D286" s="4" t="s">
        <v>613</v>
      </c>
      <c r="E286" t="s">
        <v>17</v>
      </c>
      <c r="F286" s="4" t="s">
        <v>374</v>
      </c>
      <c r="G286" s="4" t="s">
        <v>597</v>
      </c>
      <c r="H286" s="4" t="s">
        <v>599</v>
      </c>
      <c r="I286" s="4" t="s">
        <v>613</v>
      </c>
      <c r="J286" s="4" t="s">
        <v>373</v>
      </c>
      <c r="K286" s="4" t="s">
        <v>385</v>
      </c>
      <c r="L286" s="4" t="s">
        <v>900</v>
      </c>
      <c r="M286" s="4" t="s">
        <v>408</v>
      </c>
      <c r="N286" s="4" t="s">
        <v>242</v>
      </c>
      <c r="O286" s="4" t="s">
        <v>219</v>
      </c>
      <c r="P286" t="str">
        <f>_xlfn.TEXTBEFORE(_xlfn.TEXTAFTER(Table26[[#This Row],[WBS CODE]], "-"), "-")</f>
        <v>30101030220</v>
      </c>
    </row>
    <row r="287" spans="1:16" x14ac:dyDescent="0.3">
      <c r="A287">
        <v>286</v>
      </c>
      <c r="B287" s="4" t="s">
        <v>30</v>
      </c>
      <c r="C287" s="4" t="s">
        <v>614</v>
      </c>
      <c r="D287" s="4" t="s">
        <v>615</v>
      </c>
      <c r="E287" t="s">
        <v>17</v>
      </c>
      <c r="F287" s="4" t="s">
        <v>374</v>
      </c>
      <c r="G287" s="4" t="s">
        <v>597</v>
      </c>
      <c r="H287" s="4" t="s">
        <v>599</v>
      </c>
      <c r="I287" s="4" t="s">
        <v>615</v>
      </c>
      <c r="J287" s="4" t="s">
        <v>373</v>
      </c>
      <c r="K287" s="4" t="s">
        <v>385</v>
      </c>
      <c r="L287" s="4" t="s">
        <v>900</v>
      </c>
      <c r="M287" s="4" t="s">
        <v>411</v>
      </c>
      <c r="N287" s="4" t="s">
        <v>242</v>
      </c>
      <c r="O287" s="4" t="s">
        <v>219</v>
      </c>
      <c r="P287" t="str">
        <f>_xlfn.TEXTBEFORE(_xlfn.TEXTAFTER(Table26[[#This Row],[WBS CODE]], "-"), "-")</f>
        <v>30101030217</v>
      </c>
    </row>
    <row r="288" spans="1:16" x14ac:dyDescent="0.3">
      <c r="A288">
        <v>287</v>
      </c>
      <c r="B288" s="4" t="s">
        <v>30</v>
      </c>
      <c r="C288" s="4" t="s">
        <v>616</v>
      </c>
      <c r="D288" s="4" t="s">
        <v>617</v>
      </c>
      <c r="E288" t="s">
        <v>17</v>
      </c>
      <c r="F288" s="4" t="s">
        <v>374</v>
      </c>
      <c r="G288" s="4" t="s">
        <v>597</v>
      </c>
      <c r="H288" s="4" t="s">
        <v>599</v>
      </c>
      <c r="I288" s="4" t="s">
        <v>617</v>
      </c>
      <c r="J288" s="4" t="s">
        <v>373</v>
      </c>
      <c r="K288" s="4" t="s">
        <v>385</v>
      </c>
      <c r="L288" s="4" t="s">
        <v>900</v>
      </c>
      <c r="M288" s="4" t="s">
        <v>414</v>
      </c>
      <c r="N288" s="4" t="s">
        <v>242</v>
      </c>
      <c r="O288" s="4" t="s">
        <v>219</v>
      </c>
      <c r="P288" t="str">
        <f>_xlfn.TEXTBEFORE(_xlfn.TEXTAFTER(Table26[[#This Row],[WBS CODE]], "-"), "-")</f>
        <v>30101030216</v>
      </c>
    </row>
    <row r="289" spans="1:16" x14ac:dyDescent="0.3">
      <c r="A289">
        <v>288</v>
      </c>
      <c r="B289" s="4" t="s">
        <v>30</v>
      </c>
      <c r="C289" s="4" t="s">
        <v>618</v>
      </c>
      <c r="D289" s="4" t="s">
        <v>619</v>
      </c>
      <c r="E289" t="s">
        <v>17</v>
      </c>
      <c r="F289" s="4" t="s">
        <v>374</v>
      </c>
      <c r="G289" s="4" t="s">
        <v>597</v>
      </c>
      <c r="H289" s="4" t="s">
        <v>599</v>
      </c>
      <c r="I289" s="4" t="s">
        <v>619</v>
      </c>
      <c r="J289" s="4" t="s">
        <v>373</v>
      </c>
      <c r="K289" s="4" t="s">
        <v>385</v>
      </c>
      <c r="L289" s="4" t="s">
        <v>900</v>
      </c>
      <c r="M289" s="4" t="s">
        <v>417</v>
      </c>
      <c r="N289" s="4" t="s">
        <v>242</v>
      </c>
      <c r="O289" s="4" t="s">
        <v>219</v>
      </c>
      <c r="P289" t="str">
        <f>_xlfn.TEXTBEFORE(_xlfn.TEXTAFTER(Table26[[#This Row],[WBS CODE]], "-"), "-")</f>
        <v>30101030215</v>
      </c>
    </row>
    <row r="290" spans="1:16" x14ac:dyDescent="0.3">
      <c r="A290">
        <v>289</v>
      </c>
      <c r="B290" s="4" t="s">
        <v>30</v>
      </c>
      <c r="C290" s="4" t="s">
        <v>620</v>
      </c>
      <c r="D290" s="4" t="s">
        <v>621</v>
      </c>
      <c r="E290" t="s">
        <v>17</v>
      </c>
      <c r="F290" s="4" t="s">
        <v>374</v>
      </c>
      <c r="G290" s="4" t="s">
        <v>597</v>
      </c>
      <c r="H290" s="4" t="s">
        <v>599</v>
      </c>
      <c r="I290" s="4" t="s">
        <v>621</v>
      </c>
      <c r="J290" s="4" t="s">
        <v>373</v>
      </c>
      <c r="K290" s="4" t="s">
        <v>385</v>
      </c>
      <c r="L290" s="4" t="s">
        <v>900</v>
      </c>
      <c r="M290" s="4" t="s">
        <v>420</v>
      </c>
      <c r="N290" s="4" t="s">
        <v>242</v>
      </c>
      <c r="O290" s="4" t="s">
        <v>219</v>
      </c>
      <c r="P290" t="str">
        <f>_xlfn.TEXTBEFORE(_xlfn.TEXTAFTER(Table26[[#This Row],[WBS CODE]], "-"), "-")</f>
        <v>30101030214</v>
      </c>
    </row>
    <row r="291" spans="1:16" x14ac:dyDescent="0.3">
      <c r="A291">
        <v>290</v>
      </c>
      <c r="B291" s="4" t="s">
        <v>30</v>
      </c>
      <c r="C291" s="4" t="s">
        <v>622</v>
      </c>
      <c r="D291" s="4" t="s">
        <v>623</v>
      </c>
      <c r="E291" t="s">
        <v>17</v>
      </c>
      <c r="F291" s="4" t="s">
        <v>374</v>
      </c>
      <c r="G291" s="4" t="s">
        <v>597</v>
      </c>
      <c r="H291" s="4" t="s">
        <v>599</v>
      </c>
      <c r="I291" s="4" t="s">
        <v>623</v>
      </c>
      <c r="J291" s="4" t="s">
        <v>373</v>
      </c>
      <c r="K291" s="4" t="s">
        <v>385</v>
      </c>
      <c r="L291" s="4" t="s">
        <v>900</v>
      </c>
      <c r="M291" s="4" t="s">
        <v>423</v>
      </c>
      <c r="N291" s="4" t="s">
        <v>242</v>
      </c>
      <c r="O291" s="4" t="s">
        <v>219</v>
      </c>
      <c r="P291" t="str">
        <f>_xlfn.TEXTBEFORE(_xlfn.TEXTAFTER(Table26[[#This Row],[WBS CODE]], "-"), "-")</f>
        <v>30101030213</v>
      </c>
    </row>
    <row r="292" spans="1:16" x14ac:dyDescent="0.3">
      <c r="A292">
        <v>291</v>
      </c>
      <c r="B292" s="4" t="s">
        <v>30</v>
      </c>
      <c r="C292" s="4" t="s">
        <v>624</v>
      </c>
      <c r="D292" s="4" t="s">
        <v>625</v>
      </c>
      <c r="E292" t="s">
        <v>17</v>
      </c>
      <c r="F292" s="4" t="s">
        <v>374</v>
      </c>
      <c r="G292" s="4" t="s">
        <v>597</v>
      </c>
      <c r="H292" s="4" t="s">
        <v>599</v>
      </c>
      <c r="I292" s="4" t="s">
        <v>625</v>
      </c>
      <c r="J292" s="4" t="s">
        <v>373</v>
      </c>
      <c r="K292" s="4" t="s">
        <v>385</v>
      </c>
      <c r="L292" s="4" t="s">
        <v>900</v>
      </c>
      <c r="M292" s="4" t="s">
        <v>426</v>
      </c>
      <c r="N292" s="4" t="s">
        <v>242</v>
      </c>
      <c r="O292" s="4" t="s">
        <v>219</v>
      </c>
      <c r="P292" t="str">
        <f>_xlfn.TEXTBEFORE(_xlfn.TEXTAFTER(Table26[[#This Row],[WBS CODE]], "-"), "-")</f>
        <v>30101030247</v>
      </c>
    </row>
    <row r="293" spans="1:16" x14ac:dyDescent="0.3">
      <c r="A293">
        <v>292</v>
      </c>
      <c r="B293" s="4" t="s">
        <v>30</v>
      </c>
      <c r="C293" s="4" t="s">
        <v>626</v>
      </c>
      <c r="D293" s="4" t="s">
        <v>627</v>
      </c>
      <c r="E293" t="s">
        <v>17</v>
      </c>
      <c r="F293" s="4" t="s">
        <v>374</v>
      </c>
      <c r="G293" s="4" t="s">
        <v>597</v>
      </c>
      <c r="H293" s="4" t="s">
        <v>599</v>
      </c>
      <c r="I293" s="4" t="s">
        <v>627</v>
      </c>
      <c r="J293" s="4" t="s">
        <v>373</v>
      </c>
      <c r="K293" s="4" t="s">
        <v>385</v>
      </c>
      <c r="L293" s="4" t="s">
        <v>900</v>
      </c>
      <c r="M293" s="4" t="s">
        <v>429</v>
      </c>
      <c r="N293" s="4" t="s">
        <v>242</v>
      </c>
      <c r="O293" s="4" t="s">
        <v>219</v>
      </c>
      <c r="P293" t="str">
        <f>_xlfn.TEXTBEFORE(_xlfn.TEXTAFTER(Table26[[#This Row],[WBS CODE]], "-"), "-")</f>
        <v>30101030212</v>
      </c>
    </row>
    <row r="294" spans="1:16" x14ac:dyDescent="0.3">
      <c r="A294">
        <v>293</v>
      </c>
      <c r="B294" s="4" t="s">
        <v>30</v>
      </c>
      <c r="C294" s="4" t="s">
        <v>628</v>
      </c>
      <c r="D294" s="4" t="s">
        <v>629</v>
      </c>
      <c r="E294" t="s">
        <v>17</v>
      </c>
      <c r="F294" s="4" t="s">
        <v>374</v>
      </c>
      <c r="G294" s="4" t="s">
        <v>597</v>
      </c>
      <c r="H294" s="4" t="s">
        <v>599</v>
      </c>
      <c r="I294" s="4" t="s">
        <v>629</v>
      </c>
      <c r="J294" s="4" t="s">
        <v>373</v>
      </c>
      <c r="K294" s="4" t="s">
        <v>385</v>
      </c>
      <c r="L294" s="4" t="s">
        <v>900</v>
      </c>
      <c r="M294" s="4" t="s">
        <v>432</v>
      </c>
      <c r="N294" s="4" t="s">
        <v>242</v>
      </c>
      <c r="O294" s="4" t="s">
        <v>219</v>
      </c>
      <c r="P294" t="str">
        <f>_xlfn.TEXTBEFORE(_xlfn.TEXTAFTER(Table26[[#This Row],[WBS CODE]], "-"), "-")</f>
        <v>30101030211</v>
      </c>
    </row>
    <row r="295" spans="1:16" x14ac:dyDescent="0.3">
      <c r="A295">
        <v>294</v>
      </c>
      <c r="B295" s="4" t="s">
        <v>30</v>
      </c>
      <c r="C295" s="4" t="s">
        <v>630</v>
      </c>
      <c r="D295" s="4" t="s">
        <v>631</v>
      </c>
      <c r="E295" t="s">
        <v>17</v>
      </c>
      <c r="F295" s="4" t="s">
        <v>374</v>
      </c>
      <c r="G295" s="4" t="s">
        <v>597</v>
      </c>
      <c r="H295" s="4" t="s">
        <v>599</v>
      </c>
      <c r="I295" s="4" t="s">
        <v>631</v>
      </c>
      <c r="J295" s="4" t="s">
        <v>373</v>
      </c>
      <c r="K295" s="4" t="s">
        <v>385</v>
      </c>
      <c r="L295" s="4" t="s">
        <v>900</v>
      </c>
      <c r="M295" s="4" t="s">
        <v>435</v>
      </c>
      <c r="N295" s="4" t="s">
        <v>242</v>
      </c>
      <c r="O295" s="4" t="s">
        <v>219</v>
      </c>
      <c r="P295" t="str">
        <f>_xlfn.TEXTBEFORE(_xlfn.TEXTAFTER(Table26[[#This Row],[WBS CODE]], "-"), "-")</f>
        <v>30101030210</v>
      </c>
    </row>
    <row r="296" spans="1:16" x14ac:dyDescent="0.3">
      <c r="A296">
        <v>295</v>
      </c>
      <c r="B296" s="4" t="s">
        <v>30</v>
      </c>
      <c r="C296" s="4" t="s">
        <v>632</v>
      </c>
      <c r="D296" s="4" t="s">
        <v>633</v>
      </c>
      <c r="E296" t="s">
        <v>17</v>
      </c>
      <c r="F296" s="4" t="s">
        <v>374</v>
      </c>
      <c r="G296" s="4" t="s">
        <v>597</v>
      </c>
      <c r="H296" s="4" t="s">
        <v>599</v>
      </c>
      <c r="I296" s="4" t="s">
        <v>633</v>
      </c>
      <c r="J296" s="4" t="s">
        <v>373</v>
      </c>
      <c r="K296" s="4" t="s">
        <v>385</v>
      </c>
      <c r="L296" s="4" t="s">
        <v>900</v>
      </c>
      <c r="M296" s="4" t="s">
        <v>438</v>
      </c>
      <c r="N296" s="4" t="s">
        <v>242</v>
      </c>
      <c r="O296" s="4" t="s">
        <v>219</v>
      </c>
      <c r="P296" t="str">
        <f>_xlfn.TEXTBEFORE(_xlfn.TEXTAFTER(Table26[[#This Row],[WBS CODE]], "-"), "-")</f>
        <v>30101030209</v>
      </c>
    </row>
    <row r="297" spans="1:16" x14ac:dyDescent="0.3">
      <c r="A297">
        <v>296</v>
      </c>
      <c r="B297" s="4" t="s">
        <v>30</v>
      </c>
      <c r="C297" s="4" t="s">
        <v>634</v>
      </c>
      <c r="D297" s="4" t="s">
        <v>635</v>
      </c>
      <c r="E297" t="s">
        <v>17</v>
      </c>
      <c r="F297" s="4" t="s">
        <v>374</v>
      </c>
      <c r="G297" s="4" t="s">
        <v>597</v>
      </c>
      <c r="H297" s="4" t="s">
        <v>599</v>
      </c>
      <c r="I297" s="4" t="s">
        <v>635</v>
      </c>
      <c r="J297" s="4" t="s">
        <v>373</v>
      </c>
      <c r="K297" s="4" t="s">
        <v>385</v>
      </c>
      <c r="L297" s="4" t="s">
        <v>900</v>
      </c>
      <c r="M297" s="4" t="s">
        <v>441</v>
      </c>
      <c r="N297" s="4" t="s">
        <v>242</v>
      </c>
      <c r="O297" s="4" t="s">
        <v>219</v>
      </c>
      <c r="P297" t="str">
        <f>_xlfn.TEXTBEFORE(_xlfn.TEXTAFTER(Table26[[#This Row],[WBS CODE]], "-"), "-")</f>
        <v>30101030208</v>
      </c>
    </row>
    <row r="298" spans="1:16" x14ac:dyDescent="0.3">
      <c r="A298">
        <v>297</v>
      </c>
      <c r="B298" s="4" t="s">
        <v>30</v>
      </c>
      <c r="C298" s="4" t="s">
        <v>636</v>
      </c>
      <c r="D298" s="4" t="s">
        <v>637</v>
      </c>
      <c r="E298" t="s">
        <v>17</v>
      </c>
      <c r="F298" s="4" t="s">
        <v>374</v>
      </c>
      <c r="G298" s="4" t="s">
        <v>597</v>
      </c>
      <c r="H298" s="4" t="s">
        <v>599</v>
      </c>
      <c r="I298" s="4" t="s">
        <v>637</v>
      </c>
      <c r="J298" s="4" t="s">
        <v>373</v>
      </c>
      <c r="K298" s="4" t="s">
        <v>385</v>
      </c>
      <c r="L298" s="4" t="s">
        <v>900</v>
      </c>
      <c r="M298" s="4" t="s">
        <v>444</v>
      </c>
      <c r="N298" s="4" t="s">
        <v>242</v>
      </c>
      <c r="O298" s="4" t="s">
        <v>219</v>
      </c>
      <c r="P298" t="str">
        <f>_xlfn.TEXTBEFORE(_xlfn.TEXTAFTER(Table26[[#This Row],[WBS CODE]], "-"), "-")</f>
        <v>30101030207</v>
      </c>
    </row>
    <row r="299" spans="1:16" x14ac:dyDescent="0.3">
      <c r="A299">
        <v>298</v>
      </c>
      <c r="B299" s="4" t="s">
        <v>30</v>
      </c>
      <c r="C299" s="4" t="s">
        <v>638</v>
      </c>
      <c r="D299" s="4" t="s">
        <v>639</v>
      </c>
      <c r="E299" t="s">
        <v>17</v>
      </c>
      <c r="F299" s="4" t="s">
        <v>374</v>
      </c>
      <c r="G299" s="4" t="s">
        <v>597</v>
      </c>
      <c r="H299" s="4" t="s">
        <v>599</v>
      </c>
      <c r="I299" s="4" t="s">
        <v>639</v>
      </c>
      <c r="J299" s="4" t="s">
        <v>373</v>
      </c>
      <c r="K299" s="4" t="s">
        <v>385</v>
      </c>
      <c r="L299" s="4" t="s">
        <v>900</v>
      </c>
      <c r="M299" s="4" t="s">
        <v>447</v>
      </c>
      <c r="N299" s="4" t="s">
        <v>242</v>
      </c>
      <c r="O299" s="4" t="s">
        <v>219</v>
      </c>
      <c r="P299" t="str">
        <f>_xlfn.TEXTBEFORE(_xlfn.TEXTAFTER(Table26[[#This Row],[WBS CODE]], "-"), "-")</f>
        <v>30101030205</v>
      </c>
    </row>
    <row r="300" spans="1:16" x14ac:dyDescent="0.3">
      <c r="A300">
        <v>299</v>
      </c>
      <c r="B300" s="4" t="s">
        <v>30</v>
      </c>
      <c r="C300" s="4" t="s">
        <v>640</v>
      </c>
      <c r="D300" s="4" t="s">
        <v>641</v>
      </c>
      <c r="E300" t="s">
        <v>17</v>
      </c>
      <c r="F300" s="4" t="s">
        <v>374</v>
      </c>
      <c r="G300" s="4" t="s">
        <v>597</v>
      </c>
      <c r="H300" s="4" t="s">
        <v>599</v>
      </c>
      <c r="I300" s="4" t="s">
        <v>641</v>
      </c>
      <c r="J300" s="4" t="s">
        <v>373</v>
      </c>
      <c r="K300" s="4" t="s">
        <v>385</v>
      </c>
      <c r="L300" s="4" t="s">
        <v>900</v>
      </c>
      <c r="M300" s="4" t="s">
        <v>450</v>
      </c>
      <c r="N300" s="4" t="s">
        <v>242</v>
      </c>
      <c r="O300" s="4" t="s">
        <v>219</v>
      </c>
      <c r="P300" t="str">
        <f>_xlfn.TEXTBEFORE(_xlfn.TEXTAFTER(Table26[[#This Row],[WBS CODE]], "-"), "-")</f>
        <v>30101030204</v>
      </c>
    </row>
    <row r="301" spans="1:16" x14ac:dyDescent="0.3">
      <c r="A301">
        <v>300</v>
      </c>
      <c r="B301" s="4" t="s">
        <v>26</v>
      </c>
      <c r="C301" s="4" t="s">
        <v>642</v>
      </c>
      <c r="D301" s="4" t="s">
        <v>643</v>
      </c>
      <c r="E301" t="s">
        <v>17</v>
      </c>
      <c r="F301" s="4" t="s">
        <v>374</v>
      </c>
      <c r="G301" s="4" t="s">
        <v>597</v>
      </c>
      <c r="H301" s="4" t="s">
        <v>643</v>
      </c>
      <c r="I301" s="4"/>
      <c r="J301" s="4" t="s">
        <v>373</v>
      </c>
      <c r="K301" s="4" t="s">
        <v>385</v>
      </c>
      <c r="L301" s="4" t="s">
        <v>39</v>
      </c>
      <c r="M301" s="4"/>
      <c r="N301" s="4" t="s">
        <v>242</v>
      </c>
      <c r="O301" s="4" t="s">
        <v>219</v>
      </c>
      <c r="P301" t="str">
        <f>_xlfn.TEXTBEFORE(_xlfn.TEXTAFTER(Table26[[#This Row],[WBS CODE]], "-"), "-")</f>
        <v>301010301</v>
      </c>
    </row>
    <row r="302" spans="1:16" x14ac:dyDescent="0.3">
      <c r="A302">
        <v>301</v>
      </c>
      <c r="B302" s="4" t="s">
        <v>30</v>
      </c>
      <c r="C302" s="4" t="s">
        <v>644</v>
      </c>
      <c r="D302" s="4" t="s">
        <v>645</v>
      </c>
      <c r="E302" t="s">
        <v>17</v>
      </c>
      <c r="F302" s="4" t="s">
        <v>374</v>
      </c>
      <c r="G302" s="4" t="s">
        <v>597</v>
      </c>
      <c r="H302" s="4" t="s">
        <v>643</v>
      </c>
      <c r="I302" s="4" t="s">
        <v>645</v>
      </c>
      <c r="J302" s="4" t="s">
        <v>373</v>
      </c>
      <c r="K302" s="4" t="s">
        <v>385</v>
      </c>
      <c r="L302" s="4" t="s">
        <v>39</v>
      </c>
      <c r="M302" s="4" t="s">
        <v>455</v>
      </c>
      <c r="N302" s="4" t="s">
        <v>242</v>
      </c>
      <c r="O302" s="4" t="s">
        <v>219</v>
      </c>
      <c r="P302" t="str">
        <f>_xlfn.TEXTBEFORE(_xlfn.TEXTAFTER(Table26[[#This Row],[WBS CODE]], "-"), "-")</f>
        <v>30101030160</v>
      </c>
    </row>
    <row r="303" spans="1:16" x14ac:dyDescent="0.3">
      <c r="A303">
        <v>302</v>
      </c>
      <c r="B303" s="4" t="s">
        <v>26</v>
      </c>
      <c r="C303" s="4" t="s">
        <v>646</v>
      </c>
      <c r="D303" s="4" t="s">
        <v>647</v>
      </c>
      <c r="E303" t="s">
        <v>17</v>
      </c>
      <c r="F303" s="4" t="s">
        <v>374</v>
      </c>
      <c r="G303" s="4" t="s">
        <v>597</v>
      </c>
      <c r="H303" s="4" t="s">
        <v>647</v>
      </c>
      <c r="I303" s="4"/>
      <c r="J303" s="4" t="s">
        <v>373</v>
      </c>
      <c r="K303" s="4" t="s">
        <v>385</v>
      </c>
      <c r="L303" s="4" t="s">
        <v>42</v>
      </c>
      <c r="M303" s="4"/>
      <c r="N303" s="4" t="s">
        <v>242</v>
      </c>
      <c r="O303" s="4" t="s">
        <v>219</v>
      </c>
      <c r="P303" t="str">
        <f>_xlfn.TEXTBEFORE(_xlfn.TEXTAFTER(Table26[[#This Row],[WBS CODE]], "-"), "-")</f>
        <v>301010361</v>
      </c>
    </row>
    <row r="304" spans="1:16" x14ac:dyDescent="0.3">
      <c r="A304">
        <v>303</v>
      </c>
      <c r="B304" s="4" t="s">
        <v>30</v>
      </c>
      <c r="C304" s="4" t="s">
        <v>648</v>
      </c>
      <c r="D304" s="4" t="s">
        <v>649</v>
      </c>
      <c r="E304" t="s">
        <v>17</v>
      </c>
      <c r="F304" s="4" t="s">
        <v>374</v>
      </c>
      <c r="G304" s="4" t="s">
        <v>597</v>
      </c>
      <c r="H304" s="4" t="s">
        <v>647</v>
      </c>
      <c r="I304" s="4" t="s">
        <v>649</v>
      </c>
      <c r="J304" s="4" t="s">
        <v>373</v>
      </c>
      <c r="K304" s="4" t="s">
        <v>385</v>
      </c>
      <c r="L304" s="4" t="s">
        <v>42</v>
      </c>
      <c r="M304" s="4" t="s">
        <v>460</v>
      </c>
      <c r="N304" s="4" t="s">
        <v>242</v>
      </c>
      <c r="O304" s="4" t="s">
        <v>219</v>
      </c>
      <c r="P304" t="str">
        <f>_xlfn.TEXTBEFORE(_xlfn.TEXTAFTER(Table26[[#This Row],[WBS CODE]], "-"), "-")</f>
        <v>30101036162</v>
      </c>
    </row>
    <row r="305" spans="1:16" x14ac:dyDescent="0.3">
      <c r="A305">
        <v>304</v>
      </c>
      <c r="B305" s="4" t="s">
        <v>30</v>
      </c>
      <c r="C305" s="4" t="s">
        <v>650</v>
      </c>
      <c r="D305" s="4" t="s">
        <v>651</v>
      </c>
      <c r="E305" t="s">
        <v>17</v>
      </c>
      <c r="F305" s="4" t="s">
        <v>374</v>
      </c>
      <c r="G305" s="4" t="s">
        <v>597</v>
      </c>
      <c r="H305" s="4" t="s">
        <v>647</v>
      </c>
      <c r="I305" s="4" t="s">
        <v>651</v>
      </c>
      <c r="J305" s="4" t="s">
        <v>373</v>
      </c>
      <c r="K305" s="4" t="s">
        <v>385</v>
      </c>
      <c r="L305" s="4" t="s">
        <v>42</v>
      </c>
      <c r="M305" s="4" t="s">
        <v>463</v>
      </c>
      <c r="N305" s="4" t="s">
        <v>242</v>
      </c>
      <c r="O305" s="4" t="s">
        <v>219</v>
      </c>
      <c r="P305" t="str">
        <f>_xlfn.TEXTBEFORE(_xlfn.TEXTAFTER(Table26[[#This Row],[WBS CODE]], "-"), "-")</f>
        <v>30101036193</v>
      </c>
    </row>
    <row r="306" spans="1:16" x14ac:dyDescent="0.3">
      <c r="A306">
        <v>305</v>
      </c>
      <c r="B306" s="4" t="s">
        <v>30</v>
      </c>
      <c r="C306" s="4" t="s">
        <v>652</v>
      </c>
      <c r="D306" s="4" t="s">
        <v>653</v>
      </c>
      <c r="E306" t="s">
        <v>17</v>
      </c>
      <c r="F306" s="4" t="s">
        <v>374</v>
      </c>
      <c r="G306" s="4" t="s">
        <v>597</v>
      </c>
      <c r="H306" s="4" t="s">
        <v>647</v>
      </c>
      <c r="I306" s="4" t="s">
        <v>653</v>
      </c>
      <c r="J306" s="4" t="s">
        <v>373</v>
      </c>
      <c r="K306" s="4" t="s">
        <v>385</v>
      </c>
      <c r="L306" s="4" t="s">
        <v>42</v>
      </c>
      <c r="M306" s="4" t="s">
        <v>466</v>
      </c>
      <c r="N306" s="4" t="s">
        <v>242</v>
      </c>
      <c r="O306" s="4" t="s">
        <v>219</v>
      </c>
      <c r="P306" t="str">
        <f>_xlfn.TEXTBEFORE(_xlfn.TEXTAFTER(Table26[[#This Row],[WBS CODE]], "-"), "-")</f>
        <v>30101036118</v>
      </c>
    </row>
    <row r="307" spans="1:16" x14ac:dyDescent="0.3">
      <c r="A307">
        <v>306</v>
      </c>
      <c r="B307" s="4" t="s">
        <v>30</v>
      </c>
      <c r="C307" s="4" t="s">
        <v>654</v>
      </c>
      <c r="D307" s="4" t="s">
        <v>655</v>
      </c>
      <c r="E307" t="s">
        <v>17</v>
      </c>
      <c r="F307" s="4" t="s">
        <v>374</v>
      </c>
      <c r="G307" s="4" t="s">
        <v>597</v>
      </c>
      <c r="H307" s="4" t="s">
        <v>647</v>
      </c>
      <c r="I307" s="4" t="s">
        <v>655</v>
      </c>
      <c r="J307" s="4" t="s">
        <v>373</v>
      </c>
      <c r="K307" s="4" t="s">
        <v>385</v>
      </c>
      <c r="L307" s="4" t="s">
        <v>42</v>
      </c>
      <c r="M307" s="4" t="s">
        <v>438</v>
      </c>
      <c r="N307" s="4" t="s">
        <v>242</v>
      </c>
      <c r="O307" s="4" t="s">
        <v>219</v>
      </c>
      <c r="P307" t="str">
        <f>_xlfn.TEXTBEFORE(_xlfn.TEXTAFTER(Table26[[#This Row],[WBS CODE]], "-"), "-")</f>
        <v>30101036102</v>
      </c>
    </row>
    <row r="308" spans="1:16" x14ac:dyDescent="0.3">
      <c r="A308">
        <v>307</v>
      </c>
      <c r="B308" s="4" t="s">
        <v>30</v>
      </c>
      <c r="C308" s="4" t="s">
        <v>656</v>
      </c>
      <c r="D308" s="4" t="s">
        <v>657</v>
      </c>
      <c r="E308" t="s">
        <v>17</v>
      </c>
      <c r="F308" s="4" t="s">
        <v>374</v>
      </c>
      <c r="G308" s="4" t="s">
        <v>597</v>
      </c>
      <c r="H308" s="4" t="s">
        <v>647</v>
      </c>
      <c r="I308" s="4" t="s">
        <v>657</v>
      </c>
      <c r="J308" s="4" t="s">
        <v>373</v>
      </c>
      <c r="K308" s="4" t="s">
        <v>385</v>
      </c>
      <c r="L308" s="4" t="s">
        <v>42</v>
      </c>
      <c r="M308" s="4" t="s">
        <v>471</v>
      </c>
      <c r="N308" s="4" t="s">
        <v>242</v>
      </c>
      <c r="O308" s="4" t="s">
        <v>219</v>
      </c>
      <c r="P308" t="str">
        <f>_xlfn.TEXTBEFORE(_xlfn.TEXTAFTER(Table26[[#This Row],[WBS CODE]], "-"), "-")</f>
        <v>30101036101</v>
      </c>
    </row>
    <row r="309" spans="1:16" x14ac:dyDescent="0.3">
      <c r="A309">
        <v>308</v>
      </c>
      <c r="B309" s="4" t="s">
        <v>21</v>
      </c>
      <c r="C309" s="4" t="s">
        <v>658</v>
      </c>
      <c r="D309" s="4" t="s">
        <v>659</v>
      </c>
      <c r="E309" t="s">
        <v>17</v>
      </c>
      <c r="F309" s="4" t="s">
        <v>374</v>
      </c>
      <c r="G309" s="4" t="s">
        <v>659</v>
      </c>
      <c r="H309" s="4"/>
      <c r="I309" s="4"/>
      <c r="J309" s="4" t="s">
        <v>373</v>
      </c>
      <c r="K309" s="4" t="s">
        <v>385</v>
      </c>
      <c r="L309" s="4"/>
      <c r="M309" s="4"/>
      <c r="N309" s="4" t="s">
        <v>249</v>
      </c>
      <c r="O309" s="4" t="s">
        <v>219</v>
      </c>
      <c r="P309" t="str">
        <f>_xlfn.TEXTBEFORE(_xlfn.TEXTAFTER(Table26[[#This Row],[WBS CODE]], "-"), "-")</f>
        <v>3010102</v>
      </c>
    </row>
    <row r="310" spans="1:16" x14ac:dyDescent="0.3">
      <c r="A310">
        <v>309</v>
      </c>
      <c r="B310" s="4" t="s">
        <v>26</v>
      </c>
      <c r="C310" s="4" t="s">
        <v>660</v>
      </c>
      <c r="D310" s="4" t="s">
        <v>661</v>
      </c>
      <c r="E310" t="s">
        <v>17</v>
      </c>
      <c r="F310" s="4" t="s">
        <v>374</v>
      </c>
      <c r="G310" s="4" t="s">
        <v>659</v>
      </c>
      <c r="H310" s="4" t="s">
        <v>661</v>
      </c>
      <c r="I310" s="4"/>
      <c r="J310" s="4" t="s">
        <v>373</v>
      </c>
      <c r="K310" s="4" t="s">
        <v>385</v>
      </c>
      <c r="L310" s="4" t="s">
        <v>900</v>
      </c>
      <c r="M310" s="4"/>
      <c r="N310" s="4" t="s">
        <v>249</v>
      </c>
      <c r="O310" s="4" t="s">
        <v>219</v>
      </c>
      <c r="P310" t="str">
        <f>_xlfn.TEXTBEFORE(_xlfn.TEXTAFTER(Table26[[#This Row],[WBS CODE]], "-"), "-")</f>
        <v>301010202</v>
      </c>
    </row>
    <row r="311" spans="1:16" x14ac:dyDescent="0.3">
      <c r="A311">
        <v>310</v>
      </c>
      <c r="B311" s="4" t="s">
        <v>30</v>
      </c>
      <c r="C311" s="4" t="s">
        <v>662</v>
      </c>
      <c r="D311" s="4" t="s">
        <v>663</v>
      </c>
      <c r="E311" t="s">
        <v>17</v>
      </c>
      <c r="F311" s="4" t="s">
        <v>374</v>
      </c>
      <c r="G311" s="4" t="s">
        <v>659</v>
      </c>
      <c r="H311" s="4" t="s">
        <v>661</v>
      </c>
      <c r="I311" s="4" t="s">
        <v>663</v>
      </c>
      <c r="J311" s="4" t="s">
        <v>373</v>
      </c>
      <c r="K311" s="4" t="s">
        <v>385</v>
      </c>
      <c r="L311" s="4" t="s">
        <v>900</v>
      </c>
      <c r="M311" s="4" t="s">
        <v>390</v>
      </c>
      <c r="N311" s="4" t="s">
        <v>249</v>
      </c>
      <c r="O311" s="4" t="s">
        <v>219</v>
      </c>
      <c r="P311" t="str">
        <f>_xlfn.TEXTBEFORE(_xlfn.TEXTAFTER(Table26[[#This Row],[WBS CODE]], "-"), "-")</f>
        <v>30101020224</v>
      </c>
    </row>
    <row r="312" spans="1:16" x14ac:dyDescent="0.3">
      <c r="A312">
        <v>311</v>
      </c>
      <c r="B312" s="4" t="s">
        <v>30</v>
      </c>
      <c r="C312" s="4" t="s">
        <v>664</v>
      </c>
      <c r="D312" s="4" t="s">
        <v>665</v>
      </c>
      <c r="E312" t="s">
        <v>17</v>
      </c>
      <c r="F312" s="4" t="s">
        <v>374</v>
      </c>
      <c r="G312" s="4" t="s">
        <v>659</v>
      </c>
      <c r="H312" s="4" t="s">
        <v>661</v>
      </c>
      <c r="I312" s="4" t="s">
        <v>665</v>
      </c>
      <c r="J312" s="4" t="s">
        <v>373</v>
      </c>
      <c r="K312" s="4" t="s">
        <v>385</v>
      </c>
      <c r="L312" s="4" t="s">
        <v>900</v>
      </c>
      <c r="M312" s="4" t="s">
        <v>393</v>
      </c>
      <c r="N312" s="4" t="s">
        <v>249</v>
      </c>
      <c r="O312" s="4" t="s">
        <v>219</v>
      </c>
      <c r="P312" t="str">
        <f>_xlfn.TEXTBEFORE(_xlfn.TEXTAFTER(Table26[[#This Row],[WBS CODE]], "-"), "-")</f>
        <v>30101020298</v>
      </c>
    </row>
    <row r="313" spans="1:16" x14ac:dyDescent="0.3">
      <c r="A313">
        <v>312</v>
      </c>
      <c r="B313" s="4" t="s">
        <v>30</v>
      </c>
      <c r="C313" s="4" t="s">
        <v>666</v>
      </c>
      <c r="D313" s="4" t="s">
        <v>667</v>
      </c>
      <c r="E313" t="s">
        <v>17</v>
      </c>
      <c r="F313" s="4" t="s">
        <v>374</v>
      </c>
      <c r="G313" s="4" t="s">
        <v>659</v>
      </c>
      <c r="H313" s="4" t="s">
        <v>661</v>
      </c>
      <c r="I313" s="4" t="s">
        <v>667</v>
      </c>
      <c r="J313" s="4" t="s">
        <v>373</v>
      </c>
      <c r="K313" s="4" t="s">
        <v>385</v>
      </c>
      <c r="L313" s="4" t="s">
        <v>900</v>
      </c>
      <c r="M313" s="4" t="s">
        <v>396</v>
      </c>
      <c r="N313" s="4" t="s">
        <v>249</v>
      </c>
      <c r="O313" s="4" t="s">
        <v>219</v>
      </c>
      <c r="P313" t="str">
        <f>_xlfn.TEXTBEFORE(_xlfn.TEXTAFTER(Table26[[#This Row],[WBS CODE]], "-"), "-")</f>
        <v>30101020297</v>
      </c>
    </row>
    <row r="314" spans="1:16" x14ac:dyDescent="0.3">
      <c r="A314">
        <v>313</v>
      </c>
      <c r="B314" s="4" t="s">
        <v>30</v>
      </c>
      <c r="C314" s="4" t="s">
        <v>668</v>
      </c>
      <c r="D314" s="4" t="s">
        <v>669</v>
      </c>
      <c r="E314" t="s">
        <v>17</v>
      </c>
      <c r="F314" s="4" t="s">
        <v>374</v>
      </c>
      <c r="G314" s="4" t="s">
        <v>659</v>
      </c>
      <c r="H314" s="4" t="s">
        <v>661</v>
      </c>
      <c r="I314" s="4" t="s">
        <v>669</v>
      </c>
      <c r="J314" s="4" t="s">
        <v>373</v>
      </c>
      <c r="K314" s="4" t="s">
        <v>385</v>
      </c>
      <c r="L314" s="4" t="s">
        <v>900</v>
      </c>
      <c r="M314" s="4" t="s">
        <v>399</v>
      </c>
      <c r="N314" s="4" t="s">
        <v>249</v>
      </c>
      <c r="O314" s="4" t="s">
        <v>219</v>
      </c>
      <c r="P314" t="str">
        <f>_xlfn.TEXTBEFORE(_xlfn.TEXTAFTER(Table26[[#This Row],[WBS CODE]], "-"), "-")</f>
        <v>30101020296</v>
      </c>
    </row>
    <row r="315" spans="1:16" x14ac:dyDescent="0.3">
      <c r="A315">
        <v>314</v>
      </c>
      <c r="B315" s="4" t="s">
        <v>30</v>
      </c>
      <c r="C315" s="4" t="s">
        <v>670</v>
      </c>
      <c r="D315" s="4" t="s">
        <v>671</v>
      </c>
      <c r="E315" t="s">
        <v>17</v>
      </c>
      <c r="F315" s="4" t="s">
        <v>374</v>
      </c>
      <c r="G315" s="4" t="s">
        <v>659</v>
      </c>
      <c r="H315" s="4" t="s">
        <v>661</v>
      </c>
      <c r="I315" s="4" t="s">
        <v>671</v>
      </c>
      <c r="J315" s="4" t="s">
        <v>373</v>
      </c>
      <c r="K315" s="4" t="s">
        <v>385</v>
      </c>
      <c r="L315" s="4" t="s">
        <v>900</v>
      </c>
      <c r="M315" s="4" t="s">
        <v>402</v>
      </c>
      <c r="N315" s="4" t="s">
        <v>249</v>
      </c>
      <c r="O315" s="4" t="s">
        <v>219</v>
      </c>
      <c r="P315" t="str">
        <f>_xlfn.TEXTBEFORE(_xlfn.TEXTAFTER(Table26[[#This Row],[WBS CODE]], "-"), "-")</f>
        <v>30101020295</v>
      </c>
    </row>
    <row r="316" spans="1:16" x14ac:dyDescent="0.3">
      <c r="A316">
        <v>315</v>
      </c>
      <c r="B316" s="4" t="s">
        <v>30</v>
      </c>
      <c r="C316" s="4" t="s">
        <v>672</v>
      </c>
      <c r="D316" s="4" t="s">
        <v>673</v>
      </c>
      <c r="E316" t="s">
        <v>17</v>
      </c>
      <c r="F316" s="4" t="s">
        <v>374</v>
      </c>
      <c r="G316" s="4" t="s">
        <v>659</v>
      </c>
      <c r="H316" s="4" t="s">
        <v>661</v>
      </c>
      <c r="I316" s="4" t="s">
        <v>673</v>
      </c>
      <c r="J316" s="4" t="s">
        <v>373</v>
      </c>
      <c r="K316" s="4" t="s">
        <v>385</v>
      </c>
      <c r="L316" s="4" t="s">
        <v>900</v>
      </c>
      <c r="M316" s="4" t="s">
        <v>405</v>
      </c>
      <c r="N316" s="4" t="s">
        <v>249</v>
      </c>
      <c r="O316" s="4" t="s">
        <v>219</v>
      </c>
      <c r="P316" t="str">
        <f>_xlfn.TEXTBEFORE(_xlfn.TEXTAFTER(Table26[[#This Row],[WBS CODE]], "-"), "-")</f>
        <v>30101020294</v>
      </c>
    </row>
    <row r="317" spans="1:16" x14ac:dyDescent="0.3">
      <c r="A317">
        <v>316</v>
      </c>
      <c r="B317" s="4" t="s">
        <v>30</v>
      </c>
      <c r="C317" s="4" t="s">
        <v>674</v>
      </c>
      <c r="D317" s="4" t="s">
        <v>675</v>
      </c>
      <c r="E317" t="s">
        <v>17</v>
      </c>
      <c r="F317" s="4" t="s">
        <v>374</v>
      </c>
      <c r="G317" s="4" t="s">
        <v>659</v>
      </c>
      <c r="H317" s="4" t="s">
        <v>661</v>
      </c>
      <c r="I317" s="4" t="s">
        <v>675</v>
      </c>
      <c r="J317" s="4" t="s">
        <v>373</v>
      </c>
      <c r="K317" s="4" t="s">
        <v>385</v>
      </c>
      <c r="L317" s="4" t="s">
        <v>900</v>
      </c>
      <c r="M317" s="4" t="s">
        <v>408</v>
      </c>
      <c r="N317" s="4" t="s">
        <v>249</v>
      </c>
      <c r="O317" s="4" t="s">
        <v>219</v>
      </c>
      <c r="P317" t="str">
        <f>_xlfn.TEXTBEFORE(_xlfn.TEXTAFTER(Table26[[#This Row],[WBS CODE]], "-"), "-")</f>
        <v>30101020220</v>
      </c>
    </row>
    <row r="318" spans="1:16" x14ac:dyDescent="0.3">
      <c r="A318">
        <v>317</v>
      </c>
      <c r="B318" s="4" t="s">
        <v>30</v>
      </c>
      <c r="C318" s="4" t="s">
        <v>676</v>
      </c>
      <c r="D318" s="4" t="s">
        <v>677</v>
      </c>
      <c r="E318" t="s">
        <v>17</v>
      </c>
      <c r="F318" s="4" t="s">
        <v>374</v>
      </c>
      <c r="G318" s="4" t="s">
        <v>659</v>
      </c>
      <c r="H318" s="4" t="s">
        <v>661</v>
      </c>
      <c r="I318" s="4" t="s">
        <v>677</v>
      </c>
      <c r="J318" s="4" t="s">
        <v>373</v>
      </c>
      <c r="K318" s="4" t="s">
        <v>385</v>
      </c>
      <c r="L318" s="4" t="s">
        <v>900</v>
      </c>
      <c r="M318" s="4" t="s">
        <v>411</v>
      </c>
      <c r="N318" s="4" t="s">
        <v>249</v>
      </c>
      <c r="O318" s="4" t="s">
        <v>219</v>
      </c>
      <c r="P318" t="str">
        <f>_xlfn.TEXTBEFORE(_xlfn.TEXTAFTER(Table26[[#This Row],[WBS CODE]], "-"), "-")</f>
        <v>30101020217</v>
      </c>
    </row>
    <row r="319" spans="1:16" x14ac:dyDescent="0.3">
      <c r="A319">
        <v>318</v>
      </c>
      <c r="B319" s="4" t="s">
        <v>30</v>
      </c>
      <c r="C319" s="4" t="s">
        <v>678</v>
      </c>
      <c r="D319" s="4" t="s">
        <v>679</v>
      </c>
      <c r="E319" t="s">
        <v>17</v>
      </c>
      <c r="F319" s="4" t="s">
        <v>374</v>
      </c>
      <c r="G319" s="4" t="s">
        <v>659</v>
      </c>
      <c r="H319" s="4" t="s">
        <v>661</v>
      </c>
      <c r="I319" s="4" t="s">
        <v>679</v>
      </c>
      <c r="J319" s="4" t="s">
        <v>373</v>
      </c>
      <c r="K319" s="4" t="s">
        <v>385</v>
      </c>
      <c r="L319" s="4" t="s">
        <v>900</v>
      </c>
      <c r="M319" s="4" t="s">
        <v>414</v>
      </c>
      <c r="N319" s="4" t="s">
        <v>249</v>
      </c>
      <c r="O319" s="4" t="s">
        <v>219</v>
      </c>
      <c r="P319" t="str">
        <f>_xlfn.TEXTBEFORE(_xlfn.TEXTAFTER(Table26[[#This Row],[WBS CODE]], "-"), "-")</f>
        <v>30101020216</v>
      </c>
    </row>
    <row r="320" spans="1:16" x14ac:dyDescent="0.3">
      <c r="A320">
        <v>319</v>
      </c>
      <c r="B320" s="4" t="s">
        <v>30</v>
      </c>
      <c r="C320" s="4" t="s">
        <v>680</v>
      </c>
      <c r="D320" s="4" t="s">
        <v>681</v>
      </c>
      <c r="E320" t="s">
        <v>17</v>
      </c>
      <c r="F320" s="4" t="s">
        <v>374</v>
      </c>
      <c r="G320" s="4" t="s">
        <v>659</v>
      </c>
      <c r="H320" s="4" t="s">
        <v>661</v>
      </c>
      <c r="I320" s="4" t="s">
        <v>681</v>
      </c>
      <c r="J320" s="4" t="s">
        <v>373</v>
      </c>
      <c r="K320" s="4" t="s">
        <v>385</v>
      </c>
      <c r="L320" s="4" t="s">
        <v>900</v>
      </c>
      <c r="M320" s="4" t="s">
        <v>417</v>
      </c>
      <c r="N320" s="4" t="s">
        <v>249</v>
      </c>
      <c r="O320" s="4" t="s">
        <v>219</v>
      </c>
      <c r="P320" t="str">
        <f>_xlfn.TEXTBEFORE(_xlfn.TEXTAFTER(Table26[[#This Row],[WBS CODE]], "-"), "-")</f>
        <v>30101020215</v>
      </c>
    </row>
    <row r="321" spans="1:16" x14ac:dyDescent="0.3">
      <c r="A321">
        <v>320</v>
      </c>
      <c r="B321" s="4" t="s">
        <v>30</v>
      </c>
      <c r="C321" s="4" t="s">
        <v>682</v>
      </c>
      <c r="D321" s="4" t="s">
        <v>683</v>
      </c>
      <c r="E321" t="s">
        <v>17</v>
      </c>
      <c r="F321" s="4" t="s">
        <v>374</v>
      </c>
      <c r="G321" s="4" t="s">
        <v>659</v>
      </c>
      <c r="H321" s="4" t="s">
        <v>661</v>
      </c>
      <c r="I321" s="4" t="s">
        <v>683</v>
      </c>
      <c r="J321" s="4" t="s">
        <v>373</v>
      </c>
      <c r="K321" s="4" t="s">
        <v>385</v>
      </c>
      <c r="L321" s="4" t="s">
        <v>900</v>
      </c>
      <c r="M321" s="4" t="s">
        <v>420</v>
      </c>
      <c r="N321" s="4" t="s">
        <v>249</v>
      </c>
      <c r="O321" s="4" t="s">
        <v>219</v>
      </c>
      <c r="P321" t="str">
        <f>_xlfn.TEXTBEFORE(_xlfn.TEXTAFTER(Table26[[#This Row],[WBS CODE]], "-"), "-")</f>
        <v>30101020214</v>
      </c>
    </row>
    <row r="322" spans="1:16" x14ac:dyDescent="0.3">
      <c r="A322">
        <v>321</v>
      </c>
      <c r="B322" s="4" t="s">
        <v>30</v>
      </c>
      <c r="C322" s="4" t="s">
        <v>684</v>
      </c>
      <c r="D322" s="4" t="s">
        <v>685</v>
      </c>
      <c r="E322" t="s">
        <v>17</v>
      </c>
      <c r="F322" s="4" t="s">
        <v>374</v>
      </c>
      <c r="G322" s="4" t="s">
        <v>659</v>
      </c>
      <c r="H322" s="4" t="s">
        <v>661</v>
      </c>
      <c r="I322" s="4" t="s">
        <v>685</v>
      </c>
      <c r="J322" s="4" t="s">
        <v>373</v>
      </c>
      <c r="K322" s="4" t="s">
        <v>385</v>
      </c>
      <c r="L322" s="4" t="s">
        <v>900</v>
      </c>
      <c r="M322" s="4" t="s">
        <v>423</v>
      </c>
      <c r="N322" s="4" t="s">
        <v>249</v>
      </c>
      <c r="O322" s="4" t="s">
        <v>219</v>
      </c>
      <c r="P322" t="str">
        <f>_xlfn.TEXTBEFORE(_xlfn.TEXTAFTER(Table26[[#This Row],[WBS CODE]], "-"), "-")</f>
        <v>30101020213</v>
      </c>
    </row>
    <row r="323" spans="1:16" x14ac:dyDescent="0.3">
      <c r="A323">
        <v>322</v>
      </c>
      <c r="B323" s="4" t="s">
        <v>30</v>
      </c>
      <c r="C323" s="4" t="s">
        <v>686</v>
      </c>
      <c r="D323" s="4" t="s">
        <v>687</v>
      </c>
      <c r="E323" t="s">
        <v>17</v>
      </c>
      <c r="F323" s="4" t="s">
        <v>374</v>
      </c>
      <c r="G323" s="4" t="s">
        <v>659</v>
      </c>
      <c r="H323" s="4" t="s">
        <v>661</v>
      </c>
      <c r="I323" s="4" t="s">
        <v>687</v>
      </c>
      <c r="J323" s="4" t="s">
        <v>373</v>
      </c>
      <c r="K323" s="4" t="s">
        <v>385</v>
      </c>
      <c r="L323" s="4" t="s">
        <v>900</v>
      </c>
      <c r="M323" s="4" t="s">
        <v>426</v>
      </c>
      <c r="N323" s="4" t="s">
        <v>249</v>
      </c>
      <c r="O323" s="4" t="s">
        <v>219</v>
      </c>
      <c r="P323" t="str">
        <f>_xlfn.TEXTBEFORE(_xlfn.TEXTAFTER(Table26[[#This Row],[WBS CODE]], "-"), "-")</f>
        <v>30101020247</v>
      </c>
    </row>
    <row r="324" spans="1:16" x14ac:dyDescent="0.3">
      <c r="A324">
        <v>323</v>
      </c>
      <c r="B324" s="4" t="s">
        <v>30</v>
      </c>
      <c r="C324" s="4" t="s">
        <v>688</v>
      </c>
      <c r="D324" s="4" t="s">
        <v>689</v>
      </c>
      <c r="E324" t="s">
        <v>17</v>
      </c>
      <c r="F324" s="4" t="s">
        <v>374</v>
      </c>
      <c r="G324" s="4" t="s">
        <v>659</v>
      </c>
      <c r="H324" s="4" t="s">
        <v>661</v>
      </c>
      <c r="I324" s="4" t="s">
        <v>689</v>
      </c>
      <c r="J324" s="4" t="s">
        <v>373</v>
      </c>
      <c r="K324" s="4" t="s">
        <v>385</v>
      </c>
      <c r="L324" s="4" t="s">
        <v>900</v>
      </c>
      <c r="M324" s="4" t="s">
        <v>429</v>
      </c>
      <c r="N324" s="4" t="s">
        <v>249</v>
      </c>
      <c r="O324" s="4" t="s">
        <v>219</v>
      </c>
      <c r="P324" t="str">
        <f>_xlfn.TEXTBEFORE(_xlfn.TEXTAFTER(Table26[[#This Row],[WBS CODE]], "-"), "-")</f>
        <v>30101020212</v>
      </c>
    </row>
    <row r="325" spans="1:16" x14ac:dyDescent="0.3">
      <c r="A325">
        <v>324</v>
      </c>
      <c r="B325" s="4" t="s">
        <v>30</v>
      </c>
      <c r="C325" s="4" t="s">
        <v>690</v>
      </c>
      <c r="D325" s="4" t="s">
        <v>691</v>
      </c>
      <c r="E325" t="s">
        <v>17</v>
      </c>
      <c r="F325" s="4" t="s">
        <v>374</v>
      </c>
      <c r="G325" s="4" t="s">
        <v>659</v>
      </c>
      <c r="H325" s="4" t="s">
        <v>661</v>
      </c>
      <c r="I325" s="4" t="s">
        <v>691</v>
      </c>
      <c r="J325" s="4" t="s">
        <v>373</v>
      </c>
      <c r="K325" s="4" t="s">
        <v>385</v>
      </c>
      <c r="L325" s="4" t="s">
        <v>900</v>
      </c>
      <c r="M325" s="4" t="s">
        <v>432</v>
      </c>
      <c r="N325" s="4" t="s">
        <v>249</v>
      </c>
      <c r="O325" s="4" t="s">
        <v>219</v>
      </c>
      <c r="P325" t="str">
        <f>_xlfn.TEXTBEFORE(_xlfn.TEXTAFTER(Table26[[#This Row],[WBS CODE]], "-"), "-")</f>
        <v>30101020211</v>
      </c>
    </row>
    <row r="326" spans="1:16" x14ac:dyDescent="0.3">
      <c r="A326">
        <v>325</v>
      </c>
      <c r="B326" s="4" t="s">
        <v>30</v>
      </c>
      <c r="C326" s="4" t="s">
        <v>692</v>
      </c>
      <c r="D326" s="4" t="s">
        <v>693</v>
      </c>
      <c r="E326" t="s">
        <v>17</v>
      </c>
      <c r="F326" s="4" t="s">
        <v>374</v>
      </c>
      <c r="G326" s="4" t="s">
        <v>659</v>
      </c>
      <c r="H326" s="4" t="s">
        <v>661</v>
      </c>
      <c r="I326" s="4" t="s">
        <v>693</v>
      </c>
      <c r="J326" s="4" t="s">
        <v>373</v>
      </c>
      <c r="K326" s="4" t="s">
        <v>385</v>
      </c>
      <c r="L326" s="4" t="s">
        <v>900</v>
      </c>
      <c r="M326" s="4" t="s">
        <v>435</v>
      </c>
      <c r="N326" s="4" t="s">
        <v>249</v>
      </c>
      <c r="O326" s="4" t="s">
        <v>219</v>
      </c>
      <c r="P326" t="str">
        <f>_xlfn.TEXTBEFORE(_xlfn.TEXTAFTER(Table26[[#This Row],[WBS CODE]], "-"), "-")</f>
        <v>30101020210</v>
      </c>
    </row>
    <row r="327" spans="1:16" x14ac:dyDescent="0.3">
      <c r="A327">
        <v>326</v>
      </c>
      <c r="B327" s="4" t="s">
        <v>30</v>
      </c>
      <c r="C327" s="4" t="s">
        <v>694</v>
      </c>
      <c r="D327" s="4" t="s">
        <v>695</v>
      </c>
      <c r="E327" t="s">
        <v>17</v>
      </c>
      <c r="F327" s="4" t="s">
        <v>374</v>
      </c>
      <c r="G327" s="4" t="s">
        <v>659</v>
      </c>
      <c r="H327" s="4" t="s">
        <v>661</v>
      </c>
      <c r="I327" s="4" t="s">
        <v>695</v>
      </c>
      <c r="J327" s="4" t="s">
        <v>373</v>
      </c>
      <c r="K327" s="4" t="s">
        <v>385</v>
      </c>
      <c r="L327" s="4" t="s">
        <v>900</v>
      </c>
      <c r="M327" s="4" t="s">
        <v>438</v>
      </c>
      <c r="N327" s="4" t="s">
        <v>249</v>
      </c>
      <c r="O327" s="4" t="s">
        <v>219</v>
      </c>
      <c r="P327" t="str">
        <f>_xlfn.TEXTBEFORE(_xlfn.TEXTAFTER(Table26[[#This Row],[WBS CODE]], "-"), "-")</f>
        <v>30101020209</v>
      </c>
    </row>
    <row r="328" spans="1:16" x14ac:dyDescent="0.3">
      <c r="A328">
        <v>327</v>
      </c>
      <c r="B328" s="4" t="s">
        <v>30</v>
      </c>
      <c r="C328" s="4" t="s">
        <v>696</v>
      </c>
      <c r="D328" s="4" t="s">
        <v>697</v>
      </c>
      <c r="E328" t="s">
        <v>17</v>
      </c>
      <c r="F328" s="4" t="s">
        <v>374</v>
      </c>
      <c r="G328" s="4" t="s">
        <v>659</v>
      </c>
      <c r="H328" s="4" t="s">
        <v>661</v>
      </c>
      <c r="I328" s="4" t="s">
        <v>697</v>
      </c>
      <c r="J328" s="4" t="s">
        <v>373</v>
      </c>
      <c r="K328" s="4" t="s">
        <v>385</v>
      </c>
      <c r="L328" s="4" t="s">
        <v>900</v>
      </c>
      <c r="M328" s="4" t="s">
        <v>441</v>
      </c>
      <c r="N328" s="4" t="s">
        <v>249</v>
      </c>
      <c r="O328" s="4" t="s">
        <v>219</v>
      </c>
      <c r="P328" t="str">
        <f>_xlfn.TEXTBEFORE(_xlfn.TEXTAFTER(Table26[[#This Row],[WBS CODE]], "-"), "-")</f>
        <v>30101020208</v>
      </c>
    </row>
    <row r="329" spans="1:16" x14ac:dyDescent="0.3">
      <c r="A329">
        <v>328</v>
      </c>
      <c r="B329" s="4" t="s">
        <v>30</v>
      </c>
      <c r="C329" s="4" t="s">
        <v>698</v>
      </c>
      <c r="D329" s="4" t="s">
        <v>699</v>
      </c>
      <c r="E329" t="s">
        <v>17</v>
      </c>
      <c r="F329" s="4" t="s">
        <v>374</v>
      </c>
      <c r="G329" s="4" t="s">
        <v>659</v>
      </c>
      <c r="H329" s="4" t="s">
        <v>661</v>
      </c>
      <c r="I329" s="4" t="s">
        <v>699</v>
      </c>
      <c r="J329" s="4" t="s">
        <v>373</v>
      </c>
      <c r="K329" s="4" t="s">
        <v>385</v>
      </c>
      <c r="L329" s="4" t="s">
        <v>900</v>
      </c>
      <c r="M329" s="4" t="s">
        <v>444</v>
      </c>
      <c r="N329" s="4" t="s">
        <v>249</v>
      </c>
      <c r="O329" s="4" t="s">
        <v>219</v>
      </c>
      <c r="P329" t="str">
        <f>_xlfn.TEXTBEFORE(_xlfn.TEXTAFTER(Table26[[#This Row],[WBS CODE]], "-"), "-")</f>
        <v>30101020207</v>
      </c>
    </row>
    <row r="330" spans="1:16" x14ac:dyDescent="0.3">
      <c r="A330">
        <v>329</v>
      </c>
      <c r="B330" s="4" t="s">
        <v>30</v>
      </c>
      <c r="C330" s="4" t="s">
        <v>700</v>
      </c>
      <c r="D330" s="4" t="s">
        <v>701</v>
      </c>
      <c r="E330" t="s">
        <v>17</v>
      </c>
      <c r="F330" s="4" t="s">
        <v>374</v>
      </c>
      <c r="G330" s="4" t="s">
        <v>659</v>
      </c>
      <c r="H330" s="4" t="s">
        <v>661</v>
      </c>
      <c r="I330" s="4" t="s">
        <v>701</v>
      </c>
      <c r="J330" s="4" t="s">
        <v>373</v>
      </c>
      <c r="K330" s="4" t="s">
        <v>385</v>
      </c>
      <c r="L330" s="4" t="s">
        <v>900</v>
      </c>
      <c r="M330" s="4" t="s">
        <v>447</v>
      </c>
      <c r="N330" s="4" t="s">
        <v>249</v>
      </c>
      <c r="O330" s="4" t="s">
        <v>219</v>
      </c>
      <c r="P330" t="str">
        <f>_xlfn.TEXTBEFORE(_xlfn.TEXTAFTER(Table26[[#This Row],[WBS CODE]], "-"), "-")</f>
        <v>30101020205</v>
      </c>
    </row>
    <row r="331" spans="1:16" x14ac:dyDescent="0.3">
      <c r="A331">
        <v>330</v>
      </c>
      <c r="B331" s="4" t="s">
        <v>30</v>
      </c>
      <c r="C331" s="4" t="s">
        <v>702</v>
      </c>
      <c r="D331" s="4" t="s">
        <v>703</v>
      </c>
      <c r="E331" t="s">
        <v>17</v>
      </c>
      <c r="F331" s="4" t="s">
        <v>374</v>
      </c>
      <c r="G331" s="4" t="s">
        <v>659</v>
      </c>
      <c r="H331" s="4" t="s">
        <v>661</v>
      </c>
      <c r="I331" s="4" t="s">
        <v>703</v>
      </c>
      <c r="J331" s="4" t="s">
        <v>373</v>
      </c>
      <c r="K331" s="4" t="s">
        <v>385</v>
      </c>
      <c r="L331" s="4" t="s">
        <v>900</v>
      </c>
      <c r="M331" s="4" t="s">
        <v>450</v>
      </c>
      <c r="N331" s="4" t="s">
        <v>249</v>
      </c>
      <c r="O331" s="4" t="s">
        <v>219</v>
      </c>
      <c r="P331" t="str">
        <f>_xlfn.TEXTBEFORE(_xlfn.TEXTAFTER(Table26[[#This Row],[WBS CODE]], "-"), "-")</f>
        <v>30101020204</v>
      </c>
    </row>
    <row r="332" spans="1:16" x14ac:dyDescent="0.3">
      <c r="A332">
        <v>331</v>
      </c>
      <c r="B332" s="4" t="s">
        <v>26</v>
      </c>
      <c r="C332" s="4" t="s">
        <v>704</v>
      </c>
      <c r="D332" s="4" t="s">
        <v>705</v>
      </c>
      <c r="E332" t="s">
        <v>17</v>
      </c>
      <c r="F332" s="4" t="s">
        <v>374</v>
      </c>
      <c r="G332" s="4" t="s">
        <v>659</v>
      </c>
      <c r="H332" s="4" t="s">
        <v>705</v>
      </c>
      <c r="I332" s="4"/>
      <c r="J332" s="4" t="s">
        <v>373</v>
      </c>
      <c r="K332" s="4" t="s">
        <v>385</v>
      </c>
      <c r="L332" s="4" t="s">
        <v>39</v>
      </c>
      <c r="M332" s="4"/>
      <c r="N332" s="4" t="s">
        <v>249</v>
      </c>
      <c r="O332" s="4" t="s">
        <v>219</v>
      </c>
      <c r="P332" t="str">
        <f>_xlfn.TEXTBEFORE(_xlfn.TEXTAFTER(Table26[[#This Row],[WBS CODE]], "-"), "-")</f>
        <v>301010201</v>
      </c>
    </row>
    <row r="333" spans="1:16" x14ac:dyDescent="0.3">
      <c r="A333">
        <v>332</v>
      </c>
      <c r="B333" s="4" t="s">
        <v>30</v>
      </c>
      <c r="C333" s="4" t="s">
        <v>706</v>
      </c>
      <c r="D333" s="4" t="s">
        <v>707</v>
      </c>
      <c r="E333" t="s">
        <v>17</v>
      </c>
      <c r="F333" s="4" t="s">
        <v>374</v>
      </c>
      <c r="G333" s="4" t="s">
        <v>659</v>
      </c>
      <c r="H333" s="4" t="s">
        <v>705</v>
      </c>
      <c r="I333" s="4" t="s">
        <v>707</v>
      </c>
      <c r="J333" s="4" t="s">
        <v>373</v>
      </c>
      <c r="K333" s="4" t="s">
        <v>385</v>
      </c>
      <c r="L333" s="4" t="s">
        <v>39</v>
      </c>
      <c r="M333" s="4" t="s">
        <v>455</v>
      </c>
      <c r="N333" s="4" t="s">
        <v>249</v>
      </c>
      <c r="O333" s="4" t="s">
        <v>219</v>
      </c>
      <c r="P333" t="str">
        <f>_xlfn.TEXTBEFORE(_xlfn.TEXTAFTER(Table26[[#This Row],[WBS CODE]], "-"), "-")</f>
        <v>30101020160</v>
      </c>
    </row>
    <row r="334" spans="1:16" x14ac:dyDescent="0.3">
      <c r="A334">
        <v>333</v>
      </c>
      <c r="B334" s="4" t="s">
        <v>26</v>
      </c>
      <c r="C334" s="4" t="s">
        <v>708</v>
      </c>
      <c r="D334" s="4" t="s">
        <v>709</v>
      </c>
      <c r="E334" t="s">
        <v>17</v>
      </c>
      <c r="F334" s="4" t="s">
        <v>374</v>
      </c>
      <c r="G334" s="4" t="s">
        <v>659</v>
      </c>
      <c r="H334" s="4" t="s">
        <v>709</v>
      </c>
      <c r="I334" s="4"/>
      <c r="J334" s="4" t="s">
        <v>373</v>
      </c>
      <c r="K334" s="4" t="s">
        <v>385</v>
      </c>
      <c r="L334" s="4" t="s">
        <v>42</v>
      </c>
      <c r="M334" s="4"/>
      <c r="N334" s="4" t="s">
        <v>249</v>
      </c>
      <c r="O334" s="4" t="s">
        <v>219</v>
      </c>
      <c r="P334" t="str">
        <f>_xlfn.TEXTBEFORE(_xlfn.TEXTAFTER(Table26[[#This Row],[WBS CODE]], "-"), "-")</f>
        <v>301010261</v>
      </c>
    </row>
    <row r="335" spans="1:16" x14ac:dyDescent="0.3">
      <c r="A335">
        <v>334</v>
      </c>
      <c r="B335" s="4" t="s">
        <v>30</v>
      </c>
      <c r="C335" s="4" t="s">
        <v>710</v>
      </c>
      <c r="D335" s="4" t="s">
        <v>711</v>
      </c>
      <c r="E335" t="s">
        <v>17</v>
      </c>
      <c r="F335" s="4" t="s">
        <v>374</v>
      </c>
      <c r="G335" s="4" t="s">
        <v>659</v>
      </c>
      <c r="H335" s="4" t="s">
        <v>709</v>
      </c>
      <c r="I335" s="4" t="s">
        <v>711</v>
      </c>
      <c r="J335" s="4" t="s">
        <v>373</v>
      </c>
      <c r="K335" s="4" t="s">
        <v>385</v>
      </c>
      <c r="L335" s="4" t="s">
        <v>42</v>
      </c>
      <c r="M335" s="4" t="s">
        <v>460</v>
      </c>
      <c r="N335" s="4" t="s">
        <v>249</v>
      </c>
      <c r="O335" s="4" t="s">
        <v>219</v>
      </c>
      <c r="P335" t="str">
        <f>_xlfn.TEXTBEFORE(_xlfn.TEXTAFTER(Table26[[#This Row],[WBS CODE]], "-"), "-")</f>
        <v>30101026162</v>
      </c>
    </row>
    <row r="336" spans="1:16" x14ac:dyDescent="0.3">
      <c r="A336">
        <v>335</v>
      </c>
      <c r="B336" s="4" t="s">
        <v>30</v>
      </c>
      <c r="C336" s="4" t="s">
        <v>712</v>
      </c>
      <c r="D336" s="4" t="s">
        <v>713</v>
      </c>
      <c r="E336" t="s">
        <v>17</v>
      </c>
      <c r="F336" s="4" t="s">
        <v>374</v>
      </c>
      <c r="G336" s="4" t="s">
        <v>659</v>
      </c>
      <c r="H336" s="4" t="s">
        <v>709</v>
      </c>
      <c r="I336" s="4" t="s">
        <v>713</v>
      </c>
      <c r="J336" s="4" t="s">
        <v>373</v>
      </c>
      <c r="K336" s="4" t="s">
        <v>385</v>
      </c>
      <c r="L336" s="4" t="s">
        <v>42</v>
      </c>
      <c r="M336" s="4" t="s">
        <v>463</v>
      </c>
      <c r="N336" s="4" t="s">
        <v>249</v>
      </c>
      <c r="O336" s="4" t="s">
        <v>219</v>
      </c>
      <c r="P336" t="str">
        <f>_xlfn.TEXTBEFORE(_xlfn.TEXTAFTER(Table26[[#This Row],[WBS CODE]], "-"), "-")</f>
        <v>30101026193</v>
      </c>
    </row>
    <row r="337" spans="1:16" x14ac:dyDescent="0.3">
      <c r="A337">
        <v>336</v>
      </c>
      <c r="B337" s="4" t="s">
        <v>30</v>
      </c>
      <c r="C337" s="4" t="s">
        <v>714</v>
      </c>
      <c r="D337" s="4" t="s">
        <v>715</v>
      </c>
      <c r="E337" t="s">
        <v>17</v>
      </c>
      <c r="F337" s="4" t="s">
        <v>374</v>
      </c>
      <c r="G337" s="4" t="s">
        <v>659</v>
      </c>
      <c r="H337" s="4" t="s">
        <v>709</v>
      </c>
      <c r="I337" s="4" t="s">
        <v>715</v>
      </c>
      <c r="J337" s="4" t="s">
        <v>373</v>
      </c>
      <c r="K337" s="4" t="s">
        <v>385</v>
      </c>
      <c r="L337" s="4" t="s">
        <v>42</v>
      </c>
      <c r="M337" s="4" t="s">
        <v>466</v>
      </c>
      <c r="N337" s="4" t="s">
        <v>249</v>
      </c>
      <c r="O337" s="4" t="s">
        <v>219</v>
      </c>
      <c r="P337" t="str">
        <f>_xlfn.TEXTBEFORE(_xlfn.TEXTAFTER(Table26[[#This Row],[WBS CODE]], "-"), "-")</f>
        <v>30101026118</v>
      </c>
    </row>
    <row r="338" spans="1:16" x14ac:dyDescent="0.3">
      <c r="A338">
        <v>337</v>
      </c>
      <c r="B338" s="4" t="s">
        <v>30</v>
      </c>
      <c r="C338" s="4" t="s">
        <v>716</v>
      </c>
      <c r="D338" s="4" t="s">
        <v>717</v>
      </c>
      <c r="E338" t="s">
        <v>17</v>
      </c>
      <c r="F338" s="4" t="s">
        <v>374</v>
      </c>
      <c r="G338" s="4" t="s">
        <v>659</v>
      </c>
      <c r="H338" s="4" t="s">
        <v>709</v>
      </c>
      <c r="I338" s="4" t="s">
        <v>717</v>
      </c>
      <c r="J338" s="4" t="s">
        <v>373</v>
      </c>
      <c r="K338" s="4" t="s">
        <v>385</v>
      </c>
      <c r="L338" s="4" t="s">
        <v>42</v>
      </c>
      <c r="M338" s="4" t="s">
        <v>438</v>
      </c>
      <c r="N338" s="4" t="s">
        <v>249</v>
      </c>
      <c r="O338" s="4" t="s">
        <v>219</v>
      </c>
      <c r="P338" t="str">
        <f>_xlfn.TEXTBEFORE(_xlfn.TEXTAFTER(Table26[[#This Row],[WBS CODE]], "-"), "-")</f>
        <v>30101026102</v>
      </c>
    </row>
    <row r="339" spans="1:16" x14ac:dyDescent="0.3">
      <c r="A339">
        <v>338</v>
      </c>
      <c r="B339" s="4" t="s">
        <v>30</v>
      </c>
      <c r="C339" s="4" t="s">
        <v>718</v>
      </c>
      <c r="D339" s="4" t="s">
        <v>719</v>
      </c>
      <c r="E339" t="s">
        <v>17</v>
      </c>
      <c r="F339" s="4" t="s">
        <v>374</v>
      </c>
      <c r="G339" s="4" t="s">
        <v>659</v>
      </c>
      <c r="H339" s="4" t="s">
        <v>709</v>
      </c>
      <c r="I339" s="4" t="s">
        <v>719</v>
      </c>
      <c r="J339" s="4" t="s">
        <v>373</v>
      </c>
      <c r="K339" s="4" t="s">
        <v>385</v>
      </c>
      <c r="L339" s="4" t="s">
        <v>42</v>
      </c>
      <c r="M339" s="4" t="s">
        <v>471</v>
      </c>
      <c r="N339" s="4" t="s">
        <v>249</v>
      </c>
      <c r="O339" s="4" t="s">
        <v>219</v>
      </c>
      <c r="P339" t="str">
        <f>_xlfn.TEXTBEFORE(_xlfn.TEXTAFTER(Table26[[#This Row],[WBS CODE]], "-"), "-")</f>
        <v>30101026101</v>
      </c>
    </row>
    <row r="340" spans="1:16" x14ac:dyDescent="0.3">
      <c r="A340">
        <v>339</v>
      </c>
      <c r="B340" s="4" t="s">
        <v>21</v>
      </c>
      <c r="C340" s="4" t="s">
        <v>720</v>
      </c>
      <c r="D340" s="4" t="s">
        <v>721</v>
      </c>
      <c r="E340" t="s">
        <v>17</v>
      </c>
      <c r="F340" s="4" t="s">
        <v>374</v>
      </c>
      <c r="G340" s="4" t="s">
        <v>721</v>
      </c>
      <c r="H340" s="4"/>
      <c r="I340" s="4"/>
      <c r="J340" s="4" t="s">
        <v>373</v>
      </c>
      <c r="K340" s="4" t="s">
        <v>720</v>
      </c>
      <c r="L340" s="4"/>
      <c r="M340" s="4"/>
      <c r="N340" s="4"/>
      <c r="O340" s="4"/>
      <c r="P340" t="str">
        <f>_xlfn.TEXTBEFORE(_xlfn.TEXTAFTER(Table26[[#This Row],[WBS CODE]], "-"), "-")</f>
        <v>3010161</v>
      </c>
    </row>
    <row r="341" spans="1:16" x14ac:dyDescent="0.3">
      <c r="A341">
        <v>340</v>
      </c>
      <c r="B341" s="4" t="s">
        <v>26</v>
      </c>
      <c r="C341" s="4" t="s">
        <v>722</v>
      </c>
      <c r="D341" s="4" t="s">
        <v>723</v>
      </c>
      <c r="E341" t="s">
        <v>17</v>
      </c>
      <c r="F341" s="4" t="s">
        <v>374</v>
      </c>
      <c r="G341" s="4" t="s">
        <v>721</v>
      </c>
      <c r="H341" s="4" t="s">
        <v>723</v>
      </c>
      <c r="I341" s="4"/>
      <c r="J341" s="4" t="s">
        <v>373</v>
      </c>
      <c r="K341" s="4" t="s">
        <v>720</v>
      </c>
      <c r="L341" s="4" t="s">
        <v>720</v>
      </c>
      <c r="M341" s="4"/>
      <c r="N341" s="4"/>
      <c r="O341" s="4"/>
      <c r="P341" t="str">
        <f>_xlfn.TEXTBEFORE(_xlfn.TEXTAFTER(Table26[[#This Row],[WBS CODE]], "-"), "-")</f>
        <v>301016101</v>
      </c>
    </row>
    <row r="342" spans="1:16" x14ac:dyDescent="0.3">
      <c r="A342">
        <v>341</v>
      </c>
      <c r="B342" s="4" t="s">
        <v>30</v>
      </c>
      <c r="C342" s="4" t="s">
        <v>722</v>
      </c>
      <c r="D342" s="4" t="s">
        <v>724</v>
      </c>
      <c r="E342" t="s">
        <v>17</v>
      </c>
      <c r="F342" s="4" t="s">
        <v>374</v>
      </c>
      <c r="G342" s="4" t="s">
        <v>721</v>
      </c>
      <c r="H342" s="4" t="s">
        <v>723</v>
      </c>
      <c r="I342" s="4" t="s">
        <v>724</v>
      </c>
      <c r="J342" s="4" t="s">
        <v>373</v>
      </c>
      <c r="K342" s="4" t="s">
        <v>720</v>
      </c>
      <c r="L342" s="4" t="s">
        <v>720</v>
      </c>
      <c r="M342" s="4" t="s">
        <v>720</v>
      </c>
      <c r="N342" s="4"/>
      <c r="O342" s="4"/>
      <c r="P342" t="str">
        <f>_xlfn.TEXTBEFORE(_xlfn.TEXTAFTER(Table26[[#This Row],[WBS CODE]], "-"), "-")</f>
        <v>30101610123</v>
      </c>
    </row>
    <row r="343" spans="1:16" x14ac:dyDescent="0.3">
      <c r="A343">
        <v>342</v>
      </c>
      <c r="B343" s="4" t="s">
        <v>21</v>
      </c>
      <c r="C343" s="4" t="s">
        <v>725</v>
      </c>
      <c r="D343" s="4" t="s">
        <v>726</v>
      </c>
      <c r="E343" t="s">
        <v>17</v>
      </c>
      <c r="F343" s="4" t="s">
        <v>374</v>
      </c>
      <c r="G343" s="4" t="s">
        <v>726</v>
      </c>
      <c r="H343" s="4"/>
      <c r="I343" s="4"/>
      <c r="J343" s="4" t="s">
        <v>373</v>
      </c>
      <c r="K343" s="4" t="s">
        <v>725</v>
      </c>
      <c r="L343" s="4"/>
      <c r="M343" s="4"/>
      <c r="N343" s="4"/>
      <c r="O343" s="4"/>
      <c r="P343" t="str">
        <f>_xlfn.TEXTBEFORE(_xlfn.TEXTAFTER(Table26[[#This Row],[WBS CODE]], "-"), "-")</f>
        <v>3010156</v>
      </c>
    </row>
    <row r="344" spans="1:16" x14ac:dyDescent="0.3">
      <c r="A344">
        <v>343</v>
      </c>
      <c r="B344" s="4" t="s">
        <v>26</v>
      </c>
      <c r="C344" s="4" t="s">
        <v>727</v>
      </c>
      <c r="D344" s="4" t="s">
        <v>728</v>
      </c>
      <c r="E344" t="s">
        <v>17</v>
      </c>
      <c r="F344" s="4" t="s">
        <v>374</v>
      </c>
      <c r="G344" s="4" t="s">
        <v>726</v>
      </c>
      <c r="H344" s="4" t="s">
        <v>728</v>
      </c>
      <c r="I344" s="4"/>
      <c r="J344" s="4" t="s">
        <v>373</v>
      </c>
      <c r="K344" s="4" t="s">
        <v>725</v>
      </c>
      <c r="L344" s="4" t="s">
        <v>725</v>
      </c>
      <c r="M344" s="4"/>
      <c r="N344" s="4"/>
      <c r="O344" s="4"/>
      <c r="P344" t="str">
        <f>_xlfn.TEXTBEFORE(_xlfn.TEXTAFTER(Table26[[#This Row],[WBS CODE]], "-"), "-")</f>
        <v>301015604</v>
      </c>
    </row>
    <row r="345" spans="1:16" x14ac:dyDescent="0.3">
      <c r="A345">
        <v>344</v>
      </c>
      <c r="B345" s="4" t="s">
        <v>30</v>
      </c>
      <c r="C345" s="4" t="s">
        <v>729</v>
      </c>
      <c r="D345" s="4" t="s">
        <v>730</v>
      </c>
      <c r="E345" t="s">
        <v>17</v>
      </c>
      <c r="F345" s="4" t="s">
        <v>374</v>
      </c>
      <c r="G345" s="4" t="s">
        <v>726</v>
      </c>
      <c r="H345" s="4" t="s">
        <v>728</v>
      </c>
      <c r="I345" s="4" t="s">
        <v>730</v>
      </c>
      <c r="J345" s="4" t="s">
        <v>373</v>
      </c>
      <c r="K345" s="4" t="s">
        <v>725</v>
      </c>
      <c r="L345" s="4" t="s">
        <v>725</v>
      </c>
      <c r="M345" s="4" t="s">
        <v>725</v>
      </c>
      <c r="N345" s="4"/>
      <c r="O345" s="4"/>
      <c r="P345" t="str">
        <f>_xlfn.TEXTBEFORE(_xlfn.TEXTAFTER(Table26[[#This Row],[WBS CODE]], "-"), "-")</f>
        <v>30101560423</v>
      </c>
    </row>
    <row r="346" spans="1:16" x14ac:dyDescent="0.3">
      <c r="A346">
        <v>345</v>
      </c>
      <c r="B346" s="4" t="s">
        <v>26</v>
      </c>
      <c r="C346" s="4" t="s">
        <v>731</v>
      </c>
      <c r="D346" s="4" t="s">
        <v>732</v>
      </c>
      <c r="E346" t="s">
        <v>17</v>
      </c>
      <c r="F346" s="4" t="s">
        <v>374</v>
      </c>
      <c r="G346" s="4" t="s">
        <v>726</v>
      </c>
      <c r="H346" s="4" t="s">
        <v>732</v>
      </c>
      <c r="I346" s="4"/>
      <c r="J346" s="4" t="s">
        <v>373</v>
      </c>
      <c r="K346" s="4" t="s">
        <v>725</v>
      </c>
      <c r="L346" s="4" t="s">
        <v>725</v>
      </c>
      <c r="M346" s="4"/>
      <c r="N346" s="4"/>
      <c r="O346" s="4"/>
      <c r="P346" t="str">
        <f>_xlfn.TEXTBEFORE(_xlfn.TEXTAFTER(Table26[[#This Row],[WBS CODE]], "-"), "-")</f>
        <v>301015603</v>
      </c>
    </row>
    <row r="347" spans="1:16" x14ac:dyDescent="0.3">
      <c r="A347">
        <v>346</v>
      </c>
      <c r="B347" s="4" t="s">
        <v>30</v>
      </c>
      <c r="C347" s="4" t="s">
        <v>733</v>
      </c>
      <c r="D347" s="4" t="s">
        <v>734</v>
      </c>
      <c r="E347" t="s">
        <v>17</v>
      </c>
      <c r="F347" s="4" t="s">
        <v>374</v>
      </c>
      <c r="G347" s="4" t="s">
        <v>726</v>
      </c>
      <c r="H347" s="4" t="s">
        <v>732</v>
      </c>
      <c r="I347" s="4" t="s">
        <v>734</v>
      </c>
      <c r="J347" s="4" t="s">
        <v>373</v>
      </c>
      <c r="K347" s="4" t="s">
        <v>725</v>
      </c>
      <c r="L347" s="4" t="s">
        <v>725</v>
      </c>
      <c r="M347" s="4" t="s">
        <v>725</v>
      </c>
      <c r="N347" s="4"/>
      <c r="O347" s="4"/>
      <c r="P347" t="str">
        <f>_xlfn.TEXTBEFORE(_xlfn.TEXTAFTER(Table26[[#This Row],[WBS CODE]], "-"), "-")</f>
        <v>30101560323</v>
      </c>
    </row>
    <row r="348" spans="1:16" x14ac:dyDescent="0.3">
      <c r="A348">
        <v>347</v>
      </c>
      <c r="B348" s="4" t="s">
        <v>26</v>
      </c>
      <c r="C348" s="4" t="s">
        <v>735</v>
      </c>
      <c r="D348" s="4" t="s">
        <v>736</v>
      </c>
      <c r="E348" t="s">
        <v>17</v>
      </c>
      <c r="F348" s="4" t="s">
        <v>374</v>
      </c>
      <c r="G348" s="4" t="s">
        <v>726</v>
      </c>
      <c r="H348" s="4" t="s">
        <v>736</v>
      </c>
      <c r="I348" s="4"/>
      <c r="J348" s="4" t="s">
        <v>373</v>
      </c>
      <c r="K348" s="4" t="s">
        <v>725</v>
      </c>
      <c r="L348" s="4" t="s">
        <v>725</v>
      </c>
      <c r="M348" s="4"/>
      <c r="N348" s="4"/>
      <c r="O348" s="4"/>
      <c r="P348" t="str">
        <f>_xlfn.TEXTBEFORE(_xlfn.TEXTAFTER(Table26[[#This Row],[WBS CODE]], "-"), "-")</f>
        <v>301015602</v>
      </c>
    </row>
    <row r="349" spans="1:16" x14ac:dyDescent="0.3">
      <c r="A349">
        <v>348</v>
      </c>
      <c r="B349" s="4" t="s">
        <v>30</v>
      </c>
      <c r="C349" s="4" t="s">
        <v>737</v>
      </c>
      <c r="D349" s="4" t="s">
        <v>738</v>
      </c>
      <c r="E349" t="s">
        <v>17</v>
      </c>
      <c r="F349" s="4" t="s">
        <v>374</v>
      </c>
      <c r="G349" s="4" t="s">
        <v>726</v>
      </c>
      <c r="H349" s="4" t="s">
        <v>736</v>
      </c>
      <c r="I349" s="4" t="s">
        <v>738</v>
      </c>
      <c r="J349" s="4" t="s">
        <v>373</v>
      </c>
      <c r="K349" s="4" t="s">
        <v>725</v>
      </c>
      <c r="L349" s="4" t="s">
        <v>725</v>
      </c>
      <c r="M349" s="4" t="s">
        <v>725</v>
      </c>
      <c r="N349" s="4"/>
      <c r="O349" s="4"/>
      <c r="P349" t="str">
        <f>_xlfn.TEXTBEFORE(_xlfn.TEXTAFTER(Table26[[#This Row],[WBS CODE]], "-"), "-")</f>
        <v>30101560223</v>
      </c>
    </row>
    <row r="350" spans="1:16" x14ac:dyDescent="0.3">
      <c r="A350">
        <v>349</v>
      </c>
      <c r="B350" s="4" t="s">
        <v>26</v>
      </c>
      <c r="C350" s="4" t="s">
        <v>739</v>
      </c>
      <c r="D350" s="4" t="s">
        <v>740</v>
      </c>
      <c r="E350" t="s">
        <v>17</v>
      </c>
      <c r="F350" s="4" t="s">
        <v>374</v>
      </c>
      <c r="G350" s="4" t="s">
        <v>726</v>
      </c>
      <c r="H350" s="4" t="s">
        <v>740</v>
      </c>
      <c r="I350" s="4"/>
      <c r="J350" s="4" t="s">
        <v>373</v>
      </c>
      <c r="K350" s="4" t="s">
        <v>725</v>
      </c>
      <c r="L350" s="4" t="s">
        <v>725</v>
      </c>
      <c r="M350" s="4"/>
      <c r="N350" s="4"/>
      <c r="O350" s="4"/>
      <c r="P350" t="str">
        <f>_xlfn.TEXTBEFORE(_xlfn.TEXTAFTER(Table26[[#This Row],[WBS CODE]], "-"), "-")</f>
        <v>301015601</v>
      </c>
    </row>
    <row r="351" spans="1:16" x14ac:dyDescent="0.3">
      <c r="A351">
        <v>350</v>
      </c>
      <c r="B351" s="4" t="s">
        <v>30</v>
      </c>
      <c r="C351" s="4" t="s">
        <v>741</v>
      </c>
      <c r="D351" s="4" t="s">
        <v>742</v>
      </c>
      <c r="E351" t="s">
        <v>17</v>
      </c>
      <c r="F351" s="4" t="s">
        <v>374</v>
      </c>
      <c r="G351" s="4" t="s">
        <v>726</v>
      </c>
      <c r="H351" s="4" t="s">
        <v>740</v>
      </c>
      <c r="I351" s="4" t="s">
        <v>742</v>
      </c>
      <c r="J351" s="4" t="s">
        <v>373</v>
      </c>
      <c r="K351" s="4" t="s">
        <v>725</v>
      </c>
      <c r="L351" s="4" t="s">
        <v>725</v>
      </c>
      <c r="M351" s="4" t="s">
        <v>725</v>
      </c>
      <c r="N351" s="4"/>
      <c r="O351" s="4"/>
      <c r="P351" t="str">
        <f>_xlfn.TEXTBEFORE(_xlfn.TEXTAFTER(Table26[[#This Row],[WBS CODE]], "-"), "-")</f>
        <v>30101560123</v>
      </c>
    </row>
    <row r="352" spans="1:16" x14ac:dyDescent="0.3">
      <c r="A352">
        <v>351</v>
      </c>
      <c r="B352" s="4" t="s">
        <v>21</v>
      </c>
      <c r="C352" s="4" t="s">
        <v>743</v>
      </c>
      <c r="D352" s="4" t="s">
        <v>744</v>
      </c>
      <c r="E352" t="s">
        <v>17</v>
      </c>
      <c r="F352" s="4" t="s">
        <v>374</v>
      </c>
      <c r="G352" s="4" t="s">
        <v>744</v>
      </c>
      <c r="H352" s="4"/>
      <c r="I352" s="4"/>
      <c r="J352" s="4" t="s">
        <v>373</v>
      </c>
      <c r="K352" s="4" t="s">
        <v>745</v>
      </c>
      <c r="L352" s="4"/>
      <c r="M352" s="4"/>
      <c r="N352" s="4"/>
      <c r="O352" s="4"/>
      <c r="P352" t="str">
        <f>_xlfn.TEXTBEFORE(_xlfn.TEXTAFTER(Table26[[#This Row],[WBS CODE]], "-"), "-")</f>
        <v>3010169</v>
      </c>
    </row>
    <row r="353" spans="1:16" x14ac:dyDescent="0.3">
      <c r="A353">
        <v>352</v>
      </c>
      <c r="B353" s="4" t="s">
        <v>26</v>
      </c>
      <c r="C353" s="4" t="s">
        <v>746</v>
      </c>
      <c r="D353" s="4" t="s">
        <v>747</v>
      </c>
      <c r="E353" t="s">
        <v>17</v>
      </c>
      <c r="F353" s="4" t="s">
        <v>374</v>
      </c>
      <c r="G353" s="4" t="s">
        <v>744</v>
      </c>
      <c r="H353" s="4" t="s">
        <v>747</v>
      </c>
      <c r="I353" s="4"/>
      <c r="J353" s="4" t="s">
        <v>373</v>
      </c>
      <c r="K353" s="4" t="s">
        <v>745</v>
      </c>
      <c r="L353" s="4" t="s">
        <v>745</v>
      </c>
      <c r="M353" s="4"/>
      <c r="N353" s="4"/>
      <c r="O353" s="4"/>
      <c r="P353" t="str">
        <f>_xlfn.TEXTBEFORE(_xlfn.TEXTAFTER(Table26[[#This Row],[WBS CODE]], "-"), "-")</f>
        <v>301016967</v>
      </c>
    </row>
    <row r="354" spans="1:16" x14ac:dyDescent="0.3">
      <c r="A354">
        <v>353</v>
      </c>
      <c r="B354" s="4" t="s">
        <v>30</v>
      </c>
      <c r="C354" s="4" t="s">
        <v>746</v>
      </c>
      <c r="D354" s="4" t="s">
        <v>748</v>
      </c>
      <c r="E354" t="s">
        <v>17</v>
      </c>
      <c r="F354" s="4" t="s">
        <v>374</v>
      </c>
      <c r="G354" s="4" t="s">
        <v>744</v>
      </c>
      <c r="H354" s="4" t="s">
        <v>747</v>
      </c>
      <c r="I354" s="4" t="s">
        <v>748</v>
      </c>
      <c r="J354" s="4" t="s">
        <v>373</v>
      </c>
      <c r="K354" s="4" t="s">
        <v>745</v>
      </c>
      <c r="L354" s="4" t="s">
        <v>745</v>
      </c>
      <c r="M354" s="4" t="s">
        <v>745</v>
      </c>
      <c r="N354" s="4"/>
      <c r="O354" s="4"/>
      <c r="P354" t="str">
        <f>_xlfn.TEXTBEFORE(_xlfn.TEXTAFTER(Table26[[#This Row],[WBS CODE]], "-"), "-")</f>
        <v>30101696706</v>
      </c>
    </row>
    <row r="355" spans="1:16" x14ac:dyDescent="0.3">
      <c r="A355">
        <v>354</v>
      </c>
      <c r="B355" s="4" t="s">
        <v>26</v>
      </c>
      <c r="C355" s="4" t="s">
        <v>749</v>
      </c>
      <c r="D355" s="4" t="s">
        <v>750</v>
      </c>
      <c r="E355" t="s">
        <v>17</v>
      </c>
      <c r="F355" s="4" t="s">
        <v>374</v>
      </c>
      <c r="G355" s="4" t="s">
        <v>744</v>
      </c>
      <c r="H355" s="4" t="s">
        <v>750</v>
      </c>
      <c r="I355" s="4"/>
      <c r="J355" s="4" t="s">
        <v>373</v>
      </c>
      <c r="K355" s="4" t="s">
        <v>745</v>
      </c>
      <c r="L355" s="4" t="s">
        <v>745</v>
      </c>
      <c r="M355" s="4"/>
      <c r="N355" s="4"/>
      <c r="O355" s="4"/>
      <c r="P355" t="str">
        <f>_xlfn.TEXTBEFORE(_xlfn.TEXTAFTER(Table26[[#This Row],[WBS CODE]], "-"), "-")</f>
        <v>301016903</v>
      </c>
    </row>
    <row r="356" spans="1:16" x14ac:dyDescent="0.3">
      <c r="A356">
        <v>355</v>
      </c>
      <c r="B356" s="4" t="s">
        <v>30</v>
      </c>
      <c r="C356" s="4" t="s">
        <v>749</v>
      </c>
      <c r="D356" s="4" t="s">
        <v>751</v>
      </c>
      <c r="E356" t="s">
        <v>17</v>
      </c>
      <c r="F356" s="4" t="s">
        <v>374</v>
      </c>
      <c r="G356" s="4" t="s">
        <v>744</v>
      </c>
      <c r="H356" s="4" t="s">
        <v>750</v>
      </c>
      <c r="I356" s="4" t="s">
        <v>751</v>
      </c>
      <c r="J356" s="4" t="s">
        <v>373</v>
      </c>
      <c r="K356" s="4" t="s">
        <v>745</v>
      </c>
      <c r="L356" s="4" t="s">
        <v>745</v>
      </c>
      <c r="M356" s="4" t="s">
        <v>745</v>
      </c>
      <c r="N356" s="4"/>
      <c r="O356" s="4"/>
      <c r="P356" t="str">
        <f>_xlfn.TEXTBEFORE(_xlfn.TEXTAFTER(Table26[[#This Row],[WBS CODE]], "-"), "-")</f>
        <v>30101690306</v>
      </c>
    </row>
    <row r="357" spans="1:16" x14ac:dyDescent="0.3">
      <c r="A357">
        <v>356</v>
      </c>
      <c r="B357" s="4" t="s">
        <v>21</v>
      </c>
      <c r="C357" s="4" t="s">
        <v>752</v>
      </c>
      <c r="D357" s="4" t="s">
        <v>753</v>
      </c>
      <c r="E357" t="s">
        <v>17</v>
      </c>
      <c r="F357" s="4" t="s">
        <v>374</v>
      </c>
      <c r="G357" s="4" t="s">
        <v>753</v>
      </c>
      <c r="H357" s="4"/>
      <c r="I357" s="4"/>
      <c r="J357" s="4" t="s">
        <v>373</v>
      </c>
      <c r="K357" s="4" t="s">
        <v>385</v>
      </c>
      <c r="L357" s="4"/>
      <c r="M357" s="4"/>
      <c r="N357" s="4" t="s">
        <v>256</v>
      </c>
      <c r="O357" s="4" t="s">
        <v>219</v>
      </c>
      <c r="P357" t="str">
        <f>_xlfn.TEXTBEFORE(_xlfn.TEXTAFTER(Table26[[#This Row],[WBS CODE]], "-"), "-")</f>
        <v>3010101</v>
      </c>
    </row>
    <row r="358" spans="1:16" x14ac:dyDescent="0.3">
      <c r="A358">
        <v>357</v>
      </c>
      <c r="B358" s="4" t="s">
        <v>26</v>
      </c>
      <c r="C358" s="4" t="s">
        <v>754</v>
      </c>
      <c r="D358" s="4" t="s">
        <v>755</v>
      </c>
      <c r="E358" t="s">
        <v>17</v>
      </c>
      <c r="F358" s="4" t="s">
        <v>374</v>
      </c>
      <c r="G358" s="4" t="s">
        <v>753</v>
      </c>
      <c r="H358" s="4" t="s">
        <v>755</v>
      </c>
      <c r="I358" s="4"/>
      <c r="J358" s="4" t="s">
        <v>373</v>
      </c>
      <c r="K358" s="4" t="s">
        <v>385</v>
      </c>
      <c r="L358" s="4" t="s">
        <v>900</v>
      </c>
      <c r="M358" s="4"/>
      <c r="N358" s="4" t="s">
        <v>256</v>
      </c>
      <c r="O358" s="4" t="s">
        <v>219</v>
      </c>
      <c r="P358" t="str">
        <f>_xlfn.TEXTBEFORE(_xlfn.TEXTAFTER(Table26[[#This Row],[WBS CODE]], "-"), "-")</f>
        <v>301010102</v>
      </c>
    </row>
    <row r="359" spans="1:16" x14ac:dyDescent="0.3">
      <c r="A359">
        <v>358</v>
      </c>
      <c r="B359" s="4" t="s">
        <v>30</v>
      </c>
      <c r="C359" s="4" t="s">
        <v>756</v>
      </c>
      <c r="D359" s="4" t="s">
        <v>757</v>
      </c>
      <c r="E359" t="s">
        <v>17</v>
      </c>
      <c r="F359" s="4" t="s">
        <v>374</v>
      </c>
      <c r="G359" s="4" t="s">
        <v>753</v>
      </c>
      <c r="H359" s="4" t="s">
        <v>755</v>
      </c>
      <c r="I359" s="4" t="s">
        <v>757</v>
      </c>
      <c r="J359" s="4" t="s">
        <v>373</v>
      </c>
      <c r="K359" s="4" t="s">
        <v>385</v>
      </c>
      <c r="L359" s="4" t="s">
        <v>900</v>
      </c>
      <c r="M359" s="4" t="s">
        <v>390</v>
      </c>
      <c r="N359" s="4" t="s">
        <v>256</v>
      </c>
      <c r="O359" s="4" t="s">
        <v>219</v>
      </c>
      <c r="P359" t="str">
        <f>_xlfn.TEXTBEFORE(_xlfn.TEXTAFTER(Table26[[#This Row],[WBS CODE]], "-"), "-")</f>
        <v>30101010224</v>
      </c>
    </row>
    <row r="360" spans="1:16" x14ac:dyDescent="0.3">
      <c r="A360">
        <v>359</v>
      </c>
      <c r="B360" s="4" t="s">
        <v>30</v>
      </c>
      <c r="C360" s="4" t="s">
        <v>758</v>
      </c>
      <c r="D360" s="4" t="s">
        <v>759</v>
      </c>
      <c r="E360" t="s">
        <v>17</v>
      </c>
      <c r="F360" s="4" t="s">
        <v>374</v>
      </c>
      <c r="G360" s="4" t="s">
        <v>753</v>
      </c>
      <c r="H360" s="4" t="s">
        <v>755</v>
      </c>
      <c r="I360" s="4" t="s">
        <v>759</v>
      </c>
      <c r="J360" s="4" t="s">
        <v>373</v>
      </c>
      <c r="K360" s="4" t="s">
        <v>385</v>
      </c>
      <c r="L360" s="4" t="s">
        <v>900</v>
      </c>
      <c r="M360" s="4" t="s">
        <v>393</v>
      </c>
      <c r="N360" s="4" t="s">
        <v>256</v>
      </c>
      <c r="O360" s="4" t="s">
        <v>219</v>
      </c>
      <c r="P360" t="str">
        <f>_xlfn.TEXTBEFORE(_xlfn.TEXTAFTER(Table26[[#This Row],[WBS CODE]], "-"), "-")</f>
        <v>30101010298</v>
      </c>
    </row>
    <row r="361" spans="1:16" x14ac:dyDescent="0.3">
      <c r="A361">
        <v>360</v>
      </c>
      <c r="B361" s="4" t="s">
        <v>30</v>
      </c>
      <c r="C361" s="4" t="s">
        <v>760</v>
      </c>
      <c r="D361" s="4" t="s">
        <v>761</v>
      </c>
      <c r="E361" t="s">
        <v>17</v>
      </c>
      <c r="F361" s="4" t="s">
        <v>374</v>
      </c>
      <c r="G361" s="4" t="s">
        <v>753</v>
      </c>
      <c r="H361" s="4" t="s">
        <v>755</v>
      </c>
      <c r="I361" s="4" t="s">
        <v>761</v>
      </c>
      <c r="J361" s="4" t="s">
        <v>373</v>
      </c>
      <c r="K361" s="4" t="s">
        <v>385</v>
      </c>
      <c r="L361" s="4" t="s">
        <v>900</v>
      </c>
      <c r="M361" s="4" t="s">
        <v>396</v>
      </c>
      <c r="N361" s="4" t="s">
        <v>256</v>
      </c>
      <c r="O361" s="4" t="s">
        <v>219</v>
      </c>
      <c r="P361" t="str">
        <f>_xlfn.TEXTBEFORE(_xlfn.TEXTAFTER(Table26[[#This Row],[WBS CODE]], "-"), "-")</f>
        <v>30101010297</v>
      </c>
    </row>
    <row r="362" spans="1:16" x14ac:dyDescent="0.3">
      <c r="A362">
        <v>361</v>
      </c>
      <c r="B362" s="4" t="s">
        <v>30</v>
      </c>
      <c r="C362" s="4" t="s">
        <v>762</v>
      </c>
      <c r="D362" s="4" t="s">
        <v>763</v>
      </c>
      <c r="E362" t="s">
        <v>17</v>
      </c>
      <c r="F362" s="4" t="s">
        <v>374</v>
      </c>
      <c r="G362" s="4" t="s">
        <v>753</v>
      </c>
      <c r="H362" s="4" t="s">
        <v>755</v>
      </c>
      <c r="I362" s="4" t="s">
        <v>763</v>
      </c>
      <c r="J362" s="4" t="s">
        <v>373</v>
      </c>
      <c r="K362" s="4" t="s">
        <v>385</v>
      </c>
      <c r="L362" s="4" t="s">
        <v>900</v>
      </c>
      <c r="M362" s="4" t="s">
        <v>399</v>
      </c>
      <c r="N362" s="4" t="s">
        <v>256</v>
      </c>
      <c r="O362" s="4" t="s">
        <v>219</v>
      </c>
      <c r="P362" t="str">
        <f>_xlfn.TEXTBEFORE(_xlfn.TEXTAFTER(Table26[[#This Row],[WBS CODE]], "-"), "-")</f>
        <v>30101010296</v>
      </c>
    </row>
    <row r="363" spans="1:16" x14ac:dyDescent="0.3">
      <c r="A363">
        <v>362</v>
      </c>
      <c r="B363" s="4" t="s">
        <v>30</v>
      </c>
      <c r="C363" s="4" t="s">
        <v>764</v>
      </c>
      <c r="D363" s="4" t="s">
        <v>765</v>
      </c>
      <c r="E363" t="s">
        <v>17</v>
      </c>
      <c r="F363" s="4" t="s">
        <v>374</v>
      </c>
      <c r="G363" s="4" t="s">
        <v>753</v>
      </c>
      <c r="H363" s="4" t="s">
        <v>755</v>
      </c>
      <c r="I363" s="4" t="s">
        <v>765</v>
      </c>
      <c r="J363" s="4" t="s">
        <v>373</v>
      </c>
      <c r="K363" s="4" t="s">
        <v>385</v>
      </c>
      <c r="L363" s="4" t="s">
        <v>900</v>
      </c>
      <c r="M363" s="4" t="s">
        <v>402</v>
      </c>
      <c r="N363" s="4" t="s">
        <v>256</v>
      </c>
      <c r="O363" s="4" t="s">
        <v>219</v>
      </c>
      <c r="P363" t="str">
        <f>_xlfn.TEXTBEFORE(_xlfn.TEXTAFTER(Table26[[#This Row],[WBS CODE]], "-"), "-")</f>
        <v>30101010295</v>
      </c>
    </row>
    <row r="364" spans="1:16" x14ac:dyDescent="0.3">
      <c r="A364">
        <v>363</v>
      </c>
      <c r="B364" s="4" t="s">
        <v>30</v>
      </c>
      <c r="C364" s="4" t="s">
        <v>766</v>
      </c>
      <c r="D364" s="4" t="s">
        <v>767</v>
      </c>
      <c r="E364" t="s">
        <v>17</v>
      </c>
      <c r="F364" s="4" t="s">
        <v>374</v>
      </c>
      <c r="G364" s="4" t="s">
        <v>753</v>
      </c>
      <c r="H364" s="4" t="s">
        <v>755</v>
      </c>
      <c r="I364" s="4" t="s">
        <v>767</v>
      </c>
      <c r="J364" s="4" t="s">
        <v>373</v>
      </c>
      <c r="K364" s="4" t="s">
        <v>385</v>
      </c>
      <c r="L364" s="4" t="s">
        <v>900</v>
      </c>
      <c r="M364" s="4" t="s">
        <v>405</v>
      </c>
      <c r="N364" s="4" t="s">
        <v>256</v>
      </c>
      <c r="O364" s="4" t="s">
        <v>219</v>
      </c>
      <c r="P364" t="str">
        <f>_xlfn.TEXTBEFORE(_xlfn.TEXTAFTER(Table26[[#This Row],[WBS CODE]], "-"), "-")</f>
        <v>30101010294</v>
      </c>
    </row>
    <row r="365" spans="1:16" x14ac:dyDescent="0.3">
      <c r="A365">
        <v>364</v>
      </c>
      <c r="B365" s="4" t="s">
        <v>30</v>
      </c>
      <c r="C365" s="4" t="s">
        <v>768</v>
      </c>
      <c r="D365" s="4" t="s">
        <v>769</v>
      </c>
      <c r="E365" t="s">
        <v>17</v>
      </c>
      <c r="F365" s="4" t="s">
        <v>374</v>
      </c>
      <c r="G365" s="4" t="s">
        <v>753</v>
      </c>
      <c r="H365" s="4" t="s">
        <v>755</v>
      </c>
      <c r="I365" s="4" t="s">
        <v>769</v>
      </c>
      <c r="J365" s="4" t="s">
        <v>373</v>
      </c>
      <c r="K365" s="4" t="s">
        <v>385</v>
      </c>
      <c r="L365" s="4" t="s">
        <v>900</v>
      </c>
      <c r="M365" s="4" t="s">
        <v>408</v>
      </c>
      <c r="N365" s="4" t="s">
        <v>256</v>
      </c>
      <c r="O365" s="4" t="s">
        <v>219</v>
      </c>
      <c r="P365" t="str">
        <f>_xlfn.TEXTBEFORE(_xlfn.TEXTAFTER(Table26[[#This Row],[WBS CODE]], "-"), "-")</f>
        <v>30101010220</v>
      </c>
    </row>
    <row r="366" spans="1:16" x14ac:dyDescent="0.3">
      <c r="A366">
        <v>365</v>
      </c>
      <c r="B366" s="4" t="s">
        <v>30</v>
      </c>
      <c r="C366" s="4" t="s">
        <v>770</v>
      </c>
      <c r="D366" s="4" t="s">
        <v>771</v>
      </c>
      <c r="E366" t="s">
        <v>17</v>
      </c>
      <c r="F366" s="4" t="s">
        <v>374</v>
      </c>
      <c r="G366" s="4" t="s">
        <v>753</v>
      </c>
      <c r="H366" s="4" t="s">
        <v>755</v>
      </c>
      <c r="I366" s="4" t="s">
        <v>771</v>
      </c>
      <c r="J366" s="4" t="s">
        <v>373</v>
      </c>
      <c r="K366" s="4" t="s">
        <v>385</v>
      </c>
      <c r="L366" s="4" t="s">
        <v>900</v>
      </c>
      <c r="M366" s="4" t="s">
        <v>411</v>
      </c>
      <c r="N366" s="4" t="s">
        <v>256</v>
      </c>
      <c r="O366" s="4" t="s">
        <v>219</v>
      </c>
      <c r="P366" t="str">
        <f>_xlfn.TEXTBEFORE(_xlfn.TEXTAFTER(Table26[[#This Row],[WBS CODE]], "-"), "-")</f>
        <v>30101010217</v>
      </c>
    </row>
    <row r="367" spans="1:16" x14ac:dyDescent="0.3">
      <c r="A367">
        <v>366</v>
      </c>
      <c r="B367" s="4" t="s">
        <v>30</v>
      </c>
      <c r="C367" s="4" t="s">
        <v>772</v>
      </c>
      <c r="D367" s="4" t="s">
        <v>773</v>
      </c>
      <c r="E367" t="s">
        <v>17</v>
      </c>
      <c r="F367" s="4" t="s">
        <v>374</v>
      </c>
      <c r="G367" s="4" t="s">
        <v>753</v>
      </c>
      <c r="H367" s="4" t="s">
        <v>755</v>
      </c>
      <c r="I367" s="4" t="s">
        <v>773</v>
      </c>
      <c r="J367" s="4" t="s">
        <v>373</v>
      </c>
      <c r="K367" s="4" t="s">
        <v>385</v>
      </c>
      <c r="L367" s="4" t="s">
        <v>900</v>
      </c>
      <c r="M367" s="4" t="s">
        <v>414</v>
      </c>
      <c r="N367" s="4" t="s">
        <v>256</v>
      </c>
      <c r="O367" s="4" t="s">
        <v>219</v>
      </c>
      <c r="P367" t="str">
        <f>_xlfn.TEXTBEFORE(_xlfn.TEXTAFTER(Table26[[#This Row],[WBS CODE]], "-"), "-")</f>
        <v>30101010216</v>
      </c>
    </row>
    <row r="368" spans="1:16" x14ac:dyDescent="0.3">
      <c r="A368">
        <v>367</v>
      </c>
      <c r="B368" s="4" t="s">
        <v>30</v>
      </c>
      <c r="C368" s="4" t="s">
        <v>774</v>
      </c>
      <c r="D368" s="4" t="s">
        <v>775</v>
      </c>
      <c r="E368" t="s">
        <v>17</v>
      </c>
      <c r="F368" s="4" t="s">
        <v>374</v>
      </c>
      <c r="G368" s="4" t="s">
        <v>753</v>
      </c>
      <c r="H368" s="4" t="s">
        <v>755</v>
      </c>
      <c r="I368" s="4" t="s">
        <v>775</v>
      </c>
      <c r="J368" s="4" t="s">
        <v>373</v>
      </c>
      <c r="K368" s="4" t="s">
        <v>385</v>
      </c>
      <c r="L368" s="4" t="s">
        <v>900</v>
      </c>
      <c r="M368" s="4" t="s">
        <v>417</v>
      </c>
      <c r="N368" s="4" t="s">
        <v>256</v>
      </c>
      <c r="O368" s="4" t="s">
        <v>219</v>
      </c>
      <c r="P368" t="str">
        <f>_xlfn.TEXTBEFORE(_xlfn.TEXTAFTER(Table26[[#This Row],[WBS CODE]], "-"), "-")</f>
        <v>30101010215</v>
      </c>
    </row>
    <row r="369" spans="1:16" x14ac:dyDescent="0.3">
      <c r="A369">
        <v>368</v>
      </c>
      <c r="B369" s="4" t="s">
        <v>30</v>
      </c>
      <c r="C369" s="4" t="s">
        <v>776</v>
      </c>
      <c r="D369" s="4" t="s">
        <v>777</v>
      </c>
      <c r="E369" t="s">
        <v>17</v>
      </c>
      <c r="F369" s="4" t="s">
        <v>374</v>
      </c>
      <c r="G369" s="4" t="s">
        <v>753</v>
      </c>
      <c r="H369" s="4" t="s">
        <v>755</v>
      </c>
      <c r="I369" s="4" t="s">
        <v>777</v>
      </c>
      <c r="J369" s="4" t="s">
        <v>373</v>
      </c>
      <c r="K369" s="4" t="s">
        <v>385</v>
      </c>
      <c r="L369" s="4" t="s">
        <v>900</v>
      </c>
      <c r="M369" s="4" t="s">
        <v>420</v>
      </c>
      <c r="N369" s="4" t="s">
        <v>256</v>
      </c>
      <c r="O369" s="4" t="s">
        <v>219</v>
      </c>
      <c r="P369" t="str">
        <f>_xlfn.TEXTBEFORE(_xlfn.TEXTAFTER(Table26[[#This Row],[WBS CODE]], "-"), "-")</f>
        <v>30101010214</v>
      </c>
    </row>
    <row r="370" spans="1:16" x14ac:dyDescent="0.3">
      <c r="A370">
        <v>369</v>
      </c>
      <c r="B370" s="4" t="s">
        <v>30</v>
      </c>
      <c r="C370" s="4" t="s">
        <v>778</v>
      </c>
      <c r="D370" s="4" t="s">
        <v>779</v>
      </c>
      <c r="E370" t="s">
        <v>17</v>
      </c>
      <c r="F370" s="4" t="s">
        <v>374</v>
      </c>
      <c r="G370" s="4" t="s">
        <v>753</v>
      </c>
      <c r="H370" s="4" t="s">
        <v>755</v>
      </c>
      <c r="I370" s="4" t="s">
        <v>779</v>
      </c>
      <c r="J370" s="4" t="s">
        <v>373</v>
      </c>
      <c r="K370" s="4" t="s">
        <v>385</v>
      </c>
      <c r="L370" s="4" t="s">
        <v>900</v>
      </c>
      <c r="M370" s="4" t="s">
        <v>423</v>
      </c>
      <c r="N370" s="4" t="s">
        <v>256</v>
      </c>
      <c r="O370" s="4" t="s">
        <v>219</v>
      </c>
      <c r="P370" t="str">
        <f>_xlfn.TEXTBEFORE(_xlfn.TEXTAFTER(Table26[[#This Row],[WBS CODE]], "-"), "-")</f>
        <v>30101010213</v>
      </c>
    </row>
    <row r="371" spans="1:16" x14ac:dyDescent="0.3">
      <c r="A371">
        <v>370</v>
      </c>
      <c r="B371" s="4" t="s">
        <v>30</v>
      </c>
      <c r="C371" s="4" t="s">
        <v>780</v>
      </c>
      <c r="D371" s="4" t="s">
        <v>781</v>
      </c>
      <c r="E371" t="s">
        <v>17</v>
      </c>
      <c r="F371" s="4" t="s">
        <v>374</v>
      </c>
      <c r="G371" s="4" t="s">
        <v>753</v>
      </c>
      <c r="H371" s="4" t="s">
        <v>755</v>
      </c>
      <c r="I371" s="4" t="s">
        <v>781</v>
      </c>
      <c r="J371" s="4" t="s">
        <v>373</v>
      </c>
      <c r="K371" s="4" t="s">
        <v>385</v>
      </c>
      <c r="L371" s="4" t="s">
        <v>900</v>
      </c>
      <c r="M371" s="4" t="s">
        <v>426</v>
      </c>
      <c r="N371" s="4" t="s">
        <v>256</v>
      </c>
      <c r="O371" s="4" t="s">
        <v>219</v>
      </c>
      <c r="P371" t="str">
        <f>_xlfn.TEXTBEFORE(_xlfn.TEXTAFTER(Table26[[#This Row],[WBS CODE]], "-"), "-")</f>
        <v>30101010247</v>
      </c>
    </row>
    <row r="372" spans="1:16" x14ac:dyDescent="0.3">
      <c r="A372">
        <v>371</v>
      </c>
      <c r="B372" s="4" t="s">
        <v>30</v>
      </c>
      <c r="C372" s="4" t="s">
        <v>782</v>
      </c>
      <c r="D372" s="4" t="s">
        <v>783</v>
      </c>
      <c r="E372" t="s">
        <v>17</v>
      </c>
      <c r="F372" s="4" t="s">
        <v>374</v>
      </c>
      <c r="G372" s="4" t="s">
        <v>753</v>
      </c>
      <c r="H372" s="4" t="s">
        <v>755</v>
      </c>
      <c r="I372" s="4" t="s">
        <v>783</v>
      </c>
      <c r="J372" s="4" t="s">
        <v>373</v>
      </c>
      <c r="K372" s="4" t="s">
        <v>385</v>
      </c>
      <c r="L372" s="4" t="s">
        <v>900</v>
      </c>
      <c r="M372" s="4" t="s">
        <v>429</v>
      </c>
      <c r="N372" s="4" t="s">
        <v>256</v>
      </c>
      <c r="O372" s="4" t="s">
        <v>219</v>
      </c>
      <c r="P372" t="str">
        <f>_xlfn.TEXTBEFORE(_xlfn.TEXTAFTER(Table26[[#This Row],[WBS CODE]], "-"), "-")</f>
        <v>30101010212</v>
      </c>
    </row>
    <row r="373" spans="1:16" x14ac:dyDescent="0.3">
      <c r="A373">
        <v>372</v>
      </c>
      <c r="B373" s="4" t="s">
        <v>30</v>
      </c>
      <c r="C373" s="4" t="s">
        <v>784</v>
      </c>
      <c r="D373" s="4" t="s">
        <v>785</v>
      </c>
      <c r="E373" t="s">
        <v>17</v>
      </c>
      <c r="F373" s="4" t="s">
        <v>374</v>
      </c>
      <c r="G373" s="4" t="s">
        <v>753</v>
      </c>
      <c r="H373" s="4" t="s">
        <v>755</v>
      </c>
      <c r="I373" s="4" t="s">
        <v>785</v>
      </c>
      <c r="J373" s="4" t="s">
        <v>373</v>
      </c>
      <c r="K373" s="4" t="s">
        <v>385</v>
      </c>
      <c r="L373" s="4" t="s">
        <v>900</v>
      </c>
      <c r="M373" s="4" t="s">
        <v>432</v>
      </c>
      <c r="N373" s="4" t="s">
        <v>256</v>
      </c>
      <c r="O373" s="4" t="s">
        <v>219</v>
      </c>
      <c r="P373" t="str">
        <f>_xlfn.TEXTBEFORE(_xlfn.TEXTAFTER(Table26[[#This Row],[WBS CODE]], "-"), "-")</f>
        <v>30101010211</v>
      </c>
    </row>
    <row r="374" spans="1:16" x14ac:dyDescent="0.3">
      <c r="A374">
        <v>373</v>
      </c>
      <c r="B374" s="4" t="s">
        <v>30</v>
      </c>
      <c r="C374" s="4" t="s">
        <v>786</v>
      </c>
      <c r="D374" s="4" t="s">
        <v>787</v>
      </c>
      <c r="E374" t="s">
        <v>17</v>
      </c>
      <c r="F374" s="4" t="s">
        <v>374</v>
      </c>
      <c r="G374" s="4" t="s">
        <v>753</v>
      </c>
      <c r="H374" s="4" t="s">
        <v>755</v>
      </c>
      <c r="I374" s="4" t="s">
        <v>787</v>
      </c>
      <c r="J374" s="4" t="s">
        <v>373</v>
      </c>
      <c r="K374" s="4" t="s">
        <v>385</v>
      </c>
      <c r="L374" s="4" t="s">
        <v>900</v>
      </c>
      <c r="M374" s="4" t="s">
        <v>435</v>
      </c>
      <c r="N374" s="4" t="s">
        <v>256</v>
      </c>
      <c r="O374" s="4" t="s">
        <v>219</v>
      </c>
      <c r="P374" t="str">
        <f>_xlfn.TEXTBEFORE(_xlfn.TEXTAFTER(Table26[[#This Row],[WBS CODE]], "-"), "-")</f>
        <v>30101010210</v>
      </c>
    </row>
    <row r="375" spans="1:16" x14ac:dyDescent="0.3">
      <c r="A375">
        <v>374</v>
      </c>
      <c r="B375" s="4" t="s">
        <v>30</v>
      </c>
      <c r="C375" s="4" t="s">
        <v>788</v>
      </c>
      <c r="D375" s="4" t="s">
        <v>789</v>
      </c>
      <c r="E375" t="s">
        <v>17</v>
      </c>
      <c r="F375" s="4" t="s">
        <v>374</v>
      </c>
      <c r="G375" s="4" t="s">
        <v>753</v>
      </c>
      <c r="H375" s="4" t="s">
        <v>755</v>
      </c>
      <c r="I375" s="4" t="s">
        <v>789</v>
      </c>
      <c r="J375" s="4" t="s">
        <v>373</v>
      </c>
      <c r="K375" s="4" t="s">
        <v>385</v>
      </c>
      <c r="L375" s="4" t="s">
        <v>900</v>
      </c>
      <c r="M375" s="4" t="s">
        <v>438</v>
      </c>
      <c r="N375" s="4" t="s">
        <v>256</v>
      </c>
      <c r="O375" s="4" t="s">
        <v>219</v>
      </c>
      <c r="P375" t="str">
        <f>_xlfn.TEXTBEFORE(_xlfn.TEXTAFTER(Table26[[#This Row],[WBS CODE]], "-"), "-")</f>
        <v>30101010209</v>
      </c>
    </row>
    <row r="376" spans="1:16" x14ac:dyDescent="0.3">
      <c r="A376">
        <v>375</v>
      </c>
      <c r="B376" s="4" t="s">
        <v>30</v>
      </c>
      <c r="C376" s="4" t="s">
        <v>790</v>
      </c>
      <c r="D376" s="4" t="s">
        <v>791</v>
      </c>
      <c r="E376" t="s">
        <v>17</v>
      </c>
      <c r="F376" s="4" t="s">
        <v>374</v>
      </c>
      <c r="G376" s="4" t="s">
        <v>753</v>
      </c>
      <c r="H376" s="4" t="s">
        <v>755</v>
      </c>
      <c r="I376" s="4" t="s">
        <v>791</v>
      </c>
      <c r="J376" s="4" t="s">
        <v>373</v>
      </c>
      <c r="K376" s="4" t="s">
        <v>385</v>
      </c>
      <c r="L376" s="4" t="s">
        <v>900</v>
      </c>
      <c r="M376" s="4" t="s">
        <v>441</v>
      </c>
      <c r="N376" s="4" t="s">
        <v>256</v>
      </c>
      <c r="O376" s="4" t="s">
        <v>219</v>
      </c>
      <c r="P376" t="str">
        <f>_xlfn.TEXTBEFORE(_xlfn.TEXTAFTER(Table26[[#This Row],[WBS CODE]], "-"), "-")</f>
        <v>30101010208</v>
      </c>
    </row>
    <row r="377" spans="1:16" x14ac:dyDescent="0.3">
      <c r="A377">
        <v>376</v>
      </c>
      <c r="B377" s="4" t="s">
        <v>30</v>
      </c>
      <c r="C377" s="4" t="s">
        <v>792</v>
      </c>
      <c r="D377" s="4" t="s">
        <v>793</v>
      </c>
      <c r="E377" t="s">
        <v>17</v>
      </c>
      <c r="F377" s="4" t="s">
        <v>374</v>
      </c>
      <c r="G377" s="4" t="s">
        <v>753</v>
      </c>
      <c r="H377" s="4" t="s">
        <v>755</v>
      </c>
      <c r="I377" s="4" t="s">
        <v>793</v>
      </c>
      <c r="J377" s="4" t="s">
        <v>373</v>
      </c>
      <c r="K377" s="4" t="s">
        <v>385</v>
      </c>
      <c r="L377" s="4" t="s">
        <v>900</v>
      </c>
      <c r="M377" s="4" t="s">
        <v>444</v>
      </c>
      <c r="N377" s="4" t="s">
        <v>256</v>
      </c>
      <c r="O377" s="4" t="s">
        <v>219</v>
      </c>
      <c r="P377" t="str">
        <f>_xlfn.TEXTBEFORE(_xlfn.TEXTAFTER(Table26[[#This Row],[WBS CODE]], "-"), "-")</f>
        <v>30101010207</v>
      </c>
    </row>
    <row r="378" spans="1:16" x14ac:dyDescent="0.3">
      <c r="A378">
        <v>377</v>
      </c>
      <c r="B378" s="4" t="s">
        <v>30</v>
      </c>
      <c r="C378" s="4" t="s">
        <v>794</v>
      </c>
      <c r="D378" s="4" t="s">
        <v>795</v>
      </c>
      <c r="E378" t="s">
        <v>17</v>
      </c>
      <c r="F378" s="4" t="s">
        <v>374</v>
      </c>
      <c r="G378" s="4" t="s">
        <v>753</v>
      </c>
      <c r="H378" s="4" t="s">
        <v>755</v>
      </c>
      <c r="I378" s="4" t="s">
        <v>795</v>
      </c>
      <c r="J378" s="4" t="s">
        <v>373</v>
      </c>
      <c r="K378" s="4" t="s">
        <v>385</v>
      </c>
      <c r="L378" s="4" t="s">
        <v>900</v>
      </c>
      <c r="M378" s="4" t="s">
        <v>447</v>
      </c>
      <c r="N378" s="4" t="s">
        <v>256</v>
      </c>
      <c r="O378" s="4" t="s">
        <v>219</v>
      </c>
      <c r="P378" t="str">
        <f>_xlfn.TEXTBEFORE(_xlfn.TEXTAFTER(Table26[[#This Row],[WBS CODE]], "-"), "-")</f>
        <v>30101010205</v>
      </c>
    </row>
    <row r="379" spans="1:16" x14ac:dyDescent="0.3">
      <c r="A379">
        <v>378</v>
      </c>
      <c r="B379" s="4" t="s">
        <v>30</v>
      </c>
      <c r="C379" s="4" t="s">
        <v>796</v>
      </c>
      <c r="D379" s="4" t="s">
        <v>797</v>
      </c>
      <c r="E379" t="s">
        <v>17</v>
      </c>
      <c r="F379" s="4" t="s">
        <v>374</v>
      </c>
      <c r="G379" s="4" t="s">
        <v>753</v>
      </c>
      <c r="H379" s="4" t="s">
        <v>755</v>
      </c>
      <c r="I379" s="4" t="s">
        <v>797</v>
      </c>
      <c r="J379" s="4" t="s">
        <v>373</v>
      </c>
      <c r="K379" s="4" t="s">
        <v>385</v>
      </c>
      <c r="L379" s="4" t="s">
        <v>900</v>
      </c>
      <c r="M379" s="4" t="s">
        <v>450</v>
      </c>
      <c r="N379" s="4" t="s">
        <v>256</v>
      </c>
      <c r="O379" s="4" t="s">
        <v>219</v>
      </c>
      <c r="P379" t="str">
        <f>_xlfn.TEXTBEFORE(_xlfn.TEXTAFTER(Table26[[#This Row],[WBS CODE]], "-"), "-")</f>
        <v>30101010204</v>
      </c>
    </row>
    <row r="380" spans="1:16" x14ac:dyDescent="0.3">
      <c r="A380">
        <v>379</v>
      </c>
      <c r="B380" s="4" t="s">
        <v>26</v>
      </c>
      <c r="C380" s="4" t="s">
        <v>798</v>
      </c>
      <c r="D380" s="4" t="s">
        <v>799</v>
      </c>
      <c r="E380" t="s">
        <v>17</v>
      </c>
      <c r="F380" s="4" t="s">
        <v>374</v>
      </c>
      <c r="G380" s="4" t="s">
        <v>753</v>
      </c>
      <c r="H380" s="4" t="s">
        <v>799</v>
      </c>
      <c r="I380" s="4"/>
      <c r="J380" s="4" t="s">
        <v>373</v>
      </c>
      <c r="K380" s="4" t="s">
        <v>385</v>
      </c>
      <c r="L380" s="4" t="s">
        <v>39</v>
      </c>
      <c r="M380" s="4"/>
      <c r="N380" s="4" t="s">
        <v>256</v>
      </c>
      <c r="O380" s="4" t="s">
        <v>219</v>
      </c>
      <c r="P380" t="str">
        <f>_xlfn.TEXTBEFORE(_xlfn.TEXTAFTER(Table26[[#This Row],[WBS CODE]], "-"), "-")</f>
        <v>301010101</v>
      </c>
    </row>
    <row r="381" spans="1:16" x14ac:dyDescent="0.3">
      <c r="A381">
        <v>380</v>
      </c>
      <c r="B381" s="4" t="s">
        <v>30</v>
      </c>
      <c r="C381" s="4" t="s">
        <v>800</v>
      </c>
      <c r="D381" s="4" t="s">
        <v>801</v>
      </c>
      <c r="E381" t="s">
        <v>17</v>
      </c>
      <c r="F381" s="4" t="s">
        <v>374</v>
      </c>
      <c r="G381" s="4" t="s">
        <v>753</v>
      </c>
      <c r="H381" s="4" t="s">
        <v>799</v>
      </c>
      <c r="I381" s="4" t="s">
        <v>801</v>
      </c>
      <c r="J381" s="4" t="s">
        <v>373</v>
      </c>
      <c r="K381" s="4" t="s">
        <v>385</v>
      </c>
      <c r="L381" s="4" t="s">
        <v>39</v>
      </c>
      <c r="M381" s="4" t="s">
        <v>455</v>
      </c>
      <c r="N381" s="4" t="s">
        <v>256</v>
      </c>
      <c r="O381" s="4" t="s">
        <v>219</v>
      </c>
      <c r="P381" t="str">
        <f>_xlfn.TEXTBEFORE(_xlfn.TEXTAFTER(Table26[[#This Row],[WBS CODE]], "-"), "-")</f>
        <v>30101010160</v>
      </c>
    </row>
    <row r="382" spans="1:16" x14ac:dyDescent="0.3">
      <c r="A382">
        <v>381</v>
      </c>
      <c r="B382" s="4" t="s">
        <v>26</v>
      </c>
      <c r="C382" s="4" t="s">
        <v>802</v>
      </c>
      <c r="D382" s="4" t="s">
        <v>803</v>
      </c>
      <c r="E382" t="s">
        <v>17</v>
      </c>
      <c r="F382" s="4" t="s">
        <v>374</v>
      </c>
      <c r="G382" s="4" t="s">
        <v>753</v>
      </c>
      <c r="H382" s="4" t="s">
        <v>803</v>
      </c>
      <c r="I382" s="4"/>
      <c r="J382" s="4" t="s">
        <v>373</v>
      </c>
      <c r="K382" s="4" t="s">
        <v>385</v>
      </c>
      <c r="L382" s="4" t="s">
        <v>42</v>
      </c>
      <c r="M382" s="4"/>
      <c r="N382" s="4" t="s">
        <v>256</v>
      </c>
      <c r="O382" s="4" t="s">
        <v>219</v>
      </c>
      <c r="P382" t="str">
        <f>_xlfn.TEXTBEFORE(_xlfn.TEXTAFTER(Table26[[#This Row],[WBS CODE]], "-"), "-")</f>
        <v>301010161</v>
      </c>
    </row>
    <row r="383" spans="1:16" x14ac:dyDescent="0.3">
      <c r="A383">
        <v>382</v>
      </c>
      <c r="B383" s="4" t="s">
        <v>30</v>
      </c>
      <c r="C383" s="4" t="s">
        <v>804</v>
      </c>
      <c r="D383" s="4" t="s">
        <v>805</v>
      </c>
      <c r="E383" t="s">
        <v>17</v>
      </c>
      <c r="F383" s="4" t="s">
        <v>374</v>
      </c>
      <c r="G383" s="4" t="s">
        <v>753</v>
      </c>
      <c r="H383" s="4" t="s">
        <v>803</v>
      </c>
      <c r="I383" s="4" t="s">
        <v>805</v>
      </c>
      <c r="J383" s="4" t="s">
        <v>373</v>
      </c>
      <c r="K383" s="4" t="s">
        <v>385</v>
      </c>
      <c r="L383" s="4" t="s">
        <v>42</v>
      </c>
      <c r="M383" s="4" t="s">
        <v>460</v>
      </c>
      <c r="N383" s="4" t="s">
        <v>256</v>
      </c>
      <c r="O383" s="4" t="s">
        <v>219</v>
      </c>
      <c r="P383" t="str">
        <f>_xlfn.TEXTBEFORE(_xlfn.TEXTAFTER(Table26[[#This Row],[WBS CODE]], "-"), "-")</f>
        <v>30101016162</v>
      </c>
    </row>
    <row r="384" spans="1:16" x14ac:dyDescent="0.3">
      <c r="A384">
        <v>383</v>
      </c>
      <c r="B384" s="4" t="s">
        <v>30</v>
      </c>
      <c r="C384" s="4" t="s">
        <v>806</v>
      </c>
      <c r="D384" s="4" t="s">
        <v>807</v>
      </c>
      <c r="E384" t="s">
        <v>17</v>
      </c>
      <c r="F384" s="4" t="s">
        <v>374</v>
      </c>
      <c r="G384" s="4" t="s">
        <v>753</v>
      </c>
      <c r="H384" s="4" t="s">
        <v>803</v>
      </c>
      <c r="I384" s="4" t="s">
        <v>807</v>
      </c>
      <c r="J384" s="4" t="s">
        <v>373</v>
      </c>
      <c r="K384" s="4" t="s">
        <v>385</v>
      </c>
      <c r="L384" s="4" t="s">
        <v>42</v>
      </c>
      <c r="M384" s="4" t="s">
        <v>463</v>
      </c>
      <c r="N384" s="4" t="s">
        <v>256</v>
      </c>
      <c r="O384" s="4" t="s">
        <v>219</v>
      </c>
      <c r="P384" t="str">
        <f>_xlfn.TEXTBEFORE(_xlfn.TEXTAFTER(Table26[[#This Row],[WBS CODE]], "-"), "-")</f>
        <v>30101016193</v>
      </c>
    </row>
    <row r="385" spans="1:16" x14ac:dyDescent="0.3">
      <c r="A385">
        <v>384</v>
      </c>
      <c r="B385" s="4" t="s">
        <v>30</v>
      </c>
      <c r="C385" s="4" t="s">
        <v>808</v>
      </c>
      <c r="D385" s="4" t="s">
        <v>809</v>
      </c>
      <c r="E385" t="s">
        <v>17</v>
      </c>
      <c r="F385" s="4" t="s">
        <v>374</v>
      </c>
      <c r="G385" s="4" t="s">
        <v>753</v>
      </c>
      <c r="H385" s="4" t="s">
        <v>803</v>
      </c>
      <c r="I385" s="4" t="s">
        <v>809</v>
      </c>
      <c r="J385" s="4" t="s">
        <v>373</v>
      </c>
      <c r="K385" s="4" t="s">
        <v>385</v>
      </c>
      <c r="L385" s="4" t="s">
        <v>42</v>
      </c>
      <c r="M385" s="4" t="s">
        <v>466</v>
      </c>
      <c r="N385" s="4" t="s">
        <v>256</v>
      </c>
      <c r="O385" s="4" t="s">
        <v>219</v>
      </c>
      <c r="P385" t="str">
        <f>_xlfn.TEXTBEFORE(_xlfn.TEXTAFTER(Table26[[#This Row],[WBS CODE]], "-"), "-")</f>
        <v>30101016118</v>
      </c>
    </row>
    <row r="386" spans="1:16" x14ac:dyDescent="0.3">
      <c r="A386">
        <v>385</v>
      </c>
      <c r="B386" s="4" t="s">
        <v>30</v>
      </c>
      <c r="C386" s="4" t="s">
        <v>810</v>
      </c>
      <c r="D386" s="4" t="s">
        <v>811</v>
      </c>
      <c r="E386" t="s">
        <v>17</v>
      </c>
      <c r="F386" s="4" t="s">
        <v>374</v>
      </c>
      <c r="G386" s="4" t="s">
        <v>753</v>
      </c>
      <c r="H386" s="4" t="s">
        <v>803</v>
      </c>
      <c r="I386" s="4" t="s">
        <v>811</v>
      </c>
      <c r="J386" s="4" t="s">
        <v>373</v>
      </c>
      <c r="K386" s="4" t="s">
        <v>385</v>
      </c>
      <c r="L386" s="4" t="s">
        <v>42</v>
      </c>
      <c r="M386" s="4" t="s">
        <v>438</v>
      </c>
      <c r="N386" s="4" t="s">
        <v>256</v>
      </c>
      <c r="O386" s="4" t="s">
        <v>219</v>
      </c>
      <c r="P386" t="str">
        <f>_xlfn.TEXTBEFORE(_xlfn.TEXTAFTER(Table26[[#This Row],[WBS CODE]], "-"), "-")</f>
        <v>30101016102</v>
      </c>
    </row>
    <row r="387" spans="1:16" x14ac:dyDescent="0.3">
      <c r="A387">
        <v>386</v>
      </c>
      <c r="B387" s="4" t="s">
        <v>30</v>
      </c>
      <c r="C387" s="4" t="s">
        <v>812</v>
      </c>
      <c r="D387" s="4" t="s">
        <v>813</v>
      </c>
      <c r="E387" t="s">
        <v>17</v>
      </c>
      <c r="F387" s="4" t="s">
        <v>374</v>
      </c>
      <c r="G387" s="4" t="s">
        <v>753</v>
      </c>
      <c r="H387" s="4" t="s">
        <v>803</v>
      </c>
      <c r="I387" s="4" t="s">
        <v>813</v>
      </c>
      <c r="J387" s="4" t="s">
        <v>373</v>
      </c>
      <c r="K387" s="4" t="s">
        <v>385</v>
      </c>
      <c r="L387" s="4" t="s">
        <v>42</v>
      </c>
      <c r="M387" s="4" t="s">
        <v>471</v>
      </c>
      <c r="N387" s="4" t="s">
        <v>256</v>
      </c>
      <c r="O387" s="4" t="s">
        <v>219</v>
      </c>
      <c r="P387" t="str">
        <f>_xlfn.TEXTBEFORE(_xlfn.TEXTAFTER(Table26[[#This Row],[WBS CODE]], "-"), "-")</f>
        <v>30101016101</v>
      </c>
    </row>
    <row r="388" spans="1:16" x14ac:dyDescent="0.3">
      <c r="A388">
        <v>387</v>
      </c>
      <c r="B388" t="s">
        <v>15</v>
      </c>
      <c r="C388" t="s">
        <v>814</v>
      </c>
      <c r="D388" t="s">
        <v>815</v>
      </c>
      <c r="E388" t="s">
        <v>815</v>
      </c>
      <c r="P388" t="str">
        <f>_xlfn.TEXTBEFORE(_xlfn.TEXTAFTER(Table26[[#This Row],[WBS CODE]], "-"), "-")</f>
        <v>30</v>
      </c>
    </row>
    <row r="389" spans="1:16" x14ac:dyDescent="0.3">
      <c r="A389">
        <v>388</v>
      </c>
      <c r="B389" t="s">
        <v>18</v>
      </c>
      <c r="C389" t="s">
        <v>373</v>
      </c>
      <c r="D389" t="s">
        <v>816</v>
      </c>
      <c r="E389" t="s">
        <v>815</v>
      </c>
      <c r="F389" t="s">
        <v>816</v>
      </c>
      <c r="J389" t="s">
        <v>373</v>
      </c>
      <c r="P389" t="str">
        <f>_xlfn.TEXTBEFORE(_xlfn.TEXTAFTER(Table26[[#This Row],[WBS CODE]], "-"), "-")</f>
        <v>30101</v>
      </c>
    </row>
    <row r="390" spans="1:16" x14ac:dyDescent="0.3">
      <c r="A390">
        <v>389</v>
      </c>
      <c r="B390" t="s">
        <v>18</v>
      </c>
      <c r="C390" t="s">
        <v>261</v>
      </c>
      <c r="D390" t="s">
        <v>817</v>
      </c>
      <c r="E390" t="s">
        <v>815</v>
      </c>
      <c r="F390" t="s">
        <v>817</v>
      </c>
      <c r="J390" t="s">
        <v>261</v>
      </c>
      <c r="P390" t="str">
        <f>_xlfn.TEXTBEFORE(_xlfn.TEXTAFTER(Table26[[#This Row],[WBS CODE]], "-"), "-")</f>
        <v>30129</v>
      </c>
    </row>
    <row r="391" spans="1:16" x14ac:dyDescent="0.3">
      <c r="A391">
        <v>390</v>
      </c>
      <c r="B391" t="s">
        <v>18</v>
      </c>
      <c r="C391" t="s">
        <v>19</v>
      </c>
      <c r="D391" t="s">
        <v>818</v>
      </c>
      <c r="E391" t="s">
        <v>815</v>
      </c>
      <c r="F391" t="s">
        <v>818</v>
      </c>
      <c r="J391" t="s">
        <v>19</v>
      </c>
      <c r="P391" t="str">
        <f>_xlfn.TEXTBEFORE(_xlfn.TEXTAFTER(Table26[[#This Row],[WBS CODE]], "-"), "-")</f>
        <v>30203</v>
      </c>
    </row>
    <row r="392" spans="1:16" x14ac:dyDescent="0.3">
      <c r="A392">
        <v>391</v>
      </c>
      <c r="B392" t="s">
        <v>18</v>
      </c>
      <c r="C392" t="s">
        <v>819</v>
      </c>
      <c r="D392" t="s">
        <v>820</v>
      </c>
      <c r="E392" t="s">
        <v>815</v>
      </c>
      <c r="F392" t="s">
        <v>820</v>
      </c>
      <c r="J392" t="s">
        <v>819</v>
      </c>
      <c r="P392" t="str">
        <f>_xlfn.TEXTBEFORE(_xlfn.TEXTAFTER(Table26[[#This Row],[WBS CODE]], "-"), "-")</f>
        <v>30299</v>
      </c>
    </row>
    <row r="393" spans="1:16" x14ac:dyDescent="0.3">
      <c r="A393">
        <v>392</v>
      </c>
      <c r="B393" t="s">
        <v>21</v>
      </c>
      <c r="C393" t="s">
        <v>821</v>
      </c>
      <c r="D393" t="s">
        <v>822</v>
      </c>
      <c r="E393" t="s">
        <v>815</v>
      </c>
      <c r="F393" t="s">
        <v>816</v>
      </c>
      <c r="G393" t="s">
        <v>822</v>
      </c>
      <c r="J393" t="s">
        <v>373</v>
      </c>
      <c r="K393" t="s">
        <v>385</v>
      </c>
      <c r="N393" t="s">
        <v>823</v>
      </c>
      <c r="O393" t="s">
        <v>219</v>
      </c>
      <c r="P393" t="str">
        <f>_xlfn.TEXTBEFORE(_xlfn.TEXTAFTER(Table26[[#This Row],[WBS CODE]], "-"), "-")</f>
        <v>3010101</v>
      </c>
    </row>
    <row r="394" spans="1:16" x14ac:dyDescent="0.3">
      <c r="A394">
        <v>393</v>
      </c>
      <c r="B394" t="s">
        <v>21</v>
      </c>
      <c r="C394" t="s">
        <v>824</v>
      </c>
      <c r="D394" t="s">
        <v>825</v>
      </c>
      <c r="E394" t="s">
        <v>815</v>
      </c>
      <c r="F394" t="s">
        <v>816</v>
      </c>
      <c r="G394" t="s">
        <v>825</v>
      </c>
      <c r="J394" t="s">
        <v>373</v>
      </c>
      <c r="K394" t="s">
        <v>385</v>
      </c>
      <c r="N394" t="s">
        <v>826</v>
      </c>
      <c r="O394" t="s">
        <v>219</v>
      </c>
      <c r="P394" t="str">
        <f>_xlfn.TEXTBEFORE(_xlfn.TEXTAFTER(Table26[[#This Row],[WBS CODE]], "-"), "-")</f>
        <v>3010102</v>
      </c>
    </row>
    <row r="395" spans="1:16" x14ac:dyDescent="0.3">
      <c r="A395">
        <v>394</v>
      </c>
      <c r="B395" t="s">
        <v>21</v>
      </c>
      <c r="C395" t="s">
        <v>827</v>
      </c>
      <c r="D395" t="s">
        <v>828</v>
      </c>
      <c r="E395" t="s">
        <v>815</v>
      </c>
      <c r="F395" t="s">
        <v>816</v>
      </c>
      <c r="G395" t="s">
        <v>828</v>
      </c>
      <c r="J395" t="s">
        <v>373</v>
      </c>
      <c r="K395" t="s">
        <v>385</v>
      </c>
      <c r="N395" t="s">
        <v>829</v>
      </c>
      <c r="O395" t="s">
        <v>219</v>
      </c>
      <c r="P395" t="str">
        <f>_xlfn.TEXTBEFORE(_xlfn.TEXTAFTER(Table26[[#This Row],[WBS CODE]], "-"), "-")</f>
        <v>3010103</v>
      </c>
    </row>
    <row r="396" spans="1:16" x14ac:dyDescent="0.3">
      <c r="A396">
        <v>395</v>
      </c>
      <c r="B396" t="s">
        <v>21</v>
      </c>
      <c r="C396" t="s">
        <v>830</v>
      </c>
      <c r="D396" t="s">
        <v>831</v>
      </c>
      <c r="E396" t="s">
        <v>815</v>
      </c>
      <c r="F396" t="s">
        <v>816</v>
      </c>
      <c r="G396" t="s">
        <v>831</v>
      </c>
      <c r="J396" t="s">
        <v>373</v>
      </c>
      <c r="K396" t="s">
        <v>385</v>
      </c>
      <c r="N396" t="s">
        <v>832</v>
      </c>
      <c r="O396" t="s">
        <v>219</v>
      </c>
      <c r="P396" t="str">
        <f>_xlfn.TEXTBEFORE(_xlfn.TEXTAFTER(Table26[[#This Row],[WBS CODE]], "-"), "-")</f>
        <v>3010104</v>
      </c>
    </row>
    <row r="397" spans="1:16" x14ac:dyDescent="0.3">
      <c r="A397">
        <v>396</v>
      </c>
      <c r="B397" t="s">
        <v>21</v>
      </c>
      <c r="C397" t="s">
        <v>833</v>
      </c>
      <c r="D397" t="s">
        <v>834</v>
      </c>
      <c r="E397" t="s">
        <v>815</v>
      </c>
      <c r="F397" t="s">
        <v>816</v>
      </c>
      <c r="G397" t="s">
        <v>834</v>
      </c>
      <c r="J397" t="s">
        <v>373</v>
      </c>
      <c r="K397" t="s">
        <v>385</v>
      </c>
      <c r="N397" t="s">
        <v>835</v>
      </c>
      <c r="O397" t="s">
        <v>219</v>
      </c>
      <c r="P397" t="str">
        <f>_xlfn.TEXTBEFORE(_xlfn.TEXTAFTER(Table26[[#This Row],[WBS CODE]], "-"), "-")</f>
        <v>3010105</v>
      </c>
    </row>
    <row r="398" spans="1:16" x14ac:dyDescent="0.3">
      <c r="A398">
        <v>397</v>
      </c>
      <c r="B398" t="s">
        <v>21</v>
      </c>
      <c r="C398" t="s">
        <v>836</v>
      </c>
      <c r="D398" t="s">
        <v>837</v>
      </c>
      <c r="E398" t="s">
        <v>815</v>
      </c>
      <c r="F398" t="s">
        <v>816</v>
      </c>
      <c r="G398" t="s">
        <v>837</v>
      </c>
      <c r="J398" t="s">
        <v>373</v>
      </c>
      <c r="K398" t="s">
        <v>385</v>
      </c>
      <c r="N398" t="s">
        <v>838</v>
      </c>
      <c r="O398" t="s">
        <v>219</v>
      </c>
      <c r="P398" t="str">
        <f>_xlfn.TEXTBEFORE(_xlfn.TEXTAFTER(Table26[[#This Row],[WBS CODE]], "-"), "-")</f>
        <v>3010106</v>
      </c>
    </row>
    <row r="399" spans="1:16" x14ac:dyDescent="0.3">
      <c r="A399">
        <v>398</v>
      </c>
      <c r="B399" t="s">
        <v>21</v>
      </c>
      <c r="C399" t="s">
        <v>839</v>
      </c>
      <c r="D399" t="s">
        <v>840</v>
      </c>
      <c r="E399" t="s">
        <v>815</v>
      </c>
      <c r="F399" t="s">
        <v>816</v>
      </c>
      <c r="G399" t="s">
        <v>840</v>
      </c>
      <c r="J399" t="s">
        <v>373</v>
      </c>
      <c r="K399" t="s">
        <v>385</v>
      </c>
      <c r="N399" t="s">
        <v>841</v>
      </c>
      <c r="O399" t="s">
        <v>219</v>
      </c>
      <c r="P399" t="str">
        <f>_xlfn.TEXTBEFORE(_xlfn.TEXTAFTER(Table26[[#This Row],[WBS CODE]], "-"), "-")</f>
        <v>3010107</v>
      </c>
    </row>
    <row r="400" spans="1:16" x14ac:dyDescent="0.3">
      <c r="A400">
        <v>399</v>
      </c>
      <c r="B400" t="s">
        <v>21</v>
      </c>
      <c r="C400" t="s">
        <v>842</v>
      </c>
      <c r="D400" t="s">
        <v>843</v>
      </c>
      <c r="E400" t="s">
        <v>815</v>
      </c>
      <c r="F400" t="s">
        <v>816</v>
      </c>
      <c r="G400" t="s">
        <v>843</v>
      </c>
      <c r="J400" t="s">
        <v>373</v>
      </c>
      <c r="K400" t="s">
        <v>385</v>
      </c>
      <c r="N400" t="s">
        <v>844</v>
      </c>
      <c r="O400" t="s">
        <v>219</v>
      </c>
      <c r="P400" t="str">
        <f>_xlfn.TEXTBEFORE(_xlfn.TEXTAFTER(Table26[[#This Row],[WBS CODE]], "-"), "-")</f>
        <v>3010108</v>
      </c>
    </row>
    <row r="401" spans="1:16" x14ac:dyDescent="0.3">
      <c r="A401">
        <v>400</v>
      </c>
      <c r="B401" t="s">
        <v>21</v>
      </c>
      <c r="C401" t="s">
        <v>845</v>
      </c>
      <c r="D401" t="s">
        <v>846</v>
      </c>
      <c r="E401" t="s">
        <v>815</v>
      </c>
      <c r="F401" t="s">
        <v>816</v>
      </c>
      <c r="G401" t="s">
        <v>846</v>
      </c>
      <c r="J401" t="s">
        <v>373</v>
      </c>
      <c r="K401" t="s">
        <v>385</v>
      </c>
      <c r="N401" t="s">
        <v>847</v>
      </c>
      <c r="O401" t="s">
        <v>219</v>
      </c>
      <c r="P401" t="str">
        <f>_xlfn.TEXTBEFORE(_xlfn.TEXTAFTER(Table26[[#This Row],[WBS CODE]], "-"), "-")</f>
        <v>3010109</v>
      </c>
    </row>
    <row r="402" spans="1:16" x14ac:dyDescent="0.3">
      <c r="A402">
        <v>401</v>
      </c>
      <c r="B402" t="s">
        <v>21</v>
      </c>
      <c r="C402" t="s">
        <v>725</v>
      </c>
      <c r="D402" t="s">
        <v>848</v>
      </c>
      <c r="E402" t="s">
        <v>815</v>
      </c>
      <c r="F402" t="s">
        <v>816</v>
      </c>
      <c r="G402" t="s">
        <v>848</v>
      </c>
      <c r="J402" t="s">
        <v>373</v>
      </c>
      <c r="K402" t="s">
        <v>725</v>
      </c>
      <c r="P402" t="str">
        <f>_xlfn.TEXTBEFORE(_xlfn.TEXTAFTER(Table26[[#This Row],[WBS CODE]], "-"), "-")</f>
        <v>3010156</v>
      </c>
    </row>
    <row r="403" spans="1:16" x14ac:dyDescent="0.3">
      <c r="A403">
        <v>402</v>
      </c>
      <c r="B403" t="s">
        <v>21</v>
      </c>
      <c r="C403" t="s">
        <v>720</v>
      </c>
      <c r="D403" t="s">
        <v>849</v>
      </c>
      <c r="E403" t="s">
        <v>815</v>
      </c>
      <c r="F403" t="s">
        <v>816</v>
      </c>
      <c r="G403" t="s">
        <v>849</v>
      </c>
      <c r="J403" t="s">
        <v>373</v>
      </c>
      <c r="K403" t="s">
        <v>720</v>
      </c>
      <c r="P403" t="str">
        <f>_xlfn.TEXTBEFORE(_xlfn.TEXTAFTER(Table26[[#This Row],[WBS CODE]], "-"), "-")</f>
        <v>3010161</v>
      </c>
    </row>
    <row r="404" spans="1:16" x14ac:dyDescent="0.3">
      <c r="A404">
        <v>403</v>
      </c>
      <c r="B404" t="s">
        <v>21</v>
      </c>
      <c r="C404" t="s">
        <v>743</v>
      </c>
      <c r="D404" t="s">
        <v>850</v>
      </c>
      <c r="E404" t="s">
        <v>815</v>
      </c>
      <c r="F404" t="s">
        <v>816</v>
      </c>
      <c r="G404" t="s">
        <v>850</v>
      </c>
      <c r="J404" t="s">
        <v>373</v>
      </c>
      <c r="K404" t="s">
        <v>745</v>
      </c>
      <c r="P404" t="str">
        <f>_xlfn.TEXTBEFORE(_xlfn.TEXTAFTER(Table26[[#This Row],[WBS CODE]], "-"), "-")</f>
        <v>3010169</v>
      </c>
    </row>
    <row r="405" spans="1:16" x14ac:dyDescent="0.3">
      <c r="A405">
        <v>404</v>
      </c>
      <c r="B405" t="s">
        <v>21</v>
      </c>
      <c r="C405" t="s">
        <v>379</v>
      </c>
      <c r="D405" t="s">
        <v>851</v>
      </c>
      <c r="E405" t="s">
        <v>815</v>
      </c>
      <c r="F405" t="s">
        <v>816</v>
      </c>
      <c r="G405" t="s">
        <v>851</v>
      </c>
      <c r="J405" t="s">
        <v>373</v>
      </c>
      <c r="K405" t="s">
        <v>379</v>
      </c>
      <c r="P405" t="str">
        <f>_xlfn.TEXTBEFORE(_xlfn.TEXTAFTER(Table26[[#This Row],[WBS CODE]], "-"), "-")</f>
        <v>3010172</v>
      </c>
    </row>
    <row r="406" spans="1:16" x14ac:dyDescent="0.3">
      <c r="A406">
        <v>405</v>
      </c>
      <c r="B406" t="s">
        <v>21</v>
      </c>
      <c r="C406" t="s">
        <v>375</v>
      </c>
      <c r="D406" t="s">
        <v>852</v>
      </c>
      <c r="E406" t="s">
        <v>815</v>
      </c>
      <c r="F406" t="s">
        <v>816</v>
      </c>
      <c r="G406" t="s">
        <v>852</v>
      </c>
      <c r="J406" t="s">
        <v>373</v>
      </c>
      <c r="K406" t="s">
        <v>375</v>
      </c>
      <c r="P406" t="str">
        <f>_xlfn.TEXTBEFORE(_xlfn.TEXTAFTER(Table26[[#This Row],[WBS CODE]], "-"), "-")</f>
        <v>3010173</v>
      </c>
    </row>
    <row r="407" spans="1:16" x14ac:dyDescent="0.3">
      <c r="A407">
        <v>406</v>
      </c>
      <c r="B407" t="s">
        <v>21</v>
      </c>
      <c r="C407" t="s">
        <v>853</v>
      </c>
      <c r="D407" t="s">
        <v>854</v>
      </c>
      <c r="E407" t="s">
        <v>815</v>
      </c>
      <c r="F407" t="s">
        <v>816</v>
      </c>
      <c r="G407" t="s">
        <v>854</v>
      </c>
      <c r="J407" t="s">
        <v>373</v>
      </c>
      <c r="K407" t="s">
        <v>853</v>
      </c>
      <c r="P407" t="str">
        <f>_xlfn.TEXTBEFORE(_xlfn.TEXTAFTER(Table26[[#This Row],[WBS CODE]], "-"), "-")</f>
        <v>3010195</v>
      </c>
    </row>
    <row r="408" spans="1:16" x14ac:dyDescent="0.3">
      <c r="A408">
        <v>407</v>
      </c>
      <c r="B408" t="s">
        <v>21</v>
      </c>
      <c r="C408" t="s">
        <v>273</v>
      </c>
      <c r="D408" t="s">
        <v>855</v>
      </c>
      <c r="E408" t="s">
        <v>815</v>
      </c>
      <c r="F408" t="s">
        <v>817</v>
      </c>
      <c r="G408" t="s">
        <v>855</v>
      </c>
      <c r="J408" t="s">
        <v>261</v>
      </c>
      <c r="K408" t="s">
        <v>273</v>
      </c>
      <c r="P408" t="str">
        <f>_xlfn.TEXTBEFORE(_xlfn.TEXTAFTER(Table26[[#This Row],[WBS CODE]], "-"), "-")</f>
        <v>3012914</v>
      </c>
    </row>
    <row r="409" spans="1:16" x14ac:dyDescent="0.3">
      <c r="A409">
        <v>408</v>
      </c>
      <c r="B409" t="s">
        <v>21</v>
      </c>
      <c r="C409" t="s">
        <v>352</v>
      </c>
      <c r="D409" t="s">
        <v>856</v>
      </c>
      <c r="E409" t="s">
        <v>815</v>
      </c>
      <c r="F409" t="s">
        <v>817</v>
      </c>
      <c r="G409" t="s">
        <v>856</v>
      </c>
      <c r="J409" t="s">
        <v>261</v>
      </c>
      <c r="K409" t="s">
        <v>354</v>
      </c>
      <c r="P409" t="str">
        <f>_xlfn.TEXTBEFORE(_xlfn.TEXTAFTER(Table26[[#This Row],[WBS CODE]], "-"), "-")</f>
        <v>3012975</v>
      </c>
    </row>
    <row r="410" spans="1:16" x14ac:dyDescent="0.3">
      <c r="A410">
        <v>409</v>
      </c>
      <c r="B410" t="s">
        <v>21</v>
      </c>
      <c r="C410" t="s">
        <v>332</v>
      </c>
      <c r="D410" t="s">
        <v>857</v>
      </c>
      <c r="E410" t="s">
        <v>815</v>
      </c>
      <c r="F410" t="s">
        <v>817</v>
      </c>
      <c r="G410" t="s">
        <v>857</v>
      </c>
      <c r="J410" t="s">
        <v>261</v>
      </c>
      <c r="K410" t="s">
        <v>332</v>
      </c>
      <c r="P410" t="str">
        <f>_xlfn.TEXTBEFORE(_xlfn.TEXTAFTER(Table26[[#This Row],[WBS CODE]], "-"), "-")</f>
        <v>3012976</v>
      </c>
    </row>
    <row r="411" spans="1:16" x14ac:dyDescent="0.3">
      <c r="A411">
        <v>410</v>
      </c>
      <c r="B411" t="s">
        <v>21</v>
      </c>
      <c r="C411" t="s">
        <v>313</v>
      </c>
      <c r="D411" t="s">
        <v>858</v>
      </c>
      <c r="E411" t="s">
        <v>815</v>
      </c>
      <c r="F411" t="s">
        <v>817</v>
      </c>
      <c r="G411" t="s">
        <v>858</v>
      </c>
      <c r="J411" t="s">
        <v>261</v>
      </c>
      <c r="K411" t="s">
        <v>313</v>
      </c>
      <c r="P411" t="str">
        <f>_xlfn.TEXTBEFORE(_xlfn.TEXTAFTER(Table26[[#This Row],[WBS CODE]], "-"), "-")</f>
        <v>3012977</v>
      </c>
    </row>
    <row r="412" spans="1:16" x14ac:dyDescent="0.3">
      <c r="A412">
        <v>411</v>
      </c>
      <c r="B412" t="s">
        <v>21</v>
      </c>
      <c r="C412" t="s">
        <v>304</v>
      </c>
      <c r="D412" t="s">
        <v>859</v>
      </c>
      <c r="E412" t="s">
        <v>815</v>
      </c>
      <c r="F412" t="s">
        <v>817</v>
      </c>
      <c r="G412" t="s">
        <v>859</v>
      </c>
      <c r="J412" t="s">
        <v>261</v>
      </c>
      <c r="K412" t="s">
        <v>306</v>
      </c>
      <c r="P412" t="str">
        <f>_xlfn.TEXTBEFORE(_xlfn.TEXTAFTER(Table26[[#This Row],[WBS CODE]], "-"), "-")</f>
        <v>3012978</v>
      </c>
    </row>
    <row r="413" spans="1:16" x14ac:dyDescent="0.3">
      <c r="A413">
        <v>412</v>
      </c>
      <c r="B413" t="s">
        <v>21</v>
      </c>
      <c r="C413" t="s">
        <v>283</v>
      </c>
      <c r="D413" t="s">
        <v>860</v>
      </c>
      <c r="E413" t="s">
        <v>815</v>
      </c>
      <c r="F413" t="s">
        <v>817</v>
      </c>
      <c r="G413" t="s">
        <v>860</v>
      </c>
      <c r="J413" t="s">
        <v>261</v>
      </c>
      <c r="K413" t="s">
        <v>283</v>
      </c>
      <c r="P413" t="str">
        <f>_xlfn.TEXTBEFORE(_xlfn.TEXTAFTER(Table26[[#This Row],[WBS CODE]], "-"), "-")</f>
        <v>3012979</v>
      </c>
    </row>
    <row r="414" spans="1:16" x14ac:dyDescent="0.3">
      <c r="A414">
        <v>413</v>
      </c>
      <c r="B414" t="s">
        <v>21</v>
      </c>
      <c r="C414" t="s">
        <v>861</v>
      </c>
      <c r="D414" t="s">
        <v>862</v>
      </c>
      <c r="E414" t="s">
        <v>815</v>
      </c>
      <c r="F414" t="s">
        <v>817</v>
      </c>
      <c r="G414" t="s">
        <v>862</v>
      </c>
      <c r="J414" t="s">
        <v>261</v>
      </c>
      <c r="K414" t="s">
        <v>861</v>
      </c>
      <c r="P414" t="str">
        <f>_xlfn.TEXTBEFORE(_xlfn.TEXTAFTER(Table26[[#This Row],[WBS CODE]], "-"), "-")</f>
        <v>3012980</v>
      </c>
    </row>
    <row r="415" spans="1:16" x14ac:dyDescent="0.3">
      <c r="A415">
        <v>414</v>
      </c>
      <c r="B415" t="s">
        <v>21</v>
      </c>
      <c r="C415" t="s">
        <v>279</v>
      </c>
      <c r="D415" t="s">
        <v>863</v>
      </c>
      <c r="E415" t="s">
        <v>815</v>
      </c>
      <c r="F415" t="s">
        <v>817</v>
      </c>
      <c r="G415" t="s">
        <v>863</v>
      </c>
      <c r="J415" t="s">
        <v>261</v>
      </c>
      <c r="K415" t="s">
        <v>277</v>
      </c>
      <c r="P415" t="str">
        <f>_xlfn.TEXTBEFORE(_xlfn.TEXTAFTER(Table26[[#This Row],[WBS CODE]], "-"), "-")</f>
        <v>3012981</v>
      </c>
    </row>
    <row r="416" spans="1:16" x14ac:dyDescent="0.3">
      <c r="A416">
        <v>415</v>
      </c>
      <c r="B416" t="s">
        <v>21</v>
      </c>
      <c r="C416" t="s">
        <v>269</v>
      </c>
      <c r="D416" t="s">
        <v>864</v>
      </c>
      <c r="E416" t="s">
        <v>815</v>
      </c>
      <c r="F416" t="s">
        <v>817</v>
      </c>
      <c r="G416" t="s">
        <v>864</v>
      </c>
      <c r="J416" t="s">
        <v>261</v>
      </c>
      <c r="K416" t="s">
        <v>271</v>
      </c>
      <c r="P416" t="str">
        <f>_xlfn.TEXTBEFORE(_xlfn.TEXTAFTER(Table26[[#This Row],[WBS CODE]], "-"), "-")</f>
        <v>3012982</v>
      </c>
    </row>
    <row r="417" spans="1:16" x14ac:dyDescent="0.3">
      <c r="A417">
        <v>416</v>
      </c>
      <c r="B417" t="s">
        <v>21</v>
      </c>
      <c r="C417" t="s">
        <v>865</v>
      </c>
      <c r="D417" t="s">
        <v>866</v>
      </c>
      <c r="E417" t="s">
        <v>815</v>
      </c>
      <c r="F417" t="s">
        <v>818</v>
      </c>
      <c r="G417" t="s">
        <v>866</v>
      </c>
      <c r="J417" t="s">
        <v>19</v>
      </c>
      <c r="K417" t="s">
        <v>215</v>
      </c>
      <c r="P417" t="str">
        <f>_xlfn.TEXTBEFORE(_xlfn.TEXTAFTER(Table26[[#This Row],[WBS CODE]], "-"), "-")</f>
        <v>3020374</v>
      </c>
    </row>
    <row r="418" spans="1:16" x14ac:dyDescent="0.3">
      <c r="A418">
        <v>417</v>
      </c>
      <c r="B418" t="s">
        <v>21</v>
      </c>
      <c r="C418" t="s">
        <v>867</v>
      </c>
      <c r="D418" t="s">
        <v>868</v>
      </c>
      <c r="E418" t="s">
        <v>815</v>
      </c>
      <c r="F418" t="s">
        <v>818</v>
      </c>
      <c r="G418" t="s">
        <v>868</v>
      </c>
      <c r="J418" t="s">
        <v>19</v>
      </c>
      <c r="K418" t="s">
        <v>150</v>
      </c>
      <c r="N418" t="s">
        <v>869</v>
      </c>
      <c r="O418" t="s">
        <v>25</v>
      </c>
      <c r="P418" t="str">
        <f>_xlfn.TEXTBEFORE(_xlfn.TEXTAFTER(Table26[[#This Row],[WBS CODE]], "-"), "-")</f>
        <v>3020383</v>
      </c>
    </row>
    <row r="419" spans="1:16" x14ac:dyDescent="0.3">
      <c r="A419">
        <v>418</v>
      </c>
      <c r="B419" t="s">
        <v>21</v>
      </c>
      <c r="C419" t="s">
        <v>870</v>
      </c>
      <c r="D419" t="s">
        <v>871</v>
      </c>
      <c r="E419" t="s">
        <v>815</v>
      </c>
      <c r="F419" t="s">
        <v>818</v>
      </c>
      <c r="G419" t="s">
        <v>871</v>
      </c>
      <c r="J419" t="s">
        <v>19</v>
      </c>
      <c r="K419" t="s">
        <v>150</v>
      </c>
      <c r="N419" t="s">
        <v>872</v>
      </c>
      <c r="O419" t="s">
        <v>25</v>
      </c>
      <c r="P419" t="str">
        <f>_xlfn.TEXTBEFORE(_xlfn.TEXTAFTER(Table26[[#This Row],[WBS CODE]], "-"), "-")</f>
        <v>3020384</v>
      </c>
    </row>
    <row r="420" spans="1:16" x14ac:dyDescent="0.3">
      <c r="A420">
        <v>419</v>
      </c>
      <c r="B420" t="s">
        <v>21</v>
      </c>
      <c r="C420" t="s">
        <v>873</v>
      </c>
      <c r="D420" t="s">
        <v>874</v>
      </c>
      <c r="E420" t="s">
        <v>815</v>
      </c>
      <c r="F420" t="s">
        <v>818</v>
      </c>
      <c r="G420" t="s">
        <v>874</v>
      </c>
      <c r="J420" t="s">
        <v>19</v>
      </c>
      <c r="K420" t="s">
        <v>150</v>
      </c>
      <c r="N420" t="s">
        <v>875</v>
      </c>
      <c r="O420" t="s">
        <v>25</v>
      </c>
      <c r="P420" t="str">
        <f>_xlfn.TEXTBEFORE(_xlfn.TEXTAFTER(Table26[[#This Row],[WBS CODE]], "-"), "-")</f>
        <v>3020385</v>
      </c>
    </row>
    <row r="421" spans="1:16" x14ac:dyDescent="0.3">
      <c r="A421">
        <v>420</v>
      </c>
      <c r="B421" t="s">
        <v>21</v>
      </c>
      <c r="C421" t="s">
        <v>876</v>
      </c>
      <c r="D421" t="s">
        <v>877</v>
      </c>
      <c r="E421" t="s">
        <v>815</v>
      </c>
      <c r="F421" t="s">
        <v>818</v>
      </c>
      <c r="G421" t="s">
        <v>877</v>
      </c>
      <c r="J421" t="s">
        <v>19</v>
      </c>
      <c r="K421" t="s">
        <v>150</v>
      </c>
      <c r="N421" t="s">
        <v>878</v>
      </c>
      <c r="O421" t="s">
        <v>25</v>
      </c>
      <c r="P421" t="str">
        <f>_xlfn.TEXTBEFORE(_xlfn.TEXTAFTER(Table26[[#This Row],[WBS CODE]], "-"), "-")</f>
        <v>3020386</v>
      </c>
    </row>
    <row r="422" spans="1:16" x14ac:dyDescent="0.3">
      <c r="A422">
        <v>421</v>
      </c>
      <c r="B422" t="s">
        <v>21</v>
      </c>
      <c r="C422" t="s">
        <v>879</v>
      </c>
      <c r="D422" t="s">
        <v>880</v>
      </c>
      <c r="E422" t="s">
        <v>815</v>
      </c>
      <c r="F422" t="s">
        <v>818</v>
      </c>
      <c r="G422" t="s">
        <v>880</v>
      </c>
      <c r="J422" t="s">
        <v>19</v>
      </c>
      <c r="K422" t="s">
        <v>881</v>
      </c>
      <c r="N422" t="s">
        <v>869</v>
      </c>
      <c r="O422" t="s">
        <v>25</v>
      </c>
      <c r="P422" t="str">
        <f>_xlfn.TEXTBEFORE(_xlfn.TEXTAFTER(Table26[[#This Row],[WBS CODE]], "-"), "-")</f>
        <v>3020387</v>
      </c>
    </row>
    <row r="423" spans="1:16" x14ac:dyDescent="0.3">
      <c r="A423">
        <v>422</v>
      </c>
      <c r="B423" t="s">
        <v>21</v>
      </c>
      <c r="C423" t="s">
        <v>882</v>
      </c>
      <c r="D423" t="s">
        <v>883</v>
      </c>
      <c r="E423" t="s">
        <v>815</v>
      </c>
      <c r="F423" t="s">
        <v>818</v>
      </c>
      <c r="G423" t="s">
        <v>883</v>
      </c>
      <c r="J423" t="s">
        <v>19</v>
      </c>
      <c r="K423" t="s">
        <v>881</v>
      </c>
      <c r="N423" t="s">
        <v>872</v>
      </c>
      <c r="O423" t="s">
        <v>25</v>
      </c>
      <c r="P423" t="str">
        <f>_xlfn.TEXTBEFORE(_xlfn.TEXTAFTER(Table26[[#This Row],[WBS CODE]], "-"), "-")</f>
        <v>3020388</v>
      </c>
    </row>
    <row r="424" spans="1:16" x14ac:dyDescent="0.3">
      <c r="A424">
        <v>423</v>
      </c>
      <c r="B424" t="s">
        <v>21</v>
      </c>
      <c r="C424" t="s">
        <v>884</v>
      </c>
      <c r="D424" t="s">
        <v>885</v>
      </c>
      <c r="E424" t="s">
        <v>815</v>
      </c>
      <c r="F424" t="s">
        <v>818</v>
      </c>
      <c r="G424" t="s">
        <v>885</v>
      </c>
      <c r="J424" t="s">
        <v>19</v>
      </c>
      <c r="K424" t="s">
        <v>881</v>
      </c>
      <c r="N424" t="s">
        <v>886</v>
      </c>
      <c r="O424" t="s">
        <v>25</v>
      </c>
      <c r="P424" t="str">
        <f>_xlfn.TEXTBEFORE(_xlfn.TEXTAFTER(Table26[[#This Row],[WBS CODE]], "-"), "-")</f>
        <v>3020389</v>
      </c>
    </row>
    <row r="425" spans="1:16" x14ac:dyDescent="0.3">
      <c r="A425">
        <v>424</v>
      </c>
      <c r="B425" t="s">
        <v>21</v>
      </c>
      <c r="C425" t="s">
        <v>887</v>
      </c>
      <c r="D425" t="s">
        <v>888</v>
      </c>
      <c r="E425" t="s">
        <v>815</v>
      </c>
      <c r="F425" t="s">
        <v>818</v>
      </c>
      <c r="G425" t="s">
        <v>888</v>
      </c>
      <c r="J425" t="s">
        <v>19</v>
      </c>
      <c r="K425" t="s">
        <v>881</v>
      </c>
      <c r="N425" t="s">
        <v>878</v>
      </c>
      <c r="O425" t="s">
        <v>25</v>
      </c>
      <c r="P425" t="str">
        <f>_xlfn.TEXTBEFORE(_xlfn.TEXTAFTER(Table26[[#This Row],[WBS CODE]], "-"), "-")</f>
        <v>3020390</v>
      </c>
    </row>
    <row r="426" spans="1:16" x14ac:dyDescent="0.3">
      <c r="A426">
        <v>425</v>
      </c>
      <c r="B426" t="s">
        <v>21</v>
      </c>
      <c r="C426" t="s">
        <v>889</v>
      </c>
      <c r="D426" t="s">
        <v>890</v>
      </c>
      <c r="E426" t="s">
        <v>815</v>
      </c>
      <c r="F426" t="s">
        <v>818</v>
      </c>
      <c r="G426" t="s">
        <v>890</v>
      </c>
      <c r="J426" t="s">
        <v>19</v>
      </c>
      <c r="K426" t="s">
        <v>101</v>
      </c>
      <c r="N426" t="s">
        <v>875</v>
      </c>
      <c r="O426" t="s">
        <v>25</v>
      </c>
      <c r="P426" t="str">
        <f>_xlfn.TEXTBEFORE(_xlfn.TEXTAFTER(Table26[[#This Row],[WBS CODE]], "-"), "-")</f>
        <v>3020392</v>
      </c>
    </row>
    <row r="427" spans="1:16" x14ac:dyDescent="0.3">
      <c r="A427">
        <v>426</v>
      </c>
      <c r="B427" t="s">
        <v>21</v>
      </c>
      <c r="C427" t="s">
        <v>891</v>
      </c>
      <c r="D427" t="s">
        <v>892</v>
      </c>
      <c r="E427" t="s">
        <v>815</v>
      </c>
      <c r="F427" t="s">
        <v>818</v>
      </c>
      <c r="G427" t="s">
        <v>892</v>
      </c>
      <c r="J427" t="s">
        <v>19</v>
      </c>
      <c r="K427" t="s">
        <v>891</v>
      </c>
      <c r="P427" t="str">
        <f>_xlfn.TEXTBEFORE(_xlfn.TEXTAFTER(Table26[[#This Row],[WBS CODE]], "-"), "-")</f>
        <v>3020393</v>
      </c>
    </row>
    <row r="428" spans="1:16" x14ac:dyDescent="0.3">
      <c r="A428">
        <v>427</v>
      </c>
      <c r="B428" t="s">
        <v>21</v>
      </c>
      <c r="C428" t="s">
        <v>893</v>
      </c>
      <c r="D428" t="s">
        <v>894</v>
      </c>
      <c r="E428" t="s">
        <v>815</v>
      </c>
      <c r="F428" t="s">
        <v>818</v>
      </c>
      <c r="G428" t="s">
        <v>894</v>
      </c>
      <c r="J428" t="s">
        <v>19</v>
      </c>
      <c r="K428" t="s">
        <v>881</v>
      </c>
      <c r="N428" t="s">
        <v>875</v>
      </c>
      <c r="O428" t="s">
        <v>25</v>
      </c>
      <c r="P428" t="str">
        <f>_xlfn.TEXTBEFORE(_xlfn.TEXTAFTER(Table26[[#This Row],[WBS CODE]], "-"), "-")</f>
        <v>3020394</v>
      </c>
    </row>
    <row r="429" spans="1:16" x14ac:dyDescent="0.3">
      <c r="A429">
        <v>428</v>
      </c>
      <c r="B429" t="s">
        <v>21</v>
      </c>
      <c r="C429" t="s">
        <v>819</v>
      </c>
      <c r="D429" t="s">
        <v>895</v>
      </c>
      <c r="E429" t="s">
        <v>815</v>
      </c>
      <c r="F429" t="s">
        <v>820</v>
      </c>
      <c r="G429" t="s">
        <v>895</v>
      </c>
      <c r="J429" t="s">
        <v>819</v>
      </c>
      <c r="K429" t="s">
        <v>819</v>
      </c>
      <c r="P429" t="str">
        <f>_xlfn.TEXTBEFORE(_xlfn.TEXTAFTER(Table26[[#This Row],[WBS CODE]], "-"), "-")</f>
        <v>3029901</v>
      </c>
    </row>
    <row r="430" spans="1:16" x14ac:dyDescent="0.3">
      <c r="A430">
        <v>429</v>
      </c>
      <c r="B430" t="s">
        <v>26</v>
      </c>
      <c r="C430" t="s">
        <v>896</v>
      </c>
      <c r="D430" t="s">
        <v>897</v>
      </c>
      <c r="E430" t="s">
        <v>815</v>
      </c>
      <c r="F430" t="s">
        <v>816</v>
      </c>
      <c r="G430" t="s">
        <v>822</v>
      </c>
      <c r="H430" t="s">
        <v>897</v>
      </c>
      <c r="J430" t="s">
        <v>373</v>
      </c>
      <c r="K430" t="s">
        <v>385</v>
      </c>
      <c r="L430" t="s">
        <v>39</v>
      </c>
      <c r="N430" t="s">
        <v>823</v>
      </c>
      <c r="O430" t="s">
        <v>219</v>
      </c>
      <c r="P430" t="str">
        <f>_xlfn.TEXTBEFORE(_xlfn.TEXTAFTER(Table26[[#This Row],[WBS CODE]], "-"), "-")</f>
        <v>301010101</v>
      </c>
    </row>
    <row r="431" spans="1:16" x14ac:dyDescent="0.3">
      <c r="A431">
        <v>430</v>
      </c>
      <c r="B431" t="s">
        <v>26</v>
      </c>
      <c r="C431" t="s">
        <v>898</v>
      </c>
      <c r="D431" t="s">
        <v>899</v>
      </c>
      <c r="E431" t="s">
        <v>815</v>
      </c>
      <c r="F431" t="s">
        <v>816</v>
      </c>
      <c r="G431" t="s">
        <v>822</v>
      </c>
      <c r="H431" t="s">
        <v>899</v>
      </c>
      <c r="J431" t="s">
        <v>373</v>
      </c>
      <c r="K431" t="s">
        <v>385</v>
      </c>
      <c r="L431" t="s">
        <v>900</v>
      </c>
      <c r="N431" t="s">
        <v>823</v>
      </c>
      <c r="O431" t="s">
        <v>219</v>
      </c>
      <c r="P431" t="str">
        <f>_xlfn.TEXTBEFORE(_xlfn.TEXTAFTER(Table26[[#This Row],[WBS CODE]], "-"), "-")</f>
        <v>301010102</v>
      </c>
    </row>
    <row r="432" spans="1:16" x14ac:dyDescent="0.3">
      <c r="A432">
        <v>431</v>
      </c>
      <c r="B432" t="s">
        <v>26</v>
      </c>
      <c r="C432" t="s">
        <v>901</v>
      </c>
      <c r="D432" t="s">
        <v>902</v>
      </c>
      <c r="E432" t="s">
        <v>815</v>
      </c>
      <c r="F432" t="s">
        <v>816</v>
      </c>
      <c r="G432" t="s">
        <v>822</v>
      </c>
      <c r="H432" t="s">
        <v>902</v>
      </c>
      <c r="J432" t="s">
        <v>373</v>
      </c>
      <c r="K432" t="s">
        <v>385</v>
      </c>
      <c r="L432" t="s">
        <v>42</v>
      </c>
      <c r="N432" t="s">
        <v>823</v>
      </c>
      <c r="O432" t="s">
        <v>219</v>
      </c>
      <c r="P432" t="str">
        <f>_xlfn.TEXTBEFORE(_xlfn.TEXTAFTER(Table26[[#This Row],[WBS CODE]], "-"), "-")</f>
        <v>301010161</v>
      </c>
    </row>
    <row r="433" spans="1:16" x14ac:dyDescent="0.3">
      <c r="A433">
        <v>432</v>
      </c>
      <c r="B433" t="s">
        <v>26</v>
      </c>
      <c r="C433" t="s">
        <v>903</v>
      </c>
      <c r="D433" t="s">
        <v>904</v>
      </c>
      <c r="E433" t="s">
        <v>815</v>
      </c>
      <c r="F433" t="s">
        <v>816</v>
      </c>
      <c r="G433" t="s">
        <v>825</v>
      </c>
      <c r="H433" t="s">
        <v>904</v>
      </c>
      <c r="J433" t="s">
        <v>373</v>
      </c>
      <c r="K433" t="s">
        <v>385</v>
      </c>
      <c r="L433" t="s">
        <v>39</v>
      </c>
      <c r="N433" t="s">
        <v>905</v>
      </c>
      <c r="O433" t="s">
        <v>219</v>
      </c>
      <c r="P433" t="str">
        <f>_xlfn.TEXTBEFORE(_xlfn.TEXTAFTER(Table26[[#This Row],[WBS CODE]], "-"), "-")</f>
        <v>301010201</v>
      </c>
    </row>
    <row r="434" spans="1:16" x14ac:dyDescent="0.3">
      <c r="A434">
        <v>433</v>
      </c>
      <c r="B434" t="s">
        <v>26</v>
      </c>
      <c r="C434" t="s">
        <v>906</v>
      </c>
      <c r="D434" t="s">
        <v>907</v>
      </c>
      <c r="E434" t="s">
        <v>815</v>
      </c>
      <c r="F434" t="s">
        <v>816</v>
      </c>
      <c r="G434" t="s">
        <v>825</v>
      </c>
      <c r="H434" t="s">
        <v>907</v>
      </c>
      <c r="J434" t="s">
        <v>373</v>
      </c>
      <c r="K434" t="s">
        <v>385</v>
      </c>
      <c r="L434" t="s">
        <v>900</v>
      </c>
      <c r="N434" t="s">
        <v>905</v>
      </c>
      <c r="O434" t="s">
        <v>219</v>
      </c>
      <c r="P434" t="str">
        <f>_xlfn.TEXTBEFORE(_xlfn.TEXTAFTER(Table26[[#This Row],[WBS CODE]], "-"), "-")</f>
        <v>301010202</v>
      </c>
    </row>
    <row r="435" spans="1:16" x14ac:dyDescent="0.3">
      <c r="A435">
        <v>434</v>
      </c>
      <c r="B435" t="s">
        <v>26</v>
      </c>
      <c r="C435" t="s">
        <v>908</v>
      </c>
      <c r="D435" t="s">
        <v>909</v>
      </c>
      <c r="E435" t="s">
        <v>815</v>
      </c>
      <c r="F435" t="s">
        <v>816</v>
      </c>
      <c r="G435" t="s">
        <v>825</v>
      </c>
      <c r="H435" t="s">
        <v>909</v>
      </c>
      <c r="J435" t="s">
        <v>373</v>
      </c>
      <c r="K435" t="s">
        <v>385</v>
      </c>
      <c r="L435" t="s">
        <v>42</v>
      </c>
      <c r="N435" t="s">
        <v>905</v>
      </c>
      <c r="O435" t="s">
        <v>219</v>
      </c>
      <c r="P435" t="str">
        <f>_xlfn.TEXTBEFORE(_xlfn.TEXTAFTER(Table26[[#This Row],[WBS CODE]], "-"), "-")</f>
        <v>301010261</v>
      </c>
    </row>
    <row r="436" spans="1:16" x14ac:dyDescent="0.3">
      <c r="A436">
        <v>435</v>
      </c>
      <c r="B436" t="s">
        <v>26</v>
      </c>
      <c r="C436" t="s">
        <v>910</v>
      </c>
      <c r="D436" t="s">
        <v>911</v>
      </c>
      <c r="E436" t="s">
        <v>815</v>
      </c>
      <c r="F436" t="s">
        <v>816</v>
      </c>
      <c r="G436" t="s">
        <v>828</v>
      </c>
      <c r="H436" t="s">
        <v>911</v>
      </c>
      <c r="J436" t="s">
        <v>373</v>
      </c>
      <c r="K436" t="s">
        <v>385</v>
      </c>
      <c r="L436" t="s">
        <v>39</v>
      </c>
      <c r="N436" t="s">
        <v>829</v>
      </c>
      <c r="O436" t="s">
        <v>219</v>
      </c>
      <c r="P436" t="str">
        <f>_xlfn.TEXTBEFORE(_xlfn.TEXTAFTER(Table26[[#This Row],[WBS CODE]], "-"), "-")</f>
        <v>301010301</v>
      </c>
    </row>
    <row r="437" spans="1:16" x14ac:dyDescent="0.3">
      <c r="A437">
        <v>436</v>
      </c>
      <c r="B437" t="s">
        <v>26</v>
      </c>
      <c r="C437" t="s">
        <v>912</v>
      </c>
      <c r="D437" t="s">
        <v>913</v>
      </c>
      <c r="E437" t="s">
        <v>815</v>
      </c>
      <c r="F437" t="s">
        <v>816</v>
      </c>
      <c r="G437" t="s">
        <v>828</v>
      </c>
      <c r="H437" t="s">
        <v>913</v>
      </c>
      <c r="J437" t="s">
        <v>373</v>
      </c>
      <c r="K437" t="s">
        <v>385</v>
      </c>
      <c r="L437" t="s">
        <v>900</v>
      </c>
      <c r="N437" t="s">
        <v>829</v>
      </c>
      <c r="O437" t="s">
        <v>219</v>
      </c>
      <c r="P437" t="str">
        <f>_xlfn.TEXTBEFORE(_xlfn.TEXTAFTER(Table26[[#This Row],[WBS CODE]], "-"), "-")</f>
        <v>301010302</v>
      </c>
    </row>
    <row r="438" spans="1:16" x14ac:dyDescent="0.3">
      <c r="A438">
        <v>437</v>
      </c>
      <c r="B438" t="s">
        <v>26</v>
      </c>
      <c r="C438" t="s">
        <v>914</v>
      </c>
      <c r="D438" t="s">
        <v>915</v>
      </c>
      <c r="E438" t="s">
        <v>815</v>
      </c>
      <c r="F438" t="s">
        <v>816</v>
      </c>
      <c r="G438" t="s">
        <v>828</v>
      </c>
      <c r="H438" t="s">
        <v>915</v>
      </c>
      <c r="J438" t="s">
        <v>373</v>
      </c>
      <c r="K438" t="s">
        <v>385</v>
      </c>
      <c r="L438" t="s">
        <v>42</v>
      </c>
      <c r="N438" t="s">
        <v>829</v>
      </c>
      <c r="O438" t="s">
        <v>219</v>
      </c>
      <c r="P438" t="str">
        <f>_xlfn.TEXTBEFORE(_xlfn.TEXTAFTER(Table26[[#This Row],[WBS CODE]], "-"), "-")</f>
        <v>301010361</v>
      </c>
    </row>
    <row r="439" spans="1:16" x14ac:dyDescent="0.3">
      <c r="A439">
        <v>438</v>
      </c>
      <c r="B439" t="s">
        <v>26</v>
      </c>
      <c r="C439" t="s">
        <v>916</v>
      </c>
      <c r="D439" t="s">
        <v>917</v>
      </c>
      <c r="E439" t="s">
        <v>815</v>
      </c>
      <c r="F439" t="s">
        <v>816</v>
      </c>
      <c r="G439" t="s">
        <v>831</v>
      </c>
      <c r="H439" t="s">
        <v>917</v>
      </c>
      <c r="J439" t="s">
        <v>373</v>
      </c>
      <c r="K439" t="s">
        <v>385</v>
      </c>
      <c r="L439" t="s">
        <v>39</v>
      </c>
      <c r="N439" t="s">
        <v>832</v>
      </c>
      <c r="O439" t="s">
        <v>219</v>
      </c>
      <c r="P439" t="str">
        <f>_xlfn.TEXTBEFORE(_xlfn.TEXTAFTER(Table26[[#This Row],[WBS CODE]], "-"), "-")</f>
        <v>301010401</v>
      </c>
    </row>
    <row r="440" spans="1:16" x14ac:dyDescent="0.3">
      <c r="A440">
        <v>439</v>
      </c>
      <c r="B440" t="s">
        <v>26</v>
      </c>
      <c r="C440" t="s">
        <v>918</v>
      </c>
      <c r="D440" t="s">
        <v>919</v>
      </c>
      <c r="E440" t="s">
        <v>815</v>
      </c>
      <c r="F440" t="s">
        <v>816</v>
      </c>
      <c r="G440" t="s">
        <v>831</v>
      </c>
      <c r="H440" t="s">
        <v>919</v>
      </c>
      <c r="J440" t="s">
        <v>373</v>
      </c>
      <c r="K440" t="s">
        <v>385</v>
      </c>
      <c r="L440" t="s">
        <v>900</v>
      </c>
      <c r="N440" t="s">
        <v>832</v>
      </c>
      <c r="O440" t="s">
        <v>219</v>
      </c>
      <c r="P440" t="str">
        <f>_xlfn.TEXTBEFORE(_xlfn.TEXTAFTER(Table26[[#This Row],[WBS CODE]], "-"), "-")</f>
        <v>301010402</v>
      </c>
    </row>
    <row r="441" spans="1:16" x14ac:dyDescent="0.3">
      <c r="A441">
        <v>440</v>
      </c>
      <c r="B441" t="s">
        <v>26</v>
      </c>
      <c r="C441" t="s">
        <v>920</v>
      </c>
      <c r="D441" t="s">
        <v>921</v>
      </c>
      <c r="E441" t="s">
        <v>815</v>
      </c>
      <c r="F441" t="s">
        <v>816</v>
      </c>
      <c r="G441" t="s">
        <v>831</v>
      </c>
      <c r="H441" t="s">
        <v>921</v>
      </c>
      <c r="J441" t="s">
        <v>373</v>
      </c>
      <c r="K441" t="s">
        <v>385</v>
      </c>
      <c r="L441" t="s">
        <v>42</v>
      </c>
      <c r="N441" t="s">
        <v>832</v>
      </c>
      <c r="O441" t="s">
        <v>219</v>
      </c>
      <c r="P441" t="str">
        <f>_xlfn.TEXTBEFORE(_xlfn.TEXTAFTER(Table26[[#This Row],[WBS CODE]], "-"), "-")</f>
        <v>301010461</v>
      </c>
    </row>
    <row r="442" spans="1:16" x14ac:dyDescent="0.3">
      <c r="A442">
        <v>441</v>
      </c>
      <c r="B442" t="s">
        <v>26</v>
      </c>
      <c r="C442" t="s">
        <v>922</v>
      </c>
      <c r="D442" t="s">
        <v>923</v>
      </c>
      <c r="E442" t="s">
        <v>815</v>
      </c>
      <c r="F442" t="s">
        <v>816</v>
      </c>
      <c r="G442" t="s">
        <v>834</v>
      </c>
      <c r="H442" t="s">
        <v>923</v>
      </c>
      <c r="J442" t="s">
        <v>373</v>
      </c>
      <c r="K442" t="s">
        <v>385</v>
      </c>
      <c r="L442" t="s">
        <v>39</v>
      </c>
      <c r="N442" t="s">
        <v>835</v>
      </c>
      <c r="O442" t="s">
        <v>219</v>
      </c>
      <c r="P442" t="str">
        <f>_xlfn.TEXTBEFORE(_xlfn.TEXTAFTER(Table26[[#This Row],[WBS CODE]], "-"), "-")</f>
        <v>301010501</v>
      </c>
    </row>
    <row r="443" spans="1:16" x14ac:dyDescent="0.3">
      <c r="A443">
        <v>442</v>
      </c>
      <c r="B443" t="s">
        <v>26</v>
      </c>
      <c r="C443" t="s">
        <v>924</v>
      </c>
      <c r="D443" t="s">
        <v>925</v>
      </c>
      <c r="E443" t="s">
        <v>815</v>
      </c>
      <c r="F443" t="s">
        <v>816</v>
      </c>
      <c r="G443" t="s">
        <v>834</v>
      </c>
      <c r="H443" t="s">
        <v>925</v>
      </c>
      <c r="J443" t="s">
        <v>373</v>
      </c>
      <c r="K443" t="s">
        <v>385</v>
      </c>
      <c r="L443" t="s">
        <v>900</v>
      </c>
      <c r="N443" t="s">
        <v>835</v>
      </c>
      <c r="O443" t="s">
        <v>219</v>
      </c>
      <c r="P443" t="str">
        <f>_xlfn.TEXTBEFORE(_xlfn.TEXTAFTER(Table26[[#This Row],[WBS CODE]], "-"), "-")</f>
        <v>301010502</v>
      </c>
    </row>
    <row r="444" spans="1:16" x14ac:dyDescent="0.3">
      <c r="A444">
        <v>443</v>
      </c>
      <c r="B444" t="s">
        <v>26</v>
      </c>
      <c r="C444" t="s">
        <v>926</v>
      </c>
      <c r="D444" t="s">
        <v>927</v>
      </c>
      <c r="E444" t="s">
        <v>815</v>
      </c>
      <c r="F444" t="s">
        <v>816</v>
      </c>
      <c r="G444" t="s">
        <v>834</v>
      </c>
      <c r="H444" t="s">
        <v>927</v>
      </c>
      <c r="J444" t="s">
        <v>373</v>
      </c>
      <c r="K444" t="s">
        <v>385</v>
      </c>
      <c r="L444" t="s">
        <v>42</v>
      </c>
      <c r="N444" t="s">
        <v>835</v>
      </c>
      <c r="O444" t="s">
        <v>219</v>
      </c>
      <c r="P444" t="str">
        <f>_xlfn.TEXTBEFORE(_xlfn.TEXTAFTER(Table26[[#This Row],[WBS CODE]], "-"), "-")</f>
        <v>301010561</v>
      </c>
    </row>
    <row r="445" spans="1:16" x14ac:dyDescent="0.3">
      <c r="A445">
        <v>444</v>
      </c>
      <c r="B445" t="s">
        <v>26</v>
      </c>
      <c r="C445" t="s">
        <v>928</v>
      </c>
      <c r="D445" t="s">
        <v>929</v>
      </c>
      <c r="E445" t="s">
        <v>815</v>
      </c>
      <c r="F445" t="s">
        <v>816</v>
      </c>
      <c r="G445" t="s">
        <v>837</v>
      </c>
      <c r="H445" t="s">
        <v>929</v>
      </c>
      <c r="J445" t="s">
        <v>373</v>
      </c>
      <c r="K445" t="s">
        <v>385</v>
      </c>
      <c r="L445" t="s">
        <v>39</v>
      </c>
      <c r="N445" t="s">
        <v>838</v>
      </c>
      <c r="O445" t="s">
        <v>219</v>
      </c>
      <c r="P445" t="str">
        <f>_xlfn.TEXTBEFORE(_xlfn.TEXTAFTER(Table26[[#This Row],[WBS CODE]], "-"), "-")</f>
        <v>301010601</v>
      </c>
    </row>
    <row r="446" spans="1:16" x14ac:dyDescent="0.3">
      <c r="A446">
        <v>445</v>
      </c>
      <c r="B446" t="s">
        <v>26</v>
      </c>
      <c r="C446" t="s">
        <v>930</v>
      </c>
      <c r="D446" t="s">
        <v>931</v>
      </c>
      <c r="E446" t="s">
        <v>815</v>
      </c>
      <c r="F446" t="s">
        <v>816</v>
      </c>
      <c r="G446" t="s">
        <v>837</v>
      </c>
      <c r="H446" t="s">
        <v>931</v>
      </c>
      <c r="J446" t="s">
        <v>373</v>
      </c>
      <c r="K446" t="s">
        <v>385</v>
      </c>
      <c r="L446" t="s">
        <v>900</v>
      </c>
      <c r="N446" t="s">
        <v>838</v>
      </c>
      <c r="O446" t="s">
        <v>219</v>
      </c>
      <c r="P446" t="str">
        <f>_xlfn.TEXTBEFORE(_xlfn.TEXTAFTER(Table26[[#This Row],[WBS CODE]], "-"), "-")</f>
        <v>301010602</v>
      </c>
    </row>
    <row r="447" spans="1:16" x14ac:dyDescent="0.3">
      <c r="A447">
        <v>446</v>
      </c>
      <c r="B447" t="s">
        <v>26</v>
      </c>
      <c r="C447" t="s">
        <v>932</v>
      </c>
      <c r="D447" t="s">
        <v>933</v>
      </c>
      <c r="E447" t="s">
        <v>815</v>
      </c>
      <c r="F447" t="s">
        <v>816</v>
      </c>
      <c r="G447" t="s">
        <v>837</v>
      </c>
      <c r="H447" t="s">
        <v>933</v>
      </c>
      <c r="J447" t="s">
        <v>373</v>
      </c>
      <c r="K447" t="s">
        <v>385</v>
      </c>
      <c r="L447" t="s">
        <v>42</v>
      </c>
      <c r="N447" t="s">
        <v>838</v>
      </c>
      <c r="O447" t="s">
        <v>219</v>
      </c>
      <c r="P447" t="str">
        <f>_xlfn.TEXTBEFORE(_xlfn.TEXTAFTER(Table26[[#This Row],[WBS CODE]], "-"), "-")</f>
        <v>301010661</v>
      </c>
    </row>
    <row r="448" spans="1:16" x14ac:dyDescent="0.3">
      <c r="A448">
        <v>447</v>
      </c>
      <c r="B448" t="s">
        <v>26</v>
      </c>
      <c r="C448" t="s">
        <v>934</v>
      </c>
      <c r="D448" t="s">
        <v>935</v>
      </c>
      <c r="E448" t="s">
        <v>815</v>
      </c>
      <c r="F448" t="s">
        <v>816</v>
      </c>
      <c r="G448" t="s">
        <v>840</v>
      </c>
      <c r="H448" t="s">
        <v>935</v>
      </c>
      <c r="J448" t="s">
        <v>373</v>
      </c>
      <c r="K448" t="s">
        <v>385</v>
      </c>
      <c r="L448" t="s">
        <v>39</v>
      </c>
      <c r="N448" t="s">
        <v>841</v>
      </c>
      <c r="O448" t="s">
        <v>219</v>
      </c>
      <c r="P448" t="str">
        <f>_xlfn.TEXTBEFORE(_xlfn.TEXTAFTER(Table26[[#This Row],[WBS CODE]], "-"), "-")</f>
        <v>301010701</v>
      </c>
    </row>
    <row r="449" spans="1:16" x14ac:dyDescent="0.3">
      <c r="A449">
        <v>448</v>
      </c>
      <c r="B449" t="s">
        <v>26</v>
      </c>
      <c r="C449" t="s">
        <v>936</v>
      </c>
      <c r="D449" t="s">
        <v>937</v>
      </c>
      <c r="E449" t="s">
        <v>815</v>
      </c>
      <c r="F449" t="s">
        <v>816</v>
      </c>
      <c r="G449" t="s">
        <v>840</v>
      </c>
      <c r="H449" t="s">
        <v>937</v>
      </c>
      <c r="J449" t="s">
        <v>373</v>
      </c>
      <c r="K449" t="s">
        <v>385</v>
      </c>
      <c r="L449" t="s">
        <v>900</v>
      </c>
      <c r="N449" t="s">
        <v>841</v>
      </c>
      <c r="O449" t="s">
        <v>219</v>
      </c>
      <c r="P449" t="str">
        <f>_xlfn.TEXTBEFORE(_xlfn.TEXTAFTER(Table26[[#This Row],[WBS CODE]], "-"), "-")</f>
        <v>301010702</v>
      </c>
    </row>
    <row r="450" spans="1:16" x14ac:dyDescent="0.3">
      <c r="A450">
        <v>449</v>
      </c>
      <c r="B450" t="s">
        <v>26</v>
      </c>
      <c r="C450" t="s">
        <v>938</v>
      </c>
      <c r="D450" t="s">
        <v>939</v>
      </c>
      <c r="E450" t="s">
        <v>815</v>
      </c>
      <c r="F450" t="s">
        <v>816</v>
      </c>
      <c r="G450" t="s">
        <v>840</v>
      </c>
      <c r="H450" t="s">
        <v>939</v>
      </c>
      <c r="J450" t="s">
        <v>373</v>
      </c>
      <c r="K450" t="s">
        <v>385</v>
      </c>
      <c r="L450" t="s">
        <v>42</v>
      </c>
      <c r="N450" t="s">
        <v>841</v>
      </c>
      <c r="O450" t="s">
        <v>219</v>
      </c>
      <c r="P450" t="str">
        <f>_xlfn.TEXTBEFORE(_xlfn.TEXTAFTER(Table26[[#This Row],[WBS CODE]], "-"), "-")</f>
        <v>301010761</v>
      </c>
    </row>
    <row r="451" spans="1:16" x14ac:dyDescent="0.3">
      <c r="A451">
        <v>450</v>
      </c>
      <c r="B451" t="s">
        <v>26</v>
      </c>
      <c r="C451" t="s">
        <v>940</v>
      </c>
      <c r="D451" t="s">
        <v>941</v>
      </c>
      <c r="E451" t="s">
        <v>815</v>
      </c>
      <c r="F451" t="s">
        <v>816</v>
      </c>
      <c r="G451" t="s">
        <v>843</v>
      </c>
      <c r="H451" t="s">
        <v>941</v>
      </c>
      <c r="J451" t="s">
        <v>373</v>
      </c>
      <c r="K451" t="s">
        <v>385</v>
      </c>
      <c r="L451" t="s">
        <v>39</v>
      </c>
      <c r="N451" t="s">
        <v>844</v>
      </c>
      <c r="O451" t="s">
        <v>219</v>
      </c>
      <c r="P451" t="str">
        <f>_xlfn.TEXTBEFORE(_xlfn.TEXTAFTER(Table26[[#This Row],[WBS CODE]], "-"), "-")</f>
        <v>301010801</v>
      </c>
    </row>
    <row r="452" spans="1:16" x14ac:dyDescent="0.3">
      <c r="A452">
        <v>451</v>
      </c>
      <c r="B452" t="s">
        <v>26</v>
      </c>
      <c r="C452" t="s">
        <v>942</v>
      </c>
      <c r="D452" t="s">
        <v>943</v>
      </c>
      <c r="E452" t="s">
        <v>815</v>
      </c>
      <c r="F452" t="s">
        <v>816</v>
      </c>
      <c r="G452" t="s">
        <v>843</v>
      </c>
      <c r="H452" t="s">
        <v>943</v>
      </c>
      <c r="J452" t="s">
        <v>373</v>
      </c>
      <c r="K452" t="s">
        <v>385</v>
      </c>
      <c r="L452" t="s">
        <v>900</v>
      </c>
      <c r="N452" t="s">
        <v>844</v>
      </c>
      <c r="O452" t="s">
        <v>219</v>
      </c>
      <c r="P452" t="str">
        <f>_xlfn.TEXTBEFORE(_xlfn.TEXTAFTER(Table26[[#This Row],[WBS CODE]], "-"), "-")</f>
        <v>301010802</v>
      </c>
    </row>
    <row r="453" spans="1:16" x14ac:dyDescent="0.3">
      <c r="A453">
        <v>452</v>
      </c>
      <c r="B453" t="s">
        <v>26</v>
      </c>
      <c r="C453" t="s">
        <v>944</v>
      </c>
      <c r="D453" t="s">
        <v>945</v>
      </c>
      <c r="E453" t="s">
        <v>815</v>
      </c>
      <c r="F453" t="s">
        <v>816</v>
      </c>
      <c r="G453" t="s">
        <v>843</v>
      </c>
      <c r="H453" t="s">
        <v>945</v>
      </c>
      <c r="J453" t="s">
        <v>373</v>
      </c>
      <c r="K453" t="s">
        <v>385</v>
      </c>
      <c r="L453" t="s">
        <v>42</v>
      </c>
      <c r="N453" t="s">
        <v>844</v>
      </c>
      <c r="O453" t="s">
        <v>219</v>
      </c>
      <c r="P453" t="str">
        <f>_xlfn.TEXTBEFORE(_xlfn.TEXTAFTER(Table26[[#This Row],[WBS CODE]], "-"), "-")</f>
        <v>301010861</v>
      </c>
    </row>
    <row r="454" spans="1:16" x14ac:dyDescent="0.3">
      <c r="A454">
        <v>453</v>
      </c>
      <c r="B454" t="s">
        <v>26</v>
      </c>
      <c r="C454" t="s">
        <v>946</v>
      </c>
      <c r="D454" t="s">
        <v>947</v>
      </c>
      <c r="E454" t="s">
        <v>815</v>
      </c>
      <c r="F454" t="s">
        <v>816</v>
      </c>
      <c r="G454" t="s">
        <v>846</v>
      </c>
      <c r="H454" t="s">
        <v>947</v>
      </c>
      <c r="J454" t="s">
        <v>373</v>
      </c>
      <c r="K454" t="s">
        <v>385</v>
      </c>
      <c r="L454" t="s">
        <v>39</v>
      </c>
      <c r="N454" t="s">
        <v>847</v>
      </c>
      <c r="O454" t="s">
        <v>219</v>
      </c>
      <c r="P454" t="str">
        <f>_xlfn.TEXTBEFORE(_xlfn.TEXTAFTER(Table26[[#This Row],[WBS CODE]], "-"), "-")</f>
        <v>301010901</v>
      </c>
    </row>
    <row r="455" spans="1:16" x14ac:dyDescent="0.3">
      <c r="A455">
        <v>454</v>
      </c>
      <c r="B455" t="s">
        <v>26</v>
      </c>
      <c r="C455" t="s">
        <v>948</v>
      </c>
      <c r="D455" t="s">
        <v>949</v>
      </c>
      <c r="E455" t="s">
        <v>815</v>
      </c>
      <c r="F455" t="s">
        <v>816</v>
      </c>
      <c r="G455" t="s">
        <v>846</v>
      </c>
      <c r="H455" t="s">
        <v>949</v>
      </c>
      <c r="J455" t="s">
        <v>373</v>
      </c>
      <c r="K455" t="s">
        <v>385</v>
      </c>
      <c r="L455" t="s">
        <v>900</v>
      </c>
      <c r="N455" t="s">
        <v>847</v>
      </c>
      <c r="O455" t="s">
        <v>219</v>
      </c>
      <c r="P455" t="str">
        <f>_xlfn.TEXTBEFORE(_xlfn.TEXTAFTER(Table26[[#This Row],[WBS CODE]], "-"), "-")</f>
        <v>301010902</v>
      </c>
    </row>
    <row r="456" spans="1:16" x14ac:dyDescent="0.3">
      <c r="A456">
        <v>455</v>
      </c>
      <c r="B456" t="s">
        <v>26</v>
      </c>
      <c r="C456" t="s">
        <v>950</v>
      </c>
      <c r="D456" t="s">
        <v>951</v>
      </c>
      <c r="E456" t="s">
        <v>815</v>
      </c>
      <c r="F456" t="s">
        <v>816</v>
      </c>
      <c r="G456" t="s">
        <v>846</v>
      </c>
      <c r="H456" t="s">
        <v>951</v>
      </c>
      <c r="J456" t="s">
        <v>373</v>
      </c>
      <c r="K456" t="s">
        <v>385</v>
      </c>
      <c r="L456" t="s">
        <v>42</v>
      </c>
      <c r="N456" t="s">
        <v>847</v>
      </c>
      <c r="O456" t="s">
        <v>219</v>
      </c>
      <c r="P456" t="str">
        <f>_xlfn.TEXTBEFORE(_xlfn.TEXTAFTER(Table26[[#This Row],[WBS CODE]], "-"), "-")</f>
        <v>301010961</v>
      </c>
    </row>
    <row r="457" spans="1:16" x14ac:dyDescent="0.3">
      <c r="A457">
        <v>456</v>
      </c>
      <c r="B457" t="s">
        <v>26</v>
      </c>
      <c r="C457" t="s">
        <v>739</v>
      </c>
      <c r="D457" t="s">
        <v>952</v>
      </c>
      <c r="E457" t="s">
        <v>815</v>
      </c>
      <c r="F457" t="s">
        <v>816</v>
      </c>
      <c r="G457" t="s">
        <v>848</v>
      </c>
      <c r="H457" t="s">
        <v>952</v>
      </c>
      <c r="J457" t="s">
        <v>373</v>
      </c>
      <c r="K457" t="s">
        <v>725</v>
      </c>
      <c r="L457" t="s">
        <v>953</v>
      </c>
      <c r="P457" t="str">
        <f>_xlfn.TEXTBEFORE(_xlfn.TEXTAFTER(Table26[[#This Row],[WBS CODE]], "-"), "-")</f>
        <v>301015601</v>
      </c>
    </row>
    <row r="458" spans="1:16" x14ac:dyDescent="0.3">
      <c r="A458">
        <v>457</v>
      </c>
      <c r="B458" t="s">
        <v>26</v>
      </c>
      <c r="C458" t="s">
        <v>735</v>
      </c>
      <c r="D458" t="s">
        <v>954</v>
      </c>
      <c r="E458" t="s">
        <v>815</v>
      </c>
      <c r="F458" t="s">
        <v>816</v>
      </c>
      <c r="G458" t="s">
        <v>848</v>
      </c>
      <c r="H458" t="s">
        <v>954</v>
      </c>
      <c r="J458" t="s">
        <v>373</v>
      </c>
      <c r="K458" t="s">
        <v>725</v>
      </c>
      <c r="L458" t="s">
        <v>953</v>
      </c>
      <c r="P458" t="str">
        <f>_xlfn.TEXTBEFORE(_xlfn.TEXTAFTER(Table26[[#This Row],[WBS CODE]], "-"), "-")</f>
        <v>301015602</v>
      </c>
    </row>
    <row r="459" spans="1:16" x14ac:dyDescent="0.3">
      <c r="A459">
        <v>458</v>
      </c>
      <c r="B459" t="s">
        <v>26</v>
      </c>
      <c r="C459" t="s">
        <v>731</v>
      </c>
      <c r="D459" t="s">
        <v>955</v>
      </c>
      <c r="E459" t="s">
        <v>815</v>
      </c>
      <c r="F459" t="s">
        <v>816</v>
      </c>
      <c r="G459" t="s">
        <v>848</v>
      </c>
      <c r="H459" t="s">
        <v>955</v>
      </c>
      <c r="J459" t="s">
        <v>373</v>
      </c>
      <c r="K459" t="s">
        <v>725</v>
      </c>
      <c r="L459" t="s">
        <v>953</v>
      </c>
      <c r="P459" t="str">
        <f>_xlfn.TEXTBEFORE(_xlfn.TEXTAFTER(Table26[[#This Row],[WBS CODE]], "-"), "-")</f>
        <v>301015603</v>
      </c>
    </row>
    <row r="460" spans="1:16" x14ac:dyDescent="0.3">
      <c r="A460">
        <v>459</v>
      </c>
      <c r="B460" t="s">
        <v>26</v>
      </c>
      <c r="C460" t="s">
        <v>727</v>
      </c>
      <c r="D460" t="s">
        <v>956</v>
      </c>
      <c r="E460" t="s">
        <v>815</v>
      </c>
      <c r="F460" t="s">
        <v>816</v>
      </c>
      <c r="G460" t="s">
        <v>848</v>
      </c>
      <c r="H460" t="s">
        <v>956</v>
      </c>
      <c r="J460" t="s">
        <v>373</v>
      </c>
      <c r="K460" t="s">
        <v>725</v>
      </c>
      <c r="L460" t="s">
        <v>953</v>
      </c>
      <c r="P460" t="str">
        <f>_xlfn.TEXTBEFORE(_xlfn.TEXTAFTER(Table26[[#This Row],[WBS CODE]], "-"), "-")</f>
        <v>301015604</v>
      </c>
    </row>
    <row r="461" spans="1:16" x14ac:dyDescent="0.3">
      <c r="A461">
        <v>460</v>
      </c>
      <c r="B461" t="s">
        <v>26</v>
      </c>
      <c r="C461" t="s">
        <v>722</v>
      </c>
      <c r="D461" t="s">
        <v>957</v>
      </c>
      <c r="E461" t="s">
        <v>815</v>
      </c>
      <c r="F461" t="s">
        <v>816</v>
      </c>
      <c r="G461" t="s">
        <v>849</v>
      </c>
      <c r="H461" t="s">
        <v>957</v>
      </c>
      <c r="J461" t="s">
        <v>373</v>
      </c>
      <c r="K461" t="s">
        <v>720</v>
      </c>
      <c r="L461" t="s">
        <v>958</v>
      </c>
      <c r="P461" t="str">
        <f>_xlfn.TEXTBEFORE(_xlfn.TEXTAFTER(Table26[[#This Row],[WBS CODE]], "-"), "-")</f>
        <v>301016101</v>
      </c>
    </row>
    <row r="462" spans="1:16" x14ac:dyDescent="0.3">
      <c r="A462">
        <v>461</v>
      </c>
      <c r="B462" t="s">
        <v>26</v>
      </c>
      <c r="C462" t="s">
        <v>959</v>
      </c>
      <c r="D462" t="s">
        <v>960</v>
      </c>
      <c r="E462" t="s">
        <v>815</v>
      </c>
      <c r="F462" t="s">
        <v>816</v>
      </c>
      <c r="G462" t="s">
        <v>849</v>
      </c>
      <c r="H462" t="s">
        <v>960</v>
      </c>
      <c r="J462" t="s">
        <v>373</v>
      </c>
      <c r="K462" t="s">
        <v>720</v>
      </c>
      <c r="L462" t="s">
        <v>958</v>
      </c>
      <c r="P462" t="str">
        <f>_xlfn.TEXTBEFORE(_xlfn.TEXTAFTER(Table26[[#This Row],[WBS CODE]], "-"), "-")</f>
        <v>301016102</v>
      </c>
    </row>
    <row r="463" spans="1:16" x14ac:dyDescent="0.3">
      <c r="A463">
        <v>462</v>
      </c>
      <c r="B463" t="s">
        <v>26</v>
      </c>
      <c r="C463" t="s">
        <v>961</v>
      </c>
      <c r="D463" t="s">
        <v>962</v>
      </c>
      <c r="E463" t="s">
        <v>815</v>
      </c>
      <c r="F463" t="s">
        <v>816</v>
      </c>
      <c r="G463" t="s">
        <v>849</v>
      </c>
      <c r="H463" t="s">
        <v>962</v>
      </c>
      <c r="J463" t="s">
        <v>373</v>
      </c>
      <c r="K463" t="s">
        <v>720</v>
      </c>
      <c r="L463" t="s">
        <v>958</v>
      </c>
      <c r="P463" t="str">
        <f>_xlfn.TEXTBEFORE(_xlfn.TEXTAFTER(Table26[[#This Row],[WBS CODE]], "-"), "-")</f>
        <v>301016103</v>
      </c>
    </row>
    <row r="464" spans="1:16" x14ac:dyDescent="0.3">
      <c r="A464">
        <v>463</v>
      </c>
      <c r="B464" t="s">
        <v>26</v>
      </c>
      <c r="C464" t="s">
        <v>963</v>
      </c>
      <c r="D464" t="s">
        <v>964</v>
      </c>
      <c r="E464" t="s">
        <v>815</v>
      </c>
      <c r="F464" t="s">
        <v>816</v>
      </c>
      <c r="G464" t="s">
        <v>849</v>
      </c>
      <c r="H464" t="s">
        <v>964</v>
      </c>
      <c r="J464" t="s">
        <v>373</v>
      </c>
      <c r="K464" t="s">
        <v>720</v>
      </c>
      <c r="L464" t="s">
        <v>958</v>
      </c>
      <c r="P464" t="str">
        <f>_xlfn.TEXTBEFORE(_xlfn.TEXTAFTER(Table26[[#This Row],[WBS CODE]], "-"), "-")</f>
        <v>301016104</v>
      </c>
    </row>
    <row r="465" spans="1:16" x14ac:dyDescent="0.3">
      <c r="A465">
        <v>464</v>
      </c>
      <c r="B465" t="s">
        <v>26</v>
      </c>
      <c r="C465" t="s">
        <v>965</v>
      </c>
      <c r="D465" t="s">
        <v>966</v>
      </c>
      <c r="E465" t="s">
        <v>815</v>
      </c>
      <c r="F465" t="s">
        <v>816</v>
      </c>
      <c r="G465" t="s">
        <v>850</v>
      </c>
      <c r="H465" t="s">
        <v>966</v>
      </c>
      <c r="J465" t="s">
        <v>373</v>
      </c>
      <c r="K465" t="s">
        <v>745</v>
      </c>
      <c r="L465" t="s">
        <v>745</v>
      </c>
      <c r="P465" t="str">
        <f>_xlfn.TEXTBEFORE(_xlfn.TEXTAFTER(Table26[[#This Row],[WBS CODE]], "-"), "-")</f>
        <v>301016903</v>
      </c>
    </row>
    <row r="466" spans="1:16" x14ac:dyDescent="0.3">
      <c r="A466">
        <v>465</v>
      </c>
      <c r="B466" t="s">
        <v>26</v>
      </c>
      <c r="C466" t="s">
        <v>379</v>
      </c>
      <c r="D466" t="s">
        <v>967</v>
      </c>
      <c r="E466" t="s">
        <v>815</v>
      </c>
      <c r="F466" t="s">
        <v>816</v>
      </c>
      <c r="G466" t="s">
        <v>851</v>
      </c>
      <c r="H466" t="s">
        <v>967</v>
      </c>
      <c r="J466" t="s">
        <v>373</v>
      </c>
      <c r="K466" t="s">
        <v>379</v>
      </c>
      <c r="L466" t="s">
        <v>379</v>
      </c>
      <c r="P466" t="str">
        <f>_xlfn.TEXTBEFORE(_xlfn.TEXTAFTER(Table26[[#This Row],[WBS CODE]], "-"), "-")</f>
        <v>301017299</v>
      </c>
    </row>
    <row r="467" spans="1:16" x14ac:dyDescent="0.3">
      <c r="A467">
        <v>466</v>
      </c>
      <c r="B467" t="s">
        <v>26</v>
      </c>
      <c r="C467" t="s">
        <v>375</v>
      </c>
      <c r="D467" t="s">
        <v>968</v>
      </c>
      <c r="E467" t="s">
        <v>815</v>
      </c>
      <c r="F467" t="s">
        <v>816</v>
      </c>
      <c r="G467" t="s">
        <v>852</v>
      </c>
      <c r="H467" t="s">
        <v>968</v>
      </c>
      <c r="J467" t="s">
        <v>373</v>
      </c>
      <c r="K467" t="s">
        <v>375</v>
      </c>
      <c r="L467" t="s">
        <v>375</v>
      </c>
      <c r="P467" t="str">
        <f>_xlfn.TEXTBEFORE(_xlfn.TEXTAFTER(Table26[[#This Row],[WBS CODE]], "-"), "-")</f>
        <v>301017311</v>
      </c>
    </row>
    <row r="468" spans="1:16" x14ac:dyDescent="0.3">
      <c r="A468">
        <v>467</v>
      </c>
      <c r="B468" t="s">
        <v>26</v>
      </c>
      <c r="C468" t="s">
        <v>853</v>
      </c>
      <c r="D468" t="s">
        <v>969</v>
      </c>
      <c r="E468" t="s">
        <v>815</v>
      </c>
      <c r="F468" t="s">
        <v>816</v>
      </c>
      <c r="G468" t="s">
        <v>854</v>
      </c>
      <c r="H468" t="s">
        <v>969</v>
      </c>
      <c r="J468" t="s">
        <v>373</v>
      </c>
      <c r="K468" t="s">
        <v>853</v>
      </c>
      <c r="L468" t="s">
        <v>853</v>
      </c>
      <c r="P468" t="str">
        <f>_xlfn.TEXTBEFORE(_xlfn.TEXTAFTER(Table26[[#This Row],[WBS CODE]], "-"), "-")</f>
        <v>301019568</v>
      </c>
    </row>
    <row r="469" spans="1:16" x14ac:dyDescent="0.3">
      <c r="A469">
        <v>468</v>
      </c>
      <c r="B469" t="s">
        <v>26</v>
      </c>
      <c r="C469" t="s">
        <v>273</v>
      </c>
      <c r="D469" t="s">
        <v>970</v>
      </c>
      <c r="E469" t="s">
        <v>815</v>
      </c>
      <c r="F469" t="s">
        <v>817</v>
      </c>
      <c r="G469" t="s">
        <v>855</v>
      </c>
      <c r="H469" t="s">
        <v>970</v>
      </c>
      <c r="J469" t="s">
        <v>261</v>
      </c>
      <c r="K469" t="s">
        <v>273</v>
      </c>
      <c r="L469" t="s">
        <v>273</v>
      </c>
      <c r="P469" t="str">
        <f>_xlfn.TEXTBEFORE(_xlfn.TEXTAFTER(Table26[[#This Row],[WBS CODE]], "-"), "-")</f>
        <v>301291463</v>
      </c>
    </row>
    <row r="470" spans="1:16" x14ac:dyDescent="0.3">
      <c r="A470">
        <v>469</v>
      </c>
      <c r="B470" t="s">
        <v>26</v>
      </c>
      <c r="C470" t="s">
        <v>971</v>
      </c>
      <c r="D470" t="s">
        <v>972</v>
      </c>
      <c r="E470" t="s">
        <v>815</v>
      </c>
      <c r="F470" t="s">
        <v>817</v>
      </c>
      <c r="G470" t="s">
        <v>856</v>
      </c>
      <c r="H470" t="s">
        <v>972</v>
      </c>
      <c r="J470" t="s">
        <v>261</v>
      </c>
      <c r="K470" t="s">
        <v>354</v>
      </c>
      <c r="L470" t="s">
        <v>354</v>
      </c>
      <c r="N470" t="s">
        <v>823</v>
      </c>
      <c r="O470" t="s">
        <v>219</v>
      </c>
      <c r="P470" t="str">
        <f>_xlfn.TEXTBEFORE(_xlfn.TEXTAFTER(Table26[[#This Row],[WBS CODE]], "-"), "-")</f>
        <v>301297501</v>
      </c>
    </row>
    <row r="471" spans="1:16" x14ac:dyDescent="0.3">
      <c r="A471">
        <v>470</v>
      </c>
      <c r="B471" t="s">
        <v>26</v>
      </c>
      <c r="C471" t="s">
        <v>973</v>
      </c>
      <c r="D471" t="s">
        <v>974</v>
      </c>
      <c r="E471" t="s">
        <v>815</v>
      </c>
      <c r="F471" t="s">
        <v>817</v>
      </c>
      <c r="G471" t="s">
        <v>856</v>
      </c>
      <c r="H471" t="s">
        <v>974</v>
      </c>
      <c r="J471" t="s">
        <v>261</v>
      </c>
      <c r="K471" t="s">
        <v>354</v>
      </c>
      <c r="L471" t="s">
        <v>354</v>
      </c>
      <c r="N471" t="s">
        <v>826</v>
      </c>
      <c r="O471" t="s">
        <v>219</v>
      </c>
      <c r="P471" t="str">
        <f>_xlfn.TEXTBEFORE(_xlfn.TEXTAFTER(Table26[[#This Row],[WBS CODE]], "-"), "-")</f>
        <v>301297502</v>
      </c>
    </row>
    <row r="472" spans="1:16" x14ac:dyDescent="0.3">
      <c r="A472">
        <v>471</v>
      </c>
      <c r="B472" t="s">
        <v>26</v>
      </c>
      <c r="C472" t="s">
        <v>975</v>
      </c>
      <c r="D472" t="s">
        <v>976</v>
      </c>
      <c r="E472" t="s">
        <v>815</v>
      </c>
      <c r="F472" t="s">
        <v>817</v>
      </c>
      <c r="G472" t="s">
        <v>856</v>
      </c>
      <c r="H472" t="s">
        <v>976</v>
      </c>
      <c r="J472" t="s">
        <v>261</v>
      </c>
      <c r="K472" t="s">
        <v>354</v>
      </c>
      <c r="L472" t="s">
        <v>354</v>
      </c>
      <c r="N472" t="s">
        <v>829</v>
      </c>
      <c r="O472" t="s">
        <v>219</v>
      </c>
      <c r="P472" t="str">
        <f>_xlfn.TEXTBEFORE(_xlfn.TEXTAFTER(Table26[[#This Row],[WBS CODE]], "-"), "-")</f>
        <v>301297503</v>
      </c>
    </row>
    <row r="473" spans="1:16" x14ac:dyDescent="0.3">
      <c r="A473">
        <v>472</v>
      </c>
      <c r="B473" t="s">
        <v>26</v>
      </c>
      <c r="C473" t="s">
        <v>977</v>
      </c>
      <c r="D473" t="s">
        <v>978</v>
      </c>
      <c r="E473" t="s">
        <v>815</v>
      </c>
      <c r="F473" t="s">
        <v>817</v>
      </c>
      <c r="G473" t="s">
        <v>856</v>
      </c>
      <c r="H473" t="s">
        <v>978</v>
      </c>
      <c r="J473" t="s">
        <v>261</v>
      </c>
      <c r="K473" t="s">
        <v>354</v>
      </c>
      <c r="L473" t="s">
        <v>354</v>
      </c>
      <c r="N473" t="s">
        <v>832</v>
      </c>
      <c r="O473" t="s">
        <v>219</v>
      </c>
      <c r="P473" t="str">
        <f>_xlfn.TEXTBEFORE(_xlfn.TEXTAFTER(Table26[[#This Row],[WBS CODE]], "-"), "-")</f>
        <v>301297504</v>
      </c>
    </row>
    <row r="474" spans="1:16" x14ac:dyDescent="0.3">
      <c r="A474">
        <v>473</v>
      </c>
      <c r="B474" t="s">
        <v>26</v>
      </c>
      <c r="C474" t="s">
        <v>979</v>
      </c>
      <c r="D474" t="s">
        <v>980</v>
      </c>
      <c r="E474" t="s">
        <v>815</v>
      </c>
      <c r="F474" t="s">
        <v>817</v>
      </c>
      <c r="G474" t="s">
        <v>856</v>
      </c>
      <c r="H474" t="s">
        <v>980</v>
      </c>
      <c r="J474" t="s">
        <v>261</v>
      </c>
      <c r="K474" t="s">
        <v>354</v>
      </c>
      <c r="L474" t="s">
        <v>354</v>
      </c>
      <c r="N474" t="s">
        <v>835</v>
      </c>
      <c r="O474" t="s">
        <v>219</v>
      </c>
      <c r="P474" t="str">
        <f>_xlfn.TEXTBEFORE(_xlfn.TEXTAFTER(Table26[[#This Row],[WBS CODE]], "-"), "-")</f>
        <v>301297505</v>
      </c>
    </row>
    <row r="475" spans="1:16" x14ac:dyDescent="0.3">
      <c r="A475">
        <v>474</v>
      </c>
      <c r="B475" t="s">
        <v>26</v>
      </c>
      <c r="C475" t="s">
        <v>981</v>
      </c>
      <c r="D475" t="s">
        <v>982</v>
      </c>
      <c r="E475" t="s">
        <v>815</v>
      </c>
      <c r="F475" t="s">
        <v>817</v>
      </c>
      <c r="G475" t="s">
        <v>856</v>
      </c>
      <c r="H475" t="s">
        <v>982</v>
      </c>
      <c r="J475" t="s">
        <v>261</v>
      </c>
      <c r="K475" t="s">
        <v>354</v>
      </c>
      <c r="L475" t="s">
        <v>354</v>
      </c>
      <c r="N475" t="s">
        <v>838</v>
      </c>
      <c r="O475" t="s">
        <v>219</v>
      </c>
      <c r="P475" t="str">
        <f>_xlfn.TEXTBEFORE(_xlfn.TEXTAFTER(Table26[[#This Row],[WBS CODE]], "-"), "-")</f>
        <v>301297506</v>
      </c>
    </row>
    <row r="476" spans="1:16" x14ac:dyDescent="0.3">
      <c r="A476">
        <v>475</v>
      </c>
      <c r="B476" t="s">
        <v>26</v>
      </c>
      <c r="C476" t="s">
        <v>983</v>
      </c>
      <c r="D476" t="s">
        <v>984</v>
      </c>
      <c r="E476" t="s">
        <v>815</v>
      </c>
      <c r="F476" t="s">
        <v>817</v>
      </c>
      <c r="G476" t="s">
        <v>856</v>
      </c>
      <c r="H476" t="s">
        <v>984</v>
      </c>
      <c r="J476" t="s">
        <v>261</v>
      </c>
      <c r="K476" t="s">
        <v>354</v>
      </c>
      <c r="L476" t="s">
        <v>354</v>
      </c>
      <c r="N476" t="s">
        <v>841</v>
      </c>
      <c r="O476" t="s">
        <v>219</v>
      </c>
      <c r="P476" t="str">
        <f>_xlfn.TEXTBEFORE(_xlfn.TEXTAFTER(Table26[[#This Row],[WBS CODE]], "-"), "-")</f>
        <v>301297507</v>
      </c>
    </row>
    <row r="477" spans="1:16" x14ac:dyDescent="0.3">
      <c r="A477">
        <v>476</v>
      </c>
      <c r="B477" t="s">
        <v>26</v>
      </c>
      <c r="C477" t="s">
        <v>985</v>
      </c>
      <c r="D477" t="s">
        <v>986</v>
      </c>
      <c r="E477" t="s">
        <v>815</v>
      </c>
      <c r="F477" t="s">
        <v>817</v>
      </c>
      <c r="G477" t="s">
        <v>856</v>
      </c>
      <c r="H477" t="s">
        <v>986</v>
      </c>
      <c r="J477" t="s">
        <v>261</v>
      </c>
      <c r="K477" t="s">
        <v>354</v>
      </c>
      <c r="L477" t="s">
        <v>354</v>
      </c>
      <c r="N477" t="s">
        <v>844</v>
      </c>
      <c r="O477" t="s">
        <v>219</v>
      </c>
      <c r="P477" t="str">
        <f>_xlfn.TEXTBEFORE(_xlfn.TEXTAFTER(Table26[[#This Row],[WBS CODE]], "-"), "-")</f>
        <v>301297508</v>
      </c>
    </row>
    <row r="478" spans="1:16" x14ac:dyDescent="0.3">
      <c r="A478">
        <v>477</v>
      </c>
      <c r="B478" t="s">
        <v>26</v>
      </c>
      <c r="C478" t="s">
        <v>987</v>
      </c>
      <c r="D478" t="s">
        <v>988</v>
      </c>
      <c r="E478" t="s">
        <v>815</v>
      </c>
      <c r="F478" t="s">
        <v>817</v>
      </c>
      <c r="G478" t="s">
        <v>856</v>
      </c>
      <c r="H478" t="s">
        <v>988</v>
      </c>
      <c r="J478" t="s">
        <v>261</v>
      </c>
      <c r="K478" t="s">
        <v>354</v>
      </c>
      <c r="L478" t="s">
        <v>354</v>
      </c>
      <c r="N478" t="s">
        <v>847</v>
      </c>
      <c r="O478" t="s">
        <v>219</v>
      </c>
      <c r="P478" t="str">
        <f>_xlfn.TEXTBEFORE(_xlfn.TEXTAFTER(Table26[[#This Row],[WBS CODE]], "-"), "-")</f>
        <v>301297509</v>
      </c>
    </row>
    <row r="479" spans="1:16" x14ac:dyDescent="0.3">
      <c r="A479">
        <v>478</v>
      </c>
      <c r="B479" t="s">
        <v>26</v>
      </c>
      <c r="C479" t="s">
        <v>989</v>
      </c>
      <c r="D479" t="s">
        <v>990</v>
      </c>
      <c r="E479" t="s">
        <v>815</v>
      </c>
      <c r="F479" t="s">
        <v>817</v>
      </c>
      <c r="G479" t="s">
        <v>857</v>
      </c>
      <c r="H479" t="s">
        <v>990</v>
      </c>
      <c r="J479" t="s">
        <v>261</v>
      </c>
      <c r="K479" t="s">
        <v>332</v>
      </c>
      <c r="L479" t="s">
        <v>332</v>
      </c>
      <c r="N479" t="s">
        <v>823</v>
      </c>
      <c r="O479" t="s">
        <v>219</v>
      </c>
      <c r="P479" t="str">
        <f>_xlfn.TEXTBEFORE(_xlfn.TEXTAFTER(Table26[[#This Row],[WBS CODE]], "-"), "-")</f>
        <v>301297601</v>
      </c>
    </row>
    <row r="480" spans="1:16" x14ac:dyDescent="0.3">
      <c r="A480">
        <v>479</v>
      </c>
      <c r="B480" t="s">
        <v>26</v>
      </c>
      <c r="C480" t="s">
        <v>991</v>
      </c>
      <c r="D480" t="s">
        <v>992</v>
      </c>
      <c r="E480" t="s">
        <v>815</v>
      </c>
      <c r="F480" t="s">
        <v>817</v>
      </c>
      <c r="G480" t="s">
        <v>857</v>
      </c>
      <c r="H480" t="s">
        <v>992</v>
      </c>
      <c r="J480" t="s">
        <v>261</v>
      </c>
      <c r="K480" t="s">
        <v>332</v>
      </c>
      <c r="L480" t="s">
        <v>332</v>
      </c>
      <c r="N480" t="s">
        <v>826</v>
      </c>
      <c r="O480" t="s">
        <v>219</v>
      </c>
      <c r="P480" t="str">
        <f>_xlfn.TEXTBEFORE(_xlfn.TEXTAFTER(Table26[[#This Row],[WBS CODE]], "-"), "-")</f>
        <v>301297602</v>
      </c>
    </row>
    <row r="481" spans="1:16" x14ac:dyDescent="0.3">
      <c r="A481">
        <v>480</v>
      </c>
      <c r="B481" t="s">
        <v>26</v>
      </c>
      <c r="C481" t="s">
        <v>993</v>
      </c>
      <c r="D481" t="s">
        <v>994</v>
      </c>
      <c r="E481" t="s">
        <v>815</v>
      </c>
      <c r="F481" t="s">
        <v>817</v>
      </c>
      <c r="G481" t="s">
        <v>857</v>
      </c>
      <c r="H481" t="s">
        <v>994</v>
      </c>
      <c r="J481" t="s">
        <v>261</v>
      </c>
      <c r="K481" t="s">
        <v>332</v>
      </c>
      <c r="L481" t="s">
        <v>332</v>
      </c>
      <c r="N481" t="s">
        <v>829</v>
      </c>
      <c r="O481" t="s">
        <v>219</v>
      </c>
      <c r="P481" t="str">
        <f>_xlfn.TEXTBEFORE(_xlfn.TEXTAFTER(Table26[[#This Row],[WBS CODE]], "-"), "-")</f>
        <v>301297603</v>
      </c>
    </row>
    <row r="482" spans="1:16" x14ac:dyDescent="0.3">
      <c r="A482">
        <v>481</v>
      </c>
      <c r="B482" t="s">
        <v>26</v>
      </c>
      <c r="C482" t="s">
        <v>995</v>
      </c>
      <c r="D482" t="s">
        <v>996</v>
      </c>
      <c r="E482" t="s">
        <v>815</v>
      </c>
      <c r="F482" t="s">
        <v>817</v>
      </c>
      <c r="G482" t="s">
        <v>857</v>
      </c>
      <c r="H482" t="s">
        <v>996</v>
      </c>
      <c r="J482" t="s">
        <v>261</v>
      </c>
      <c r="K482" t="s">
        <v>332</v>
      </c>
      <c r="L482" t="s">
        <v>332</v>
      </c>
      <c r="N482" t="s">
        <v>832</v>
      </c>
      <c r="O482" t="s">
        <v>219</v>
      </c>
      <c r="P482" t="str">
        <f>_xlfn.TEXTBEFORE(_xlfn.TEXTAFTER(Table26[[#This Row],[WBS CODE]], "-"), "-")</f>
        <v>301297604</v>
      </c>
    </row>
    <row r="483" spans="1:16" x14ac:dyDescent="0.3">
      <c r="A483">
        <v>482</v>
      </c>
      <c r="B483" t="s">
        <v>26</v>
      </c>
      <c r="C483" t="s">
        <v>997</v>
      </c>
      <c r="D483" t="s">
        <v>998</v>
      </c>
      <c r="E483" t="s">
        <v>815</v>
      </c>
      <c r="F483" t="s">
        <v>817</v>
      </c>
      <c r="G483" t="s">
        <v>857</v>
      </c>
      <c r="H483" t="s">
        <v>998</v>
      </c>
      <c r="J483" t="s">
        <v>261</v>
      </c>
      <c r="K483" t="s">
        <v>332</v>
      </c>
      <c r="L483" t="s">
        <v>332</v>
      </c>
      <c r="N483" t="s">
        <v>835</v>
      </c>
      <c r="O483" t="s">
        <v>219</v>
      </c>
      <c r="P483" t="str">
        <f>_xlfn.TEXTBEFORE(_xlfn.TEXTAFTER(Table26[[#This Row],[WBS CODE]], "-"), "-")</f>
        <v>301297605</v>
      </c>
    </row>
    <row r="484" spans="1:16" x14ac:dyDescent="0.3">
      <c r="A484">
        <v>483</v>
      </c>
      <c r="B484" t="s">
        <v>26</v>
      </c>
      <c r="C484" t="s">
        <v>999</v>
      </c>
      <c r="D484" t="s">
        <v>1000</v>
      </c>
      <c r="E484" t="s">
        <v>815</v>
      </c>
      <c r="F484" t="s">
        <v>817</v>
      </c>
      <c r="G484" t="s">
        <v>857</v>
      </c>
      <c r="H484" t="s">
        <v>1000</v>
      </c>
      <c r="J484" t="s">
        <v>261</v>
      </c>
      <c r="K484" t="s">
        <v>332</v>
      </c>
      <c r="L484" t="s">
        <v>332</v>
      </c>
      <c r="N484" t="s">
        <v>838</v>
      </c>
      <c r="O484" t="s">
        <v>219</v>
      </c>
      <c r="P484" t="str">
        <f>_xlfn.TEXTBEFORE(_xlfn.TEXTAFTER(Table26[[#This Row],[WBS CODE]], "-"), "-")</f>
        <v>301297606</v>
      </c>
    </row>
    <row r="485" spans="1:16" x14ac:dyDescent="0.3">
      <c r="A485">
        <v>484</v>
      </c>
      <c r="B485" t="s">
        <v>26</v>
      </c>
      <c r="C485" t="s">
        <v>1001</v>
      </c>
      <c r="D485" t="s">
        <v>1002</v>
      </c>
      <c r="E485" t="s">
        <v>815</v>
      </c>
      <c r="F485" t="s">
        <v>817</v>
      </c>
      <c r="G485" t="s">
        <v>857</v>
      </c>
      <c r="H485" t="s">
        <v>1002</v>
      </c>
      <c r="J485" t="s">
        <v>261</v>
      </c>
      <c r="K485" t="s">
        <v>332</v>
      </c>
      <c r="L485" t="s">
        <v>332</v>
      </c>
      <c r="N485" t="s">
        <v>841</v>
      </c>
      <c r="O485" t="s">
        <v>219</v>
      </c>
      <c r="P485" t="str">
        <f>_xlfn.TEXTBEFORE(_xlfn.TEXTAFTER(Table26[[#This Row],[WBS CODE]], "-"), "-")</f>
        <v>301297607</v>
      </c>
    </row>
    <row r="486" spans="1:16" x14ac:dyDescent="0.3">
      <c r="A486">
        <v>485</v>
      </c>
      <c r="B486" t="s">
        <v>26</v>
      </c>
      <c r="C486" t="s">
        <v>1003</v>
      </c>
      <c r="D486" t="s">
        <v>1004</v>
      </c>
      <c r="E486" t="s">
        <v>815</v>
      </c>
      <c r="F486" t="s">
        <v>817</v>
      </c>
      <c r="G486" t="s">
        <v>857</v>
      </c>
      <c r="H486" t="s">
        <v>1004</v>
      </c>
      <c r="J486" t="s">
        <v>261</v>
      </c>
      <c r="K486" t="s">
        <v>332</v>
      </c>
      <c r="L486" t="s">
        <v>332</v>
      </c>
      <c r="N486" t="s">
        <v>844</v>
      </c>
      <c r="O486" t="s">
        <v>219</v>
      </c>
      <c r="P486" t="str">
        <f>_xlfn.TEXTBEFORE(_xlfn.TEXTAFTER(Table26[[#This Row],[WBS CODE]], "-"), "-")</f>
        <v>301297608</v>
      </c>
    </row>
    <row r="487" spans="1:16" x14ac:dyDescent="0.3">
      <c r="A487">
        <v>486</v>
      </c>
      <c r="B487" t="s">
        <v>26</v>
      </c>
      <c r="C487" t="s">
        <v>1005</v>
      </c>
      <c r="D487" t="s">
        <v>1006</v>
      </c>
      <c r="E487" t="s">
        <v>815</v>
      </c>
      <c r="F487" t="s">
        <v>817</v>
      </c>
      <c r="G487" t="s">
        <v>857</v>
      </c>
      <c r="H487" t="s">
        <v>1006</v>
      </c>
      <c r="J487" t="s">
        <v>261</v>
      </c>
      <c r="K487" t="s">
        <v>332</v>
      </c>
      <c r="L487" t="s">
        <v>332</v>
      </c>
      <c r="N487" t="s">
        <v>847</v>
      </c>
      <c r="O487" t="s">
        <v>219</v>
      </c>
      <c r="P487" t="str">
        <f>_xlfn.TEXTBEFORE(_xlfn.TEXTAFTER(Table26[[#This Row],[WBS CODE]], "-"), "-")</f>
        <v>301297609</v>
      </c>
    </row>
    <row r="488" spans="1:16" x14ac:dyDescent="0.3">
      <c r="A488">
        <v>487</v>
      </c>
      <c r="B488" t="s">
        <v>26</v>
      </c>
      <c r="C488" t="s">
        <v>322</v>
      </c>
      <c r="D488" t="s">
        <v>1007</v>
      </c>
      <c r="E488" t="s">
        <v>815</v>
      </c>
      <c r="F488" t="s">
        <v>817</v>
      </c>
      <c r="G488" t="s">
        <v>858</v>
      </c>
      <c r="H488" t="s">
        <v>1007</v>
      </c>
      <c r="J488" t="s">
        <v>261</v>
      </c>
      <c r="K488" t="s">
        <v>313</v>
      </c>
      <c r="L488" t="s">
        <v>322</v>
      </c>
      <c r="P488" t="str">
        <f>_xlfn.TEXTBEFORE(_xlfn.TEXTAFTER(Table26[[#This Row],[WBS CODE]], "-"), "-")</f>
        <v>301297757</v>
      </c>
    </row>
    <row r="489" spans="1:16" x14ac:dyDescent="0.3">
      <c r="A489">
        <v>488</v>
      </c>
      <c r="B489" t="s">
        <v>26</v>
      </c>
      <c r="C489" t="s">
        <v>325</v>
      </c>
      <c r="D489" t="s">
        <v>1008</v>
      </c>
      <c r="E489" t="s">
        <v>815</v>
      </c>
      <c r="F489" t="s">
        <v>817</v>
      </c>
      <c r="G489" t="s">
        <v>858</v>
      </c>
      <c r="H489" t="s">
        <v>1008</v>
      </c>
      <c r="J489" t="s">
        <v>261</v>
      </c>
      <c r="K489" t="s">
        <v>313</v>
      </c>
      <c r="L489" t="s">
        <v>325</v>
      </c>
      <c r="P489" t="str">
        <f>_xlfn.TEXTBEFORE(_xlfn.TEXTAFTER(Table26[[#This Row],[WBS CODE]], "-"), "-")</f>
        <v>301297758</v>
      </c>
    </row>
    <row r="490" spans="1:16" x14ac:dyDescent="0.3">
      <c r="A490">
        <v>489</v>
      </c>
      <c r="B490" t="s">
        <v>26</v>
      </c>
      <c r="C490" t="s">
        <v>319</v>
      </c>
      <c r="D490" t="s">
        <v>1009</v>
      </c>
      <c r="E490" t="s">
        <v>815</v>
      </c>
      <c r="F490" t="s">
        <v>817</v>
      </c>
      <c r="G490" t="s">
        <v>858</v>
      </c>
      <c r="H490" t="s">
        <v>1009</v>
      </c>
      <c r="J490" t="s">
        <v>261</v>
      </c>
      <c r="K490" t="s">
        <v>313</v>
      </c>
      <c r="L490" t="s">
        <v>319</v>
      </c>
      <c r="P490" t="str">
        <f>_xlfn.TEXTBEFORE(_xlfn.TEXTAFTER(Table26[[#This Row],[WBS CODE]], "-"), "-")</f>
        <v>301297759</v>
      </c>
    </row>
    <row r="491" spans="1:16" x14ac:dyDescent="0.3">
      <c r="A491">
        <v>490</v>
      </c>
      <c r="B491" t="s">
        <v>26</v>
      </c>
      <c r="C491" t="s">
        <v>307</v>
      </c>
      <c r="D491" t="s">
        <v>1010</v>
      </c>
      <c r="E491" t="s">
        <v>815</v>
      </c>
      <c r="F491" t="s">
        <v>817</v>
      </c>
      <c r="G491" t="s">
        <v>859</v>
      </c>
      <c r="H491" t="s">
        <v>1010</v>
      </c>
      <c r="J491" t="s">
        <v>261</v>
      </c>
      <c r="K491" t="s">
        <v>306</v>
      </c>
      <c r="L491" t="s">
        <v>307</v>
      </c>
      <c r="P491" t="str">
        <f>_xlfn.TEXTBEFORE(_xlfn.TEXTAFTER(Table26[[#This Row],[WBS CODE]], "-"), "-")</f>
        <v>301297856</v>
      </c>
    </row>
    <row r="492" spans="1:16" x14ac:dyDescent="0.3">
      <c r="A492">
        <v>491</v>
      </c>
      <c r="B492" t="s">
        <v>26</v>
      </c>
      <c r="C492" t="s">
        <v>310</v>
      </c>
      <c r="D492" t="s">
        <v>1011</v>
      </c>
      <c r="E492" t="s">
        <v>815</v>
      </c>
      <c r="F492" t="s">
        <v>817</v>
      </c>
      <c r="G492" t="s">
        <v>859</v>
      </c>
      <c r="H492" t="s">
        <v>1011</v>
      </c>
      <c r="J492" t="s">
        <v>261</v>
      </c>
      <c r="K492" t="s">
        <v>306</v>
      </c>
      <c r="L492" t="s">
        <v>310</v>
      </c>
      <c r="P492" t="str">
        <f>_xlfn.TEXTBEFORE(_xlfn.TEXTAFTER(Table26[[#This Row],[WBS CODE]], "-"), "-")</f>
        <v>301297862</v>
      </c>
    </row>
    <row r="493" spans="1:16" x14ac:dyDescent="0.3">
      <c r="A493">
        <v>492</v>
      </c>
      <c r="B493" t="s">
        <v>26</v>
      </c>
      <c r="C493" t="s">
        <v>1012</v>
      </c>
      <c r="D493" t="s">
        <v>1013</v>
      </c>
      <c r="E493" t="s">
        <v>815</v>
      </c>
      <c r="F493" t="s">
        <v>817</v>
      </c>
      <c r="G493" t="s">
        <v>860</v>
      </c>
      <c r="H493" t="s">
        <v>1013</v>
      </c>
      <c r="J493" t="s">
        <v>261</v>
      </c>
      <c r="K493" t="s">
        <v>283</v>
      </c>
      <c r="L493" t="s">
        <v>283</v>
      </c>
      <c r="N493" t="s">
        <v>823</v>
      </c>
      <c r="O493" t="s">
        <v>219</v>
      </c>
      <c r="P493" t="str">
        <f>_xlfn.TEXTBEFORE(_xlfn.TEXTAFTER(Table26[[#This Row],[WBS CODE]], "-"), "-")</f>
        <v>301297901</v>
      </c>
    </row>
    <row r="494" spans="1:16" x14ac:dyDescent="0.3">
      <c r="A494">
        <v>493</v>
      </c>
      <c r="B494" t="s">
        <v>26</v>
      </c>
      <c r="C494" t="s">
        <v>1014</v>
      </c>
      <c r="D494" t="s">
        <v>1015</v>
      </c>
      <c r="E494" t="s">
        <v>815</v>
      </c>
      <c r="F494" t="s">
        <v>817</v>
      </c>
      <c r="G494" t="s">
        <v>860</v>
      </c>
      <c r="H494" t="s">
        <v>1015</v>
      </c>
      <c r="J494" t="s">
        <v>261</v>
      </c>
      <c r="K494" t="s">
        <v>283</v>
      </c>
      <c r="L494" t="s">
        <v>283</v>
      </c>
      <c r="N494" t="s">
        <v>826</v>
      </c>
      <c r="O494" t="s">
        <v>219</v>
      </c>
      <c r="P494" t="str">
        <f>_xlfn.TEXTBEFORE(_xlfn.TEXTAFTER(Table26[[#This Row],[WBS CODE]], "-"), "-")</f>
        <v>301297902</v>
      </c>
    </row>
    <row r="495" spans="1:16" x14ac:dyDescent="0.3">
      <c r="A495">
        <v>494</v>
      </c>
      <c r="B495" t="s">
        <v>26</v>
      </c>
      <c r="C495" t="s">
        <v>1016</v>
      </c>
      <c r="D495" t="s">
        <v>1017</v>
      </c>
      <c r="E495" t="s">
        <v>815</v>
      </c>
      <c r="F495" t="s">
        <v>817</v>
      </c>
      <c r="G495" t="s">
        <v>860</v>
      </c>
      <c r="H495" t="s">
        <v>1017</v>
      </c>
      <c r="J495" t="s">
        <v>261</v>
      </c>
      <c r="K495" t="s">
        <v>283</v>
      </c>
      <c r="L495" t="s">
        <v>283</v>
      </c>
      <c r="N495" t="s">
        <v>829</v>
      </c>
      <c r="O495" t="s">
        <v>219</v>
      </c>
      <c r="P495" t="str">
        <f>_xlfn.TEXTBEFORE(_xlfn.TEXTAFTER(Table26[[#This Row],[WBS CODE]], "-"), "-")</f>
        <v>301297903</v>
      </c>
    </row>
    <row r="496" spans="1:16" x14ac:dyDescent="0.3">
      <c r="A496">
        <v>495</v>
      </c>
      <c r="B496" t="s">
        <v>26</v>
      </c>
      <c r="C496" t="s">
        <v>1018</v>
      </c>
      <c r="D496" t="s">
        <v>1019</v>
      </c>
      <c r="E496" t="s">
        <v>815</v>
      </c>
      <c r="F496" t="s">
        <v>817</v>
      </c>
      <c r="G496" t="s">
        <v>860</v>
      </c>
      <c r="H496" t="s">
        <v>1019</v>
      </c>
      <c r="J496" t="s">
        <v>261</v>
      </c>
      <c r="K496" t="s">
        <v>283</v>
      </c>
      <c r="L496" t="s">
        <v>283</v>
      </c>
      <c r="N496" t="s">
        <v>832</v>
      </c>
      <c r="O496" t="s">
        <v>219</v>
      </c>
      <c r="P496" t="str">
        <f>_xlfn.TEXTBEFORE(_xlfn.TEXTAFTER(Table26[[#This Row],[WBS CODE]], "-"), "-")</f>
        <v>301297904</v>
      </c>
    </row>
    <row r="497" spans="1:16" x14ac:dyDescent="0.3">
      <c r="A497">
        <v>496</v>
      </c>
      <c r="B497" t="s">
        <v>26</v>
      </c>
      <c r="C497" t="s">
        <v>1020</v>
      </c>
      <c r="D497" t="s">
        <v>1021</v>
      </c>
      <c r="E497" t="s">
        <v>815</v>
      </c>
      <c r="F497" t="s">
        <v>817</v>
      </c>
      <c r="G497" t="s">
        <v>860</v>
      </c>
      <c r="H497" t="s">
        <v>1021</v>
      </c>
      <c r="J497" t="s">
        <v>261</v>
      </c>
      <c r="K497" t="s">
        <v>283</v>
      </c>
      <c r="L497" t="s">
        <v>283</v>
      </c>
      <c r="N497" t="s">
        <v>835</v>
      </c>
      <c r="O497" t="s">
        <v>219</v>
      </c>
      <c r="P497" t="str">
        <f>_xlfn.TEXTBEFORE(_xlfn.TEXTAFTER(Table26[[#This Row],[WBS CODE]], "-"), "-")</f>
        <v>301297905</v>
      </c>
    </row>
    <row r="498" spans="1:16" x14ac:dyDescent="0.3">
      <c r="A498">
        <v>497</v>
      </c>
      <c r="B498" t="s">
        <v>26</v>
      </c>
      <c r="C498" t="s">
        <v>1022</v>
      </c>
      <c r="D498" t="s">
        <v>1023</v>
      </c>
      <c r="E498" t="s">
        <v>815</v>
      </c>
      <c r="F498" t="s">
        <v>817</v>
      </c>
      <c r="G498" t="s">
        <v>860</v>
      </c>
      <c r="H498" t="s">
        <v>1023</v>
      </c>
      <c r="J498" t="s">
        <v>261</v>
      </c>
      <c r="K498" t="s">
        <v>283</v>
      </c>
      <c r="L498" t="s">
        <v>283</v>
      </c>
      <c r="N498" t="s">
        <v>838</v>
      </c>
      <c r="O498" t="s">
        <v>219</v>
      </c>
      <c r="P498" t="str">
        <f>_xlfn.TEXTBEFORE(_xlfn.TEXTAFTER(Table26[[#This Row],[WBS CODE]], "-"), "-")</f>
        <v>301297906</v>
      </c>
    </row>
    <row r="499" spans="1:16" x14ac:dyDescent="0.3">
      <c r="A499">
        <v>498</v>
      </c>
      <c r="B499" t="s">
        <v>26</v>
      </c>
      <c r="C499" t="s">
        <v>1024</v>
      </c>
      <c r="D499" t="s">
        <v>1025</v>
      </c>
      <c r="E499" t="s">
        <v>815</v>
      </c>
      <c r="F499" t="s">
        <v>817</v>
      </c>
      <c r="G499" t="s">
        <v>860</v>
      </c>
      <c r="H499" t="s">
        <v>1025</v>
      </c>
      <c r="J499" t="s">
        <v>261</v>
      </c>
      <c r="K499" t="s">
        <v>283</v>
      </c>
      <c r="L499" t="s">
        <v>283</v>
      </c>
      <c r="N499" t="s">
        <v>841</v>
      </c>
      <c r="O499" t="s">
        <v>219</v>
      </c>
      <c r="P499" t="str">
        <f>_xlfn.TEXTBEFORE(_xlfn.TEXTAFTER(Table26[[#This Row],[WBS CODE]], "-"), "-")</f>
        <v>301297907</v>
      </c>
    </row>
    <row r="500" spans="1:16" x14ac:dyDescent="0.3">
      <c r="A500">
        <v>499</v>
      </c>
      <c r="B500" t="s">
        <v>26</v>
      </c>
      <c r="C500" t="s">
        <v>1026</v>
      </c>
      <c r="D500" t="s">
        <v>1027</v>
      </c>
      <c r="E500" t="s">
        <v>815</v>
      </c>
      <c r="F500" t="s">
        <v>817</v>
      </c>
      <c r="G500" t="s">
        <v>860</v>
      </c>
      <c r="H500" t="s">
        <v>1027</v>
      </c>
      <c r="J500" t="s">
        <v>261</v>
      </c>
      <c r="K500" t="s">
        <v>283</v>
      </c>
      <c r="L500" t="s">
        <v>283</v>
      </c>
      <c r="N500" t="s">
        <v>844</v>
      </c>
      <c r="O500" t="s">
        <v>219</v>
      </c>
      <c r="P500" t="str">
        <f>_xlfn.TEXTBEFORE(_xlfn.TEXTAFTER(Table26[[#This Row],[WBS CODE]], "-"), "-")</f>
        <v>301297908</v>
      </c>
    </row>
    <row r="501" spans="1:16" x14ac:dyDescent="0.3">
      <c r="A501">
        <v>500</v>
      </c>
      <c r="B501" t="s">
        <v>26</v>
      </c>
      <c r="C501" t="s">
        <v>1028</v>
      </c>
      <c r="D501" t="s">
        <v>1029</v>
      </c>
      <c r="E501" t="s">
        <v>815</v>
      </c>
      <c r="F501" t="s">
        <v>817</v>
      </c>
      <c r="G501" t="s">
        <v>860</v>
      </c>
      <c r="H501" t="s">
        <v>1029</v>
      </c>
      <c r="J501" t="s">
        <v>261</v>
      </c>
      <c r="K501" t="s">
        <v>283</v>
      </c>
      <c r="L501" t="s">
        <v>283</v>
      </c>
      <c r="N501" t="s">
        <v>847</v>
      </c>
      <c r="O501" t="s">
        <v>219</v>
      </c>
      <c r="P501" t="str">
        <f>_xlfn.TEXTBEFORE(_xlfn.TEXTAFTER(Table26[[#This Row],[WBS CODE]], "-"), "-")</f>
        <v>301297909</v>
      </c>
    </row>
    <row r="502" spans="1:16" x14ac:dyDescent="0.3">
      <c r="A502">
        <v>501</v>
      </c>
      <c r="B502" t="s">
        <v>26</v>
      </c>
      <c r="C502" t="s">
        <v>861</v>
      </c>
      <c r="D502" t="s">
        <v>1030</v>
      </c>
      <c r="E502" t="s">
        <v>815</v>
      </c>
      <c r="F502" t="s">
        <v>817</v>
      </c>
      <c r="G502" t="s">
        <v>862</v>
      </c>
      <c r="H502" t="s">
        <v>1030</v>
      </c>
      <c r="J502" t="s">
        <v>261</v>
      </c>
      <c r="K502" t="s">
        <v>861</v>
      </c>
      <c r="L502" t="s">
        <v>861</v>
      </c>
      <c r="P502" t="str">
        <f>_xlfn.TEXTBEFORE(_xlfn.TEXTAFTER(Table26[[#This Row],[WBS CODE]], "-"), "-")</f>
        <v>301298052</v>
      </c>
    </row>
    <row r="503" spans="1:16" x14ac:dyDescent="0.3">
      <c r="A503">
        <v>502</v>
      </c>
      <c r="B503" t="s">
        <v>26</v>
      </c>
      <c r="C503" t="s">
        <v>279</v>
      </c>
      <c r="D503" t="s">
        <v>1031</v>
      </c>
      <c r="E503" t="s">
        <v>815</v>
      </c>
      <c r="F503" t="s">
        <v>817</v>
      </c>
      <c r="G503" t="s">
        <v>863</v>
      </c>
      <c r="H503" t="s">
        <v>1031</v>
      </c>
      <c r="J503" t="s">
        <v>261</v>
      </c>
      <c r="K503" t="s">
        <v>277</v>
      </c>
      <c r="L503" t="s">
        <v>277</v>
      </c>
      <c r="P503" t="str">
        <f>_xlfn.TEXTBEFORE(_xlfn.TEXTAFTER(Table26[[#This Row],[WBS CODE]], "-"), "-")</f>
        <v>301298160</v>
      </c>
    </row>
    <row r="504" spans="1:16" x14ac:dyDescent="0.3">
      <c r="A504">
        <v>503</v>
      </c>
      <c r="B504" t="s">
        <v>26</v>
      </c>
      <c r="C504" t="s">
        <v>266</v>
      </c>
      <c r="D504" t="s">
        <v>1032</v>
      </c>
      <c r="E504" t="s">
        <v>815</v>
      </c>
      <c r="F504" t="s">
        <v>817</v>
      </c>
      <c r="G504" t="s">
        <v>864</v>
      </c>
      <c r="H504" t="s">
        <v>1032</v>
      </c>
      <c r="J504" t="s">
        <v>261</v>
      </c>
      <c r="K504" t="s">
        <v>271</v>
      </c>
      <c r="L504" t="s">
        <v>266</v>
      </c>
      <c r="P504" t="str">
        <f>_xlfn.TEXTBEFORE(_xlfn.TEXTAFTER(Table26[[#This Row],[WBS CODE]], "-"), "-")</f>
        <v>301298264</v>
      </c>
    </row>
    <row r="505" spans="1:16" x14ac:dyDescent="0.3">
      <c r="A505">
        <v>504</v>
      </c>
      <c r="B505" t="s">
        <v>26</v>
      </c>
      <c r="C505" t="s">
        <v>1033</v>
      </c>
      <c r="D505" t="s">
        <v>1034</v>
      </c>
      <c r="E505" t="s">
        <v>815</v>
      </c>
      <c r="F505" t="s">
        <v>817</v>
      </c>
      <c r="G505" t="s">
        <v>864</v>
      </c>
      <c r="H505" t="s">
        <v>1034</v>
      </c>
      <c r="J505" t="s">
        <v>261</v>
      </c>
      <c r="K505" t="s">
        <v>271</v>
      </c>
      <c r="L505" t="s">
        <v>1033</v>
      </c>
      <c r="P505" t="str">
        <f>_xlfn.TEXTBEFORE(_xlfn.TEXTAFTER(Table26[[#This Row],[WBS CODE]], "-"), "-")</f>
        <v>301298265</v>
      </c>
    </row>
    <row r="506" spans="1:16" x14ac:dyDescent="0.3">
      <c r="A506">
        <v>505</v>
      </c>
      <c r="B506" t="s">
        <v>26</v>
      </c>
      <c r="C506" t="s">
        <v>1035</v>
      </c>
      <c r="D506" t="s">
        <v>1036</v>
      </c>
      <c r="E506" t="s">
        <v>815</v>
      </c>
      <c r="F506" t="s">
        <v>818</v>
      </c>
      <c r="G506" t="s">
        <v>866</v>
      </c>
      <c r="H506" t="s">
        <v>1036</v>
      </c>
      <c r="J506" t="s">
        <v>19</v>
      </c>
      <c r="K506" t="s">
        <v>215</v>
      </c>
      <c r="L506" t="s">
        <v>215</v>
      </c>
      <c r="P506" t="str">
        <f>_xlfn.TEXTBEFORE(_xlfn.TEXTAFTER(Table26[[#This Row],[WBS CODE]], "-"), "-")</f>
        <v>302037401</v>
      </c>
    </row>
    <row r="507" spans="1:16" x14ac:dyDescent="0.3">
      <c r="A507">
        <v>506</v>
      </c>
      <c r="B507" t="s">
        <v>26</v>
      </c>
      <c r="C507" t="s">
        <v>1037</v>
      </c>
      <c r="D507" t="s">
        <v>1038</v>
      </c>
      <c r="E507" t="s">
        <v>815</v>
      </c>
      <c r="F507" t="s">
        <v>818</v>
      </c>
      <c r="G507" t="s">
        <v>866</v>
      </c>
      <c r="H507" t="s">
        <v>1038</v>
      </c>
      <c r="J507" t="s">
        <v>19</v>
      </c>
      <c r="K507" t="s">
        <v>215</v>
      </c>
      <c r="L507" t="s">
        <v>215</v>
      </c>
      <c r="P507" t="str">
        <f>_xlfn.TEXTBEFORE(_xlfn.TEXTAFTER(Table26[[#This Row],[WBS CODE]], "-"), "-")</f>
        <v>302037402</v>
      </c>
    </row>
    <row r="508" spans="1:16" x14ac:dyDescent="0.3">
      <c r="A508">
        <v>507</v>
      </c>
      <c r="B508" t="s">
        <v>26</v>
      </c>
      <c r="C508" t="s">
        <v>1039</v>
      </c>
      <c r="D508" t="s">
        <v>1040</v>
      </c>
      <c r="E508" t="s">
        <v>815</v>
      </c>
      <c r="F508" t="s">
        <v>818</v>
      </c>
      <c r="G508" t="s">
        <v>866</v>
      </c>
      <c r="H508" t="s">
        <v>1040</v>
      </c>
      <c r="J508" t="s">
        <v>19</v>
      </c>
      <c r="K508" t="s">
        <v>215</v>
      </c>
      <c r="L508" t="s">
        <v>215</v>
      </c>
      <c r="P508" t="str">
        <f>_xlfn.TEXTBEFORE(_xlfn.TEXTAFTER(Table26[[#This Row],[WBS CODE]], "-"), "-")</f>
        <v>302037403</v>
      </c>
    </row>
    <row r="509" spans="1:16" x14ac:dyDescent="0.3">
      <c r="A509">
        <v>508</v>
      </c>
      <c r="B509" t="s">
        <v>26</v>
      </c>
      <c r="C509" t="s">
        <v>1041</v>
      </c>
      <c r="D509" t="s">
        <v>1042</v>
      </c>
      <c r="E509" t="s">
        <v>815</v>
      </c>
      <c r="F509" t="s">
        <v>818</v>
      </c>
      <c r="G509" t="s">
        <v>866</v>
      </c>
      <c r="H509" t="s">
        <v>1042</v>
      </c>
      <c r="J509" t="s">
        <v>19</v>
      </c>
      <c r="K509" t="s">
        <v>215</v>
      </c>
      <c r="L509" t="s">
        <v>215</v>
      </c>
      <c r="P509" t="str">
        <f>_xlfn.TEXTBEFORE(_xlfn.TEXTAFTER(Table26[[#This Row],[WBS CODE]], "-"), "-")</f>
        <v>302037404</v>
      </c>
    </row>
    <row r="510" spans="1:16" x14ac:dyDescent="0.3">
      <c r="A510">
        <v>509</v>
      </c>
      <c r="B510" t="s">
        <v>26</v>
      </c>
      <c r="C510" t="s">
        <v>1043</v>
      </c>
      <c r="D510" t="s">
        <v>1044</v>
      </c>
      <c r="E510" t="s">
        <v>815</v>
      </c>
      <c r="F510" t="s">
        <v>818</v>
      </c>
      <c r="G510" t="s">
        <v>866</v>
      </c>
      <c r="H510" t="s">
        <v>1044</v>
      </c>
      <c r="J510" t="s">
        <v>19</v>
      </c>
      <c r="K510" t="s">
        <v>215</v>
      </c>
      <c r="L510" t="s">
        <v>215</v>
      </c>
      <c r="P510" t="str">
        <f>_xlfn.TEXTBEFORE(_xlfn.TEXTAFTER(Table26[[#This Row],[WBS CODE]], "-"), "-")</f>
        <v>302037405</v>
      </c>
    </row>
    <row r="511" spans="1:16" x14ac:dyDescent="0.3">
      <c r="A511">
        <v>510</v>
      </c>
      <c r="B511" t="s">
        <v>26</v>
      </c>
      <c r="C511" t="s">
        <v>1045</v>
      </c>
      <c r="D511" t="s">
        <v>1046</v>
      </c>
      <c r="E511" t="s">
        <v>815</v>
      </c>
      <c r="F511" t="s">
        <v>818</v>
      </c>
      <c r="G511" t="s">
        <v>866</v>
      </c>
      <c r="H511" t="s">
        <v>1046</v>
      </c>
      <c r="J511" t="s">
        <v>19</v>
      </c>
      <c r="K511" t="s">
        <v>215</v>
      </c>
      <c r="L511" t="s">
        <v>215</v>
      </c>
      <c r="P511" t="str">
        <f>_xlfn.TEXTBEFORE(_xlfn.TEXTAFTER(Table26[[#This Row],[WBS CODE]], "-"), "-")</f>
        <v>302037406</v>
      </c>
    </row>
    <row r="512" spans="1:16" x14ac:dyDescent="0.3">
      <c r="A512">
        <v>511</v>
      </c>
      <c r="B512" t="s">
        <v>26</v>
      </c>
      <c r="C512" t="s">
        <v>1047</v>
      </c>
      <c r="D512" t="s">
        <v>1048</v>
      </c>
      <c r="E512" t="s">
        <v>815</v>
      </c>
      <c r="F512" t="s">
        <v>818</v>
      </c>
      <c r="G512" t="s">
        <v>866</v>
      </c>
      <c r="H512" t="s">
        <v>1048</v>
      </c>
      <c r="J512" t="s">
        <v>19</v>
      </c>
      <c r="K512" t="s">
        <v>215</v>
      </c>
      <c r="L512" t="s">
        <v>215</v>
      </c>
      <c r="P512" t="str">
        <f>_xlfn.TEXTBEFORE(_xlfn.TEXTAFTER(Table26[[#This Row],[WBS CODE]], "-"), "-")</f>
        <v>302037407</v>
      </c>
    </row>
    <row r="513" spans="1:16" x14ac:dyDescent="0.3">
      <c r="A513">
        <v>512</v>
      </c>
      <c r="B513" t="s">
        <v>26</v>
      </c>
      <c r="C513" t="s">
        <v>1049</v>
      </c>
      <c r="D513" t="s">
        <v>1050</v>
      </c>
      <c r="E513" t="s">
        <v>815</v>
      </c>
      <c r="F513" t="s">
        <v>818</v>
      </c>
      <c r="G513" t="s">
        <v>866</v>
      </c>
      <c r="H513" t="s">
        <v>1050</v>
      </c>
      <c r="J513" t="s">
        <v>19</v>
      </c>
      <c r="K513" t="s">
        <v>215</v>
      </c>
      <c r="L513" t="s">
        <v>215</v>
      </c>
      <c r="P513" t="str">
        <f>_xlfn.TEXTBEFORE(_xlfn.TEXTAFTER(Table26[[#This Row],[WBS CODE]], "-"), "-")</f>
        <v>302037408</v>
      </c>
    </row>
    <row r="514" spans="1:16" x14ac:dyDescent="0.3">
      <c r="A514">
        <v>513</v>
      </c>
      <c r="B514" t="s">
        <v>26</v>
      </c>
      <c r="C514" t="s">
        <v>1051</v>
      </c>
      <c r="D514" t="s">
        <v>1052</v>
      </c>
      <c r="E514" t="s">
        <v>815</v>
      </c>
      <c r="F514" t="s">
        <v>818</v>
      </c>
      <c r="G514" t="s">
        <v>866</v>
      </c>
      <c r="H514" t="s">
        <v>1052</v>
      </c>
      <c r="J514" t="s">
        <v>19</v>
      </c>
      <c r="K514" t="s">
        <v>215</v>
      </c>
      <c r="L514" t="s">
        <v>215</v>
      </c>
      <c r="P514" t="str">
        <f>_xlfn.TEXTBEFORE(_xlfn.TEXTAFTER(Table26[[#This Row],[WBS CODE]], "-"), "-")</f>
        <v>302037409</v>
      </c>
    </row>
    <row r="515" spans="1:16" x14ac:dyDescent="0.3">
      <c r="A515">
        <v>514</v>
      </c>
      <c r="B515" t="s">
        <v>26</v>
      </c>
      <c r="C515" t="s">
        <v>1053</v>
      </c>
      <c r="D515" t="s">
        <v>1054</v>
      </c>
      <c r="E515" t="s">
        <v>815</v>
      </c>
      <c r="F515" t="s">
        <v>818</v>
      </c>
      <c r="G515" t="s">
        <v>868</v>
      </c>
      <c r="H515" t="s">
        <v>1054</v>
      </c>
      <c r="J515" t="s">
        <v>19</v>
      </c>
      <c r="K515" t="s">
        <v>150</v>
      </c>
      <c r="L515" t="s">
        <v>45</v>
      </c>
      <c r="N515" t="s">
        <v>869</v>
      </c>
      <c r="O515" t="s">
        <v>25</v>
      </c>
      <c r="P515" t="str">
        <f>_xlfn.TEXTBEFORE(_xlfn.TEXTAFTER(Table26[[#This Row],[WBS CODE]], "-"), "-")</f>
        <v>302038307</v>
      </c>
    </row>
    <row r="516" spans="1:16" x14ac:dyDescent="0.3">
      <c r="A516">
        <v>515</v>
      </c>
      <c r="B516" t="s">
        <v>26</v>
      </c>
      <c r="C516" t="s">
        <v>1055</v>
      </c>
      <c r="D516" t="s">
        <v>1056</v>
      </c>
      <c r="E516" t="s">
        <v>815</v>
      </c>
      <c r="F516" t="s">
        <v>818</v>
      </c>
      <c r="G516" t="s">
        <v>868</v>
      </c>
      <c r="H516" t="s">
        <v>1056</v>
      </c>
      <c r="J516" t="s">
        <v>19</v>
      </c>
      <c r="K516" t="s">
        <v>150</v>
      </c>
      <c r="L516" t="s">
        <v>29</v>
      </c>
      <c r="N516" t="s">
        <v>869</v>
      </c>
      <c r="O516" t="s">
        <v>25</v>
      </c>
      <c r="P516" t="str">
        <f>_xlfn.TEXTBEFORE(_xlfn.TEXTAFTER(Table26[[#This Row],[WBS CODE]], "-"), "-")</f>
        <v>302038309</v>
      </c>
    </row>
    <row r="517" spans="1:16" x14ac:dyDescent="0.3">
      <c r="A517">
        <v>516</v>
      </c>
      <c r="B517" t="s">
        <v>26</v>
      </c>
      <c r="C517" t="s">
        <v>1057</v>
      </c>
      <c r="D517" t="s">
        <v>1058</v>
      </c>
      <c r="E517" t="s">
        <v>815</v>
      </c>
      <c r="F517" t="s">
        <v>818</v>
      </c>
      <c r="G517" t="s">
        <v>871</v>
      </c>
      <c r="H517" t="s">
        <v>1058</v>
      </c>
      <c r="J517" t="s">
        <v>19</v>
      </c>
      <c r="K517" t="s">
        <v>150</v>
      </c>
      <c r="L517" t="s">
        <v>45</v>
      </c>
      <c r="N517" t="s">
        <v>872</v>
      </c>
      <c r="O517" t="s">
        <v>25</v>
      </c>
      <c r="P517" t="str">
        <f>_xlfn.TEXTBEFORE(_xlfn.TEXTAFTER(Table26[[#This Row],[WBS CODE]], "-"), "-")</f>
        <v>302038407</v>
      </c>
    </row>
    <row r="518" spans="1:16" x14ac:dyDescent="0.3">
      <c r="A518">
        <v>517</v>
      </c>
      <c r="B518" t="s">
        <v>26</v>
      </c>
      <c r="C518" t="s">
        <v>1059</v>
      </c>
      <c r="D518" t="s">
        <v>1060</v>
      </c>
      <c r="E518" t="s">
        <v>815</v>
      </c>
      <c r="F518" t="s">
        <v>818</v>
      </c>
      <c r="G518" t="s">
        <v>871</v>
      </c>
      <c r="H518" t="s">
        <v>1060</v>
      </c>
      <c r="J518" t="s">
        <v>19</v>
      </c>
      <c r="K518" t="s">
        <v>150</v>
      </c>
      <c r="L518" t="s">
        <v>29</v>
      </c>
      <c r="N518" t="s">
        <v>872</v>
      </c>
      <c r="O518" t="s">
        <v>25</v>
      </c>
      <c r="P518" t="str">
        <f>_xlfn.TEXTBEFORE(_xlfn.TEXTAFTER(Table26[[#This Row],[WBS CODE]], "-"), "-")</f>
        <v>302038409</v>
      </c>
    </row>
    <row r="519" spans="1:16" x14ac:dyDescent="0.3">
      <c r="A519">
        <v>518</v>
      </c>
      <c r="B519" t="s">
        <v>26</v>
      </c>
      <c r="C519" t="s">
        <v>1061</v>
      </c>
      <c r="D519" t="s">
        <v>1062</v>
      </c>
      <c r="E519" t="s">
        <v>815</v>
      </c>
      <c r="F519" t="s">
        <v>818</v>
      </c>
      <c r="G519" t="s">
        <v>874</v>
      </c>
      <c r="H519" t="s">
        <v>1062</v>
      </c>
      <c r="J519" t="s">
        <v>19</v>
      </c>
      <c r="K519" t="s">
        <v>150</v>
      </c>
      <c r="L519" t="s">
        <v>45</v>
      </c>
      <c r="N519" t="s">
        <v>875</v>
      </c>
      <c r="O519" t="s">
        <v>25</v>
      </c>
      <c r="P519" t="str">
        <f>_xlfn.TEXTBEFORE(_xlfn.TEXTAFTER(Table26[[#This Row],[WBS CODE]], "-"), "-")</f>
        <v>302038507</v>
      </c>
    </row>
    <row r="520" spans="1:16" x14ac:dyDescent="0.3">
      <c r="A520">
        <v>519</v>
      </c>
      <c r="B520" t="s">
        <v>26</v>
      </c>
      <c r="C520" t="s">
        <v>1063</v>
      </c>
      <c r="D520" t="s">
        <v>1064</v>
      </c>
      <c r="E520" t="s">
        <v>815</v>
      </c>
      <c r="F520" t="s">
        <v>818</v>
      </c>
      <c r="G520" t="s">
        <v>874</v>
      </c>
      <c r="H520" t="s">
        <v>1064</v>
      </c>
      <c r="J520" t="s">
        <v>19</v>
      </c>
      <c r="K520" t="s">
        <v>150</v>
      </c>
      <c r="L520" t="s">
        <v>29</v>
      </c>
      <c r="N520" t="s">
        <v>875</v>
      </c>
      <c r="O520" t="s">
        <v>25</v>
      </c>
      <c r="P520" t="str">
        <f>_xlfn.TEXTBEFORE(_xlfn.TEXTAFTER(Table26[[#This Row],[WBS CODE]], "-"), "-")</f>
        <v>302038509</v>
      </c>
    </row>
    <row r="521" spans="1:16" x14ac:dyDescent="0.3">
      <c r="A521">
        <v>520</v>
      </c>
      <c r="B521" t="s">
        <v>26</v>
      </c>
      <c r="C521" t="s">
        <v>1065</v>
      </c>
      <c r="D521" t="s">
        <v>1066</v>
      </c>
      <c r="E521" t="s">
        <v>815</v>
      </c>
      <c r="F521" t="s">
        <v>818</v>
      </c>
      <c r="G521" t="s">
        <v>877</v>
      </c>
      <c r="H521" t="s">
        <v>1066</v>
      </c>
      <c r="J521" t="s">
        <v>19</v>
      </c>
      <c r="K521" t="s">
        <v>150</v>
      </c>
      <c r="L521" t="s">
        <v>45</v>
      </c>
      <c r="N521" t="s">
        <v>878</v>
      </c>
      <c r="O521" t="s">
        <v>25</v>
      </c>
      <c r="P521" t="str">
        <f>_xlfn.TEXTBEFORE(_xlfn.TEXTAFTER(Table26[[#This Row],[WBS CODE]], "-"), "-")</f>
        <v>302038607</v>
      </c>
    </row>
    <row r="522" spans="1:16" x14ac:dyDescent="0.3">
      <c r="A522">
        <v>521</v>
      </c>
      <c r="B522" t="s">
        <v>26</v>
      </c>
      <c r="C522" t="s">
        <v>1067</v>
      </c>
      <c r="D522" t="s">
        <v>1068</v>
      </c>
      <c r="E522" t="s">
        <v>815</v>
      </c>
      <c r="F522" t="s">
        <v>818</v>
      </c>
      <c r="G522" t="s">
        <v>877</v>
      </c>
      <c r="H522" t="s">
        <v>1068</v>
      </c>
      <c r="J522" t="s">
        <v>19</v>
      </c>
      <c r="K522" t="s">
        <v>150</v>
      </c>
      <c r="L522" t="s">
        <v>29</v>
      </c>
      <c r="N522" t="s">
        <v>878</v>
      </c>
      <c r="O522" t="s">
        <v>25</v>
      </c>
      <c r="P522" t="str">
        <f>_xlfn.TEXTBEFORE(_xlfn.TEXTAFTER(Table26[[#This Row],[WBS CODE]], "-"), "-")</f>
        <v>302038609</v>
      </c>
    </row>
    <row r="523" spans="1:16" x14ac:dyDescent="0.3">
      <c r="A523">
        <v>522</v>
      </c>
      <c r="B523" t="s">
        <v>26</v>
      </c>
      <c r="C523" t="s">
        <v>1069</v>
      </c>
      <c r="D523" t="s">
        <v>1070</v>
      </c>
      <c r="E523" t="s">
        <v>815</v>
      </c>
      <c r="F523" t="s">
        <v>818</v>
      </c>
      <c r="G523" t="s">
        <v>880</v>
      </c>
      <c r="H523" t="s">
        <v>1070</v>
      </c>
      <c r="J523" t="s">
        <v>19</v>
      </c>
      <c r="K523" t="s">
        <v>881</v>
      </c>
      <c r="L523" t="s">
        <v>45</v>
      </c>
      <c r="N523" t="s">
        <v>869</v>
      </c>
      <c r="O523" t="s">
        <v>25</v>
      </c>
      <c r="P523" t="str">
        <f>_xlfn.TEXTBEFORE(_xlfn.TEXTAFTER(Table26[[#This Row],[WBS CODE]], "-"), "-")</f>
        <v>302038707</v>
      </c>
    </row>
    <row r="524" spans="1:16" x14ac:dyDescent="0.3">
      <c r="A524">
        <v>523</v>
      </c>
      <c r="B524" t="s">
        <v>26</v>
      </c>
      <c r="C524" t="s">
        <v>1071</v>
      </c>
      <c r="D524" t="s">
        <v>1072</v>
      </c>
      <c r="E524" t="s">
        <v>815</v>
      </c>
      <c r="F524" t="s">
        <v>818</v>
      </c>
      <c r="G524" t="s">
        <v>880</v>
      </c>
      <c r="H524" t="s">
        <v>1072</v>
      </c>
      <c r="J524" t="s">
        <v>19</v>
      </c>
      <c r="K524" t="s">
        <v>881</v>
      </c>
      <c r="L524" t="s">
        <v>36</v>
      </c>
      <c r="N524" t="s">
        <v>869</v>
      </c>
      <c r="O524" t="s">
        <v>25</v>
      </c>
      <c r="P524" t="str">
        <f>_xlfn.TEXTBEFORE(_xlfn.TEXTAFTER(Table26[[#This Row],[WBS CODE]], "-"), "-")</f>
        <v>302038708</v>
      </c>
    </row>
    <row r="525" spans="1:16" x14ac:dyDescent="0.3">
      <c r="A525">
        <v>524</v>
      </c>
      <c r="B525" t="s">
        <v>26</v>
      </c>
      <c r="C525" t="s">
        <v>1073</v>
      </c>
      <c r="D525" t="s">
        <v>1074</v>
      </c>
      <c r="E525" t="s">
        <v>815</v>
      </c>
      <c r="F525" t="s">
        <v>818</v>
      </c>
      <c r="G525" t="s">
        <v>880</v>
      </c>
      <c r="H525" t="s">
        <v>1074</v>
      </c>
      <c r="J525" t="s">
        <v>19</v>
      </c>
      <c r="K525" t="s">
        <v>881</v>
      </c>
      <c r="L525" t="s">
        <v>29</v>
      </c>
      <c r="N525" t="s">
        <v>869</v>
      </c>
      <c r="O525" t="s">
        <v>25</v>
      </c>
      <c r="P525" t="str">
        <f>_xlfn.TEXTBEFORE(_xlfn.TEXTAFTER(Table26[[#This Row],[WBS CODE]], "-"), "-")</f>
        <v>302038709</v>
      </c>
    </row>
    <row r="526" spans="1:16" x14ac:dyDescent="0.3">
      <c r="A526">
        <v>525</v>
      </c>
      <c r="B526" t="s">
        <v>26</v>
      </c>
      <c r="C526" t="s">
        <v>1075</v>
      </c>
      <c r="D526" t="s">
        <v>1076</v>
      </c>
      <c r="E526" t="s">
        <v>815</v>
      </c>
      <c r="F526" t="s">
        <v>818</v>
      </c>
      <c r="G526" t="s">
        <v>883</v>
      </c>
      <c r="H526" t="s">
        <v>1076</v>
      </c>
      <c r="J526" t="s">
        <v>19</v>
      </c>
      <c r="K526" t="s">
        <v>881</v>
      </c>
      <c r="L526" t="s">
        <v>45</v>
      </c>
      <c r="N526" t="s">
        <v>872</v>
      </c>
      <c r="O526" t="s">
        <v>25</v>
      </c>
      <c r="P526" t="str">
        <f>_xlfn.TEXTBEFORE(_xlfn.TEXTAFTER(Table26[[#This Row],[WBS CODE]], "-"), "-")</f>
        <v>302038807</v>
      </c>
    </row>
    <row r="527" spans="1:16" x14ac:dyDescent="0.3">
      <c r="A527">
        <v>526</v>
      </c>
      <c r="B527" t="s">
        <v>26</v>
      </c>
      <c r="C527" t="s">
        <v>1077</v>
      </c>
      <c r="D527" t="s">
        <v>1078</v>
      </c>
      <c r="E527" t="s">
        <v>815</v>
      </c>
      <c r="F527" t="s">
        <v>818</v>
      </c>
      <c r="G527" t="s">
        <v>883</v>
      </c>
      <c r="H527" t="s">
        <v>1078</v>
      </c>
      <c r="J527" t="s">
        <v>19</v>
      </c>
      <c r="K527" t="s">
        <v>881</v>
      </c>
      <c r="L527" t="s">
        <v>36</v>
      </c>
      <c r="N527" t="s">
        <v>872</v>
      </c>
      <c r="O527" t="s">
        <v>25</v>
      </c>
      <c r="P527" t="str">
        <f>_xlfn.TEXTBEFORE(_xlfn.TEXTAFTER(Table26[[#This Row],[WBS CODE]], "-"), "-")</f>
        <v>302038808</v>
      </c>
    </row>
    <row r="528" spans="1:16" x14ac:dyDescent="0.3">
      <c r="A528">
        <v>527</v>
      </c>
      <c r="B528" t="s">
        <v>26</v>
      </c>
      <c r="C528" t="s">
        <v>1079</v>
      </c>
      <c r="D528" t="s">
        <v>1080</v>
      </c>
      <c r="E528" t="s">
        <v>815</v>
      </c>
      <c r="F528" t="s">
        <v>818</v>
      </c>
      <c r="G528" t="s">
        <v>883</v>
      </c>
      <c r="H528" t="s">
        <v>1080</v>
      </c>
      <c r="J528" t="s">
        <v>19</v>
      </c>
      <c r="K528" t="s">
        <v>881</v>
      </c>
      <c r="L528" t="s">
        <v>29</v>
      </c>
      <c r="N528" t="s">
        <v>872</v>
      </c>
      <c r="O528" t="s">
        <v>25</v>
      </c>
      <c r="P528" t="str">
        <f>_xlfn.TEXTBEFORE(_xlfn.TEXTAFTER(Table26[[#This Row],[WBS CODE]], "-"), "-")</f>
        <v>302038809</v>
      </c>
    </row>
    <row r="529" spans="1:16" x14ac:dyDescent="0.3">
      <c r="A529">
        <v>528</v>
      </c>
      <c r="B529" t="s">
        <v>26</v>
      </c>
      <c r="C529" t="s">
        <v>1081</v>
      </c>
      <c r="D529" t="s">
        <v>1082</v>
      </c>
      <c r="E529" t="s">
        <v>815</v>
      </c>
      <c r="F529" t="s">
        <v>818</v>
      </c>
      <c r="G529" t="s">
        <v>885</v>
      </c>
      <c r="H529" t="s">
        <v>1082</v>
      </c>
      <c r="J529" t="s">
        <v>19</v>
      </c>
      <c r="K529" t="s">
        <v>881</v>
      </c>
      <c r="L529" t="s">
        <v>45</v>
      </c>
      <c r="N529" t="s">
        <v>886</v>
      </c>
      <c r="O529" t="s">
        <v>25</v>
      </c>
      <c r="P529" t="str">
        <f>_xlfn.TEXTBEFORE(_xlfn.TEXTAFTER(Table26[[#This Row],[WBS CODE]], "-"), "-")</f>
        <v>302038907</v>
      </c>
    </row>
    <row r="530" spans="1:16" x14ac:dyDescent="0.3">
      <c r="A530">
        <v>529</v>
      </c>
      <c r="B530" t="s">
        <v>26</v>
      </c>
      <c r="C530" t="s">
        <v>1083</v>
      </c>
      <c r="D530" t="s">
        <v>1084</v>
      </c>
      <c r="E530" t="s">
        <v>815</v>
      </c>
      <c r="F530" t="s">
        <v>818</v>
      </c>
      <c r="G530" t="s">
        <v>885</v>
      </c>
      <c r="H530" t="s">
        <v>1084</v>
      </c>
      <c r="J530" t="s">
        <v>19</v>
      </c>
      <c r="K530" t="s">
        <v>881</v>
      </c>
      <c r="L530" t="s">
        <v>36</v>
      </c>
      <c r="N530" t="s">
        <v>886</v>
      </c>
      <c r="O530" t="s">
        <v>25</v>
      </c>
      <c r="P530" t="str">
        <f>_xlfn.TEXTBEFORE(_xlfn.TEXTAFTER(Table26[[#This Row],[WBS CODE]], "-"), "-")</f>
        <v>302038908</v>
      </c>
    </row>
    <row r="531" spans="1:16" x14ac:dyDescent="0.3">
      <c r="A531">
        <v>530</v>
      </c>
      <c r="B531" t="s">
        <v>26</v>
      </c>
      <c r="C531" t="s">
        <v>1085</v>
      </c>
      <c r="D531" t="s">
        <v>1086</v>
      </c>
      <c r="E531" t="s">
        <v>815</v>
      </c>
      <c r="F531" t="s">
        <v>818</v>
      </c>
      <c r="G531" t="s">
        <v>885</v>
      </c>
      <c r="H531" t="s">
        <v>1086</v>
      </c>
      <c r="J531" t="s">
        <v>19</v>
      </c>
      <c r="K531" t="s">
        <v>881</v>
      </c>
      <c r="L531" t="s">
        <v>29</v>
      </c>
      <c r="N531" t="s">
        <v>886</v>
      </c>
      <c r="O531" t="s">
        <v>25</v>
      </c>
      <c r="P531" t="str">
        <f>_xlfn.TEXTBEFORE(_xlfn.TEXTAFTER(Table26[[#This Row],[WBS CODE]], "-"), "-")</f>
        <v>302038909</v>
      </c>
    </row>
    <row r="532" spans="1:16" x14ac:dyDescent="0.3">
      <c r="A532">
        <v>531</v>
      </c>
      <c r="B532" t="s">
        <v>26</v>
      </c>
      <c r="C532" t="s">
        <v>1087</v>
      </c>
      <c r="D532" t="s">
        <v>1088</v>
      </c>
      <c r="E532" t="s">
        <v>815</v>
      </c>
      <c r="F532" t="s">
        <v>818</v>
      </c>
      <c r="G532" t="s">
        <v>888</v>
      </c>
      <c r="H532" t="s">
        <v>1088</v>
      </c>
      <c r="J532" t="s">
        <v>19</v>
      </c>
      <c r="K532" t="s">
        <v>881</v>
      </c>
      <c r="L532" t="s">
        <v>45</v>
      </c>
      <c r="N532" t="s">
        <v>878</v>
      </c>
      <c r="O532" t="s">
        <v>25</v>
      </c>
      <c r="P532" t="str">
        <f>_xlfn.TEXTBEFORE(_xlfn.TEXTAFTER(Table26[[#This Row],[WBS CODE]], "-"), "-")</f>
        <v>302039007</v>
      </c>
    </row>
    <row r="533" spans="1:16" x14ac:dyDescent="0.3">
      <c r="A533">
        <v>532</v>
      </c>
      <c r="B533" t="s">
        <v>26</v>
      </c>
      <c r="C533" t="s">
        <v>1089</v>
      </c>
      <c r="D533" t="s">
        <v>1090</v>
      </c>
      <c r="E533" t="s">
        <v>815</v>
      </c>
      <c r="F533" t="s">
        <v>818</v>
      </c>
      <c r="G533" t="s">
        <v>888</v>
      </c>
      <c r="H533" t="s">
        <v>1090</v>
      </c>
      <c r="J533" t="s">
        <v>19</v>
      </c>
      <c r="K533" t="s">
        <v>881</v>
      </c>
      <c r="L533" t="s">
        <v>36</v>
      </c>
      <c r="N533" t="s">
        <v>878</v>
      </c>
      <c r="O533" t="s">
        <v>25</v>
      </c>
      <c r="P533" t="str">
        <f>_xlfn.TEXTBEFORE(_xlfn.TEXTAFTER(Table26[[#This Row],[WBS CODE]], "-"), "-")</f>
        <v>302039008</v>
      </c>
    </row>
    <row r="534" spans="1:16" x14ac:dyDescent="0.3">
      <c r="A534">
        <v>533</v>
      </c>
      <c r="B534" t="s">
        <v>26</v>
      </c>
      <c r="C534" t="s">
        <v>1091</v>
      </c>
      <c r="D534" t="s">
        <v>1092</v>
      </c>
      <c r="E534" t="s">
        <v>815</v>
      </c>
      <c r="F534" t="s">
        <v>818</v>
      </c>
      <c r="G534" t="s">
        <v>888</v>
      </c>
      <c r="H534" t="s">
        <v>1092</v>
      </c>
      <c r="J534" t="s">
        <v>19</v>
      </c>
      <c r="K534" t="s">
        <v>881</v>
      </c>
      <c r="L534" t="s">
        <v>29</v>
      </c>
      <c r="N534" t="s">
        <v>878</v>
      </c>
      <c r="O534" t="s">
        <v>25</v>
      </c>
      <c r="P534" t="str">
        <f>_xlfn.TEXTBEFORE(_xlfn.TEXTAFTER(Table26[[#This Row],[WBS CODE]], "-"), "-")</f>
        <v>302039009</v>
      </c>
    </row>
    <row r="535" spans="1:16" x14ac:dyDescent="0.3">
      <c r="A535">
        <v>534</v>
      </c>
      <c r="B535" t="s">
        <v>26</v>
      </c>
      <c r="C535" t="s">
        <v>1093</v>
      </c>
      <c r="D535" t="s">
        <v>1094</v>
      </c>
      <c r="E535" t="s">
        <v>815</v>
      </c>
      <c r="F535" t="s">
        <v>818</v>
      </c>
      <c r="G535" t="s">
        <v>890</v>
      </c>
      <c r="H535" t="s">
        <v>1094</v>
      </c>
      <c r="J535" t="s">
        <v>19</v>
      </c>
      <c r="K535" t="s">
        <v>101</v>
      </c>
      <c r="L535" t="s">
        <v>45</v>
      </c>
      <c r="N535" t="s">
        <v>875</v>
      </c>
      <c r="O535" t="s">
        <v>25</v>
      </c>
      <c r="P535" t="str">
        <f>_xlfn.TEXTBEFORE(_xlfn.TEXTAFTER(Table26[[#This Row],[WBS CODE]], "-"), "-")</f>
        <v>302039207</v>
      </c>
    </row>
    <row r="536" spans="1:16" x14ac:dyDescent="0.3">
      <c r="A536">
        <v>535</v>
      </c>
      <c r="B536" t="s">
        <v>26</v>
      </c>
      <c r="C536" t="s">
        <v>1095</v>
      </c>
      <c r="D536" t="s">
        <v>1096</v>
      </c>
      <c r="E536" t="s">
        <v>815</v>
      </c>
      <c r="F536" t="s">
        <v>818</v>
      </c>
      <c r="G536" t="s">
        <v>890</v>
      </c>
      <c r="H536" t="s">
        <v>1096</v>
      </c>
      <c r="J536" t="s">
        <v>19</v>
      </c>
      <c r="K536" t="s">
        <v>101</v>
      </c>
      <c r="L536" t="s">
        <v>29</v>
      </c>
      <c r="N536" t="s">
        <v>875</v>
      </c>
      <c r="O536" t="s">
        <v>25</v>
      </c>
      <c r="P536" t="str">
        <f>_xlfn.TEXTBEFORE(_xlfn.TEXTAFTER(Table26[[#This Row],[WBS CODE]], "-"), "-")</f>
        <v>302039209</v>
      </c>
    </row>
    <row r="537" spans="1:16" x14ac:dyDescent="0.3">
      <c r="A537">
        <v>536</v>
      </c>
      <c r="B537" t="s">
        <v>26</v>
      </c>
      <c r="C537" t="s">
        <v>891</v>
      </c>
      <c r="D537" t="s">
        <v>1097</v>
      </c>
      <c r="E537" t="s">
        <v>815</v>
      </c>
      <c r="F537" t="s">
        <v>818</v>
      </c>
      <c r="G537" t="s">
        <v>892</v>
      </c>
      <c r="H537" t="s">
        <v>1097</v>
      </c>
      <c r="J537" t="s">
        <v>19</v>
      </c>
      <c r="K537" t="s">
        <v>891</v>
      </c>
      <c r="L537" t="s">
        <v>29</v>
      </c>
      <c r="P537" t="str">
        <f>_xlfn.TEXTBEFORE(_xlfn.TEXTAFTER(Table26[[#This Row],[WBS CODE]], "-"), "-")</f>
        <v>302039309</v>
      </c>
    </row>
    <row r="538" spans="1:16" x14ac:dyDescent="0.3">
      <c r="A538">
        <v>537</v>
      </c>
      <c r="B538" t="s">
        <v>26</v>
      </c>
      <c r="C538" t="s">
        <v>1098</v>
      </c>
      <c r="D538" t="s">
        <v>1099</v>
      </c>
      <c r="E538" t="s">
        <v>815</v>
      </c>
      <c r="F538" t="s">
        <v>818</v>
      </c>
      <c r="G538" t="s">
        <v>894</v>
      </c>
      <c r="H538" t="s">
        <v>1099</v>
      </c>
      <c r="J538" t="s">
        <v>19</v>
      </c>
      <c r="K538" t="s">
        <v>881</v>
      </c>
      <c r="L538" t="s">
        <v>45</v>
      </c>
      <c r="N538" t="s">
        <v>875</v>
      </c>
      <c r="O538" t="s">
        <v>25</v>
      </c>
      <c r="P538" t="str">
        <f>_xlfn.TEXTBEFORE(_xlfn.TEXTAFTER(Table26[[#This Row],[WBS CODE]], "-"), "-")</f>
        <v>302039407</v>
      </c>
    </row>
    <row r="539" spans="1:16" x14ac:dyDescent="0.3">
      <c r="A539">
        <v>538</v>
      </c>
      <c r="B539" t="s">
        <v>26</v>
      </c>
      <c r="C539" t="s">
        <v>1100</v>
      </c>
      <c r="D539" t="s">
        <v>1101</v>
      </c>
      <c r="E539" t="s">
        <v>815</v>
      </c>
      <c r="F539" t="s">
        <v>818</v>
      </c>
      <c r="G539" t="s">
        <v>894</v>
      </c>
      <c r="H539" t="s">
        <v>1101</v>
      </c>
      <c r="J539" t="s">
        <v>19</v>
      </c>
      <c r="K539" t="s">
        <v>881</v>
      </c>
      <c r="L539" t="s">
        <v>36</v>
      </c>
      <c r="N539" t="s">
        <v>875</v>
      </c>
      <c r="O539" t="s">
        <v>25</v>
      </c>
      <c r="P539" t="str">
        <f>_xlfn.TEXTBEFORE(_xlfn.TEXTAFTER(Table26[[#This Row],[WBS CODE]], "-"), "-")</f>
        <v>302039408</v>
      </c>
    </row>
    <row r="540" spans="1:16" x14ac:dyDescent="0.3">
      <c r="A540">
        <v>539</v>
      </c>
      <c r="B540" t="s">
        <v>26</v>
      </c>
      <c r="C540" t="s">
        <v>1102</v>
      </c>
      <c r="D540" t="s">
        <v>1103</v>
      </c>
      <c r="E540" t="s">
        <v>815</v>
      </c>
      <c r="F540" t="s">
        <v>818</v>
      </c>
      <c r="G540" t="s">
        <v>894</v>
      </c>
      <c r="H540" t="s">
        <v>1103</v>
      </c>
      <c r="J540" t="s">
        <v>19</v>
      </c>
      <c r="K540" t="s">
        <v>881</v>
      </c>
      <c r="L540" t="s">
        <v>29</v>
      </c>
      <c r="N540" t="s">
        <v>875</v>
      </c>
      <c r="O540" t="s">
        <v>25</v>
      </c>
      <c r="P540" t="str">
        <f>_xlfn.TEXTBEFORE(_xlfn.TEXTAFTER(Table26[[#This Row],[WBS CODE]], "-"), "-")</f>
        <v>302039409</v>
      </c>
    </row>
    <row r="541" spans="1:16" x14ac:dyDescent="0.3">
      <c r="A541">
        <v>540</v>
      </c>
      <c r="B541" t="s">
        <v>26</v>
      </c>
      <c r="C541" t="s">
        <v>819</v>
      </c>
      <c r="D541" t="s">
        <v>1104</v>
      </c>
      <c r="E541" t="s">
        <v>815</v>
      </c>
      <c r="F541" t="s">
        <v>820</v>
      </c>
      <c r="G541" t="s">
        <v>895</v>
      </c>
      <c r="H541" t="s">
        <v>1104</v>
      </c>
      <c r="J541" t="s">
        <v>819</v>
      </c>
      <c r="K541" t="s">
        <v>819</v>
      </c>
      <c r="L541" t="s">
        <v>819</v>
      </c>
      <c r="P541" t="str">
        <f>_xlfn.TEXTBEFORE(_xlfn.TEXTAFTER(Table26[[#This Row],[WBS CODE]], "-"), "-")</f>
        <v>302990115</v>
      </c>
    </row>
    <row r="542" spans="1:16" x14ac:dyDescent="0.3">
      <c r="A542">
        <v>541</v>
      </c>
      <c r="B542" t="s">
        <v>30</v>
      </c>
      <c r="C542" t="s">
        <v>1105</v>
      </c>
      <c r="D542" t="s">
        <v>1106</v>
      </c>
      <c r="E542" t="s">
        <v>815</v>
      </c>
      <c r="F542" t="s">
        <v>816</v>
      </c>
      <c r="G542" t="s">
        <v>822</v>
      </c>
      <c r="H542" t="s">
        <v>897</v>
      </c>
      <c r="I542" t="s">
        <v>1106</v>
      </c>
      <c r="J542" t="s">
        <v>373</v>
      </c>
      <c r="K542" t="s">
        <v>385</v>
      </c>
      <c r="L542" t="s">
        <v>39</v>
      </c>
      <c r="M542" t="s">
        <v>455</v>
      </c>
      <c r="N542" t="s">
        <v>823</v>
      </c>
      <c r="O542" t="s">
        <v>219</v>
      </c>
      <c r="P542" t="str">
        <f>_xlfn.TEXTBEFORE(_xlfn.TEXTAFTER(Table26[[#This Row],[WBS CODE]], "-"), "-")</f>
        <v>30101010160</v>
      </c>
    </row>
    <row r="543" spans="1:16" x14ac:dyDescent="0.3">
      <c r="A543">
        <v>542</v>
      </c>
      <c r="B543" t="s">
        <v>30</v>
      </c>
      <c r="C543" t="s">
        <v>1107</v>
      </c>
      <c r="D543" t="s">
        <v>1108</v>
      </c>
      <c r="E543" t="s">
        <v>815</v>
      </c>
      <c r="F543" t="s">
        <v>816</v>
      </c>
      <c r="G543" t="s">
        <v>822</v>
      </c>
      <c r="H543" t="s">
        <v>899</v>
      </c>
      <c r="I543" t="s">
        <v>1108</v>
      </c>
      <c r="J543" t="s">
        <v>373</v>
      </c>
      <c r="K543" t="s">
        <v>385</v>
      </c>
      <c r="L543" t="s">
        <v>900</v>
      </c>
      <c r="M543" t="s">
        <v>450</v>
      </c>
      <c r="N543" t="s">
        <v>823</v>
      </c>
      <c r="O543" t="s">
        <v>219</v>
      </c>
      <c r="P543" t="str">
        <f>_xlfn.TEXTBEFORE(_xlfn.TEXTAFTER(Table26[[#This Row],[WBS CODE]], "-"), "-")</f>
        <v>30101010204</v>
      </c>
    </row>
    <row r="544" spans="1:16" x14ac:dyDescent="0.3">
      <c r="A544">
        <v>543</v>
      </c>
      <c r="B544" t="s">
        <v>30</v>
      </c>
      <c r="C544" t="s">
        <v>1109</v>
      </c>
      <c r="D544" t="s">
        <v>1110</v>
      </c>
      <c r="E544" t="s">
        <v>815</v>
      </c>
      <c r="F544" t="s">
        <v>816</v>
      </c>
      <c r="G544" t="s">
        <v>822</v>
      </c>
      <c r="H544" t="s">
        <v>899</v>
      </c>
      <c r="I544" t="s">
        <v>1110</v>
      </c>
      <c r="J544" t="s">
        <v>373</v>
      </c>
      <c r="K544" t="s">
        <v>385</v>
      </c>
      <c r="L544" t="s">
        <v>900</v>
      </c>
      <c r="M544" t="s">
        <v>447</v>
      </c>
      <c r="N544" t="s">
        <v>823</v>
      </c>
      <c r="O544" t="s">
        <v>219</v>
      </c>
      <c r="P544" t="str">
        <f>_xlfn.TEXTBEFORE(_xlfn.TEXTAFTER(Table26[[#This Row],[WBS CODE]], "-"), "-")</f>
        <v>30101010205</v>
      </c>
    </row>
    <row r="545" spans="1:16" x14ac:dyDescent="0.3">
      <c r="A545">
        <v>544</v>
      </c>
      <c r="B545" t="s">
        <v>30</v>
      </c>
      <c r="C545" t="s">
        <v>1111</v>
      </c>
      <c r="D545" t="s">
        <v>1112</v>
      </c>
      <c r="E545" t="s">
        <v>815</v>
      </c>
      <c r="F545" t="s">
        <v>816</v>
      </c>
      <c r="G545" t="s">
        <v>822</v>
      </c>
      <c r="H545" t="s">
        <v>899</v>
      </c>
      <c r="I545" t="s">
        <v>1112</v>
      </c>
      <c r="J545" t="s">
        <v>373</v>
      </c>
      <c r="K545" t="s">
        <v>385</v>
      </c>
      <c r="L545" t="s">
        <v>900</v>
      </c>
      <c r="M545" t="s">
        <v>444</v>
      </c>
      <c r="N545" t="s">
        <v>823</v>
      </c>
      <c r="O545" t="s">
        <v>219</v>
      </c>
      <c r="P545" t="str">
        <f>_xlfn.TEXTBEFORE(_xlfn.TEXTAFTER(Table26[[#This Row],[WBS CODE]], "-"), "-")</f>
        <v>30101010207</v>
      </c>
    </row>
    <row r="546" spans="1:16" x14ac:dyDescent="0.3">
      <c r="A546">
        <v>545</v>
      </c>
      <c r="B546" t="s">
        <v>30</v>
      </c>
      <c r="C546" t="s">
        <v>1113</v>
      </c>
      <c r="D546" t="s">
        <v>1114</v>
      </c>
      <c r="E546" t="s">
        <v>815</v>
      </c>
      <c r="F546" t="s">
        <v>816</v>
      </c>
      <c r="G546" t="s">
        <v>822</v>
      </c>
      <c r="H546" t="s">
        <v>899</v>
      </c>
      <c r="I546" t="s">
        <v>1114</v>
      </c>
      <c r="J546" t="s">
        <v>373</v>
      </c>
      <c r="K546" t="s">
        <v>385</v>
      </c>
      <c r="L546" t="s">
        <v>900</v>
      </c>
      <c r="M546" t="s">
        <v>441</v>
      </c>
      <c r="N546" t="s">
        <v>823</v>
      </c>
      <c r="O546" t="s">
        <v>219</v>
      </c>
      <c r="P546" t="str">
        <f>_xlfn.TEXTBEFORE(_xlfn.TEXTAFTER(Table26[[#This Row],[WBS CODE]], "-"), "-")</f>
        <v>30101010208</v>
      </c>
    </row>
    <row r="547" spans="1:16" x14ac:dyDescent="0.3">
      <c r="A547">
        <v>546</v>
      </c>
      <c r="B547" t="s">
        <v>30</v>
      </c>
      <c r="C547" t="s">
        <v>1115</v>
      </c>
      <c r="D547" t="s">
        <v>1116</v>
      </c>
      <c r="E547" t="s">
        <v>815</v>
      </c>
      <c r="F547" t="s">
        <v>816</v>
      </c>
      <c r="G547" t="s">
        <v>822</v>
      </c>
      <c r="H547" t="s">
        <v>899</v>
      </c>
      <c r="I547" t="s">
        <v>1116</v>
      </c>
      <c r="J547" t="s">
        <v>373</v>
      </c>
      <c r="K547" t="s">
        <v>385</v>
      </c>
      <c r="L547" t="s">
        <v>900</v>
      </c>
      <c r="M547" t="s">
        <v>438</v>
      </c>
      <c r="N547" t="s">
        <v>823</v>
      </c>
      <c r="O547" t="s">
        <v>219</v>
      </c>
      <c r="P547" t="str">
        <f>_xlfn.TEXTBEFORE(_xlfn.TEXTAFTER(Table26[[#This Row],[WBS CODE]], "-"), "-")</f>
        <v>30101010209</v>
      </c>
    </row>
    <row r="548" spans="1:16" x14ac:dyDescent="0.3">
      <c r="A548">
        <v>547</v>
      </c>
      <c r="B548" t="s">
        <v>30</v>
      </c>
      <c r="C548" t="s">
        <v>1117</v>
      </c>
      <c r="D548" t="s">
        <v>1118</v>
      </c>
      <c r="E548" t="s">
        <v>815</v>
      </c>
      <c r="F548" t="s">
        <v>816</v>
      </c>
      <c r="G548" t="s">
        <v>822</v>
      </c>
      <c r="H548" t="s">
        <v>899</v>
      </c>
      <c r="I548" t="s">
        <v>1118</v>
      </c>
      <c r="J548" t="s">
        <v>373</v>
      </c>
      <c r="K548" t="s">
        <v>385</v>
      </c>
      <c r="L548" t="s">
        <v>900</v>
      </c>
      <c r="M548" t="s">
        <v>435</v>
      </c>
      <c r="N548" t="s">
        <v>823</v>
      </c>
      <c r="O548" t="s">
        <v>219</v>
      </c>
      <c r="P548" t="str">
        <f>_xlfn.TEXTBEFORE(_xlfn.TEXTAFTER(Table26[[#This Row],[WBS CODE]], "-"), "-")</f>
        <v>30101010210</v>
      </c>
    </row>
    <row r="549" spans="1:16" x14ac:dyDescent="0.3">
      <c r="A549">
        <v>548</v>
      </c>
      <c r="B549" t="s">
        <v>30</v>
      </c>
      <c r="C549" t="s">
        <v>1119</v>
      </c>
      <c r="D549" t="s">
        <v>1120</v>
      </c>
      <c r="E549" t="s">
        <v>815</v>
      </c>
      <c r="F549" t="s">
        <v>816</v>
      </c>
      <c r="G549" t="s">
        <v>822</v>
      </c>
      <c r="H549" t="s">
        <v>899</v>
      </c>
      <c r="I549" t="s">
        <v>1120</v>
      </c>
      <c r="J549" t="s">
        <v>373</v>
      </c>
      <c r="K549" t="s">
        <v>385</v>
      </c>
      <c r="L549" t="s">
        <v>900</v>
      </c>
      <c r="M549" t="s">
        <v>432</v>
      </c>
      <c r="N549" t="s">
        <v>823</v>
      </c>
      <c r="O549" t="s">
        <v>219</v>
      </c>
      <c r="P549" t="str">
        <f>_xlfn.TEXTBEFORE(_xlfn.TEXTAFTER(Table26[[#This Row],[WBS CODE]], "-"), "-")</f>
        <v>30101010211</v>
      </c>
    </row>
    <row r="550" spans="1:16" x14ac:dyDescent="0.3">
      <c r="A550">
        <v>549</v>
      </c>
      <c r="B550" t="s">
        <v>30</v>
      </c>
      <c r="C550" t="s">
        <v>1121</v>
      </c>
      <c r="D550" t="s">
        <v>1122</v>
      </c>
      <c r="E550" t="s">
        <v>815</v>
      </c>
      <c r="F550" t="s">
        <v>816</v>
      </c>
      <c r="G550" t="s">
        <v>822</v>
      </c>
      <c r="H550" t="s">
        <v>899</v>
      </c>
      <c r="I550" t="s">
        <v>1122</v>
      </c>
      <c r="J550" t="s">
        <v>373</v>
      </c>
      <c r="K550" t="s">
        <v>385</v>
      </c>
      <c r="L550" t="s">
        <v>900</v>
      </c>
      <c r="M550" t="s">
        <v>429</v>
      </c>
      <c r="N550" t="s">
        <v>823</v>
      </c>
      <c r="O550" t="s">
        <v>219</v>
      </c>
      <c r="P550" t="str">
        <f>_xlfn.TEXTBEFORE(_xlfn.TEXTAFTER(Table26[[#This Row],[WBS CODE]], "-"), "-")</f>
        <v>30101010212</v>
      </c>
    </row>
    <row r="551" spans="1:16" x14ac:dyDescent="0.3">
      <c r="A551">
        <v>550</v>
      </c>
      <c r="B551" t="s">
        <v>30</v>
      </c>
      <c r="C551" t="s">
        <v>1123</v>
      </c>
      <c r="D551" t="s">
        <v>1124</v>
      </c>
      <c r="E551" t="s">
        <v>815</v>
      </c>
      <c r="F551" t="s">
        <v>816</v>
      </c>
      <c r="G551" t="s">
        <v>822</v>
      </c>
      <c r="H551" t="s">
        <v>899</v>
      </c>
      <c r="I551" t="s">
        <v>1124</v>
      </c>
      <c r="J551" t="s">
        <v>373</v>
      </c>
      <c r="K551" t="s">
        <v>385</v>
      </c>
      <c r="L551" t="s">
        <v>900</v>
      </c>
      <c r="M551" t="s">
        <v>423</v>
      </c>
      <c r="N551" t="s">
        <v>823</v>
      </c>
      <c r="O551" t="s">
        <v>219</v>
      </c>
      <c r="P551" t="str">
        <f>_xlfn.TEXTBEFORE(_xlfn.TEXTAFTER(Table26[[#This Row],[WBS CODE]], "-"), "-")</f>
        <v>30101010213</v>
      </c>
    </row>
    <row r="552" spans="1:16" x14ac:dyDescent="0.3">
      <c r="A552">
        <v>551</v>
      </c>
      <c r="B552" t="s">
        <v>30</v>
      </c>
      <c r="C552" t="s">
        <v>1125</v>
      </c>
      <c r="D552" t="s">
        <v>1126</v>
      </c>
      <c r="E552" t="s">
        <v>815</v>
      </c>
      <c r="F552" t="s">
        <v>816</v>
      </c>
      <c r="G552" t="s">
        <v>822</v>
      </c>
      <c r="H552" t="s">
        <v>899</v>
      </c>
      <c r="I552" t="s">
        <v>1126</v>
      </c>
      <c r="J552" t="s">
        <v>373</v>
      </c>
      <c r="K552" t="s">
        <v>385</v>
      </c>
      <c r="L552" t="s">
        <v>900</v>
      </c>
      <c r="M552" t="s">
        <v>420</v>
      </c>
      <c r="N552" t="s">
        <v>823</v>
      </c>
      <c r="O552" t="s">
        <v>219</v>
      </c>
      <c r="P552" t="str">
        <f>_xlfn.TEXTBEFORE(_xlfn.TEXTAFTER(Table26[[#This Row],[WBS CODE]], "-"), "-")</f>
        <v>30101010214</v>
      </c>
    </row>
    <row r="553" spans="1:16" x14ac:dyDescent="0.3">
      <c r="A553">
        <v>552</v>
      </c>
      <c r="B553" t="s">
        <v>30</v>
      </c>
      <c r="C553" t="s">
        <v>1127</v>
      </c>
      <c r="D553" t="s">
        <v>1128</v>
      </c>
      <c r="E553" t="s">
        <v>815</v>
      </c>
      <c r="F553" t="s">
        <v>816</v>
      </c>
      <c r="G553" t="s">
        <v>822</v>
      </c>
      <c r="H553" t="s">
        <v>899</v>
      </c>
      <c r="I553" t="s">
        <v>1128</v>
      </c>
      <c r="J553" t="s">
        <v>373</v>
      </c>
      <c r="K553" t="s">
        <v>385</v>
      </c>
      <c r="L553" t="s">
        <v>900</v>
      </c>
      <c r="M553" t="s">
        <v>417</v>
      </c>
      <c r="N553" t="s">
        <v>823</v>
      </c>
      <c r="O553" t="s">
        <v>219</v>
      </c>
      <c r="P553" t="str">
        <f>_xlfn.TEXTBEFORE(_xlfn.TEXTAFTER(Table26[[#This Row],[WBS CODE]], "-"), "-")</f>
        <v>30101010215</v>
      </c>
    </row>
    <row r="554" spans="1:16" x14ac:dyDescent="0.3">
      <c r="A554">
        <v>553</v>
      </c>
      <c r="B554" t="s">
        <v>30</v>
      </c>
      <c r="C554" t="s">
        <v>1129</v>
      </c>
      <c r="D554" t="s">
        <v>1130</v>
      </c>
      <c r="E554" t="s">
        <v>815</v>
      </c>
      <c r="F554" t="s">
        <v>816</v>
      </c>
      <c r="G554" t="s">
        <v>822</v>
      </c>
      <c r="H554" t="s">
        <v>899</v>
      </c>
      <c r="I554" t="s">
        <v>1130</v>
      </c>
      <c r="J554" t="s">
        <v>373</v>
      </c>
      <c r="K554" t="s">
        <v>385</v>
      </c>
      <c r="L554" t="s">
        <v>900</v>
      </c>
      <c r="M554" t="s">
        <v>414</v>
      </c>
      <c r="N554" t="s">
        <v>823</v>
      </c>
      <c r="O554" t="s">
        <v>219</v>
      </c>
      <c r="P554" t="str">
        <f>_xlfn.TEXTBEFORE(_xlfn.TEXTAFTER(Table26[[#This Row],[WBS CODE]], "-"), "-")</f>
        <v>30101010216</v>
      </c>
    </row>
    <row r="555" spans="1:16" x14ac:dyDescent="0.3">
      <c r="A555">
        <v>554</v>
      </c>
      <c r="B555" t="s">
        <v>30</v>
      </c>
      <c r="C555" t="s">
        <v>1131</v>
      </c>
      <c r="D555" t="s">
        <v>1132</v>
      </c>
      <c r="E555" t="s">
        <v>815</v>
      </c>
      <c r="F555" t="s">
        <v>816</v>
      </c>
      <c r="G555" t="s">
        <v>822</v>
      </c>
      <c r="H555" t="s">
        <v>899</v>
      </c>
      <c r="I555" t="s">
        <v>1132</v>
      </c>
      <c r="J555" t="s">
        <v>373</v>
      </c>
      <c r="K555" t="s">
        <v>385</v>
      </c>
      <c r="L555" t="s">
        <v>900</v>
      </c>
      <c r="M555" t="s">
        <v>411</v>
      </c>
      <c r="N555" t="s">
        <v>823</v>
      </c>
      <c r="O555" t="s">
        <v>219</v>
      </c>
      <c r="P555" t="str">
        <f>_xlfn.TEXTBEFORE(_xlfn.TEXTAFTER(Table26[[#This Row],[WBS CODE]], "-"), "-")</f>
        <v>30101010217</v>
      </c>
    </row>
    <row r="556" spans="1:16" x14ac:dyDescent="0.3">
      <c r="A556">
        <v>555</v>
      </c>
      <c r="B556" t="s">
        <v>30</v>
      </c>
      <c r="C556" t="s">
        <v>1133</v>
      </c>
      <c r="D556" t="s">
        <v>1134</v>
      </c>
      <c r="E556" t="s">
        <v>815</v>
      </c>
      <c r="F556" t="s">
        <v>816</v>
      </c>
      <c r="G556" t="s">
        <v>822</v>
      </c>
      <c r="H556" t="s">
        <v>899</v>
      </c>
      <c r="I556" t="s">
        <v>1134</v>
      </c>
      <c r="J556" t="s">
        <v>373</v>
      </c>
      <c r="K556" t="s">
        <v>385</v>
      </c>
      <c r="L556" t="s">
        <v>900</v>
      </c>
      <c r="M556" t="s">
        <v>408</v>
      </c>
      <c r="N556" t="s">
        <v>823</v>
      </c>
      <c r="O556" t="s">
        <v>219</v>
      </c>
      <c r="P556" t="str">
        <f>_xlfn.TEXTBEFORE(_xlfn.TEXTAFTER(Table26[[#This Row],[WBS CODE]], "-"), "-")</f>
        <v>30101010220</v>
      </c>
    </row>
    <row r="557" spans="1:16" x14ac:dyDescent="0.3">
      <c r="A557">
        <v>556</v>
      </c>
      <c r="B557" t="s">
        <v>30</v>
      </c>
      <c r="C557" t="s">
        <v>1135</v>
      </c>
      <c r="D557" t="s">
        <v>1136</v>
      </c>
      <c r="E557" t="s">
        <v>815</v>
      </c>
      <c r="F557" t="s">
        <v>816</v>
      </c>
      <c r="G557" t="s">
        <v>822</v>
      </c>
      <c r="H557" t="s">
        <v>899</v>
      </c>
      <c r="I557" t="s">
        <v>1136</v>
      </c>
      <c r="J557" t="s">
        <v>373</v>
      </c>
      <c r="K557" t="s">
        <v>385</v>
      </c>
      <c r="L557" t="s">
        <v>900</v>
      </c>
      <c r="M557" t="s">
        <v>390</v>
      </c>
      <c r="N557" t="s">
        <v>823</v>
      </c>
      <c r="O557" t="s">
        <v>219</v>
      </c>
      <c r="P557" t="str">
        <f>_xlfn.TEXTBEFORE(_xlfn.TEXTAFTER(Table26[[#This Row],[WBS CODE]], "-"), "-")</f>
        <v>30101010224</v>
      </c>
    </row>
    <row r="558" spans="1:16" x14ac:dyDescent="0.3">
      <c r="A558">
        <v>557</v>
      </c>
      <c r="B558" t="s">
        <v>30</v>
      </c>
      <c r="C558" t="s">
        <v>1137</v>
      </c>
      <c r="D558" t="s">
        <v>1138</v>
      </c>
      <c r="E558" t="s">
        <v>815</v>
      </c>
      <c r="F558" t="s">
        <v>816</v>
      </c>
      <c r="G558" t="s">
        <v>822</v>
      </c>
      <c r="H558" t="s">
        <v>899</v>
      </c>
      <c r="I558" t="s">
        <v>1138</v>
      </c>
      <c r="J558" t="s">
        <v>373</v>
      </c>
      <c r="K558" t="s">
        <v>385</v>
      </c>
      <c r="L558" t="s">
        <v>900</v>
      </c>
      <c r="M558" t="s">
        <v>1139</v>
      </c>
      <c r="N558" t="s">
        <v>823</v>
      </c>
      <c r="O558" t="s">
        <v>219</v>
      </c>
      <c r="P558" t="str">
        <f>_xlfn.TEXTBEFORE(_xlfn.TEXTAFTER(Table26[[#This Row],[WBS CODE]], "-"), "-")</f>
        <v>30101010245</v>
      </c>
    </row>
    <row r="559" spans="1:16" x14ac:dyDescent="0.3">
      <c r="A559">
        <v>558</v>
      </c>
      <c r="B559" t="s">
        <v>30</v>
      </c>
      <c r="C559" t="s">
        <v>1140</v>
      </c>
      <c r="D559" t="s">
        <v>1141</v>
      </c>
      <c r="E559" t="s">
        <v>815</v>
      </c>
      <c r="F559" t="s">
        <v>816</v>
      </c>
      <c r="G559" t="s">
        <v>822</v>
      </c>
      <c r="H559" t="s">
        <v>899</v>
      </c>
      <c r="I559" t="s">
        <v>1141</v>
      </c>
      <c r="J559" t="s">
        <v>373</v>
      </c>
      <c r="K559" t="s">
        <v>385</v>
      </c>
      <c r="L559" t="s">
        <v>900</v>
      </c>
      <c r="M559" t="s">
        <v>426</v>
      </c>
      <c r="N559" t="s">
        <v>823</v>
      </c>
      <c r="O559" t="s">
        <v>219</v>
      </c>
      <c r="P559" t="str">
        <f>_xlfn.TEXTBEFORE(_xlfn.TEXTAFTER(Table26[[#This Row],[WBS CODE]], "-"), "-")</f>
        <v>30101010247</v>
      </c>
    </row>
    <row r="560" spans="1:16" x14ac:dyDescent="0.3">
      <c r="A560">
        <v>559</v>
      </c>
      <c r="B560" t="s">
        <v>30</v>
      </c>
      <c r="C560" t="s">
        <v>1142</v>
      </c>
      <c r="D560" t="s">
        <v>1143</v>
      </c>
      <c r="E560" t="s">
        <v>815</v>
      </c>
      <c r="F560" t="s">
        <v>816</v>
      </c>
      <c r="G560" t="s">
        <v>822</v>
      </c>
      <c r="H560" t="s">
        <v>899</v>
      </c>
      <c r="I560" t="s">
        <v>1143</v>
      </c>
      <c r="J560" t="s">
        <v>373</v>
      </c>
      <c r="K560" t="s">
        <v>385</v>
      </c>
      <c r="L560" t="s">
        <v>900</v>
      </c>
      <c r="M560" t="s">
        <v>405</v>
      </c>
      <c r="N560" t="s">
        <v>823</v>
      </c>
      <c r="O560" t="s">
        <v>219</v>
      </c>
      <c r="P560" t="str">
        <f>_xlfn.TEXTBEFORE(_xlfn.TEXTAFTER(Table26[[#This Row],[WBS CODE]], "-"), "-")</f>
        <v>30101010294</v>
      </c>
    </row>
    <row r="561" spans="1:16" x14ac:dyDescent="0.3">
      <c r="A561">
        <v>560</v>
      </c>
      <c r="B561" t="s">
        <v>30</v>
      </c>
      <c r="C561" t="s">
        <v>1144</v>
      </c>
      <c r="D561" t="s">
        <v>1145</v>
      </c>
      <c r="E561" t="s">
        <v>815</v>
      </c>
      <c r="F561" t="s">
        <v>816</v>
      </c>
      <c r="G561" t="s">
        <v>822</v>
      </c>
      <c r="H561" t="s">
        <v>899</v>
      </c>
      <c r="I561" t="s">
        <v>1145</v>
      </c>
      <c r="J561" t="s">
        <v>373</v>
      </c>
      <c r="K561" t="s">
        <v>385</v>
      </c>
      <c r="L561" t="s">
        <v>900</v>
      </c>
      <c r="M561" t="s">
        <v>402</v>
      </c>
      <c r="N561" t="s">
        <v>823</v>
      </c>
      <c r="O561" t="s">
        <v>219</v>
      </c>
      <c r="P561" t="str">
        <f>_xlfn.TEXTBEFORE(_xlfn.TEXTAFTER(Table26[[#This Row],[WBS CODE]], "-"), "-")</f>
        <v>30101010295</v>
      </c>
    </row>
    <row r="562" spans="1:16" x14ac:dyDescent="0.3">
      <c r="A562">
        <v>561</v>
      </c>
      <c r="B562" t="s">
        <v>30</v>
      </c>
      <c r="C562" t="s">
        <v>1146</v>
      </c>
      <c r="D562" t="s">
        <v>1147</v>
      </c>
      <c r="E562" t="s">
        <v>815</v>
      </c>
      <c r="F562" t="s">
        <v>816</v>
      </c>
      <c r="G562" t="s">
        <v>822</v>
      </c>
      <c r="H562" t="s">
        <v>899</v>
      </c>
      <c r="I562" t="s">
        <v>1147</v>
      </c>
      <c r="J562" t="s">
        <v>373</v>
      </c>
      <c r="K562" t="s">
        <v>385</v>
      </c>
      <c r="L562" t="s">
        <v>900</v>
      </c>
      <c r="M562" t="s">
        <v>399</v>
      </c>
      <c r="N562" t="s">
        <v>823</v>
      </c>
      <c r="O562" t="s">
        <v>219</v>
      </c>
      <c r="P562" t="str">
        <f>_xlfn.TEXTBEFORE(_xlfn.TEXTAFTER(Table26[[#This Row],[WBS CODE]], "-"), "-")</f>
        <v>30101010296</v>
      </c>
    </row>
    <row r="563" spans="1:16" x14ac:dyDescent="0.3">
      <c r="A563">
        <v>562</v>
      </c>
      <c r="B563" t="s">
        <v>30</v>
      </c>
      <c r="C563" t="s">
        <v>1148</v>
      </c>
      <c r="D563" t="s">
        <v>1149</v>
      </c>
      <c r="E563" t="s">
        <v>815</v>
      </c>
      <c r="F563" t="s">
        <v>816</v>
      </c>
      <c r="G563" t="s">
        <v>822</v>
      </c>
      <c r="H563" t="s">
        <v>899</v>
      </c>
      <c r="I563" t="s">
        <v>1149</v>
      </c>
      <c r="J563" t="s">
        <v>373</v>
      </c>
      <c r="K563" t="s">
        <v>385</v>
      </c>
      <c r="L563" t="s">
        <v>900</v>
      </c>
      <c r="M563" t="s">
        <v>396</v>
      </c>
      <c r="N563" t="s">
        <v>823</v>
      </c>
      <c r="O563" t="s">
        <v>219</v>
      </c>
      <c r="P563" t="str">
        <f>_xlfn.TEXTBEFORE(_xlfn.TEXTAFTER(Table26[[#This Row],[WBS CODE]], "-"), "-")</f>
        <v>30101010297</v>
      </c>
    </row>
    <row r="564" spans="1:16" x14ac:dyDescent="0.3">
      <c r="A564">
        <v>563</v>
      </c>
      <c r="B564" t="s">
        <v>30</v>
      </c>
      <c r="C564" t="s">
        <v>1150</v>
      </c>
      <c r="D564" t="s">
        <v>1151</v>
      </c>
      <c r="E564" t="s">
        <v>815</v>
      </c>
      <c r="F564" t="s">
        <v>816</v>
      </c>
      <c r="G564" t="s">
        <v>822</v>
      </c>
      <c r="H564" t="s">
        <v>899</v>
      </c>
      <c r="I564" t="s">
        <v>1151</v>
      </c>
      <c r="J564" t="s">
        <v>373</v>
      </c>
      <c r="K564" t="s">
        <v>385</v>
      </c>
      <c r="L564" t="s">
        <v>900</v>
      </c>
      <c r="M564" t="s">
        <v>393</v>
      </c>
      <c r="N564" t="s">
        <v>823</v>
      </c>
      <c r="O564" t="s">
        <v>219</v>
      </c>
      <c r="P564" t="str">
        <f>_xlfn.TEXTBEFORE(_xlfn.TEXTAFTER(Table26[[#This Row],[WBS CODE]], "-"), "-")</f>
        <v>30101010298</v>
      </c>
    </row>
    <row r="565" spans="1:16" x14ac:dyDescent="0.3">
      <c r="A565">
        <v>564</v>
      </c>
      <c r="B565" t="s">
        <v>30</v>
      </c>
      <c r="C565" t="s">
        <v>1152</v>
      </c>
      <c r="D565" t="s">
        <v>1153</v>
      </c>
      <c r="E565" t="s">
        <v>815</v>
      </c>
      <c r="F565" t="s">
        <v>816</v>
      </c>
      <c r="G565" t="s">
        <v>822</v>
      </c>
      <c r="H565" t="s">
        <v>902</v>
      </c>
      <c r="I565" t="s">
        <v>1153</v>
      </c>
      <c r="J565" t="s">
        <v>373</v>
      </c>
      <c r="K565" t="s">
        <v>385</v>
      </c>
      <c r="L565" t="s">
        <v>42</v>
      </c>
      <c r="M565" t="s">
        <v>471</v>
      </c>
      <c r="N565" t="s">
        <v>823</v>
      </c>
      <c r="O565" t="s">
        <v>219</v>
      </c>
      <c r="P565" t="str">
        <f>_xlfn.TEXTBEFORE(_xlfn.TEXTAFTER(Table26[[#This Row],[WBS CODE]], "-"), "-")</f>
        <v>30101016101</v>
      </c>
    </row>
    <row r="566" spans="1:16" x14ac:dyDescent="0.3">
      <c r="A566">
        <v>565</v>
      </c>
      <c r="B566" t="s">
        <v>30</v>
      </c>
      <c r="C566" t="s">
        <v>1154</v>
      </c>
      <c r="D566" t="s">
        <v>1155</v>
      </c>
      <c r="E566" t="s">
        <v>815</v>
      </c>
      <c r="F566" t="s">
        <v>816</v>
      </c>
      <c r="G566" t="s">
        <v>822</v>
      </c>
      <c r="H566" t="s">
        <v>902</v>
      </c>
      <c r="I566" t="s">
        <v>1155</v>
      </c>
      <c r="J566" t="s">
        <v>373</v>
      </c>
      <c r="K566" t="s">
        <v>385</v>
      </c>
      <c r="L566" t="s">
        <v>42</v>
      </c>
      <c r="M566" t="s">
        <v>1156</v>
      </c>
      <c r="N566" t="s">
        <v>823</v>
      </c>
      <c r="O566" t="s">
        <v>219</v>
      </c>
      <c r="P566" t="str">
        <f>_xlfn.TEXTBEFORE(_xlfn.TEXTAFTER(Table26[[#This Row],[WBS CODE]], "-"), "-")</f>
        <v>30101016102</v>
      </c>
    </row>
    <row r="567" spans="1:16" x14ac:dyDescent="0.3">
      <c r="A567">
        <v>566</v>
      </c>
      <c r="B567" t="s">
        <v>30</v>
      </c>
      <c r="C567" t="s">
        <v>1157</v>
      </c>
      <c r="D567" t="s">
        <v>1158</v>
      </c>
      <c r="E567" t="s">
        <v>815</v>
      </c>
      <c r="F567" t="s">
        <v>816</v>
      </c>
      <c r="G567" t="s">
        <v>822</v>
      </c>
      <c r="H567" t="s">
        <v>902</v>
      </c>
      <c r="I567" t="s">
        <v>1158</v>
      </c>
      <c r="J567" t="s">
        <v>373</v>
      </c>
      <c r="K567" t="s">
        <v>385</v>
      </c>
      <c r="L567" t="s">
        <v>42</v>
      </c>
      <c r="M567" t="s">
        <v>466</v>
      </c>
      <c r="N567" t="s">
        <v>823</v>
      </c>
      <c r="O567" t="s">
        <v>219</v>
      </c>
      <c r="P567" t="str">
        <f>_xlfn.TEXTBEFORE(_xlfn.TEXTAFTER(Table26[[#This Row],[WBS CODE]], "-"), "-")</f>
        <v>30101016118</v>
      </c>
    </row>
    <row r="568" spans="1:16" x14ac:dyDescent="0.3">
      <c r="A568">
        <v>567</v>
      </c>
      <c r="B568" t="s">
        <v>30</v>
      </c>
      <c r="C568" t="s">
        <v>1159</v>
      </c>
      <c r="D568" t="s">
        <v>1160</v>
      </c>
      <c r="E568" t="s">
        <v>815</v>
      </c>
      <c r="F568" t="s">
        <v>816</v>
      </c>
      <c r="G568" t="s">
        <v>822</v>
      </c>
      <c r="H568" t="s">
        <v>902</v>
      </c>
      <c r="I568" t="s">
        <v>1160</v>
      </c>
      <c r="J568" t="s">
        <v>373</v>
      </c>
      <c r="K568" t="s">
        <v>385</v>
      </c>
      <c r="L568" t="s">
        <v>42</v>
      </c>
      <c r="M568" t="s">
        <v>460</v>
      </c>
      <c r="N568" t="s">
        <v>823</v>
      </c>
      <c r="O568" t="s">
        <v>219</v>
      </c>
      <c r="P568" t="str">
        <f>_xlfn.TEXTBEFORE(_xlfn.TEXTAFTER(Table26[[#This Row],[WBS CODE]], "-"), "-")</f>
        <v>30101016162</v>
      </c>
    </row>
    <row r="569" spans="1:16" x14ac:dyDescent="0.3">
      <c r="A569">
        <v>568</v>
      </c>
      <c r="B569" t="s">
        <v>30</v>
      </c>
      <c r="C569" t="s">
        <v>1161</v>
      </c>
      <c r="D569" t="s">
        <v>1162</v>
      </c>
      <c r="E569" t="s">
        <v>815</v>
      </c>
      <c r="F569" t="s">
        <v>816</v>
      </c>
      <c r="G569" t="s">
        <v>822</v>
      </c>
      <c r="H569" t="s">
        <v>902</v>
      </c>
      <c r="I569" t="s">
        <v>1162</v>
      </c>
      <c r="J569" t="s">
        <v>373</v>
      </c>
      <c r="K569" t="s">
        <v>385</v>
      </c>
      <c r="L569" t="s">
        <v>42</v>
      </c>
      <c r="M569" t="s">
        <v>463</v>
      </c>
      <c r="N569" t="s">
        <v>823</v>
      </c>
      <c r="O569" t="s">
        <v>219</v>
      </c>
      <c r="P569" t="str">
        <f>_xlfn.TEXTBEFORE(_xlfn.TEXTAFTER(Table26[[#This Row],[WBS CODE]], "-"), "-")</f>
        <v>30101016193</v>
      </c>
    </row>
    <row r="570" spans="1:16" x14ac:dyDescent="0.3">
      <c r="A570">
        <v>569</v>
      </c>
      <c r="B570" t="s">
        <v>30</v>
      </c>
      <c r="C570" t="s">
        <v>1163</v>
      </c>
      <c r="D570" t="s">
        <v>1164</v>
      </c>
      <c r="E570" t="s">
        <v>815</v>
      </c>
      <c r="F570" t="s">
        <v>816</v>
      </c>
      <c r="G570" t="s">
        <v>825</v>
      </c>
      <c r="H570" t="s">
        <v>904</v>
      </c>
      <c r="I570" t="s">
        <v>1164</v>
      </c>
      <c r="J570" t="s">
        <v>373</v>
      </c>
      <c r="K570" t="s">
        <v>385</v>
      </c>
      <c r="L570" t="s">
        <v>39</v>
      </c>
      <c r="M570" t="s">
        <v>455</v>
      </c>
      <c r="N570" t="s">
        <v>826</v>
      </c>
      <c r="O570" t="s">
        <v>219</v>
      </c>
      <c r="P570" t="str">
        <f>_xlfn.TEXTBEFORE(_xlfn.TEXTAFTER(Table26[[#This Row],[WBS CODE]], "-"), "-")</f>
        <v>30101020160</v>
      </c>
    </row>
    <row r="571" spans="1:16" x14ac:dyDescent="0.3">
      <c r="A571">
        <v>570</v>
      </c>
      <c r="B571" t="s">
        <v>30</v>
      </c>
      <c r="C571" t="s">
        <v>1165</v>
      </c>
      <c r="D571" t="s">
        <v>1166</v>
      </c>
      <c r="E571" t="s">
        <v>815</v>
      </c>
      <c r="F571" t="s">
        <v>816</v>
      </c>
      <c r="G571" t="s">
        <v>825</v>
      </c>
      <c r="H571" t="s">
        <v>907</v>
      </c>
      <c r="I571" t="s">
        <v>1166</v>
      </c>
      <c r="J571" t="s">
        <v>373</v>
      </c>
      <c r="K571" t="s">
        <v>385</v>
      </c>
      <c r="L571" t="s">
        <v>900</v>
      </c>
      <c r="M571" t="s">
        <v>450</v>
      </c>
      <c r="N571" t="s">
        <v>826</v>
      </c>
      <c r="O571" t="s">
        <v>219</v>
      </c>
      <c r="P571" t="str">
        <f>_xlfn.TEXTBEFORE(_xlfn.TEXTAFTER(Table26[[#This Row],[WBS CODE]], "-"), "-")</f>
        <v>30101020204</v>
      </c>
    </row>
    <row r="572" spans="1:16" x14ac:dyDescent="0.3">
      <c r="A572">
        <v>571</v>
      </c>
      <c r="B572" t="s">
        <v>30</v>
      </c>
      <c r="C572" t="s">
        <v>1167</v>
      </c>
      <c r="D572" t="s">
        <v>1168</v>
      </c>
      <c r="E572" t="s">
        <v>815</v>
      </c>
      <c r="F572" t="s">
        <v>816</v>
      </c>
      <c r="G572" t="s">
        <v>825</v>
      </c>
      <c r="H572" t="s">
        <v>907</v>
      </c>
      <c r="I572" t="s">
        <v>1168</v>
      </c>
      <c r="J572" t="s">
        <v>373</v>
      </c>
      <c r="K572" t="s">
        <v>385</v>
      </c>
      <c r="L572" t="s">
        <v>900</v>
      </c>
      <c r="M572" t="s">
        <v>447</v>
      </c>
      <c r="N572" t="s">
        <v>826</v>
      </c>
      <c r="O572" t="s">
        <v>219</v>
      </c>
      <c r="P572" t="str">
        <f>_xlfn.TEXTBEFORE(_xlfn.TEXTAFTER(Table26[[#This Row],[WBS CODE]], "-"), "-")</f>
        <v>30101020205</v>
      </c>
    </row>
    <row r="573" spans="1:16" x14ac:dyDescent="0.3">
      <c r="A573">
        <v>572</v>
      </c>
      <c r="B573" t="s">
        <v>30</v>
      </c>
      <c r="C573" t="s">
        <v>1169</v>
      </c>
      <c r="D573" t="s">
        <v>1170</v>
      </c>
      <c r="E573" t="s">
        <v>815</v>
      </c>
      <c r="F573" t="s">
        <v>816</v>
      </c>
      <c r="G573" t="s">
        <v>825</v>
      </c>
      <c r="H573" t="s">
        <v>907</v>
      </c>
      <c r="I573" t="s">
        <v>1170</v>
      </c>
      <c r="J573" t="s">
        <v>373</v>
      </c>
      <c r="K573" t="s">
        <v>385</v>
      </c>
      <c r="L573" t="s">
        <v>900</v>
      </c>
      <c r="M573" t="s">
        <v>444</v>
      </c>
      <c r="N573" t="s">
        <v>826</v>
      </c>
      <c r="O573" t="s">
        <v>219</v>
      </c>
      <c r="P573" t="str">
        <f>_xlfn.TEXTBEFORE(_xlfn.TEXTAFTER(Table26[[#This Row],[WBS CODE]], "-"), "-")</f>
        <v>30101020207</v>
      </c>
    </row>
    <row r="574" spans="1:16" x14ac:dyDescent="0.3">
      <c r="A574">
        <v>573</v>
      </c>
      <c r="B574" t="s">
        <v>30</v>
      </c>
      <c r="C574" t="s">
        <v>1171</v>
      </c>
      <c r="D574" t="s">
        <v>1172</v>
      </c>
      <c r="E574" t="s">
        <v>815</v>
      </c>
      <c r="F574" t="s">
        <v>816</v>
      </c>
      <c r="G574" t="s">
        <v>825</v>
      </c>
      <c r="H574" t="s">
        <v>907</v>
      </c>
      <c r="I574" t="s">
        <v>1172</v>
      </c>
      <c r="J574" t="s">
        <v>373</v>
      </c>
      <c r="K574" t="s">
        <v>385</v>
      </c>
      <c r="L574" t="s">
        <v>900</v>
      </c>
      <c r="M574" t="s">
        <v>441</v>
      </c>
      <c r="N574" t="s">
        <v>826</v>
      </c>
      <c r="O574" t="s">
        <v>219</v>
      </c>
      <c r="P574" t="str">
        <f>_xlfn.TEXTBEFORE(_xlfn.TEXTAFTER(Table26[[#This Row],[WBS CODE]], "-"), "-")</f>
        <v>30101020208</v>
      </c>
    </row>
    <row r="575" spans="1:16" x14ac:dyDescent="0.3">
      <c r="A575">
        <v>574</v>
      </c>
      <c r="B575" t="s">
        <v>30</v>
      </c>
      <c r="C575" t="s">
        <v>1173</v>
      </c>
      <c r="D575" t="s">
        <v>1174</v>
      </c>
      <c r="E575" t="s">
        <v>815</v>
      </c>
      <c r="F575" t="s">
        <v>816</v>
      </c>
      <c r="G575" t="s">
        <v>825</v>
      </c>
      <c r="H575" t="s">
        <v>907</v>
      </c>
      <c r="I575" t="s">
        <v>1174</v>
      </c>
      <c r="J575" t="s">
        <v>373</v>
      </c>
      <c r="K575" t="s">
        <v>385</v>
      </c>
      <c r="L575" t="s">
        <v>900</v>
      </c>
      <c r="M575" t="s">
        <v>438</v>
      </c>
      <c r="N575" t="s">
        <v>826</v>
      </c>
      <c r="O575" t="s">
        <v>219</v>
      </c>
      <c r="P575" t="str">
        <f>_xlfn.TEXTBEFORE(_xlfn.TEXTAFTER(Table26[[#This Row],[WBS CODE]], "-"), "-")</f>
        <v>30101020209</v>
      </c>
    </row>
    <row r="576" spans="1:16" x14ac:dyDescent="0.3">
      <c r="A576">
        <v>575</v>
      </c>
      <c r="B576" t="s">
        <v>30</v>
      </c>
      <c r="C576" t="s">
        <v>1175</v>
      </c>
      <c r="D576" t="s">
        <v>1176</v>
      </c>
      <c r="E576" t="s">
        <v>815</v>
      </c>
      <c r="F576" t="s">
        <v>816</v>
      </c>
      <c r="G576" t="s">
        <v>825</v>
      </c>
      <c r="H576" t="s">
        <v>907</v>
      </c>
      <c r="I576" t="s">
        <v>1176</v>
      </c>
      <c r="J576" t="s">
        <v>373</v>
      </c>
      <c r="K576" t="s">
        <v>385</v>
      </c>
      <c r="L576" t="s">
        <v>900</v>
      </c>
      <c r="M576" t="s">
        <v>435</v>
      </c>
      <c r="N576" t="s">
        <v>826</v>
      </c>
      <c r="O576" t="s">
        <v>219</v>
      </c>
      <c r="P576" t="str">
        <f>_xlfn.TEXTBEFORE(_xlfn.TEXTAFTER(Table26[[#This Row],[WBS CODE]], "-"), "-")</f>
        <v>30101020210</v>
      </c>
    </row>
    <row r="577" spans="1:16" x14ac:dyDescent="0.3">
      <c r="A577">
        <v>576</v>
      </c>
      <c r="B577" t="s">
        <v>30</v>
      </c>
      <c r="C577" t="s">
        <v>1177</v>
      </c>
      <c r="D577" t="s">
        <v>1178</v>
      </c>
      <c r="E577" t="s">
        <v>815</v>
      </c>
      <c r="F577" t="s">
        <v>816</v>
      </c>
      <c r="G577" t="s">
        <v>825</v>
      </c>
      <c r="H577" t="s">
        <v>907</v>
      </c>
      <c r="I577" t="s">
        <v>1178</v>
      </c>
      <c r="J577" t="s">
        <v>373</v>
      </c>
      <c r="K577" t="s">
        <v>385</v>
      </c>
      <c r="L577" t="s">
        <v>900</v>
      </c>
      <c r="M577" t="s">
        <v>432</v>
      </c>
      <c r="N577" t="s">
        <v>826</v>
      </c>
      <c r="O577" t="s">
        <v>219</v>
      </c>
      <c r="P577" t="str">
        <f>_xlfn.TEXTBEFORE(_xlfn.TEXTAFTER(Table26[[#This Row],[WBS CODE]], "-"), "-")</f>
        <v>30101020211</v>
      </c>
    </row>
    <row r="578" spans="1:16" x14ac:dyDescent="0.3">
      <c r="A578">
        <v>577</v>
      </c>
      <c r="B578" t="s">
        <v>30</v>
      </c>
      <c r="C578" t="s">
        <v>1179</v>
      </c>
      <c r="D578" t="s">
        <v>1180</v>
      </c>
      <c r="E578" t="s">
        <v>815</v>
      </c>
      <c r="F578" t="s">
        <v>816</v>
      </c>
      <c r="G578" t="s">
        <v>825</v>
      </c>
      <c r="H578" t="s">
        <v>907</v>
      </c>
      <c r="I578" t="s">
        <v>1180</v>
      </c>
      <c r="J578" t="s">
        <v>373</v>
      </c>
      <c r="K578" t="s">
        <v>385</v>
      </c>
      <c r="L578" t="s">
        <v>900</v>
      </c>
      <c r="M578" t="s">
        <v>429</v>
      </c>
      <c r="N578" t="s">
        <v>826</v>
      </c>
      <c r="O578" t="s">
        <v>219</v>
      </c>
      <c r="P578" t="str">
        <f>_xlfn.TEXTBEFORE(_xlfn.TEXTAFTER(Table26[[#This Row],[WBS CODE]], "-"), "-")</f>
        <v>30101020212</v>
      </c>
    </row>
    <row r="579" spans="1:16" x14ac:dyDescent="0.3">
      <c r="A579">
        <v>578</v>
      </c>
      <c r="B579" t="s">
        <v>30</v>
      </c>
      <c r="C579" t="s">
        <v>1181</v>
      </c>
      <c r="D579" t="s">
        <v>1182</v>
      </c>
      <c r="E579" t="s">
        <v>815</v>
      </c>
      <c r="F579" t="s">
        <v>816</v>
      </c>
      <c r="G579" t="s">
        <v>825</v>
      </c>
      <c r="H579" t="s">
        <v>907</v>
      </c>
      <c r="I579" t="s">
        <v>1182</v>
      </c>
      <c r="J579" t="s">
        <v>373</v>
      </c>
      <c r="K579" t="s">
        <v>385</v>
      </c>
      <c r="L579" t="s">
        <v>900</v>
      </c>
      <c r="M579" t="s">
        <v>423</v>
      </c>
      <c r="N579" t="s">
        <v>826</v>
      </c>
      <c r="O579" t="s">
        <v>219</v>
      </c>
      <c r="P579" t="str">
        <f>_xlfn.TEXTBEFORE(_xlfn.TEXTAFTER(Table26[[#This Row],[WBS CODE]], "-"), "-")</f>
        <v>30101020213</v>
      </c>
    </row>
    <row r="580" spans="1:16" x14ac:dyDescent="0.3">
      <c r="A580">
        <v>579</v>
      </c>
      <c r="B580" t="s">
        <v>30</v>
      </c>
      <c r="C580" t="s">
        <v>1183</v>
      </c>
      <c r="D580" t="s">
        <v>1184</v>
      </c>
      <c r="E580" t="s">
        <v>815</v>
      </c>
      <c r="F580" t="s">
        <v>816</v>
      </c>
      <c r="G580" t="s">
        <v>825</v>
      </c>
      <c r="H580" t="s">
        <v>907</v>
      </c>
      <c r="I580" t="s">
        <v>1184</v>
      </c>
      <c r="J580" t="s">
        <v>373</v>
      </c>
      <c r="K580" t="s">
        <v>385</v>
      </c>
      <c r="L580" t="s">
        <v>900</v>
      </c>
      <c r="M580" t="s">
        <v>420</v>
      </c>
      <c r="N580" t="s">
        <v>826</v>
      </c>
      <c r="O580" t="s">
        <v>219</v>
      </c>
      <c r="P580" t="str">
        <f>_xlfn.TEXTBEFORE(_xlfn.TEXTAFTER(Table26[[#This Row],[WBS CODE]], "-"), "-")</f>
        <v>30101020214</v>
      </c>
    </row>
    <row r="581" spans="1:16" x14ac:dyDescent="0.3">
      <c r="A581">
        <v>580</v>
      </c>
      <c r="B581" t="s">
        <v>30</v>
      </c>
      <c r="C581" t="s">
        <v>1185</v>
      </c>
      <c r="D581" t="s">
        <v>1186</v>
      </c>
      <c r="E581" t="s">
        <v>815</v>
      </c>
      <c r="F581" t="s">
        <v>816</v>
      </c>
      <c r="G581" t="s">
        <v>825</v>
      </c>
      <c r="H581" t="s">
        <v>907</v>
      </c>
      <c r="I581" t="s">
        <v>1186</v>
      </c>
      <c r="J581" t="s">
        <v>373</v>
      </c>
      <c r="K581" t="s">
        <v>385</v>
      </c>
      <c r="L581" t="s">
        <v>900</v>
      </c>
      <c r="M581" t="s">
        <v>417</v>
      </c>
      <c r="N581" t="s">
        <v>826</v>
      </c>
      <c r="O581" t="s">
        <v>219</v>
      </c>
      <c r="P581" t="str">
        <f>_xlfn.TEXTBEFORE(_xlfn.TEXTAFTER(Table26[[#This Row],[WBS CODE]], "-"), "-")</f>
        <v>30101020215</v>
      </c>
    </row>
    <row r="582" spans="1:16" x14ac:dyDescent="0.3">
      <c r="A582">
        <v>581</v>
      </c>
      <c r="B582" t="s">
        <v>30</v>
      </c>
      <c r="C582" t="s">
        <v>1187</v>
      </c>
      <c r="D582" t="s">
        <v>1188</v>
      </c>
      <c r="E582" t="s">
        <v>815</v>
      </c>
      <c r="F582" t="s">
        <v>816</v>
      </c>
      <c r="G582" t="s">
        <v>825</v>
      </c>
      <c r="H582" t="s">
        <v>907</v>
      </c>
      <c r="I582" t="s">
        <v>1188</v>
      </c>
      <c r="J582" t="s">
        <v>373</v>
      </c>
      <c r="K582" t="s">
        <v>385</v>
      </c>
      <c r="L582" t="s">
        <v>900</v>
      </c>
      <c r="M582" t="s">
        <v>414</v>
      </c>
      <c r="N582" t="s">
        <v>826</v>
      </c>
      <c r="O582" t="s">
        <v>219</v>
      </c>
      <c r="P582" t="str">
        <f>_xlfn.TEXTBEFORE(_xlfn.TEXTAFTER(Table26[[#This Row],[WBS CODE]], "-"), "-")</f>
        <v>30101020216</v>
      </c>
    </row>
    <row r="583" spans="1:16" x14ac:dyDescent="0.3">
      <c r="A583">
        <v>582</v>
      </c>
      <c r="B583" t="s">
        <v>30</v>
      </c>
      <c r="C583" t="s">
        <v>1189</v>
      </c>
      <c r="D583" t="s">
        <v>1190</v>
      </c>
      <c r="E583" t="s">
        <v>815</v>
      </c>
      <c r="F583" t="s">
        <v>816</v>
      </c>
      <c r="G583" t="s">
        <v>825</v>
      </c>
      <c r="H583" t="s">
        <v>907</v>
      </c>
      <c r="I583" t="s">
        <v>1190</v>
      </c>
      <c r="J583" t="s">
        <v>373</v>
      </c>
      <c r="K583" t="s">
        <v>385</v>
      </c>
      <c r="L583" t="s">
        <v>900</v>
      </c>
      <c r="M583" t="s">
        <v>411</v>
      </c>
      <c r="N583" t="s">
        <v>826</v>
      </c>
      <c r="O583" t="s">
        <v>219</v>
      </c>
      <c r="P583" t="str">
        <f>_xlfn.TEXTBEFORE(_xlfn.TEXTAFTER(Table26[[#This Row],[WBS CODE]], "-"), "-")</f>
        <v>30101020217</v>
      </c>
    </row>
    <row r="584" spans="1:16" x14ac:dyDescent="0.3">
      <c r="A584">
        <v>583</v>
      </c>
      <c r="B584" t="s">
        <v>30</v>
      </c>
      <c r="C584" t="s">
        <v>1191</v>
      </c>
      <c r="D584" t="s">
        <v>1192</v>
      </c>
      <c r="E584" t="s">
        <v>815</v>
      </c>
      <c r="F584" t="s">
        <v>816</v>
      </c>
      <c r="G584" t="s">
        <v>825</v>
      </c>
      <c r="H584" t="s">
        <v>907</v>
      </c>
      <c r="I584" t="s">
        <v>1192</v>
      </c>
      <c r="J584" t="s">
        <v>373</v>
      </c>
      <c r="K584" t="s">
        <v>385</v>
      </c>
      <c r="L584" t="s">
        <v>900</v>
      </c>
      <c r="M584" t="s">
        <v>408</v>
      </c>
      <c r="N584" t="s">
        <v>826</v>
      </c>
      <c r="O584" t="s">
        <v>219</v>
      </c>
      <c r="P584" t="str">
        <f>_xlfn.TEXTBEFORE(_xlfn.TEXTAFTER(Table26[[#This Row],[WBS CODE]], "-"), "-")</f>
        <v>30101020220</v>
      </c>
    </row>
    <row r="585" spans="1:16" x14ac:dyDescent="0.3">
      <c r="A585">
        <v>584</v>
      </c>
      <c r="B585" t="s">
        <v>30</v>
      </c>
      <c r="C585" t="s">
        <v>1193</v>
      </c>
      <c r="D585" t="s">
        <v>1194</v>
      </c>
      <c r="E585" t="s">
        <v>815</v>
      </c>
      <c r="F585" t="s">
        <v>816</v>
      </c>
      <c r="G585" t="s">
        <v>825</v>
      </c>
      <c r="H585" t="s">
        <v>907</v>
      </c>
      <c r="I585" t="s">
        <v>1194</v>
      </c>
      <c r="J585" t="s">
        <v>373</v>
      </c>
      <c r="K585" t="s">
        <v>385</v>
      </c>
      <c r="L585" t="s">
        <v>900</v>
      </c>
      <c r="M585" t="s">
        <v>390</v>
      </c>
      <c r="N585" t="s">
        <v>826</v>
      </c>
      <c r="O585" t="s">
        <v>219</v>
      </c>
      <c r="P585" t="str">
        <f>_xlfn.TEXTBEFORE(_xlfn.TEXTAFTER(Table26[[#This Row],[WBS CODE]], "-"), "-")</f>
        <v>30101020224</v>
      </c>
    </row>
    <row r="586" spans="1:16" x14ac:dyDescent="0.3">
      <c r="A586">
        <v>585</v>
      </c>
      <c r="B586" t="s">
        <v>30</v>
      </c>
      <c r="C586" t="s">
        <v>1195</v>
      </c>
      <c r="D586" t="s">
        <v>1196</v>
      </c>
      <c r="E586" t="s">
        <v>815</v>
      </c>
      <c r="F586" t="s">
        <v>816</v>
      </c>
      <c r="G586" t="s">
        <v>825</v>
      </c>
      <c r="H586" t="s">
        <v>907</v>
      </c>
      <c r="I586" t="s">
        <v>1196</v>
      </c>
      <c r="J586" t="s">
        <v>373</v>
      </c>
      <c r="K586" t="s">
        <v>385</v>
      </c>
      <c r="L586" t="s">
        <v>900</v>
      </c>
      <c r="M586" t="s">
        <v>1139</v>
      </c>
      <c r="N586" t="s">
        <v>826</v>
      </c>
      <c r="O586" t="s">
        <v>219</v>
      </c>
      <c r="P586" t="str">
        <f>_xlfn.TEXTBEFORE(_xlfn.TEXTAFTER(Table26[[#This Row],[WBS CODE]], "-"), "-")</f>
        <v>30101020245</v>
      </c>
    </row>
    <row r="587" spans="1:16" x14ac:dyDescent="0.3">
      <c r="A587">
        <v>586</v>
      </c>
      <c r="B587" t="s">
        <v>30</v>
      </c>
      <c r="C587" t="s">
        <v>1197</v>
      </c>
      <c r="D587" t="s">
        <v>1198</v>
      </c>
      <c r="E587" t="s">
        <v>815</v>
      </c>
      <c r="F587" t="s">
        <v>816</v>
      </c>
      <c r="G587" t="s">
        <v>825</v>
      </c>
      <c r="H587" t="s">
        <v>907</v>
      </c>
      <c r="I587" t="s">
        <v>1198</v>
      </c>
      <c r="J587" t="s">
        <v>373</v>
      </c>
      <c r="K587" t="s">
        <v>385</v>
      </c>
      <c r="L587" t="s">
        <v>900</v>
      </c>
      <c r="M587" t="s">
        <v>426</v>
      </c>
      <c r="N587" t="s">
        <v>826</v>
      </c>
      <c r="O587" t="s">
        <v>219</v>
      </c>
      <c r="P587" t="str">
        <f>_xlfn.TEXTBEFORE(_xlfn.TEXTAFTER(Table26[[#This Row],[WBS CODE]], "-"), "-")</f>
        <v>30101020247</v>
      </c>
    </row>
    <row r="588" spans="1:16" x14ac:dyDescent="0.3">
      <c r="A588">
        <v>587</v>
      </c>
      <c r="B588" t="s">
        <v>30</v>
      </c>
      <c r="C588" t="s">
        <v>1199</v>
      </c>
      <c r="D588" t="s">
        <v>1200</v>
      </c>
      <c r="E588" t="s">
        <v>815</v>
      </c>
      <c r="F588" t="s">
        <v>816</v>
      </c>
      <c r="G588" t="s">
        <v>825</v>
      </c>
      <c r="H588" t="s">
        <v>907</v>
      </c>
      <c r="I588" t="s">
        <v>1200</v>
      </c>
      <c r="J588" t="s">
        <v>373</v>
      </c>
      <c r="K588" t="s">
        <v>385</v>
      </c>
      <c r="L588" t="s">
        <v>900</v>
      </c>
      <c r="M588" t="s">
        <v>405</v>
      </c>
      <c r="N588" t="s">
        <v>826</v>
      </c>
      <c r="O588" t="s">
        <v>219</v>
      </c>
      <c r="P588" t="str">
        <f>_xlfn.TEXTBEFORE(_xlfn.TEXTAFTER(Table26[[#This Row],[WBS CODE]], "-"), "-")</f>
        <v>30101020294</v>
      </c>
    </row>
    <row r="589" spans="1:16" x14ac:dyDescent="0.3">
      <c r="A589">
        <v>588</v>
      </c>
      <c r="B589" t="s">
        <v>30</v>
      </c>
      <c r="C589" t="s">
        <v>1201</v>
      </c>
      <c r="D589" t="s">
        <v>1202</v>
      </c>
      <c r="E589" t="s">
        <v>815</v>
      </c>
      <c r="F589" t="s">
        <v>816</v>
      </c>
      <c r="G589" t="s">
        <v>825</v>
      </c>
      <c r="H589" t="s">
        <v>907</v>
      </c>
      <c r="I589" t="s">
        <v>1202</v>
      </c>
      <c r="J589" t="s">
        <v>373</v>
      </c>
      <c r="K589" t="s">
        <v>385</v>
      </c>
      <c r="L589" t="s">
        <v>900</v>
      </c>
      <c r="M589" t="s">
        <v>402</v>
      </c>
      <c r="N589" t="s">
        <v>826</v>
      </c>
      <c r="O589" t="s">
        <v>219</v>
      </c>
      <c r="P589" t="str">
        <f>_xlfn.TEXTBEFORE(_xlfn.TEXTAFTER(Table26[[#This Row],[WBS CODE]], "-"), "-")</f>
        <v>30101020295</v>
      </c>
    </row>
    <row r="590" spans="1:16" x14ac:dyDescent="0.3">
      <c r="A590">
        <v>589</v>
      </c>
      <c r="B590" t="s">
        <v>30</v>
      </c>
      <c r="C590" t="s">
        <v>1203</v>
      </c>
      <c r="D590" t="s">
        <v>1204</v>
      </c>
      <c r="E590" t="s">
        <v>815</v>
      </c>
      <c r="F590" t="s">
        <v>816</v>
      </c>
      <c r="G590" t="s">
        <v>825</v>
      </c>
      <c r="H590" t="s">
        <v>907</v>
      </c>
      <c r="I590" t="s">
        <v>1204</v>
      </c>
      <c r="J590" t="s">
        <v>373</v>
      </c>
      <c r="K590" t="s">
        <v>385</v>
      </c>
      <c r="L590" t="s">
        <v>900</v>
      </c>
      <c r="M590" t="s">
        <v>399</v>
      </c>
      <c r="N590" t="s">
        <v>826</v>
      </c>
      <c r="O590" t="s">
        <v>219</v>
      </c>
      <c r="P590" t="str">
        <f>_xlfn.TEXTBEFORE(_xlfn.TEXTAFTER(Table26[[#This Row],[WBS CODE]], "-"), "-")</f>
        <v>30101020296</v>
      </c>
    </row>
    <row r="591" spans="1:16" x14ac:dyDescent="0.3">
      <c r="A591">
        <v>590</v>
      </c>
      <c r="B591" t="s">
        <v>30</v>
      </c>
      <c r="C591" t="s">
        <v>1205</v>
      </c>
      <c r="D591" t="s">
        <v>1206</v>
      </c>
      <c r="E591" t="s">
        <v>815</v>
      </c>
      <c r="F591" t="s">
        <v>816</v>
      </c>
      <c r="G591" t="s">
        <v>825</v>
      </c>
      <c r="H591" t="s">
        <v>907</v>
      </c>
      <c r="I591" t="s">
        <v>1206</v>
      </c>
      <c r="J591" t="s">
        <v>373</v>
      </c>
      <c r="K591" t="s">
        <v>385</v>
      </c>
      <c r="L591" t="s">
        <v>900</v>
      </c>
      <c r="M591" t="s">
        <v>396</v>
      </c>
      <c r="N591" t="s">
        <v>826</v>
      </c>
      <c r="O591" t="s">
        <v>219</v>
      </c>
      <c r="P591" t="str">
        <f>_xlfn.TEXTBEFORE(_xlfn.TEXTAFTER(Table26[[#This Row],[WBS CODE]], "-"), "-")</f>
        <v>30101020297</v>
      </c>
    </row>
    <row r="592" spans="1:16" x14ac:dyDescent="0.3">
      <c r="A592">
        <v>591</v>
      </c>
      <c r="B592" t="s">
        <v>30</v>
      </c>
      <c r="C592" t="s">
        <v>1207</v>
      </c>
      <c r="D592" t="s">
        <v>1208</v>
      </c>
      <c r="E592" t="s">
        <v>815</v>
      </c>
      <c r="F592" t="s">
        <v>816</v>
      </c>
      <c r="G592" t="s">
        <v>825</v>
      </c>
      <c r="H592" t="s">
        <v>907</v>
      </c>
      <c r="I592" t="s">
        <v>1208</v>
      </c>
      <c r="J592" t="s">
        <v>373</v>
      </c>
      <c r="K592" t="s">
        <v>385</v>
      </c>
      <c r="L592" t="s">
        <v>900</v>
      </c>
      <c r="M592" t="s">
        <v>393</v>
      </c>
      <c r="N592" t="s">
        <v>826</v>
      </c>
      <c r="O592" t="s">
        <v>219</v>
      </c>
      <c r="P592" t="str">
        <f>_xlfn.TEXTBEFORE(_xlfn.TEXTAFTER(Table26[[#This Row],[WBS CODE]], "-"), "-")</f>
        <v>30101020298</v>
      </c>
    </row>
    <row r="593" spans="1:16" x14ac:dyDescent="0.3">
      <c r="A593">
        <v>592</v>
      </c>
      <c r="B593" t="s">
        <v>30</v>
      </c>
      <c r="C593" t="s">
        <v>1209</v>
      </c>
      <c r="D593" t="s">
        <v>1210</v>
      </c>
      <c r="E593" t="s">
        <v>815</v>
      </c>
      <c r="F593" t="s">
        <v>816</v>
      </c>
      <c r="G593" t="s">
        <v>825</v>
      </c>
      <c r="H593" t="s">
        <v>909</v>
      </c>
      <c r="I593" t="s">
        <v>1210</v>
      </c>
      <c r="J593" t="s">
        <v>373</v>
      </c>
      <c r="K593" t="s">
        <v>385</v>
      </c>
      <c r="L593" t="s">
        <v>42</v>
      </c>
      <c r="M593" t="s">
        <v>471</v>
      </c>
      <c r="N593" t="s">
        <v>826</v>
      </c>
      <c r="O593" t="s">
        <v>219</v>
      </c>
      <c r="P593" t="str">
        <f>_xlfn.TEXTBEFORE(_xlfn.TEXTAFTER(Table26[[#This Row],[WBS CODE]], "-"), "-")</f>
        <v>30101026101</v>
      </c>
    </row>
    <row r="594" spans="1:16" x14ac:dyDescent="0.3">
      <c r="A594">
        <v>593</v>
      </c>
      <c r="B594" t="s">
        <v>30</v>
      </c>
      <c r="C594" t="s">
        <v>1211</v>
      </c>
      <c r="D594" t="s">
        <v>1212</v>
      </c>
      <c r="E594" t="s">
        <v>815</v>
      </c>
      <c r="F594" t="s">
        <v>816</v>
      </c>
      <c r="G594" t="s">
        <v>825</v>
      </c>
      <c r="H594" t="s">
        <v>909</v>
      </c>
      <c r="I594" t="s">
        <v>1212</v>
      </c>
      <c r="J594" t="s">
        <v>373</v>
      </c>
      <c r="K594" t="s">
        <v>385</v>
      </c>
      <c r="L594" t="s">
        <v>42</v>
      </c>
      <c r="M594" t="s">
        <v>1156</v>
      </c>
      <c r="N594" t="s">
        <v>826</v>
      </c>
      <c r="O594" t="s">
        <v>219</v>
      </c>
      <c r="P594" t="str">
        <f>_xlfn.TEXTBEFORE(_xlfn.TEXTAFTER(Table26[[#This Row],[WBS CODE]], "-"), "-")</f>
        <v>30101026102</v>
      </c>
    </row>
    <row r="595" spans="1:16" x14ac:dyDescent="0.3">
      <c r="A595">
        <v>594</v>
      </c>
      <c r="B595" t="s">
        <v>30</v>
      </c>
      <c r="C595" t="s">
        <v>1213</v>
      </c>
      <c r="D595" t="s">
        <v>1214</v>
      </c>
      <c r="E595" t="s">
        <v>815</v>
      </c>
      <c r="F595" t="s">
        <v>816</v>
      </c>
      <c r="G595" t="s">
        <v>825</v>
      </c>
      <c r="H595" t="s">
        <v>909</v>
      </c>
      <c r="I595" t="s">
        <v>1214</v>
      </c>
      <c r="J595" t="s">
        <v>373</v>
      </c>
      <c r="K595" t="s">
        <v>385</v>
      </c>
      <c r="L595" t="s">
        <v>42</v>
      </c>
      <c r="M595" t="s">
        <v>466</v>
      </c>
      <c r="N595" t="s">
        <v>826</v>
      </c>
      <c r="O595" t="s">
        <v>219</v>
      </c>
      <c r="P595" t="str">
        <f>_xlfn.TEXTBEFORE(_xlfn.TEXTAFTER(Table26[[#This Row],[WBS CODE]], "-"), "-")</f>
        <v>30101026118</v>
      </c>
    </row>
    <row r="596" spans="1:16" x14ac:dyDescent="0.3">
      <c r="A596">
        <v>595</v>
      </c>
      <c r="B596" t="s">
        <v>30</v>
      </c>
      <c r="C596" t="s">
        <v>1215</v>
      </c>
      <c r="D596" t="s">
        <v>1216</v>
      </c>
      <c r="E596" t="s">
        <v>815</v>
      </c>
      <c r="F596" t="s">
        <v>816</v>
      </c>
      <c r="G596" t="s">
        <v>825</v>
      </c>
      <c r="H596" t="s">
        <v>909</v>
      </c>
      <c r="I596" t="s">
        <v>1216</v>
      </c>
      <c r="J596" t="s">
        <v>373</v>
      </c>
      <c r="K596" t="s">
        <v>385</v>
      </c>
      <c r="L596" t="s">
        <v>42</v>
      </c>
      <c r="M596" t="s">
        <v>460</v>
      </c>
      <c r="N596" t="s">
        <v>826</v>
      </c>
      <c r="O596" t="s">
        <v>219</v>
      </c>
      <c r="P596" t="str">
        <f>_xlfn.TEXTBEFORE(_xlfn.TEXTAFTER(Table26[[#This Row],[WBS CODE]], "-"), "-")</f>
        <v>30101026162</v>
      </c>
    </row>
    <row r="597" spans="1:16" x14ac:dyDescent="0.3">
      <c r="A597">
        <v>596</v>
      </c>
      <c r="B597" t="s">
        <v>30</v>
      </c>
      <c r="C597" t="s">
        <v>1217</v>
      </c>
      <c r="D597" t="s">
        <v>1218</v>
      </c>
      <c r="E597" t="s">
        <v>815</v>
      </c>
      <c r="F597" t="s">
        <v>816</v>
      </c>
      <c r="G597" t="s">
        <v>825</v>
      </c>
      <c r="H597" t="s">
        <v>909</v>
      </c>
      <c r="I597" t="s">
        <v>1218</v>
      </c>
      <c r="J597" t="s">
        <v>373</v>
      </c>
      <c r="K597" t="s">
        <v>385</v>
      </c>
      <c r="L597" t="s">
        <v>42</v>
      </c>
      <c r="M597" t="s">
        <v>463</v>
      </c>
      <c r="N597" t="s">
        <v>826</v>
      </c>
      <c r="O597" t="s">
        <v>219</v>
      </c>
      <c r="P597" t="str">
        <f>_xlfn.TEXTBEFORE(_xlfn.TEXTAFTER(Table26[[#This Row],[WBS CODE]], "-"), "-")</f>
        <v>30101026193</v>
      </c>
    </row>
    <row r="598" spans="1:16" x14ac:dyDescent="0.3">
      <c r="A598">
        <v>597</v>
      </c>
      <c r="B598" t="s">
        <v>30</v>
      </c>
      <c r="C598" t="s">
        <v>1219</v>
      </c>
      <c r="D598" t="s">
        <v>1220</v>
      </c>
      <c r="E598" t="s">
        <v>815</v>
      </c>
      <c r="F598" t="s">
        <v>816</v>
      </c>
      <c r="G598" t="s">
        <v>828</v>
      </c>
      <c r="H598" t="s">
        <v>911</v>
      </c>
      <c r="I598" t="s">
        <v>1220</v>
      </c>
      <c r="J598" t="s">
        <v>373</v>
      </c>
      <c r="K598" t="s">
        <v>385</v>
      </c>
      <c r="L598" t="s">
        <v>39</v>
      </c>
      <c r="M598" t="s">
        <v>455</v>
      </c>
      <c r="N598" t="s">
        <v>829</v>
      </c>
      <c r="O598" t="s">
        <v>219</v>
      </c>
      <c r="P598" t="str">
        <f>_xlfn.TEXTBEFORE(_xlfn.TEXTAFTER(Table26[[#This Row],[WBS CODE]], "-"), "-")</f>
        <v>30101030160</v>
      </c>
    </row>
    <row r="599" spans="1:16" x14ac:dyDescent="0.3">
      <c r="A599">
        <v>598</v>
      </c>
      <c r="B599" t="s">
        <v>30</v>
      </c>
      <c r="C599" t="s">
        <v>1221</v>
      </c>
      <c r="D599" t="s">
        <v>1222</v>
      </c>
      <c r="E599" t="s">
        <v>815</v>
      </c>
      <c r="F599" t="s">
        <v>816</v>
      </c>
      <c r="G599" t="s">
        <v>828</v>
      </c>
      <c r="H599" t="s">
        <v>913</v>
      </c>
      <c r="I599" t="s">
        <v>1222</v>
      </c>
      <c r="J599" t="s">
        <v>373</v>
      </c>
      <c r="K599" t="s">
        <v>385</v>
      </c>
      <c r="L599" t="s">
        <v>900</v>
      </c>
      <c r="M599" t="s">
        <v>450</v>
      </c>
      <c r="N599" t="s">
        <v>829</v>
      </c>
      <c r="O599" t="s">
        <v>219</v>
      </c>
      <c r="P599" t="str">
        <f>_xlfn.TEXTBEFORE(_xlfn.TEXTAFTER(Table26[[#This Row],[WBS CODE]], "-"), "-")</f>
        <v>30101030204</v>
      </c>
    </row>
    <row r="600" spans="1:16" x14ac:dyDescent="0.3">
      <c r="A600">
        <v>599</v>
      </c>
      <c r="B600" t="s">
        <v>30</v>
      </c>
      <c r="C600" t="s">
        <v>1223</v>
      </c>
      <c r="D600" t="s">
        <v>1224</v>
      </c>
      <c r="E600" t="s">
        <v>815</v>
      </c>
      <c r="F600" t="s">
        <v>816</v>
      </c>
      <c r="G600" t="s">
        <v>828</v>
      </c>
      <c r="H600" t="s">
        <v>913</v>
      </c>
      <c r="I600" t="s">
        <v>1224</v>
      </c>
      <c r="J600" t="s">
        <v>373</v>
      </c>
      <c r="K600" t="s">
        <v>385</v>
      </c>
      <c r="L600" t="s">
        <v>900</v>
      </c>
      <c r="M600" t="s">
        <v>447</v>
      </c>
      <c r="N600" t="s">
        <v>829</v>
      </c>
      <c r="O600" t="s">
        <v>219</v>
      </c>
      <c r="P600" t="str">
        <f>_xlfn.TEXTBEFORE(_xlfn.TEXTAFTER(Table26[[#This Row],[WBS CODE]], "-"), "-")</f>
        <v>30101030205</v>
      </c>
    </row>
    <row r="601" spans="1:16" x14ac:dyDescent="0.3">
      <c r="A601">
        <v>600</v>
      </c>
      <c r="B601" t="s">
        <v>30</v>
      </c>
      <c r="C601" t="s">
        <v>1225</v>
      </c>
      <c r="D601" t="s">
        <v>1226</v>
      </c>
      <c r="E601" t="s">
        <v>815</v>
      </c>
      <c r="F601" t="s">
        <v>816</v>
      </c>
      <c r="G601" t="s">
        <v>828</v>
      </c>
      <c r="H601" t="s">
        <v>913</v>
      </c>
      <c r="I601" t="s">
        <v>1226</v>
      </c>
      <c r="J601" t="s">
        <v>373</v>
      </c>
      <c r="K601" t="s">
        <v>385</v>
      </c>
      <c r="L601" t="s">
        <v>900</v>
      </c>
      <c r="M601" t="s">
        <v>444</v>
      </c>
      <c r="N601" t="s">
        <v>829</v>
      </c>
      <c r="O601" t="s">
        <v>219</v>
      </c>
      <c r="P601" t="str">
        <f>_xlfn.TEXTBEFORE(_xlfn.TEXTAFTER(Table26[[#This Row],[WBS CODE]], "-"), "-")</f>
        <v>30101030207</v>
      </c>
    </row>
    <row r="602" spans="1:16" x14ac:dyDescent="0.3">
      <c r="A602">
        <v>601</v>
      </c>
      <c r="B602" t="s">
        <v>30</v>
      </c>
      <c r="C602" t="s">
        <v>1227</v>
      </c>
      <c r="D602" t="s">
        <v>1228</v>
      </c>
      <c r="E602" t="s">
        <v>815</v>
      </c>
      <c r="F602" t="s">
        <v>816</v>
      </c>
      <c r="G602" t="s">
        <v>828</v>
      </c>
      <c r="H602" t="s">
        <v>913</v>
      </c>
      <c r="I602" t="s">
        <v>1228</v>
      </c>
      <c r="J602" t="s">
        <v>373</v>
      </c>
      <c r="K602" t="s">
        <v>385</v>
      </c>
      <c r="L602" t="s">
        <v>900</v>
      </c>
      <c r="M602" t="s">
        <v>441</v>
      </c>
      <c r="N602" t="s">
        <v>829</v>
      </c>
      <c r="O602" t="s">
        <v>219</v>
      </c>
      <c r="P602" t="str">
        <f>_xlfn.TEXTBEFORE(_xlfn.TEXTAFTER(Table26[[#This Row],[WBS CODE]], "-"), "-")</f>
        <v>30101030208</v>
      </c>
    </row>
    <row r="603" spans="1:16" x14ac:dyDescent="0.3">
      <c r="A603">
        <v>602</v>
      </c>
      <c r="B603" t="s">
        <v>30</v>
      </c>
      <c r="C603" t="s">
        <v>1229</v>
      </c>
      <c r="D603" t="s">
        <v>1230</v>
      </c>
      <c r="E603" t="s">
        <v>815</v>
      </c>
      <c r="F603" t="s">
        <v>816</v>
      </c>
      <c r="G603" t="s">
        <v>828</v>
      </c>
      <c r="H603" t="s">
        <v>913</v>
      </c>
      <c r="I603" t="s">
        <v>1230</v>
      </c>
      <c r="J603" t="s">
        <v>373</v>
      </c>
      <c r="K603" t="s">
        <v>385</v>
      </c>
      <c r="L603" t="s">
        <v>900</v>
      </c>
      <c r="M603" t="s">
        <v>438</v>
      </c>
      <c r="N603" t="s">
        <v>829</v>
      </c>
      <c r="O603" t="s">
        <v>219</v>
      </c>
      <c r="P603" t="str">
        <f>_xlfn.TEXTBEFORE(_xlfn.TEXTAFTER(Table26[[#This Row],[WBS CODE]], "-"), "-")</f>
        <v>30101030209</v>
      </c>
    </row>
    <row r="604" spans="1:16" x14ac:dyDescent="0.3">
      <c r="A604">
        <v>603</v>
      </c>
      <c r="B604" t="s">
        <v>30</v>
      </c>
      <c r="C604" t="s">
        <v>1231</v>
      </c>
      <c r="D604" t="s">
        <v>1232</v>
      </c>
      <c r="E604" t="s">
        <v>815</v>
      </c>
      <c r="F604" t="s">
        <v>816</v>
      </c>
      <c r="G604" t="s">
        <v>828</v>
      </c>
      <c r="H604" t="s">
        <v>913</v>
      </c>
      <c r="I604" t="s">
        <v>1232</v>
      </c>
      <c r="J604" t="s">
        <v>373</v>
      </c>
      <c r="K604" t="s">
        <v>385</v>
      </c>
      <c r="L604" t="s">
        <v>900</v>
      </c>
      <c r="M604" t="s">
        <v>435</v>
      </c>
      <c r="N604" t="s">
        <v>829</v>
      </c>
      <c r="O604" t="s">
        <v>219</v>
      </c>
      <c r="P604" t="str">
        <f>_xlfn.TEXTBEFORE(_xlfn.TEXTAFTER(Table26[[#This Row],[WBS CODE]], "-"), "-")</f>
        <v>30101030210</v>
      </c>
    </row>
    <row r="605" spans="1:16" x14ac:dyDescent="0.3">
      <c r="A605">
        <v>604</v>
      </c>
      <c r="B605" t="s">
        <v>30</v>
      </c>
      <c r="C605" t="s">
        <v>1233</v>
      </c>
      <c r="D605" t="s">
        <v>1234</v>
      </c>
      <c r="E605" t="s">
        <v>815</v>
      </c>
      <c r="F605" t="s">
        <v>816</v>
      </c>
      <c r="G605" t="s">
        <v>828</v>
      </c>
      <c r="H605" t="s">
        <v>913</v>
      </c>
      <c r="I605" t="s">
        <v>1234</v>
      </c>
      <c r="J605" t="s">
        <v>373</v>
      </c>
      <c r="K605" t="s">
        <v>385</v>
      </c>
      <c r="L605" t="s">
        <v>900</v>
      </c>
      <c r="M605" t="s">
        <v>432</v>
      </c>
      <c r="N605" t="s">
        <v>829</v>
      </c>
      <c r="O605" t="s">
        <v>219</v>
      </c>
      <c r="P605" t="str">
        <f>_xlfn.TEXTBEFORE(_xlfn.TEXTAFTER(Table26[[#This Row],[WBS CODE]], "-"), "-")</f>
        <v>30101030211</v>
      </c>
    </row>
    <row r="606" spans="1:16" x14ac:dyDescent="0.3">
      <c r="A606">
        <v>605</v>
      </c>
      <c r="B606" t="s">
        <v>30</v>
      </c>
      <c r="C606" t="s">
        <v>1235</v>
      </c>
      <c r="D606" t="s">
        <v>1236</v>
      </c>
      <c r="E606" t="s">
        <v>815</v>
      </c>
      <c r="F606" t="s">
        <v>816</v>
      </c>
      <c r="G606" t="s">
        <v>828</v>
      </c>
      <c r="H606" t="s">
        <v>913</v>
      </c>
      <c r="I606" t="s">
        <v>1236</v>
      </c>
      <c r="J606" t="s">
        <v>373</v>
      </c>
      <c r="K606" t="s">
        <v>385</v>
      </c>
      <c r="L606" t="s">
        <v>900</v>
      </c>
      <c r="M606" t="s">
        <v>429</v>
      </c>
      <c r="N606" t="s">
        <v>829</v>
      </c>
      <c r="O606" t="s">
        <v>219</v>
      </c>
      <c r="P606" t="str">
        <f>_xlfn.TEXTBEFORE(_xlfn.TEXTAFTER(Table26[[#This Row],[WBS CODE]], "-"), "-")</f>
        <v>30101030212</v>
      </c>
    </row>
    <row r="607" spans="1:16" x14ac:dyDescent="0.3">
      <c r="A607">
        <v>606</v>
      </c>
      <c r="B607" t="s">
        <v>30</v>
      </c>
      <c r="C607" t="s">
        <v>1237</v>
      </c>
      <c r="D607" t="s">
        <v>1238</v>
      </c>
      <c r="E607" t="s">
        <v>815</v>
      </c>
      <c r="F607" t="s">
        <v>816</v>
      </c>
      <c r="G607" t="s">
        <v>828</v>
      </c>
      <c r="H607" t="s">
        <v>913</v>
      </c>
      <c r="I607" t="s">
        <v>1238</v>
      </c>
      <c r="J607" t="s">
        <v>373</v>
      </c>
      <c r="K607" t="s">
        <v>385</v>
      </c>
      <c r="L607" t="s">
        <v>900</v>
      </c>
      <c r="M607" t="s">
        <v>423</v>
      </c>
      <c r="N607" t="s">
        <v>829</v>
      </c>
      <c r="O607" t="s">
        <v>219</v>
      </c>
      <c r="P607" t="str">
        <f>_xlfn.TEXTBEFORE(_xlfn.TEXTAFTER(Table26[[#This Row],[WBS CODE]], "-"), "-")</f>
        <v>30101030213</v>
      </c>
    </row>
    <row r="608" spans="1:16" x14ac:dyDescent="0.3">
      <c r="A608">
        <v>607</v>
      </c>
      <c r="B608" t="s">
        <v>30</v>
      </c>
      <c r="C608" t="s">
        <v>1239</v>
      </c>
      <c r="D608" t="s">
        <v>1240</v>
      </c>
      <c r="E608" t="s">
        <v>815</v>
      </c>
      <c r="F608" t="s">
        <v>816</v>
      </c>
      <c r="G608" t="s">
        <v>828</v>
      </c>
      <c r="H608" t="s">
        <v>913</v>
      </c>
      <c r="I608" t="s">
        <v>1240</v>
      </c>
      <c r="J608" t="s">
        <v>373</v>
      </c>
      <c r="K608" t="s">
        <v>385</v>
      </c>
      <c r="L608" t="s">
        <v>900</v>
      </c>
      <c r="M608" t="s">
        <v>420</v>
      </c>
      <c r="N608" t="s">
        <v>829</v>
      </c>
      <c r="O608" t="s">
        <v>219</v>
      </c>
      <c r="P608" t="str">
        <f>_xlfn.TEXTBEFORE(_xlfn.TEXTAFTER(Table26[[#This Row],[WBS CODE]], "-"), "-")</f>
        <v>30101030214</v>
      </c>
    </row>
    <row r="609" spans="1:16" x14ac:dyDescent="0.3">
      <c r="A609">
        <v>608</v>
      </c>
      <c r="B609" t="s">
        <v>30</v>
      </c>
      <c r="C609" t="s">
        <v>1241</v>
      </c>
      <c r="D609" t="s">
        <v>1242</v>
      </c>
      <c r="E609" t="s">
        <v>815</v>
      </c>
      <c r="F609" t="s">
        <v>816</v>
      </c>
      <c r="G609" t="s">
        <v>828</v>
      </c>
      <c r="H609" t="s">
        <v>913</v>
      </c>
      <c r="I609" t="s">
        <v>1242</v>
      </c>
      <c r="J609" t="s">
        <v>373</v>
      </c>
      <c r="K609" t="s">
        <v>385</v>
      </c>
      <c r="L609" t="s">
        <v>900</v>
      </c>
      <c r="M609" t="s">
        <v>417</v>
      </c>
      <c r="N609" t="s">
        <v>829</v>
      </c>
      <c r="O609" t="s">
        <v>219</v>
      </c>
      <c r="P609" t="str">
        <f>_xlfn.TEXTBEFORE(_xlfn.TEXTAFTER(Table26[[#This Row],[WBS CODE]], "-"), "-")</f>
        <v>30101030215</v>
      </c>
    </row>
    <row r="610" spans="1:16" x14ac:dyDescent="0.3">
      <c r="A610">
        <v>609</v>
      </c>
      <c r="B610" t="s">
        <v>30</v>
      </c>
      <c r="C610" t="s">
        <v>1243</v>
      </c>
      <c r="D610" t="s">
        <v>1244</v>
      </c>
      <c r="E610" t="s">
        <v>815</v>
      </c>
      <c r="F610" t="s">
        <v>816</v>
      </c>
      <c r="G610" t="s">
        <v>828</v>
      </c>
      <c r="H610" t="s">
        <v>913</v>
      </c>
      <c r="I610" t="s">
        <v>1244</v>
      </c>
      <c r="J610" t="s">
        <v>373</v>
      </c>
      <c r="K610" t="s">
        <v>385</v>
      </c>
      <c r="L610" t="s">
        <v>900</v>
      </c>
      <c r="M610" t="s">
        <v>414</v>
      </c>
      <c r="N610" t="s">
        <v>829</v>
      </c>
      <c r="O610" t="s">
        <v>219</v>
      </c>
      <c r="P610" t="str">
        <f>_xlfn.TEXTBEFORE(_xlfn.TEXTAFTER(Table26[[#This Row],[WBS CODE]], "-"), "-")</f>
        <v>30101030216</v>
      </c>
    </row>
    <row r="611" spans="1:16" x14ac:dyDescent="0.3">
      <c r="A611">
        <v>610</v>
      </c>
      <c r="B611" t="s">
        <v>30</v>
      </c>
      <c r="C611" t="s">
        <v>1245</v>
      </c>
      <c r="D611" t="s">
        <v>1246</v>
      </c>
      <c r="E611" t="s">
        <v>815</v>
      </c>
      <c r="F611" t="s">
        <v>816</v>
      </c>
      <c r="G611" t="s">
        <v>828</v>
      </c>
      <c r="H611" t="s">
        <v>913</v>
      </c>
      <c r="I611" t="s">
        <v>1246</v>
      </c>
      <c r="J611" t="s">
        <v>373</v>
      </c>
      <c r="K611" t="s">
        <v>385</v>
      </c>
      <c r="L611" t="s">
        <v>900</v>
      </c>
      <c r="M611" t="s">
        <v>411</v>
      </c>
      <c r="N611" t="s">
        <v>829</v>
      </c>
      <c r="O611" t="s">
        <v>219</v>
      </c>
      <c r="P611" t="str">
        <f>_xlfn.TEXTBEFORE(_xlfn.TEXTAFTER(Table26[[#This Row],[WBS CODE]], "-"), "-")</f>
        <v>30101030217</v>
      </c>
    </row>
    <row r="612" spans="1:16" x14ac:dyDescent="0.3">
      <c r="A612">
        <v>611</v>
      </c>
      <c r="B612" t="s">
        <v>30</v>
      </c>
      <c r="C612" t="s">
        <v>1247</v>
      </c>
      <c r="D612" t="s">
        <v>1248</v>
      </c>
      <c r="E612" t="s">
        <v>815</v>
      </c>
      <c r="F612" t="s">
        <v>816</v>
      </c>
      <c r="G612" t="s">
        <v>828</v>
      </c>
      <c r="H612" t="s">
        <v>913</v>
      </c>
      <c r="I612" t="s">
        <v>1248</v>
      </c>
      <c r="J612" t="s">
        <v>373</v>
      </c>
      <c r="K612" t="s">
        <v>385</v>
      </c>
      <c r="L612" t="s">
        <v>900</v>
      </c>
      <c r="M612" t="s">
        <v>408</v>
      </c>
      <c r="N612" t="s">
        <v>829</v>
      </c>
      <c r="O612" t="s">
        <v>219</v>
      </c>
      <c r="P612" t="str">
        <f>_xlfn.TEXTBEFORE(_xlfn.TEXTAFTER(Table26[[#This Row],[WBS CODE]], "-"), "-")</f>
        <v>30101030220</v>
      </c>
    </row>
    <row r="613" spans="1:16" x14ac:dyDescent="0.3">
      <c r="A613">
        <v>612</v>
      </c>
      <c r="B613" t="s">
        <v>30</v>
      </c>
      <c r="C613" t="s">
        <v>1249</v>
      </c>
      <c r="D613" t="s">
        <v>1250</v>
      </c>
      <c r="E613" t="s">
        <v>815</v>
      </c>
      <c r="F613" t="s">
        <v>816</v>
      </c>
      <c r="G613" t="s">
        <v>828</v>
      </c>
      <c r="H613" t="s">
        <v>913</v>
      </c>
      <c r="I613" t="s">
        <v>1250</v>
      </c>
      <c r="J613" t="s">
        <v>373</v>
      </c>
      <c r="K613" t="s">
        <v>385</v>
      </c>
      <c r="L613" t="s">
        <v>900</v>
      </c>
      <c r="M613" t="s">
        <v>390</v>
      </c>
      <c r="N613" t="s">
        <v>829</v>
      </c>
      <c r="O613" t="s">
        <v>219</v>
      </c>
      <c r="P613" t="str">
        <f>_xlfn.TEXTBEFORE(_xlfn.TEXTAFTER(Table26[[#This Row],[WBS CODE]], "-"), "-")</f>
        <v>30101030224</v>
      </c>
    </row>
    <row r="614" spans="1:16" x14ac:dyDescent="0.3">
      <c r="A614">
        <v>613</v>
      </c>
      <c r="B614" t="s">
        <v>30</v>
      </c>
      <c r="C614" t="s">
        <v>1251</v>
      </c>
      <c r="D614" t="s">
        <v>1252</v>
      </c>
      <c r="E614" t="s">
        <v>815</v>
      </c>
      <c r="F614" t="s">
        <v>816</v>
      </c>
      <c r="G614" t="s">
        <v>828</v>
      </c>
      <c r="H614" t="s">
        <v>913</v>
      </c>
      <c r="I614" t="s">
        <v>1252</v>
      </c>
      <c r="J614" t="s">
        <v>373</v>
      </c>
      <c r="K614" t="s">
        <v>385</v>
      </c>
      <c r="L614" t="s">
        <v>900</v>
      </c>
      <c r="M614" t="s">
        <v>1139</v>
      </c>
      <c r="N614" t="s">
        <v>829</v>
      </c>
      <c r="O614" t="s">
        <v>219</v>
      </c>
      <c r="P614" t="str">
        <f>_xlfn.TEXTBEFORE(_xlfn.TEXTAFTER(Table26[[#This Row],[WBS CODE]], "-"), "-")</f>
        <v>30101030245</v>
      </c>
    </row>
    <row r="615" spans="1:16" x14ac:dyDescent="0.3">
      <c r="A615">
        <v>614</v>
      </c>
      <c r="B615" t="s">
        <v>30</v>
      </c>
      <c r="C615" t="s">
        <v>1253</v>
      </c>
      <c r="D615" t="s">
        <v>1254</v>
      </c>
      <c r="E615" t="s">
        <v>815</v>
      </c>
      <c r="F615" t="s">
        <v>816</v>
      </c>
      <c r="G615" t="s">
        <v>828</v>
      </c>
      <c r="H615" t="s">
        <v>913</v>
      </c>
      <c r="I615" t="s">
        <v>1254</v>
      </c>
      <c r="J615" t="s">
        <v>373</v>
      </c>
      <c r="K615" t="s">
        <v>385</v>
      </c>
      <c r="L615" t="s">
        <v>900</v>
      </c>
      <c r="M615" t="s">
        <v>426</v>
      </c>
      <c r="N615" t="s">
        <v>829</v>
      </c>
      <c r="O615" t="s">
        <v>219</v>
      </c>
      <c r="P615" t="str">
        <f>_xlfn.TEXTBEFORE(_xlfn.TEXTAFTER(Table26[[#This Row],[WBS CODE]], "-"), "-")</f>
        <v>30101030247</v>
      </c>
    </row>
    <row r="616" spans="1:16" x14ac:dyDescent="0.3">
      <c r="A616">
        <v>615</v>
      </c>
      <c r="B616" t="s">
        <v>30</v>
      </c>
      <c r="C616" t="s">
        <v>1255</v>
      </c>
      <c r="D616" t="s">
        <v>1256</v>
      </c>
      <c r="E616" t="s">
        <v>815</v>
      </c>
      <c r="F616" t="s">
        <v>816</v>
      </c>
      <c r="G616" t="s">
        <v>828</v>
      </c>
      <c r="H616" t="s">
        <v>913</v>
      </c>
      <c r="I616" t="s">
        <v>1256</v>
      </c>
      <c r="J616" t="s">
        <v>373</v>
      </c>
      <c r="K616" t="s">
        <v>385</v>
      </c>
      <c r="L616" t="s">
        <v>900</v>
      </c>
      <c r="M616" t="s">
        <v>405</v>
      </c>
      <c r="N616" t="s">
        <v>829</v>
      </c>
      <c r="O616" t="s">
        <v>219</v>
      </c>
      <c r="P616" t="str">
        <f>_xlfn.TEXTBEFORE(_xlfn.TEXTAFTER(Table26[[#This Row],[WBS CODE]], "-"), "-")</f>
        <v>30101030294</v>
      </c>
    </row>
    <row r="617" spans="1:16" x14ac:dyDescent="0.3">
      <c r="A617">
        <v>616</v>
      </c>
      <c r="B617" t="s">
        <v>30</v>
      </c>
      <c r="C617" t="s">
        <v>1257</v>
      </c>
      <c r="D617" t="s">
        <v>1258</v>
      </c>
      <c r="E617" t="s">
        <v>815</v>
      </c>
      <c r="F617" t="s">
        <v>816</v>
      </c>
      <c r="G617" t="s">
        <v>828</v>
      </c>
      <c r="H617" t="s">
        <v>913</v>
      </c>
      <c r="I617" t="s">
        <v>1258</v>
      </c>
      <c r="J617" t="s">
        <v>373</v>
      </c>
      <c r="K617" t="s">
        <v>385</v>
      </c>
      <c r="L617" t="s">
        <v>900</v>
      </c>
      <c r="M617" t="s">
        <v>402</v>
      </c>
      <c r="N617" t="s">
        <v>829</v>
      </c>
      <c r="O617" t="s">
        <v>219</v>
      </c>
      <c r="P617" t="str">
        <f>_xlfn.TEXTBEFORE(_xlfn.TEXTAFTER(Table26[[#This Row],[WBS CODE]], "-"), "-")</f>
        <v>30101030295</v>
      </c>
    </row>
    <row r="618" spans="1:16" x14ac:dyDescent="0.3">
      <c r="A618">
        <v>617</v>
      </c>
      <c r="B618" t="s">
        <v>30</v>
      </c>
      <c r="C618" t="s">
        <v>1259</v>
      </c>
      <c r="D618" t="s">
        <v>1260</v>
      </c>
      <c r="E618" t="s">
        <v>815</v>
      </c>
      <c r="F618" t="s">
        <v>816</v>
      </c>
      <c r="G618" t="s">
        <v>828</v>
      </c>
      <c r="H618" t="s">
        <v>913</v>
      </c>
      <c r="I618" t="s">
        <v>1260</v>
      </c>
      <c r="J618" t="s">
        <v>373</v>
      </c>
      <c r="K618" t="s">
        <v>385</v>
      </c>
      <c r="L618" t="s">
        <v>900</v>
      </c>
      <c r="M618" t="s">
        <v>399</v>
      </c>
      <c r="N618" t="s">
        <v>829</v>
      </c>
      <c r="O618" t="s">
        <v>219</v>
      </c>
      <c r="P618" t="str">
        <f>_xlfn.TEXTBEFORE(_xlfn.TEXTAFTER(Table26[[#This Row],[WBS CODE]], "-"), "-")</f>
        <v>30101030296</v>
      </c>
    </row>
    <row r="619" spans="1:16" x14ac:dyDescent="0.3">
      <c r="A619">
        <v>618</v>
      </c>
      <c r="B619" t="s">
        <v>30</v>
      </c>
      <c r="C619" t="s">
        <v>1261</v>
      </c>
      <c r="D619" t="s">
        <v>1262</v>
      </c>
      <c r="E619" t="s">
        <v>815</v>
      </c>
      <c r="F619" t="s">
        <v>816</v>
      </c>
      <c r="G619" t="s">
        <v>828</v>
      </c>
      <c r="H619" t="s">
        <v>913</v>
      </c>
      <c r="I619" t="s">
        <v>1262</v>
      </c>
      <c r="J619" t="s">
        <v>373</v>
      </c>
      <c r="K619" t="s">
        <v>385</v>
      </c>
      <c r="L619" t="s">
        <v>900</v>
      </c>
      <c r="M619" t="s">
        <v>396</v>
      </c>
      <c r="N619" t="s">
        <v>829</v>
      </c>
      <c r="O619" t="s">
        <v>219</v>
      </c>
      <c r="P619" t="str">
        <f>_xlfn.TEXTBEFORE(_xlfn.TEXTAFTER(Table26[[#This Row],[WBS CODE]], "-"), "-")</f>
        <v>30101030297</v>
      </c>
    </row>
    <row r="620" spans="1:16" x14ac:dyDescent="0.3">
      <c r="A620">
        <v>619</v>
      </c>
      <c r="B620" t="s">
        <v>30</v>
      </c>
      <c r="C620" t="s">
        <v>1263</v>
      </c>
      <c r="D620" t="s">
        <v>1264</v>
      </c>
      <c r="E620" t="s">
        <v>815</v>
      </c>
      <c r="F620" t="s">
        <v>816</v>
      </c>
      <c r="G620" t="s">
        <v>828</v>
      </c>
      <c r="H620" t="s">
        <v>913</v>
      </c>
      <c r="I620" t="s">
        <v>1264</v>
      </c>
      <c r="J620" t="s">
        <v>373</v>
      </c>
      <c r="K620" t="s">
        <v>385</v>
      </c>
      <c r="L620" t="s">
        <v>900</v>
      </c>
      <c r="M620" t="s">
        <v>393</v>
      </c>
      <c r="N620" t="s">
        <v>829</v>
      </c>
      <c r="O620" t="s">
        <v>219</v>
      </c>
      <c r="P620" t="str">
        <f>_xlfn.TEXTBEFORE(_xlfn.TEXTAFTER(Table26[[#This Row],[WBS CODE]], "-"), "-")</f>
        <v>30101030298</v>
      </c>
    </row>
    <row r="621" spans="1:16" x14ac:dyDescent="0.3">
      <c r="A621">
        <v>620</v>
      </c>
      <c r="B621" t="s">
        <v>30</v>
      </c>
      <c r="C621" t="s">
        <v>1265</v>
      </c>
      <c r="D621" t="s">
        <v>1266</v>
      </c>
      <c r="E621" t="s">
        <v>815</v>
      </c>
      <c r="F621" t="s">
        <v>816</v>
      </c>
      <c r="G621" t="s">
        <v>828</v>
      </c>
      <c r="H621" t="s">
        <v>915</v>
      </c>
      <c r="I621" t="s">
        <v>1266</v>
      </c>
      <c r="J621" t="s">
        <v>373</v>
      </c>
      <c r="K621" t="s">
        <v>385</v>
      </c>
      <c r="L621" t="s">
        <v>42</v>
      </c>
      <c r="M621" t="s">
        <v>471</v>
      </c>
      <c r="N621" t="s">
        <v>829</v>
      </c>
      <c r="O621" t="s">
        <v>219</v>
      </c>
      <c r="P621" t="str">
        <f>_xlfn.TEXTBEFORE(_xlfn.TEXTAFTER(Table26[[#This Row],[WBS CODE]], "-"), "-")</f>
        <v>30101036101</v>
      </c>
    </row>
    <row r="622" spans="1:16" x14ac:dyDescent="0.3">
      <c r="A622">
        <v>621</v>
      </c>
      <c r="B622" t="s">
        <v>30</v>
      </c>
      <c r="C622" t="s">
        <v>1267</v>
      </c>
      <c r="D622" t="s">
        <v>1268</v>
      </c>
      <c r="E622" t="s">
        <v>815</v>
      </c>
      <c r="F622" t="s">
        <v>816</v>
      </c>
      <c r="G622" t="s">
        <v>828</v>
      </c>
      <c r="H622" t="s">
        <v>915</v>
      </c>
      <c r="I622" t="s">
        <v>1268</v>
      </c>
      <c r="J622" t="s">
        <v>373</v>
      </c>
      <c r="K622" t="s">
        <v>385</v>
      </c>
      <c r="L622" t="s">
        <v>42</v>
      </c>
      <c r="M622" t="s">
        <v>1156</v>
      </c>
      <c r="N622" t="s">
        <v>829</v>
      </c>
      <c r="O622" t="s">
        <v>219</v>
      </c>
      <c r="P622" t="str">
        <f>_xlfn.TEXTBEFORE(_xlfn.TEXTAFTER(Table26[[#This Row],[WBS CODE]], "-"), "-")</f>
        <v>30101036102</v>
      </c>
    </row>
    <row r="623" spans="1:16" x14ac:dyDescent="0.3">
      <c r="A623">
        <v>622</v>
      </c>
      <c r="B623" t="s">
        <v>30</v>
      </c>
      <c r="C623" t="s">
        <v>1269</v>
      </c>
      <c r="D623" t="s">
        <v>1270</v>
      </c>
      <c r="E623" t="s">
        <v>815</v>
      </c>
      <c r="F623" t="s">
        <v>816</v>
      </c>
      <c r="G623" t="s">
        <v>828</v>
      </c>
      <c r="H623" t="s">
        <v>915</v>
      </c>
      <c r="I623" t="s">
        <v>1270</v>
      </c>
      <c r="J623" t="s">
        <v>373</v>
      </c>
      <c r="K623" t="s">
        <v>385</v>
      </c>
      <c r="L623" t="s">
        <v>42</v>
      </c>
      <c r="M623" t="s">
        <v>466</v>
      </c>
      <c r="N623" t="s">
        <v>829</v>
      </c>
      <c r="O623" t="s">
        <v>219</v>
      </c>
      <c r="P623" t="str">
        <f>_xlfn.TEXTBEFORE(_xlfn.TEXTAFTER(Table26[[#This Row],[WBS CODE]], "-"), "-")</f>
        <v>30101036118</v>
      </c>
    </row>
    <row r="624" spans="1:16" x14ac:dyDescent="0.3">
      <c r="A624">
        <v>623</v>
      </c>
      <c r="B624" t="s">
        <v>30</v>
      </c>
      <c r="C624" t="s">
        <v>1271</v>
      </c>
      <c r="D624" t="s">
        <v>1272</v>
      </c>
      <c r="E624" t="s">
        <v>815</v>
      </c>
      <c r="F624" t="s">
        <v>816</v>
      </c>
      <c r="G624" t="s">
        <v>828</v>
      </c>
      <c r="H624" t="s">
        <v>915</v>
      </c>
      <c r="I624" t="s">
        <v>1272</v>
      </c>
      <c r="J624" t="s">
        <v>373</v>
      </c>
      <c r="K624" t="s">
        <v>385</v>
      </c>
      <c r="L624" t="s">
        <v>42</v>
      </c>
      <c r="M624" t="s">
        <v>460</v>
      </c>
      <c r="N624" t="s">
        <v>829</v>
      </c>
      <c r="O624" t="s">
        <v>219</v>
      </c>
      <c r="P624" t="str">
        <f>_xlfn.TEXTBEFORE(_xlfn.TEXTAFTER(Table26[[#This Row],[WBS CODE]], "-"), "-")</f>
        <v>30101036162</v>
      </c>
    </row>
    <row r="625" spans="1:16" x14ac:dyDescent="0.3">
      <c r="A625">
        <v>624</v>
      </c>
      <c r="B625" t="s">
        <v>30</v>
      </c>
      <c r="C625" t="s">
        <v>1273</v>
      </c>
      <c r="D625" t="s">
        <v>1274</v>
      </c>
      <c r="E625" t="s">
        <v>815</v>
      </c>
      <c r="F625" t="s">
        <v>816</v>
      </c>
      <c r="G625" t="s">
        <v>828</v>
      </c>
      <c r="H625" t="s">
        <v>915</v>
      </c>
      <c r="I625" t="s">
        <v>1274</v>
      </c>
      <c r="J625" t="s">
        <v>373</v>
      </c>
      <c r="K625" t="s">
        <v>385</v>
      </c>
      <c r="L625" t="s">
        <v>42</v>
      </c>
      <c r="M625" t="s">
        <v>463</v>
      </c>
      <c r="N625" t="s">
        <v>829</v>
      </c>
      <c r="O625" t="s">
        <v>219</v>
      </c>
      <c r="P625" t="str">
        <f>_xlfn.TEXTBEFORE(_xlfn.TEXTAFTER(Table26[[#This Row],[WBS CODE]], "-"), "-")</f>
        <v>30101036193</v>
      </c>
    </row>
    <row r="626" spans="1:16" x14ac:dyDescent="0.3">
      <c r="A626">
        <v>625</v>
      </c>
      <c r="B626" t="s">
        <v>30</v>
      </c>
      <c r="C626" t="s">
        <v>1275</v>
      </c>
      <c r="D626" t="s">
        <v>1276</v>
      </c>
      <c r="E626" t="s">
        <v>815</v>
      </c>
      <c r="F626" t="s">
        <v>816</v>
      </c>
      <c r="G626" t="s">
        <v>831</v>
      </c>
      <c r="H626" t="s">
        <v>917</v>
      </c>
      <c r="I626" t="s">
        <v>1276</v>
      </c>
      <c r="J626" t="s">
        <v>373</v>
      </c>
      <c r="K626" t="s">
        <v>385</v>
      </c>
      <c r="L626" t="s">
        <v>39</v>
      </c>
      <c r="M626" t="s">
        <v>455</v>
      </c>
      <c r="N626" t="s">
        <v>832</v>
      </c>
      <c r="O626" t="s">
        <v>219</v>
      </c>
      <c r="P626" t="str">
        <f>_xlfn.TEXTBEFORE(_xlfn.TEXTAFTER(Table26[[#This Row],[WBS CODE]], "-"), "-")</f>
        <v>30101040160</v>
      </c>
    </row>
    <row r="627" spans="1:16" x14ac:dyDescent="0.3">
      <c r="A627">
        <v>626</v>
      </c>
      <c r="B627" t="s">
        <v>30</v>
      </c>
      <c r="C627" t="s">
        <v>1277</v>
      </c>
      <c r="D627" t="s">
        <v>1278</v>
      </c>
      <c r="E627" t="s">
        <v>815</v>
      </c>
      <c r="F627" t="s">
        <v>816</v>
      </c>
      <c r="G627" t="s">
        <v>831</v>
      </c>
      <c r="H627" t="s">
        <v>919</v>
      </c>
      <c r="I627" t="s">
        <v>1278</v>
      </c>
      <c r="J627" t="s">
        <v>373</v>
      </c>
      <c r="K627" t="s">
        <v>385</v>
      </c>
      <c r="L627" t="s">
        <v>900</v>
      </c>
      <c r="M627" t="s">
        <v>450</v>
      </c>
      <c r="N627" t="s">
        <v>832</v>
      </c>
      <c r="O627" t="s">
        <v>219</v>
      </c>
      <c r="P627" t="str">
        <f>_xlfn.TEXTBEFORE(_xlfn.TEXTAFTER(Table26[[#This Row],[WBS CODE]], "-"), "-")</f>
        <v>30101040204</v>
      </c>
    </row>
    <row r="628" spans="1:16" x14ac:dyDescent="0.3">
      <c r="A628">
        <v>627</v>
      </c>
      <c r="B628" t="s">
        <v>30</v>
      </c>
      <c r="C628" t="s">
        <v>1279</v>
      </c>
      <c r="D628" t="s">
        <v>1280</v>
      </c>
      <c r="E628" t="s">
        <v>815</v>
      </c>
      <c r="F628" t="s">
        <v>816</v>
      </c>
      <c r="G628" t="s">
        <v>831</v>
      </c>
      <c r="H628" t="s">
        <v>919</v>
      </c>
      <c r="I628" t="s">
        <v>1280</v>
      </c>
      <c r="J628" t="s">
        <v>373</v>
      </c>
      <c r="K628" t="s">
        <v>385</v>
      </c>
      <c r="L628" t="s">
        <v>900</v>
      </c>
      <c r="M628" t="s">
        <v>447</v>
      </c>
      <c r="N628" t="s">
        <v>832</v>
      </c>
      <c r="O628" t="s">
        <v>219</v>
      </c>
      <c r="P628" t="str">
        <f>_xlfn.TEXTBEFORE(_xlfn.TEXTAFTER(Table26[[#This Row],[WBS CODE]], "-"), "-")</f>
        <v>30101040205</v>
      </c>
    </row>
    <row r="629" spans="1:16" x14ac:dyDescent="0.3">
      <c r="A629">
        <v>628</v>
      </c>
      <c r="B629" t="s">
        <v>30</v>
      </c>
      <c r="C629" t="s">
        <v>1281</v>
      </c>
      <c r="D629" t="s">
        <v>1282</v>
      </c>
      <c r="E629" t="s">
        <v>815</v>
      </c>
      <c r="F629" t="s">
        <v>816</v>
      </c>
      <c r="G629" t="s">
        <v>831</v>
      </c>
      <c r="H629" t="s">
        <v>919</v>
      </c>
      <c r="I629" t="s">
        <v>1282</v>
      </c>
      <c r="J629" t="s">
        <v>373</v>
      </c>
      <c r="K629" t="s">
        <v>385</v>
      </c>
      <c r="L629" t="s">
        <v>900</v>
      </c>
      <c r="M629" t="s">
        <v>444</v>
      </c>
      <c r="N629" t="s">
        <v>832</v>
      </c>
      <c r="O629" t="s">
        <v>219</v>
      </c>
      <c r="P629" t="str">
        <f>_xlfn.TEXTBEFORE(_xlfn.TEXTAFTER(Table26[[#This Row],[WBS CODE]], "-"), "-")</f>
        <v>30101040207</v>
      </c>
    </row>
    <row r="630" spans="1:16" x14ac:dyDescent="0.3">
      <c r="A630">
        <v>629</v>
      </c>
      <c r="B630" t="s">
        <v>30</v>
      </c>
      <c r="C630" t="s">
        <v>1283</v>
      </c>
      <c r="D630" t="s">
        <v>1284</v>
      </c>
      <c r="E630" t="s">
        <v>815</v>
      </c>
      <c r="F630" t="s">
        <v>816</v>
      </c>
      <c r="G630" t="s">
        <v>831</v>
      </c>
      <c r="H630" t="s">
        <v>919</v>
      </c>
      <c r="I630" t="s">
        <v>1284</v>
      </c>
      <c r="J630" t="s">
        <v>373</v>
      </c>
      <c r="K630" t="s">
        <v>385</v>
      </c>
      <c r="L630" t="s">
        <v>900</v>
      </c>
      <c r="M630" t="s">
        <v>441</v>
      </c>
      <c r="N630" t="s">
        <v>832</v>
      </c>
      <c r="O630" t="s">
        <v>219</v>
      </c>
      <c r="P630" t="str">
        <f>_xlfn.TEXTBEFORE(_xlfn.TEXTAFTER(Table26[[#This Row],[WBS CODE]], "-"), "-")</f>
        <v>30101040208</v>
      </c>
    </row>
    <row r="631" spans="1:16" x14ac:dyDescent="0.3">
      <c r="A631">
        <v>630</v>
      </c>
      <c r="B631" t="s">
        <v>30</v>
      </c>
      <c r="C631" t="s">
        <v>1285</v>
      </c>
      <c r="D631" t="s">
        <v>1286</v>
      </c>
      <c r="E631" t="s">
        <v>815</v>
      </c>
      <c r="F631" t="s">
        <v>816</v>
      </c>
      <c r="G631" t="s">
        <v>831</v>
      </c>
      <c r="H631" t="s">
        <v>919</v>
      </c>
      <c r="I631" t="s">
        <v>1286</v>
      </c>
      <c r="J631" t="s">
        <v>373</v>
      </c>
      <c r="K631" t="s">
        <v>385</v>
      </c>
      <c r="L631" t="s">
        <v>900</v>
      </c>
      <c r="M631" t="s">
        <v>438</v>
      </c>
      <c r="N631" t="s">
        <v>832</v>
      </c>
      <c r="O631" t="s">
        <v>219</v>
      </c>
      <c r="P631" t="str">
        <f>_xlfn.TEXTBEFORE(_xlfn.TEXTAFTER(Table26[[#This Row],[WBS CODE]], "-"), "-")</f>
        <v>30101040209</v>
      </c>
    </row>
    <row r="632" spans="1:16" x14ac:dyDescent="0.3">
      <c r="A632">
        <v>631</v>
      </c>
      <c r="B632" t="s">
        <v>30</v>
      </c>
      <c r="C632" t="s">
        <v>1287</v>
      </c>
      <c r="D632" t="s">
        <v>1288</v>
      </c>
      <c r="E632" t="s">
        <v>815</v>
      </c>
      <c r="F632" t="s">
        <v>816</v>
      </c>
      <c r="G632" t="s">
        <v>831</v>
      </c>
      <c r="H632" t="s">
        <v>919</v>
      </c>
      <c r="I632" t="s">
        <v>1288</v>
      </c>
      <c r="J632" t="s">
        <v>373</v>
      </c>
      <c r="K632" t="s">
        <v>385</v>
      </c>
      <c r="L632" t="s">
        <v>900</v>
      </c>
      <c r="M632" t="s">
        <v>435</v>
      </c>
      <c r="N632" t="s">
        <v>832</v>
      </c>
      <c r="O632" t="s">
        <v>219</v>
      </c>
      <c r="P632" t="str">
        <f>_xlfn.TEXTBEFORE(_xlfn.TEXTAFTER(Table26[[#This Row],[WBS CODE]], "-"), "-")</f>
        <v>30101040210</v>
      </c>
    </row>
    <row r="633" spans="1:16" x14ac:dyDescent="0.3">
      <c r="A633">
        <v>632</v>
      </c>
      <c r="B633" t="s">
        <v>30</v>
      </c>
      <c r="C633" t="s">
        <v>1289</v>
      </c>
      <c r="D633" t="s">
        <v>1290</v>
      </c>
      <c r="E633" t="s">
        <v>815</v>
      </c>
      <c r="F633" t="s">
        <v>816</v>
      </c>
      <c r="G633" t="s">
        <v>831</v>
      </c>
      <c r="H633" t="s">
        <v>919</v>
      </c>
      <c r="I633" t="s">
        <v>1290</v>
      </c>
      <c r="J633" t="s">
        <v>373</v>
      </c>
      <c r="K633" t="s">
        <v>385</v>
      </c>
      <c r="L633" t="s">
        <v>900</v>
      </c>
      <c r="M633" t="s">
        <v>432</v>
      </c>
      <c r="N633" t="s">
        <v>832</v>
      </c>
      <c r="O633" t="s">
        <v>219</v>
      </c>
      <c r="P633" t="str">
        <f>_xlfn.TEXTBEFORE(_xlfn.TEXTAFTER(Table26[[#This Row],[WBS CODE]], "-"), "-")</f>
        <v>30101040211</v>
      </c>
    </row>
    <row r="634" spans="1:16" x14ac:dyDescent="0.3">
      <c r="A634">
        <v>633</v>
      </c>
      <c r="B634" t="s">
        <v>30</v>
      </c>
      <c r="C634" t="s">
        <v>1291</v>
      </c>
      <c r="D634" t="s">
        <v>1292</v>
      </c>
      <c r="E634" t="s">
        <v>815</v>
      </c>
      <c r="F634" t="s">
        <v>816</v>
      </c>
      <c r="G634" t="s">
        <v>831</v>
      </c>
      <c r="H634" t="s">
        <v>919</v>
      </c>
      <c r="I634" t="s">
        <v>1292</v>
      </c>
      <c r="J634" t="s">
        <v>373</v>
      </c>
      <c r="K634" t="s">
        <v>385</v>
      </c>
      <c r="L634" t="s">
        <v>900</v>
      </c>
      <c r="M634" t="s">
        <v>429</v>
      </c>
      <c r="N634" t="s">
        <v>832</v>
      </c>
      <c r="O634" t="s">
        <v>219</v>
      </c>
      <c r="P634" t="str">
        <f>_xlfn.TEXTBEFORE(_xlfn.TEXTAFTER(Table26[[#This Row],[WBS CODE]], "-"), "-")</f>
        <v>30101040212</v>
      </c>
    </row>
    <row r="635" spans="1:16" x14ac:dyDescent="0.3">
      <c r="A635">
        <v>634</v>
      </c>
      <c r="B635" t="s">
        <v>30</v>
      </c>
      <c r="C635" t="s">
        <v>1293</v>
      </c>
      <c r="D635" t="s">
        <v>1294</v>
      </c>
      <c r="E635" t="s">
        <v>815</v>
      </c>
      <c r="F635" t="s">
        <v>816</v>
      </c>
      <c r="G635" t="s">
        <v>831</v>
      </c>
      <c r="H635" t="s">
        <v>919</v>
      </c>
      <c r="I635" t="s">
        <v>1294</v>
      </c>
      <c r="J635" t="s">
        <v>373</v>
      </c>
      <c r="K635" t="s">
        <v>385</v>
      </c>
      <c r="L635" t="s">
        <v>900</v>
      </c>
      <c r="M635" t="s">
        <v>423</v>
      </c>
      <c r="N635" t="s">
        <v>832</v>
      </c>
      <c r="O635" t="s">
        <v>219</v>
      </c>
      <c r="P635" t="str">
        <f>_xlfn.TEXTBEFORE(_xlfn.TEXTAFTER(Table26[[#This Row],[WBS CODE]], "-"), "-")</f>
        <v>30101040213</v>
      </c>
    </row>
    <row r="636" spans="1:16" x14ac:dyDescent="0.3">
      <c r="A636">
        <v>635</v>
      </c>
      <c r="B636" t="s">
        <v>30</v>
      </c>
      <c r="C636" t="s">
        <v>1295</v>
      </c>
      <c r="D636" t="s">
        <v>1296</v>
      </c>
      <c r="E636" t="s">
        <v>815</v>
      </c>
      <c r="F636" t="s">
        <v>816</v>
      </c>
      <c r="G636" t="s">
        <v>831</v>
      </c>
      <c r="H636" t="s">
        <v>919</v>
      </c>
      <c r="I636" t="s">
        <v>1296</v>
      </c>
      <c r="J636" t="s">
        <v>373</v>
      </c>
      <c r="K636" t="s">
        <v>385</v>
      </c>
      <c r="L636" t="s">
        <v>900</v>
      </c>
      <c r="M636" t="s">
        <v>420</v>
      </c>
      <c r="N636" t="s">
        <v>832</v>
      </c>
      <c r="O636" t="s">
        <v>219</v>
      </c>
      <c r="P636" t="str">
        <f>_xlfn.TEXTBEFORE(_xlfn.TEXTAFTER(Table26[[#This Row],[WBS CODE]], "-"), "-")</f>
        <v>30101040214</v>
      </c>
    </row>
    <row r="637" spans="1:16" x14ac:dyDescent="0.3">
      <c r="A637">
        <v>636</v>
      </c>
      <c r="B637" t="s">
        <v>30</v>
      </c>
      <c r="C637" t="s">
        <v>1297</v>
      </c>
      <c r="D637" t="s">
        <v>1298</v>
      </c>
      <c r="E637" t="s">
        <v>815</v>
      </c>
      <c r="F637" t="s">
        <v>816</v>
      </c>
      <c r="G637" t="s">
        <v>831</v>
      </c>
      <c r="H637" t="s">
        <v>919</v>
      </c>
      <c r="I637" t="s">
        <v>1298</v>
      </c>
      <c r="J637" t="s">
        <v>373</v>
      </c>
      <c r="K637" t="s">
        <v>385</v>
      </c>
      <c r="L637" t="s">
        <v>900</v>
      </c>
      <c r="M637" t="s">
        <v>417</v>
      </c>
      <c r="N637" t="s">
        <v>832</v>
      </c>
      <c r="O637" t="s">
        <v>219</v>
      </c>
      <c r="P637" t="str">
        <f>_xlfn.TEXTBEFORE(_xlfn.TEXTAFTER(Table26[[#This Row],[WBS CODE]], "-"), "-")</f>
        <v>30101040215</v>
      </c>
    </row>
    <row r="638" spans="1:16" x14ac:dyDescent="0.3">
      <c r="A638">
        <v>637</v>
      </c>
      <c r="B638" t="s">
        <v>30</v>
      </c>
      <c r="C638" t="s">
        <v>1299</v>
      </c>
      <c r="D638" t="s">
        <v>1300</v>
      </c>
      <c r="E638" t="s">
        <v>815</v>
      </c>
      <c r="F638" t="s">
        <v>816</v>
      </c>
      <c r="G638" t="s">
        <v>831</v>
      </c>
      <c r="H638" t="s">
        <v>919</v>
      </c>
      <c r="I638" t="s">
        <v>1300</v>
      </c>
      <c r="J638" t="s">
        <v>373</v>
      </c>
      <c r="K638" t="s">
        <v>385</v>
      </c>
      <c r="L638" t="s">
        <v>900</v>
      </c>
      <c r="M638" t="s">
        <v>414</v>
      </c>
      <c r="N638" t="s">
        <v>832</v>
      </c>
      <c r="O638" t="s">
        <v>219</v>
      </c>
      <c r="P638" t="str">
        <f>_xlfn.TEXTBEFORE(_xlfn.TEXTAFTER(Table26[[#This Row],[WBS CODE]], "-"), "-")</f>
        <v>30101040216</v>
      </c>
    </row>
    <row r="639" spans="1:16" x14ac:dyDescent="0.3">
      <c r="A639">
        <v>638</v>
      </c>
      <c r="B639" t="s">
        <v>30</v>
      </c>
      <c r="C639" t="s">
        <v>1301</v>
      </c>
      <c r="D639" t="s">
        <v>1302</v>
      </c>
      <c r="E639" t="s">
        <v>815</v>
      </c>
      <c r="F639" t="s">
        <v>816</v>
      </c>
      <c r="G639" t="s">
        <v>831</v>
      </c>
      <c r="H639" t="s">
        <v>919</v>
      </c>
      <c r="I639" t="s">
        <v>1302</v>
      </c>
      <c r="J639" t="s">
        <v>373</v>
      </c>
      <c r="K639" t="s">
        <v>385</v>
      </c>
      <c r="L639" t="s">
        <v>900</v>
      </c>
      <c r="M639" t="s">
        <v>411</v>
      </c>
      <c r="N639" t="s">
        <v>832</v>
      </c>
      <c r="O639" t="s">
        <v>219</v>
      </c>
      <c r="P639" t="str">
        <f>_xlfn.TEXTBEFORE(_xlfn.TEXTAFTER(Table26[[#This Row],[WBS CODE]], "-"), "-")</f>
        <v>30101040217</v>
      </c>
    </row>
    <row r="640" spans="1:16" x14ac:dyDescent="0.3">
      <c r="A640">
        <v>639</v>
      </c>
      <c r="B640" t="s">
        <v>30</v>
      </c>
      <c r="C640" t="s">
        <v>1303</v>
      </c>
      <c r="D640" t="s">
        <v>1304</v>
      </c>
      <c r="E640" t="s">
        <v>815</v>
      </c>
      <c r="F640" t="s">
        <v>816</v>
      </c>
      <c r="G640" t="s">
        <v>831</v>
      </c>
      <c r="H640" t="s">
        <v>919</v>
      </c>
      <c r="I640" t="s">
        <v>1304</v>
      </c>
      <c r="J640" t="s">
        <v>373</v>
      </c>
      <c r="K640" t="s">
        <v>385</v>
      </c>
      <c r="L640" t="s">
        <v>900</v>
      </c>
      <c r="M640" t="s">
        <v>408</v>
      </c>
      <c r="N640" t="s">
        <v>832</v>
      </c>
      <c r="O640" t="s">
        <v>219</v>
      </c>
      <c r="P640" t="str">
        <f>_xlfn.TEXTBEFORE(_xlfn.TEXTAFTER(Table26[[#This Row],[WBS CODE]], "-"), "-")</f>
        <v>30101040220</v>
      </c>
    </row>
    <row r="641" spans="1:16" x14ac:dyDescent="0.3">
      <c r="A641">
        <v>640</v>
      </c>
      <c r="B641" t="s">
        <v>30</v>
      </c>
      <c r="C641" t="s">
        <v>1305</v>
      </c>
      <c r="D641" t="s">
        <v>1306</v>
      </c>
      <c r="E641" t="s">
        <v>815</v>
      </c>
      <c r="F641" t="s">
        <v>816</v>
      </c>
      <c r="G641" t="s">
        <v>831</v>
      </c>
      <c r="H641" t="s">
        <v>919</v>
      </c>
      <c r="I641" t="s">
        <v>1306</v>
      </c>
      <c r="J641" t="s">
        <v>373</v>
      </c>
      <c r="K641" t="s">
        <v>385</v>
      </c>
      <c r="L641" t="s">
        <v>900</v>
      </c>
      <c r="M641" t="s">
        <v>390</v>
      </c>
      <c r="N641" t="s">
        <v>832</v>
      </c>
      <c r="O641" t="s">
        <v>219</v>
      </c>
      <c r="P641" t="str">
        <f>_xlfn.TEXTBEFORE(_xlfn.TEXTAFTER(Table26[[#This Row],[WBS CODE]], "-"), "-")</f>
        <v>30101040224</v>
      </c>
    </row>
    <row r="642" spans="1:16" x14ac:dyDescent="0.3">
      <c r="A642">
        <v>641</v>
      </c>
      <c r="B642" t="s">
        <v>30</v>
      </c>
      <c r="C642" t="s">
        <v>1307</v>
      </c>
      <c r="D642" t="s">
        <v>1308</v>
      </c>
      <c r="E642" t="s">
        <v>815</v>
      </c>
      <c r="F642" t="s">
        <v>816</v>
      </c>
      <c r="G642" t="s">
        <v>831</v>
      </c>
      <c r="H642" t="s">
        <v>919</v>
      </c>
      <c r="I642" t="s">
        <v>1308</v>
      </c>
      <c r="J642" t="s">
        <v>373</v>
      </c>
      <c r="K642" t="s">
        <v>385</v>
      </c>
      <c r="L642" t="s">
        <v>900</v>
      </c>
      <c r="M642" t="s">
        <v>1139</v>
      </c>
      <c r="N642" t="s">
        <v>832</v>
      </c>
      <c r="O642" t="s">
        <v>219</v>
      </c>
      <c r="P642" t="str">
        <f>_xlfn.TEXTBEFORE(_xlfn.TEXTAFTER(Table26[[#This Row],[WBS CODE]], "-"), "-")</f>
        <v>30101040245</v>
      </c>
    </row>
    <row r="643" spans="1:16" x14ac:dyDescent="0.3">
      <c r="A643">
        <v>642</v>
      </c>
      <c r="B643" t="s">
        <v>30</v>
      </c>
      <c r="C643" t="s">
        <v>1309</v>
      </c>
      <c r="D643" t="s">
        <v>1310</v>
      </c>
      <c r="E643" t="s">
        <v>815</v>
      </c>
      <c r="F643" t="s">
        <v>816</v>
      </c>
      <c r="G643" t="s">
        <v>831</v>
      </c>
      <c r="H643" t="s">
        <v>919</v>
      </c>
      <c r="I643" t="s">
        <v>1310</v>
      </c>
      <c r="J643" t="s">
        <v>373</v>
      </c>
      <c r="K643" t="s">
        <v>385</v>
      </c>
      <c r="L643" t="s">
        <v>900</v>
      </c>
      <c r="M643" t="s">
        <v>426</v>
      </c>
      <c r="N643" t="s">
        <v>832</v>
      </c>
      <c r="O643" t="s">
        <v>219</v>
      </c>
      <c r="P643" t="str">
        <f>_xlfn.TEXTBEFORE(_xlfn.TEXTAFTER(Table26[[#This Row],[WBS CODE]], "-"), "-")</f>
        <v>30101040247</v>
      </c>
    </row>
    <row r="644" spans="1:16" x14ac:dyDescent="0.3">
      <c r="A644">
        <v>643</v>
      </c>
      <c r="B644" t="s">
        <v>30</v>
      </c>
      <c r="C644" t="s">
        <v>1311</v>
      </c>
      <c r="D644" t="s">
        <v>1312</v>
      </c>
      <c r="E644" t="s">
        <v>815</v>
      </c>
      <c r="F644" t="s">
        <v>816</v>
      </c>
      <c r="G644" t="s">
        <v>831</v>
      </c>
      <c r="H644" t="s">
        <v>919</v>
      </c>
      <c r="I644" t="s">
        <v>1312</v>
      </c>
      <c r="J644" t="s">
        <v>373</v>
      </c>
      <c r="K644" t="s">
        <v>385</v>
      </c>
      <c r="L644" t="s">
        <v>900</v>
      </c>
      <c r="M644" t="s">
        <v>405</v>
      </c>
      <c r="N644" t="s">
        <v>832</v>
      </c>
      <c r="O644" t="s">
        <v>219</v>
      </c>
      <c r="P644" t="str">
        <f>_xlfn.TEXTBEFORE(_xlfn.TEXTAFTER(Table26[[#This Row],[WBS CODE]], "-"), "-")</f>
        <v>30101040294</v>
      </c>
    </row>
    <row r="645" spans="1:16" x14ac:dyDescent="0.3">
      <c r="A645">
        <v>644</v>
      </c>
      <c r="B645" t="s">
        <v>30</v>
      </c>
      <c r="C645" t="s">
        <v>1313</v>
      </c>
      <c r="D645" t="s">
        <v>1314</v>
      </c>
      <c r="E645" t="s">
        <v>815</v>
      </c>
      <c r="F645" t="s">
        <v>816</v>
      </c>
      <c r="G645" t="s">
        <v>831</v>
      </c>
      <c r="H645" t="s">
        <v>919</v>
      </c>
      <c r="I645" t="s">
        <v>1314</v>
      </c>
      <c r="J645" t="s">
        <v>373</v>
      </c>
      <c r="K645" t="s">
        <v>385</v>
      </c>
      <c r="L645" t="s">
        <v>900</v>
      </c>
      <c r="M645" t="s">
        <v>402</v>
      </c>
      <c r="N645" t="s">
        <v>832</v>
      </c>
      <c r="O645" t="s">
        <v>219</v>
      </c>
      <c r="P645" t="str">
        <f>_xlfn.TEXTBEFORE(_xlfn.TEXTAFTER(Table26[[#This Row],[WBS CODE]], "-"), "-")</f>
        <v>30101040295</v>
      </c>
    </row>
    <row r="646" spans="1:16" x14ac:dyDescent="0.3">
      <c r="A646">
        <v>645</v>
      </c>
      <c r="B646" t="s">
        <v>30</v>
      </c>
      <c r="C646" t="s">
        <v>1315</v>
      </c>
      <c r="D646" t="s">
        <v>1316</v>
      </c>
      <c r="E646" t="s">
        <v>815</v>
      </c>
      <c r="F646" t="s">
        <v>816</v>
      </c>
      <c r="G646" t="s">
        <v>831</v>
      </c>
      <c r="H646" t="s">
        <v>919</v>
      </c>
      <c r="I646" t="s">
        <v>1316</v>
      </c>
      <c r="J646" t="s">
        <v>373</v>
      </c>
      <c r="K646" t="s">
        <v>385</v>
      </c>
      <c r="L646" t="s">
        <v>900</v>
      </c>
      <c r="M646" t="s">
        <v>399</v>
      </c>
      <c r="N646" t="s">
        <v>832</v>
      </c>
      <c r="O646" t="s">
        <v>219</v>
      </c>
      <c r="P646" t="str">
        <f>_xlfn.TEXTBEFORE(_xlfn.TEXTAFTER(Table26[[#This Row],[WBS CODE]], "-"), "-")</f>
        <v>30101040296</v>
      </c>
    </row>
    <row r="647" spans="1:16" x14ac:dyDescent="0.3">
      <c r="A647">
        <v>646</v>
      </c>
      <c r="B647" t="s">
        <v>30</v>
      </c>
      <c r="C647" t="s">
        <v>1317</v>
      </c>
      <c r="D647" t="s">
        <v>1318</v>
      </c>
      <c r="E647" t="s">
        <v>815</v>
      </c>
      <c r="F647" t="s">
        <v>816</v>
      </c>
      <c r="G647" t="s">
        <v>831</v>
      </c>
      <c r="H647" t="s">
        <v>919</v>
      </c>
      <c r="I647" t="s">
        <v>1318</v>
      </c>
      <c r="J647" t="s">
        <v>373</v>
      </c>
      <c r="K647" t="s">
        <v>385</v>
      </c>
      <c r="L647" t="s">
        <v>900</v>
      </c>
      <c r="M647" t="s">
        <v>396</v>
      </c>
      <c r="N647" t="s">
        <v>832</v>
      </c>
      <c r="O647" t="s">
        <v>219</v>
      </c>
      <c r="P647" t="str">
        <f>_xlfn.TEXTBEFORE(_xlfn.TEXTAFTER(Table26[[#This Row],[WBS CODE]], "-"), "-")</f>
        <v>30101040297</v>
      </c>
    </row>
    <row r="648" spans="1:16" x14ac:dyDescent="0.3">
      <c r="A648">
        <v>647</v>
      </c>
      <c r="B648" t="s">
        <v>30</v>
      </c>
      <c r="C648" t="s">
        <v>1319</v>
      </c>
      <c r="D648" t="s">
        <v>1320</v>
      </c>
      <c r="E648" t="s">
        <v>815</v>
      </c>
      <c r="F648" t="s">
        <v>816</v>
      </c>
      <c r="G648" t="s">
        <v>831</v>
      </c>
      <c r="H648" t="s">
        <v>919</v>
      </c>
      <c r="I648" t="s">
        <v>1320</v>
      </c>
      <c r="J648" t="s">
        <v>373</v>
      </c>
      <c r="K648" t="s">
        <v>385</v>
      </c>
      <c r="L648" t="s">
        <v>900</v>
      </c>
      <c r="M648" t="s">
        <v>393</v>
      </c>
      <c r="N648" t="s">
        <v>832</v>
      </c>
      <c r="O648" t="s">
        <v>219</v>
      </c>
      <c r="P648" t="str">
        <f>_xlfn.TEXTBEFORE(_xlfn.TEXTAFTER(Table26[[#This Row],[WBS CODE]], "-"), "-")</f>
        <v>30101040298</v>
      </c>
    </row>
    <row r="649" spans="1:16" x14ac:dyDescent="0.3">
      <c r="A649">
        <v>648</v>
      </c>
      <c r="B649" t="s">
        <v>30</v>
      </c>
      <c r="C649" t="s">
        <v>1321</v>
      </c>
      <c r="D649" t="s">
        <v>1322</v>
      </c>
      <c r="E649" t="s">
        <v>815</v>
      </c>
      <c r="F649" t="s">
        <v>816</v>
      </c>
      <c r="G649" t="s">
        <v>831</v>
      </c>
      <c r="H649" t="s">
        <v>921</v>
      </c>
      <c r="I649" t="s">
        <v>1322</v>
      </c>
      <c r="J649" t="s">
        <v>373</v>
      </c>
      <c r="K649" t="s">
        <v>385</v>
      </c>
      <c r="L649" t="s">
        <v>42</v>
      </c>
      <c r="M649" t="s">
        <v>471</v>
      </c>
      <c r="N649" t="s">
        <v>832</v>
      </c>
      <c r="O649" t="s">
        <v>219</v>
      </c>
      <c r="P649" t="str">
        <f>_xlfn.TEXTBEFORE(_xlfn.TEXTAFTER(Table26[[#This Row],[WBS CODE]], "-"), "-")</f>
        <v>30101046101</v>
      </c>
    </row>
    <row r="650" spans="1:16" x14ac:dyDescent="0.3">
      <c r="A650">
        <v>649</v>
      </c>
      <c r="B650" t="s">
        <v>30</v>
      </c>
      <c r="C650" t="s">
        <v>1323</v>
      </c>
      <c r="D650" t="s">
        <v>1324</v>
      </c>
      <c r="E650" t="s">
        <v>815</v>
      </c>
      <c r="F650" t="s">
        <v>816</v>
      </c>
      <c r="G650" t="s">
        <v>831</v>
      </c>
      <c r="H650" t="s">
        <v>921</v>
      </c>
      <c r="I650" t="s">
        <v>1324</v>
      </c>
      <c r="J650" t="s">
        <v>373</v>
      </c>
      <c r="K650" t="s">
        <v>385</v>
      </c>
      <c r="L650" t="s">
        <v>42</v>
      </c>
      <c r="M650" t="s">
        <v>1156</v>
      </c>
      <c r="N650" t="s">
        <v>832</v>
      </c>
      <c r="O650" t="s">
        <v>219</v>
      </c>
      <c r="P650" t="str">
        <f>_xlfn.TEXTBEFORE(_xlfn.TEXTAFTER(Table26[[#This Row],[WBS CODE]], "-"), "-")</f>
        <v>30101046102</v>
      </c>
    </row>
    <row r="651" spans="1:16" x14ac:dyDescent="0.3">
      <c r="A651">
        <v>650</v>
      </c>
      <c r="B651" t="s">
        <v>30</v>
      </c>
      <c r="C651" t="s">
        <v>1325</v>
      </c>
      <c r="D651" t="s">
        <v>1326</v>
      </c>
      <c r="E651" t="s">
        <v>815</v>
      </c>
      <c r="F651" t="s">
        <v>816</v>
      </c>
      <c r="G651" t="s">
        <v>831</v>
      </c>
      <c r="H651" t="s">
        <v>921</v>
      </c>
      <c r="I651" t="s">
        <v>1326</v>
      </c>
      <c r="J651" t="s">
        <v>373</v>
      </c>
      <c r="K651" t="s">
        <v>385</v>
      </c>
      <c r="L651" t="s">
        <v>42</v>
      </c>
      <c r="M651" t="s">
        <v>466</v>
      </c>
      <c r="N651" t="s">
        <v>832</v>
      </c>
      <c r="O651" t="s">
        <v>219</v>
      </c>
      <c r="P651" t="str">
        <f>_xlfn.TEXTBEFORE(_xlfn.TEXTAFTER(Table26[[#This Row],[WBS CODE]], "-"), "-")</f>
        <v>30101046118</v>
      </c>
    </row>
    <row r="652" spans="1:16" x14ac:dyDescent="0.3">
      <c r="A652">
        <v>651</v>
      </c>
      <c r="B652" t="s">
        <v>30</v>
      </c>
      <c r="C652" t="s">
        <v>1327</v>
      </c>
      <c r="D652" t="s">
        <v>1328</v>
      </c>
      <c r="E652" t="s">
        <v>815</v>
      </c>
      <c r="F652" t="s">
        <v>816</v>
      </c>
      <c r="G652" t="s">
        <v>831</v>
      </c>
      <c r="H652" t="s">
        <v>921</v>
      </c>
      <c r="I652" t="s">
        <v>1328</v>
      </c>
      <c r="J652" t="s">
        <v>373</v>
      </c>
      <c r="K652" t="s">
        <v>385</v>
      </c>
      <c r="L652" t="s">
        <v>42</v>
      </c>
      <c r="M652" t="s">
        <v>460</v>
      </c>
      <c r="N652" t="s">
        <v>832</v>
      </c>
      <c r="O652" t="s">
        <v>219</v>
      </c>
      <c r="P652" t="str">
        <f>_xlfn.TEXTBEFORE(_xlfn.TEXTAFTER(Table26[[#This Row],[WBS CODE]], "-"), "-")</f>
        <v>30101046162</v>
      </c>
    </row>
    <row r="653" spans="1:16" x14ac:dyDescent="0.3">
      <c r="A653">
        <v>652</v>
      </c>
      <c r="B653" t="s">
        <v>30</v>
      </c>
      <c r="C653" t="s">
        <v>1329</v>
      </c>
      <c r="D653" t="s">
        <v>1330</v>
      </c>
      <c r="E653" t="s">
        <v>815</v>
      </c>
      <c r="F653" t="s">
        <v>816</v>
      </c>
      <c r="G653" t="s">
        <v>831</v>
      </c>
      <c r="H653" t="s">
        <v>921</v>
      </c>
      <c r="I653" t="s">
        <v>1330</v>
      </c>
      <c r="J653" t="s">
        <v>373</v>
      </c>
      <c r="K653" t="s">
        <v>385</v>
      </c>
      <c r="L653" t="s">
        <v>42</v>
      </c>
      <c r="M653" t="s">
        <v>463</v>
      </c>
      <c r="N653" t="s">
        <v>832</v>
      </c>
      <c r="O653" t="s">
        <v>219</v>
      </c>
      <c r="P653" t="str">
        <f>_xlfn.TEXTBEFORE(_xlfn.TEXTAFTER(Table26[[#This Row],[WBS CODE]], "-"), "-")</f>
        <v>30101046193</v>
      </c>
    </row>
    <row r="654" spans="1:16" x14ac:dyDescent="0.3">
      <c r="A654">
        <v>653</v>
      </c>
      <c r="B654" t="s">
        <v>30</v>
      </c>
      <c r="C654" t="s">
        <v>1331</v>
      </c>
      <c r="D654" t="s">
        <v>1332</v>
      </c>
      <c r="E654" t="s">
        <v>815</v>
      </c>
      <c r="F654" t="s">
        <v>816</v>
      </c>
      <c r="G654" t="s">
        <v>834</v>
      </c>
      <c r="H654" t="s">
        <v>923</v>
      </c>
      <c r="I654" t="s">
        <v>1332</v>
      </c>
      <c r="J654" t="s">
        <v>373</v>
      </c>
      <c r="K654" t="s">
        <v>385</v>
      </c>
      <c r="L654" t="s">
        <v>39</v>
      </c>
      <c r="M654" t="s">
        <v>455</v>
      </c>
      <c r="N654" t="s">
        <v>835</v>
      </c>
      <c r="O654" t="s">
        <v>219</v>
      </c>
      <c r="P654" t="str">
        <f>_xlfn.TEXTBEFORE(_xlfn.TEXTAFTER(Table26[[#This Row],[WBS CODE]], "-"), "-")</f>
        <v>30101050160</v>
      </c>
    </row>
    <row r="655" spans="1:16" x14ac:dyDescent="0.3">
      <c r="A655">
        <v>654</v>
      </c>
      <c r="B655" t="s">
        <v>30</v>
      </c>
      <c r="C655" t="s">
        <v>1333</v>
      </c>
      <c r="D655" t="s">
        <v>1334</v>
      </c>
      <c r="E655" t="s">
        <v>815</v>
      </c>
      <c r="F655" t="s">
        <v>816</v>
      </c>
      <c r="G655" t="s">
        <v>834</v>
      </c>
      <c r="H655" t="s">
        <v>925</v>
      </c>
      <c r="I655" t="s">
        <v>1334</v>
      </c>
      <c r="J655" t="s">
        <v>373</v>
      </c>
      <c r="K655" t="s">
        <v>385</v>
      </c>
      <c r="L655" t="s">
        <v>900</v>
      </c>
      <c r="M655" t="s">
        <v>450</v>
      </c>
      <c r="N655" t="s">
        <v>835</v>
      </c>
      <c r="O655" t="s">
        <v>219</v>
      </c>
      <c r="P655" t="str">
        <f>_xlfn.TEXTBEFORE(_xlfn.TEXTAFTER(Table26[[#This Row],[WBS CODE]], "-"), "-")</f>
        <v>30101050204</v>
      </c>
    </row>
    <row r="656" spans="1:16" x14ac:dyDescent="0.3">
      <c r="A656">
        <v>655</v>
      </c>
      <c r="B656" t="s">
        <v>30</v>
      </c>
      <c r="C656" t="s">
        <v>1335</v>
      </c>
      <c r="D656" t="s">
        <v>1336</v>
      </c>
      <c r="E656" t="s">
        <v>815</v>
      </c>
      <c r="F656" t="s">
        <v>816</v>
      </c>
      <c r="G656" t="s">
        <v>834</v>
      </c>
      <c r="H656" t="s">
        <v>925</v>
      </c>
      <c r="I656" t="s">
        <v>1336</v>
      </c>
      <c r="J656" t="s">
        <v>373</v>
      </c>
      <c r="K656" t="s">
        <v>385</v>
      </c>
      <c r="L656" t="s">
        <v>900</v>
      </c>
      <c r="M656" t="s">
        <v>447</v>
      </c>
      <c r="N656" t="s">
        <v>835</v>
      </c>
      <c r="O656" t="s">
        <v>219</v>
      </c>
      <c r="P656" t="str">
        <f>_xlfn.TEXTBEFORE(_xlfn.TEXTAFTER(Table26[[#This Row],[WBS CODE]], "-"), "-")</f>
        <v>30101050205</v>
      </c>
    </row>
    <row r="657" spans="1:16" x14ac:dyDescent="0.3">
      <c r="A657">
        <v>656</v>
      </c>
      <c r="B657" t="s">
        <v>30</v>
      </c>
      <c r="C657" t="s">
        <v>1337</v>
      </c>
      <c r="D657" t="s">
        <v>1338</v>
      </c>
      <c r="E657" t="s">
        <v>815</v>
      </c>
      <c r="F657" t="s">
        <v>816</v>
      </c>
      <c r="G657" t="s">
        <v>834</v>
      </c>
      <c r="H657" t="s">
        <v>925</v>
      </c>
      <c r="I657" t="s">
        <v>1338</v>
      </c>
      <c r="J657" t="s">
        <v>373</v>
      </c>
      <c r="K657" t="s">
        <v>385</v>
      </c>
      <c r="L657" t="s">
        <v>900</v>
      </c>
      <c r="M657" t="s">
        <v>444</v>
      </c>
      <c r="N657" t="s">
        <v>835</v>
      </c>
      <c r="O657" t="s">
        <v>219</v>
      </c>
      <c r="P657" t="str">
        <f>_xlfn.TEXTBEFORE(_xlfn.TEXTAFTER(Table26[[#This Row],[WBS CODE]], "-"), "-")</f>
        <v>30101050207</v>
      </c>
    </row>
    <row r="658" spans="1:16" x14ac:dyDescent="0.3">
      <c r="A658">
        <v>657</v>
      </c>
      <c r="B658" t="s">
        <v>30</v>
      </c>
      <c r="C658" t="s">
        <v>1339</v>
      </c>
      <c r="D658" t="s">
        <v>1340</v>
      </c>
      <c r="E658" t="s">
        <v>815</v>
      </c>
      <c r="F658" t="s">
        <v>816</v>
      </c>
      <c r="G658" t="s">
        <v>834</v>
      </c>
      <c r="H658" t="s">
        <v>925</v>
      </c>
      <c r="I658" t="s">
        <v>1340</v>
      </c>
      <c r="J658" t="s">
        <v>373</v>
      </c>
      <c r="K658" t="s">
        <v>385</v>
      </c>
      <c r="L658" t="s">
        <v>900</v>
      </c>
      <c r="M658" t="s">
        <v>441</v>
      </c>
      <c r="N658" t="s">
        <v>835</v>
      </c>
      <c r="O658" t="s">
        <v>219</v>
      </c>
      <c r="P658" t="str">
        <f>_xlfn.TEXTBEFORE(_xlfn.TEXTAFTER(Table26[[#This Row],[WBS CODE]], "-"), "-")</f>
        <v>30101050208</v>
      </c>
    </row>
    <row r="659" spans="1:16" x14ac:dyDescent="0.3">
      <c r="A659">
        <v>658</v>
      </c>
      <c r="B659" t="s">
        <v>30</v>
      </c>
      <c r="C659" t="s">
        <v>1341</v>
      </c>
      <c r="D659" t="s">
        <v>1342</v>
      </c>
      <c r="E659" t="s">
        <v>815</v>
      </c>
      <c r="F659" t="s">
        <v>816</v>
      </c>
      <c r="G659" t="s">
        <v>834</v>
      </c>
      <c r="H659" t="s">
        <v>925</v>
      </c>
      <c r="I659" t="s">
        <v>1342</v>
      </c>
      <c r="J659" t="s">
        <v>373</v>
      </c>
      <c r="K659" t="s">
        <v>385</v>
      </c>
      <c r="L659" t="s">
        <v>900</v>
      </c>
      <c r="M659" t="s">
        <v>438</v>
      </c>
      <c r="N659" t="s">
        <v>835</v>
      </c>
      <c r="O659" t="s">
        <v>219</v>
      </c>
      <c r="P659" t="str">
        <f>_xlfn.TEXTBEFORE(_xlfn.TEXTAFTER(Table26[[#This Row],[WBS CODE]], "-"), "-")</f>
        <v>30101050209</v>
      </c>
    </row>
    <row r="660" spans="1:16" x14ac:dyDescent="0.3">
      <c r="A660">
        <v>659</v>
      </c>
      <c r="B660" t="s">
        <v>30</v>
      </c>
      <c r="C660" t="s">
        <v>1343</v>
      </c>
      <c r="D660" t="s">
        <v>1344</v>
      </c>
      <c r="E660" t="s">
        <v>815</v>
      </c>
      <c r="F660" t="s">
        <v>816</v>
      </c>
      <c r="G660" t="s">
        <v>834</v>
      </c>
      <c r="H660" t="s">
        <v>925</v>
      </c>
      <c r="I660" t="s">
        <v>1344</v>
      </c>
      <c r="J660" t="s">
        <v>373</v>
      </c>
      <c r="K660" t="s">
        <v>385</v>
      </c>
      <c r="L660" t="s">
        <v>900</v>
      </c>
      <c r="M660" t="s">
        <v>435</v>
      </c>
      <c r="N660" t="s">
        <v>835</v>
      </c>
      <c r="O660" t="s">
        <v>219</v>
      </c>
      <c r="P660" t="str">
        <f>_xlfn.TEXTBEFORE(_xlfn.TEXTAFTER(Table26[[#This Row],[WBS CODE]], "-"), "-")</f>
        <v>30101050210</v>
      </c>
    </row>
    <row r="661" spans="1:16" x14ac:dyDescent="0.3">
      <c r="A661">
        <v>660</v>
      </c>
      <c r="B661" t="s">
        <v>30</v>
      </c>
      <c r="C661" t="s">
        <v>1345</v>
      </c>
      <c r="D661" t="s">
        <v>1346</v>
      </c>
      <c r="E661" t="s">
        <v>815</v>
      </c>
      <c r="F661" t="s">
        <v>816</v>
      </c>
      <c r="G661" t="s">
        <v>834</v>
      </c>
      <c r="H661" t="s">
        <v>925</v>
      </c>
      <c r="I661" t="s">
        <v>1346</v>
      </c>
      <c r="J661" t="s">
        <v>373</v>
      </c>
      <c r="K661" t="s">
        <v>385</v>
      </c>
      <c r="L661" t="s">
        <v>900</v>
      </c>
      <c r="M661" t="s">
        <v>432</v>
      </c>
      <c r="N661" t="s">
        <v>835</v>
      </c>
      <c r="O661" t="s">
        <v>219</v>
      </c>
      <c r="P661" t="str">
        <f>_xlfn.TEXTBEFORE(_xlfn.TEXTAFTER(Table26[[#This Row],[WBS CODE]], "-"), "-")</f>
        <v>30101050211</v>
      </c>
    </row>
    <row r="662" spans="1:16" x14ac:dyDescent="0.3">
      <c r="A662">
        <v>661</v>
      </c>
      <c r="B662" t="s">
        <v>30</v>
      </c>
      <c r="C662" t="s">
        <v>1347</v>
      </c>
      <c r="D662" t="s">
        <v>1348</v>
      </c>
      <c r="E662" t="s">
        <v>815</v>
      </c>
      <c r="F662" t="s">
        <v>816</v>
      </c>
      <c r="G662" t="s">
        <v>834</v>
      </c>
      <c r="H662" t="s">
        <v>925</v>
      </c>
      <c r="I662" t="s">
        <v>1348</v>
      </c>
      <c r="J662" t="s">
        <v>373</v>
      </c>
      <c r="K662" t="s">
        <v>385</v>
      </c>
      <c r="L662" t="s">
        <v>900</v>
      </c>
      <c r="M662" t="s">
        <v>429</v>
      </c>
      <c r="N662" t="s">
        <v>835</v>
      </c>
      <c r="O662" t="s">
        <v>219</v>
      </c>
      <c r="P662" t="str">
        <f>_xlfn.TEXTBEFORE(_xlfn.TEXTAFTER(Table26[[#This Row],[WBS CODE]], "-"), "-")</f>
        <v>30101050212</v>
      </c>
    </row>
    <row r="663" spans="1:16" x14ac:dyDescent="0.3">
      <c r="A663">
        <v>662</v>
      </c>
      <c r="B663" t="s">
        <v>30</v>
      </c>
      <c r="C663" t="s">
        <v>1349</v>
      </c>
      <c r="D663" t="s">
        <v>1350</v>
      </c>
      <c r="E663" t="s">
        <v>815</v>
      </c>
      <c r="F663" t="s">
        <v>816</v>
      </c>
      <c r="G663" t="s">
        <v>834</v>
      </c>
      <c r="H663" t="s">
        <v>925</v>
      </c>
      <c r="I663" t="s">
        <v>1350</v>
      </c>
      <c r="J663" t="s">
        <v>373</v>
      </c>
      <c r="K663" t="s">
        <v>385</v>
      </c>
      <c r="L663" t="s">
        <v>900</v>
      </c>
      <c r="M663" t="s">
        <v>423</v>
      </c>
      <c r="N663" t="s">
        <v>835</v>
      </c>
      <c r="O663" t="s">
        <v>219</v>
      </c>
      <c r="P663" t="str">
        <f>_xlfn.TEXTBEFORE(_xlfn.TEXTAFTER(Table26[[#This Row],[WBS CODE]], "-"), "-")</f>
        <v>30101050213</v>
      </c>
    </row>
    <row r="664" spans="1:16" x14ac:dyDescent="0.3">
      <c r="A664">
        <v>663</v>
      </c>
      <c r="B664" t="s">
        <v>30</v>
      </c>
      <c r="C664" t="s">
        <v>1351</v>
      </c>
      <c r="D664" t="s">
        <v>1352</v>
      </c>
      <c r="E664" t="s">
        <v>815</v>
      </c>
      <c r="F664" t="s">
        <v>816</v>
      </c>
      <c r="G664" t="s">
        <v>834</v>
      </c>
      <c r="H664" t="s">
        <v>925</v>
      </c>
      <c r="I664" t="s">
        <v>1352</v>
      </c>
      <c r="J664" t="s">
        <v>373</v>
      </c>
      <c r="K664" t="s">
        <v>385</v>
      </c>
      <c r="L664" t="s">
        <v>900</v>
      </c>
      <c r="M664" t="s">
        <v>420</v>
      </c>
      <c r="N664" t="s">
        <v>835</v>
      </c>
      <c r="O664" t="s">
        <v>219</v>
      </c>
      <c r="P664" t="str">
        <f>_xlfn.TEXTBEFORE(_xlfn.TEXTAFTER(Table26[[#This Row],[WBS CODE]], "-"), "-")</f>
        <v>30101050214</v>
      </c>
    </row>
    <row r="665" spans="1:16" x14ac:dyDescent="0.3">
      <c r="A665">
        <v>664</v>
      </c>
      <c r="B665" t="s">
        <v>30</v>
      </c>
      <c r="C665" t="s">
        <v>1353</v>
      </c>
      <c r="D665" t="s">
        <v>1354</v>
      </c>
      <c r="E665" t="s">
        <v>815</v>
      </c>
      <c r="F665" t="s">
        <v>816</v>
      </c>
      <c r="G665" t="s">
        <v>834</v>
      </c>
      <c r="H665" t="s">
        <v>925</v>
      </c>
      <c r="I665" t="s">
        <v>1354</v>
      </c>
      <c r="J665" t="s">
        <v>373</v>
      </c>
      <c r="K665" t="s">
        <v>385</v>
      </c>
      <c r="L665" t="s">
        <v>900</v>
      </c>
      <c r="M665" t="s">
        <v>417</v>
      </c>
      <c r="N665" t="s">
        <v>835</v>
      </c>
      <c r="O665" t="s">
        <v>219</v>
      </c>
      <c r="P665" t="str">
        <f>_xlfn.TEXTBEFORE(_xlfn.TEXTAFTER(Table26[[#This Row],[WBS CODE]], "-"), "-")</f>
        <v>30101050215</v>
      </c>
    </row>
    <row r="666" spans="1:16" x14ac:dyDescent="0.3">
      <c r="A666">
        <v>665</v>
      </c>
      <c r="B666" t="s">
        <v>30</v>
      </c>
      <c r="C666" t="s">
        <v>1355</v>
      </c>
      <c r="D666" t="s">
        <v>1356</v>
      </c>
      <c r="E666" t="s">
        <v>815</v>
      </c>
      <c r="F666" t="s">
        <v>816</v>
      </c>
      <c r="G666" t="s">
        <v>834</v>
      </c>
      <c r="H666" t="s">
        <v>925</v>
      </c>
      <c r="I666" t="s">
        <v>1356</v>
      </c>
      <c r="J666" t="s">
        <v>373</v>
      </c>
      <c r="K666" t="s">
        <v>385</v>
      </c>
      <c r="L666" t="s">
        <v>900</v>
      </c>
      <c r="M666" t="s">
        <v>414</v>
      </c>
      <c r="N666" t="s">
        <v>835</v>
      </c>
      <c r="O666" t="s">
        <v>219</v>
      </c>
      <c r="P666" t="str">
        <f>_xlfn.TEXTBEFORE(_xlfn.TEXTAFTER(Table26[[#This Row],[WBS CODE]], "-"), "-")</f>
        <v>30101050216</v>
      </c>
    </row>
    <row r="667" spans="1:16" x14ac:dyDescent="0.3">
      <c r="A667">
        <v>666</v>
      </c>
      <c r="B667" t="s">
        <v>30</v>
      </c>
      <c r="C667" t="s">
        <v>1357</v>
      </c>
      <c r="D667" t="s">
        <v>1358</v>
      </c>
      <c r="E667" t="s">
        <v>815</v>
      </c>
      <c r="F667" t="s">
        <v>816</v>
      </c>
      <c r="G667" t="s">
        <v>834</v>
      </c>
      <c r="H667" t="s">
        <v>925</v>
      </c>
      <c r="I667" t="s">
        <v>1358</v>
      </c>
      <c r="J667" t="s">
        <v>373</v>
      </c>
      <c r="K667" t="s">
        <v>385</v>
      </c>
      <c r="L667" t="s">
        <v>900</v>
      </c>
      <c r="M667" t="s">
        <v>411</v>
      </c>
      <c r="N667" t="s">
        <v>835</v>
      </c>
      <c r="O667" t="s">
        <v>219</v>
      </c>
      <c r="P667" t="str">
        <f>_xlfn.TEXTBEFORE(_xlfn.TEXTAFTER(Table26[[#This Row],[WBS CODE]], "-"), "-")</f>
        <v>30101050217</v>
      </c>
    </row>
    <row r="668" spans="1:16" x14ac:dyDescent="0.3">
      <c r="A668">
        <v>667</v>
      </c>
      <c r="B668" t="s">
        <v>30</v>
      </c>
      <c r="C668" t="s">
        <v>1359</v>
      </c>
      <c r="D668" t="s">
        <v>1360</v>
      </c>
      <c r="E668" t="s">
        <v>815</v>
      </c>
      <c r="F668" t="s">
        <v>816</v>
      </c>
      <c r="G668" t="s">
        <v>834</v>
      </c>
      <c r="H668" t="s">
        <v>925</v>
      </c>
      <c r="I668" t="s">
        <v>1360</v>
      </c>
      <c r="J668" t="s">
        <v>373</v>
      </c>
      <c r="K668" t="s">
        <v>385</v>
      </c>
      <c r="L668" t="s">
        <v>900</v>
      </c>
      <c r="M668" t="s">
        <v>408</v>
      </c>
      <c r="N668" t="s">
        <v>835</v>
      </c>
      <c r="O668" t="s">
        <v>219</v>
      </c>
      <c r="P668" t="str">
        <f>_xlfn.TEXTBEFORE(_xlfn.TEXTAFTER(Table26[[#This Row],[WBS CODE]], "-"), "-")</f>
        <v>30101050220</v>
      </c>
    </row>
    <row r="669" spans="1:16" x14ac:dyDescent="0.3">
      <c r="A669">
        <v>668</v>
      </c>
      <c r="B669" t="s">
        <v>30</v>
      </c>
      <c r="C669" t="s">
        <v>1361</v>
      </c>
      <c r="D669" t="s">
        <v>1362</v>
      </c>
      <c r="E669" t="s">
        <v>815</v>
      </c>
      <c r="F669" t="s">
        <v>816</v>
      </c>
      <c r="G669" t="s">
        <v>834</v>
      </c>
      <c r="H669" t="s">
        <v>925</v>
      </c>
      <c r="I669" t="s">
        <v>1362</v>
      </c>
      <c r="J669" t="s">
        <v>373</v>
      </c>
      <c r="K669" t="s">
        <v>385</v>
      </c>
      <c r="L669" t="s">
        <v>900</v>
      </c>
      <c r="M669" t="s">
        <v>390</v>
      </c>
      <c r="N669" t="s">
        <v>835</v>
      </c>
      <c r="O669" t="s">
        <v>219</v>
      </c>
      <c r="P669" t="str">
        <f>_xlfn.TEXTBEFORE(_xlfn.TEXTAFTER(Table26[[#This Row],[WBS CODE]], "-"), "-")</f>
        <v>30101050224</v>
      </c>
    </row>
    <row r="670" spans="1:16" x14ac:dyDescent="0.3">
      <c r="A670">
        <v>669</v>
      </c>
      <c r="B670" t="s">
        <v>30</v>
      </c>
      <c r="C670" t="s">
        <v>1363</v>
      </c>
      <c r="D670" t="s">
        <v>1364</v>
      </c>
      <c r="E670" t="s">
        <v>815</v>
      </c>
      <c r="F670" t="s">
        <v>816</v>
      </c>
      <c r="G670" t="s">
        <v>834</v>
      </c>
      <c r="H670" t="s">
        <v>925</v>
      </c>
      <c r="I670" t="s">
        <v>1364</v>
      </c>
      <c r="J670" t="s">
        <v>373</v>
      </c>
      <c r="K670" t="s">
        <v>385</v>
      </c>
      <c r="L670" t="s">
        <v>900</v>
      </c>
      <c r="M670" t="s">
        <v>1139</v>
      </c>
      <c r="N670" t="s">
        <v>835</v>
      </c>
      <c r="O670" t="s">
        <v>219</v>
      </c>
      <c r="P670" t="str">
        <f>_xlfn.TEXTBEFORE(_xlfn.TEXTAFTER(Table26[[#This Row],[WBS CODE]], "-"), "-")</f>
        <v>30101050245</v>
      </c>
    </row>
    <row r="671" spans="1:16" x14ac:dyDescent="0.3">
      <c r="A671">
        <v>670</v>
      </c>
      <c r="B671" t="s">
        <v>30</v>
      </c>
      <c r="C671" t="s">
        <v>1365</v>
      </c>
      <c r="D671" t="s">
        <v>1366</v>
      </c>
      <c r="E671" t="s">
        <v>815</v>
      </c>
      <c r="F671" t="s">
        <v>816</v>
      </c>
      <c r="G671" t="s">
        <v>834</v>
      </c>
      <c r="H671" t="s">
        <v>925</v>
      </c>
      <c r="I671" t="s">
        <v>1366</v>
      </c>
      <c r="J671" t="s">
        <v>373</v>
      </c>
      <c r="K671" t="s">
        <v>385</v>
      </c>
      <c r="L671" t="s">
        <v>900</v>
      </c>
      <c r="M671" t="s">
        <v>426</v>
      </c>
      <c r="N671" t="s">
        <v>835</v>
      </c>
      <c r="O671" t="s">
        <v>219</v>
      </c>
      <c r="P671" t="str">
        <f>_xlfn.TEXTBEFORE(_xlfn.TEXTAFTER(Table26[[#This Row],[WBS CODE]], "-"), "-")</f>
        <v>30101050247</v>
      </c>
    </row>
    <row r="672" spans="1:16" x14ac:dyDescent="0.3">
      <c r="A672">
        <v>671</v>
      </c>
      <c r="B672" t="s">
        <v>30</v>
      </c>
      <c r="C672" t="s">
        <v>1367</v>
      </c>
      <c r="D672" t="s">
        <v>1368</v>
      </c>
      <c r="E672" t="s">
        <v>815</v>
      </c>
      <c r="F672" t="s">
        <v>816</v>
      </c>
      <c r="G672" t="s">
        <v>834</v>
      </c>
      <c r="H672" t="s">
        <v>925</v>
      </c>
      <c r="I672" t="s">
        <v>1368</v>
      </c>
      <c r="J672" t="s">
        <v>373</v>
      </c>
      <c r="K672" t="s">
        <v>385</v>
      </c>
      <c r="L672" t="s">
        <v>900</v>
      </c>
      <c r="M672" t="s">
        <v>405</v>
      </c>
      <c r="N672" t="s">
        <v>835</v>
      </c>
      <c r="O672" t="s">
        <v>219</v>
      </c>
      <c r="P672" t="str">
        <f>_xlfn.TEXTBEFORE(_xlfn.TEXTAFTER(Table26[[#This Row],[WBS CODE]], "-"), "-")</f>
        <v>30101050294</v>
      </c>
    </row>
    <row r="673" spans="1:16" x14ac:dyDescent="0.3">
      <c r="A673">
        <v>672</v>
      </c>
      <c r="B673" t="s">
        <v>30</v>
      </c>
      <c r="C673" t="s">
        <v>1369</v>
      </c>
      <c r="D673" t="s">
        <v>1370</v>
      </c>
      <c r="E673" t="s">
        <v>815</v>
      </c>
      <c r="F673" t="s">
        <v>816</v>
      </c>
      <c r="G673" t="s">
        <v>834</v>
      </c>
      <c r="H673" t="s">
        <v>925</v>
      </c>
      <c r="I673" t="s">
        <v>1370</v>
      </c>
      <c r="J673" t="s">
        <v>373</v>
      </c>
      <c r="K673" t="s">
        <v>385</v>
      </c>
      <c r="L673" t="s">
        <v>900</v>
      </c>
      <c r="M673" t="s">
        <v>402</v>
      </c>
      <c r="N673" t="s">
        <v>835</v>
      </c>
      <c r="O673" t="s">
        <v>219</v>
      </c>
      <c r="P673" t="str">
        <f>_xlfn.TEXTBEFORE(_xlfn.TEXTAFTER(Table26[[#This Row],[WBS CODE]], "-"), "-")</f>
        <v>30101050295</v>
      </c>
    </row>
    <row r="674" spans="1:16" x14ac:dyDescent="0.3">
      <c r="A674">
        <v>673</v>
      </c>
      <c r="B674" t="s">
        <v>30</v>
      </c>
      <c r="C674" t="s">
        <v>1371</v>
      </c>
      <c r="D674" t="s">
        <v>1372</v>
      </c>
      <c r="E674" t="s">
        <v>815</v>
      </c>
      <c r="F674" t="s">
        <v>816</v>
      </c>
      <c r="G674" t="s">
        <v>834</v>
      </c>
      <c r="H674" t="s">
        <v>925</v>
      </c>
      <c r="I674" t="s">
        <v>1372</v>
      </c>
      <c r="J674" t="s">
        <v>373</v>
      </c>
      <c r="K674" t="s">
        <v>385</v>
      </c>
      <c r="L674" t="s">
        <v>900</v>
      </c>
      <c r="M674" t="s">
        <v>399</v>
      </c>
      <c r="N674" t="s">
        <v>835</v>
      </c>
      <c r="O674" t="s">
        <v>219</v>
      </c>
      <c r="P674" t="str">
        <f>_xlfn.TEXTBEFORE(_xlfn.TEXTAFTER(Table26[[#This Row],[WBS CODE]], "-"), "-")</f>
        <v>30101050296</v>
      </c>
    </row>
    <row r="675" spans="1:16" x14ac:dyDescent="0.3">
      <c r="A675">
        <v>674</v>
      </c>
      <c r="B675" t="s">
        <v>30</v>
      </c>
      <c r="C675" t="s">
        <v>1373</v>
      </c>
      <c r="D675" t="s">
        <v>1374</v>
      </c>
      <c r="E675" t="s">
        <v>815</v>
      </c>
      <c r="F675" t="s">
        <v>816</v>
      </c>
      <c r="G675" t="s">
        <v>834</v>
      </c>
      <c r="H675" t="s">
        <v>925</v>
      </c>
      <c r="I675" t="s">
        <v>1374</v>
      </c>
      <c r="J675" t="s">
        <v>373</v>
      </c>
      <c r="K675" t="s">
        <v>385</v>
      </c>
      <c r="L675" t="s">
        <v>900</v>
      </c>
      <c r="M675" t="s">
        <v>396</v>
      </c>
      <c r="N675" t="s">
        <v>835</v>
      </c>
      <c r="O675" t="s">
        <v>219</v>
      </c>
      <c r="P675" t="str">
        <f>_xlfn.TEXTBEFORE(_xlfn.TEXTAFTER(Table26[[#This Row],[WBS CODE]], "-"), "-")</f>
        <v>30101050297</v>
      </c>
    </row>
    <row r="676" spans="1:16" x14ac:dyDescent="0.3">
      <c r="A676">
        <v>675</v>
      </c>
      <c r="B676" t="s">
        <v>30</v>
      </c>
      <c r="C676" t="s">
        <v>1375</v>
      </c>
      <c r="D676" t="s">
        <v>1376</v>
      </c>
      <c r="E676" t="s">
        <v>815</v>
      </c>
      <c r="F676" t="s">
        <v>816</v>
      </c>
      <c r="G676" t="s">
        <v>834</v>
      </c>
      <c r="H676" t="s">
        <v>925</v>
      </c>
      <c r="I676" t="s">
        <v>1376</v>
      </c>
      <c r="J676" t="s">
        <v>373</v>
      </c>
      <c r="K676" t="s">
        <v>385</v>
      </c>
      <c r="L676" t="s">
        <v>900</v>
      </c>
      <c r="M676" t="s">
        <v>393</v>
      </c>
      <c r="N676" t="s">
        <v>835</v>
      </c>
      <c r="O676" t="s">
        <v>219</v>
      </c>
      <c r="P676" t="str">
        <f>_xlfn.TEXTBEFORE(_xlfn.TEXTAFTER(Table26[[#This Row],[WBS CODE]], "-"), "-")</f>
        <v>30101050298</v>
      </c>
    </row>
    <row r="677" spans="1:16" x14ac:dyDescent="0.3">
      <c r="A677">
        <v>676</v>
      </c>
      <c r="B677" t="s">
        <v>30</v>
      </c>
      <c r="C677" t="s">
        <v>1377</v>
      </c>
      <c r="D677" t="s">
        <v>1378</v>
      </c>
      <c r="E677" t="s">
        <v>815</v>
      </c>
      <c r="F677" t="s">
        <v>816</v>
      </c>
      <c r="G677" t="s">
        <v>834</v>
      </c>
      <c r="H677" t="s">
        <v>927</v>
      </c>
      <c r="I677" t="s">
        <v>1378</v>
      </c>
      <c r="J677" t="s">
        <v>373</v>
      </c>
      <c r="K677" t="s">
        <v>385</v>
      </c>
      <c r="L677" t="s">
        <v>42</v>
      </c>
      <c r="M677" t="s">
        <v>471</v>
      </c>
      <c r="N677" t="s">
        <v>835</v>
      </c>
      <c r="O677" t="s">
        <v>219</v>
      </c>
      <c r="P677" t="str">
        <f>_xlfn.TEXTBEFORE(_xlfn.TEXTAFTER(Table26[[#This Row],[WBS CODE]], "-"), "-")</f>
        <v>30101056101</v>
      </c>
    </row>
    <row r="678" spans="1:16" x14ac:dyDescent="0.3">
      <c r="A678">
        <v>677</v>
      </c>
      <c r="B678" t="s">
        <v>30</v>
      </c>
      <c r="C678" t="s">
        <v>1379</v>
      </c>
      <c r="D678" t="s">
        <v>1380</v>
      </c>
      <c r="E678" t="s">
        <v>815</v>
      </c>
      <c r="F678" t="s">
        <v>816</v>
      </c>
      <c r="G678" t="s">
        <v>834</v>
      </c>
      <c r="H678" t="s">
        <v>927</v>
      </c>
      <c r="I678" t="s">
        <v>1380</v>
      </c>
      <c r="J678" t="s">
        <v>373</v>
      </c>
      <c r="K678" t="s">
        <v>385</v>
      </c>
      <c r="L678" t="s">
        <v>42</v>
      </c>
      <c r="M678" t="s">
        <v>1156</v>
      </c>
      <c r="N678" t="s">
        <v>835</v>
      </c>
      <c r="O678" t="s">
        <v>219</v>
      </c>
      <c r="P678" t="str">
        <f>_xlfn.TEXTBEFORE(_xlfn.TEXTAFTER(Table26[[#This Row],[WBS CODE]], "-"), "-")</f>
        <v>30101056102</v>
      </c>
    </row>
    <row r="679" spans="1:16" x14ac:dyDescent="0.3">
      <c r="A679">
        <v>678</v>
      </c>
      <c r="B679" t="s">
        <v>30</v>
      </c>
      <c r="C679" t="s">
        <v>1381</v>
      </c>
      <c r="D679" t="s">
        <v>1382</v>
      </c>
      <c r="E679" t="s">
        <v>815</v>
      </c>
      <c r="F679" t="s">
        <v>816</v>
      </c>
      <c r="G679" t="s">
        <v>834</v>
      </c>
      <c r="H679" t="s">
        <v>927</v>
      </c>
      <c r="I679" t="s">
        <v>1382</v>
      </c>
      <c r="J679" t="s">
        <v>373</v>
      </c>
      <c r="K679" t="s">
        <v>385</v>
      </c>
      <c r="L679" t="s">
        <v>42</v>
      </c>
      <c r="M679" t="s">
        <v>466</v>
      </c>
      <c r="N679" t="s">
        <v>835</v>
      </c>
      <c r="O679" t="s">
        <v>219</v>
      </c>
      <c r="P679" t="str">
        <f>_xlfn.TEXTBEFORE(_xlfn.TEXTAFTER(Table26[[#This Row],[WBS CODE]], "-"), "-")</f>
        <v>30101056118</v>
      </c>
    </row>
    <row r="680" spans="1:16" x14ac:dyDescent="0.3">
      <c r="A680">
        <v>679</v>
      </c>
      <c r="B680" t="s">
        <v>30</v>
      </c>
      <c r="C680" t="s">
        <v>1383</v>
      </c>
      <c r="D680" t="s">
        <v>1384</v>
      </c>
      <c r="E680" t="s">
        <v>815</v>
      </c>
      <c r="F680" t="s">
        <v>816</v>
      </c>
      <c r="G680" t="s">
        <v>834</v>
      </c>
      <c r="H680" t="s">
        <v>927</v>
      </c>
      <c r="I680" t="s">
        <v>1384</v>
      </c>
      <c r="J680" t="s">
        <v>373</v>
      </c>
      <c r="K680" t="s">
        <v>385</v>
      </c>
      <c r="L680" t="s">
        <v>42</v>
      </c>
      <c r="M680" t="s">
        <v>460</v>
      </c>
      <c r="N680" t="s">
        <v>835</v>
      </c>
      <c r="O680" t="s">
        <v>219</v>
      </c>
      <c r="P680" t="str">
        <f>_xlfn.TEXTBEFORE(_xlfn.TEXTAFTER(Table26[[#This Row],[WBS CODE]], "-"), "-")</f>
        <v>30101056162</v>
      </c>
    </row>
    <row r="681" spans="1:16" x14ac:dyDescent="0.3">
      <c r="A681">
        <v>680</v>
      </c>
      <c r="B681" t="s">
        <v>30</v>
      </c>
      <c r="C681" t="s">
        <v>1385</v>
      </c>
      <c r="D681" t="s">
        <v>1386</v>
      </c>
      <c r="E681" t="s">
        <v>815</v>
      </c>
      <c r="F681" t="s">
        <v>816</v>
      </c>
      <c r="G681" t="s">
        <v>834</v>
      </c>
      <c r="H681" t="s">
        <v>927</v>
      </c>
      <c r="I681" t="s">
        <v>1386</v>
      </c>
      <c r="J681" t="s">
        <v>373</v>
      </c>
      <c r="K681" t="s">
        <v>385</v>
      </c>
      <c r="L681" t="s">
        <v>42</v>
      </c>
      <c r="M681" t="s">
        <v>463</v>
      </c>
      <c r="N681" t="s">
        <v>835</v>
      </c>
      <c r="O681" t="s">
        <v>219</v>
      </c>
      <c r="P681" t="str">
        <f>_xlfn.TEXTBEFORE(_xlfn.TEXTAFTER(Table26[[#This Row],[WBS CODE]], "-"), "-")</f>
        <v>30101056193</v>
      </c>
    </row>
    <row r="682" spans="1:16" x14ac:dyDescent="0.3">
      <c r="A682">
        <v>681</v>
      </c>
      <c r="B682" t="s">
        <v>30</v>
      </c>
      <c r="C682" t="s">
        <v>1387</v>
      </c>
      <c r="D682" t="s">
        <v>1388</v>
      </c>
      <c r="E682" t="s">
        <v>815</v>
      </c>
      <c r="F682" t="s">
        <v>816</v>
      </c>
      <c r="G682" t="s">
        <v>837</v>
      </c>
      <c r="H682" t="s">
        <v>929</v>
      </c>
      <c r="I682" t="s">
        <v>1388</v>
      </c>
      <c r="J682" t="s">
        <v>373</v>
      </c>
      <c r="K682" t="s">
        <v>385</v>
      </c>
      <c r="L682" t="s">
        <v>39</v>
      </c>
      <c r="M682" t="s">
        <v>455</v>
      </c>
      <c r="N682" t="s">
        <v>838</v>
      </c>
      <c r="O682" t="s">
        <v>219</v>
      </c>
      <c r="P682" t="str">
        <f>_xlfn.TEXTBEFORE(_xlfn.TEXTAFTER(Table26[[#This Row],[WBS CODE]], "-"), "-")</f>
        <v>30101060160</v>
      </c>
    </row>
    <row r="683" spans="1:16" x14ac:dyDescent="0.3">
      <c r="A683">
        <v>682</v>
      </c>
      <c r="B683" t="s">
        <v>30</v>
      </c>
      <c r="C683" t="s">
        <v>1389</v>
      </c>
      <c r="D683" t="s">
        <v>1390</v>
      </c>
      <c r="E683" t="s">
        <v>815</v>
      </c>
      <c r="F683" t="s">
        <v>816</v>
      </c>
      <c r="G683" t="s">
        <v>837</v>
      </c>
      <c r="H683" t="s">
        <v>931</v>
      </c>
      <c r="I683" t="s">
        <v>1390</v>
      </c>
      <c r="J683" t="s">
        <v>373</v>
      </c>
      <c r="K683" t="s">
        <v>385</v>
      </c>
      <c r="L683" t="s">
        <v>900</v>
      </c>
      <c r="M683" t="s">
        <v>450</v>
      </c>
      <c r="N683" t="s">
        <v>838</v>
      </c>
      <c r="O683" t="s">
        <v>219</v>
      </c>
      <c r="P683" t="str">
        <f>_xlfn.TEXTBEFORE(_xlfn.TEXTAFTER(Table26[[#This Row],[WBS CODE]], "-"), "-")</f>
        <v>30101060204</v>
      </c>
    </row>
    <row r="684" spans="1:16" x14ac:dyDescent="0.3">
      <c r="A684">
        <v>683</v>
      </c>
      <c r="B684" t="s">
        <v>30</v>
      </c>
      <c r="C684" t="s">
        <v>1391</v>
      </c>
      <c r="D684" t="s">
        <v>1392</v>
      </c>
      <c r="E684" t="s">
        <v>815</v>
      </c>
      <c r="F684" t="s">
        <v>816</v>
      </c>
      <c r="G684" t="s">
        <v>837</v>
      </c>
      <c r="H684" t="s">
        <v>931</v>
      </c>
      <c r="I684" t="s">
        <v>1392</v>
      </c>
      <c r="J684" t="s">
        <v>373</v>
      </c>
      <c r="K684" t="s">
        <v>385</v>
      </c>
      <c r="L684" t="s">
        <v>900</v>
      </c>
      <c r="M684" t="s">
        <v>447</v>
      </c>
      <c r="N684" t="s">
        <v>838</v>
      </c>
      <c r="O684" t="s">
        <v>219</v>
      </c>
      <c r="P684" t="str">
        <f>_xlfn.TEXTBEFORE(_xlfn.TEXTAFTER(Table26[[#This Row],[WBS CODE]], "-"), "-")</f>
        <v>30101060205</v>
      </c>
    </row>
    <row r="685" spans="1:16" x14ac:dyDescent="0.3">
      <c r="A685">
        <v>684</v>
      </c>
      <c r="B685" t="s">
        <v>30</v>
      </c>
      <c r="C685" t="s">
        <v>1393</v>
      </c>
      <c r="D685" t="s">
        <v>1394</v>
      </c>
      <c r="E685" t="s">
        <v>815</v>
      </c>
      <c r="F685" t="s">
        <v>816</v>
      </c>
      <c r="G685" t="s">
        <v>837</v>
      </c>
      <c r="H685" t="s">
        <v>931</v>
      </c>
      <c r="I685" t="s">
        <v>1394</v>
      </c>
      <c r="J685" t="s">
        <v>373</v>
      </c>
      <c r="K685" t="s">
        <v>385</v>
      </c>
      <c r="L685" t="s">
        <v>900</v>
      </c>
      <c r="M685" t="s">
        <v>444</v>
      </c>
      <c r="N685" t="s">
        <v>838</v>
      </c>
      <c r="O685" t="s">
        <v>219</v>
      </c>
      <c r="P685" t="str">
        <f>_xlfn.TEXTBEFORE(_xlfn.TEXTAFTER(Table26[[#This Row],[WBS CODE]], "-"), "-")</f>
        <v>30101060207</v>
      </c>
    </row>
    <row r="686" spans="1:16" x14ac:dyDescent="0.3">
      <c r="A686">
        <v>685</v>
      </c>
      <c r="B686" t="s">
        <v>30</v>
      </c>
      <c r="C686" t="s">
        <v>1395</v>
      </c>
      <c r="D686" t="s">
        <v>1396</v>
      </c>
      <c r="E686" t="s">
        <v>815</v>
      </c>
      <c r="F686" t="s">
        <v>816</v>
      </c>
      <c r="G686" t="s">
        <v>837</v>
      </c>
      <c r="H686" t="s">
        <v>931</v>
      </c>
      <c r="I686" t="s">
        <v>1396</v>
      </c>
      <c r="J686" t="s">
        <v>373</v>
      </c>
      <c r="K686" t="s">
        <v>385</v>
      </c>
      <c r="L686" t="s">
        <v>900</v>
      </c>
      <c r="M686" t="s">
        <v>441</v>
      </c>
      <c r="N686" t="s">
        <v>838</v>
      </c>
      <c r="O686" t="s">
        <v>219</v>
      </c>
      <c r="P686" t="str">
        <f>_xlfn.TEXTBEFORE(_xlfn.TEXTAFTER(Table26[[#This Row],[WBS CODE]], "-"), "-")</f>
        <v>30101060208</v>
      </c>
    </row>
    <row r="687" spans="1:16" x14ac:dyDescent="0.3">
      <c r="A687">
        <v>686</v>
      </c>
      <c r="B687" t="s">
        <v>30</v>
      </c>
      <c r="C687" t="s">
        <v>1397</v>
      </c>
      <c r="D687" t="s">
        <v>1398</v>
      </c>
      <c r="E687" t="s">
        <v>815</v>
      </c>
      <c r="F687" t="s">
        <v>816</v>
      </c>
      <c r="G687" t="s">
        <v>837</v>
      </c>
      <c r="H687" t="s">
        <v>931</v>
      </c>
      <c r="I687" t="s">
        <v>1398</v>
      </c>
      <c r="J687" t="s">
        <v>373</v>
      </c>
      <c r="K687" t="s">
        <v>385</v>
      </c>
      <c r="L687" t="s">
        <v>900</v>
      </c>
      <c r="M687" t="s">
        <v>438</v>
      </c>
      <c r="N687" t="s">
        <v>838</v>
      </c>
      <c r="O687" t="s">
        <v>219</v>
      </c>
      <c r="P687" t="str">
        <f>_xlfn.TEXTBEFORE(_xlfn.TEXTAFTER(Table26[[#This Row],[WBS CODE]], "-"), "-")</f>
        <v>30101060209</v>
      </c>
    </row>
    <row r="688" spans="1:16" x14ac:dyDescent="0.3">
      <c r="A688">
        <v>687</v>
      </c>
      <c r="B688" t="s">
        <v>30</v>
      </c>
      <c r="C688" t="s">
        <v>1399</v>
      </c>
      <c r="D688" t="s">
        <v>1400</v>
      </c>
      <c r="E688" t="s">
        <v>815</v>
      </c>
      <c r="F688" t="s">
        <v>816</v>
      </c>
      <c r="G688" t="s">
        <v>837</v>
      </c>
      <c r="H688" t="s">
        <v>931</v>
      </c>
      <c r="I688" t="s">
        <v>1400</v>
      </c>
      <c r="J688" t="s">
        <v>373</v>
      </c>
      <c r="K688" t="s">
        <v>385</v>
      </c>
      <c r="L688" t="s">
        <v>900</v>
      </c>
      <c r="M688" t="s">
        <v>435</v>
      </c>
      <c r="N688" t="s">
        <v>838</v>
      </c>
      <c r="O688" t="s">
        <v>219</v>
      </c>
      <c r="P688" t="str">
        <f>_xlfn.TEXTBEFORE(_xlfn.TEXTAFTER(Table26[[#This Row],[WBS CODE]], "-"), "-")</f>
        <v>30101060210</v>
      </c>
    </row>
    <row r="689" spans="1:16" x14ac:dyDescent="0.3">
      <c r="A689">
        <v>688</v>
      </c>
      <c r="B689" t="s">
        <v>30</v>
      </c>
      <c r="C689" t="s">
        <v>1401</v>
      </c>
      <c r="D689" t="s">
        <v>1402</v>
      </c>
      <c r="E689" t="s">
        <v>815</v>
      </c>
      <c r="F689" t="s">
        <v>816</v>
      </c>
      <c r="G689" t="s">
        <v>837</v>
      </c>
      <c r="H689" t="s">
        <v>931</v>
      </c>
      <c r="I689" t="s">
        <v>1402</v>
      </c>
      <c r="J689" t="s">
        <v>373</v>
      </c>
      <c r="K689" t="s">
        <v>385</v>
      </c>
      <c r="L689" t="s">
        <v>900</v>
      </c>
      <c r="M689" t="s">
        <v>432</v>
      </c>
      <c r="N689" t="s">
        <v>838</v>
      </c>
      <c r="O689" t="s">
        <v>219</v>
      </c>
      <c r="P689" t="str">
        <f>_xlfn.TEXTBEFORE(_xlfn.TEXTAFTER(Table26[[#This Row],[WBS CODE]], "-"), "-")</f>
        <v>30101060211</v>
      </c>
    </row>
    <row r="690" spans="1:16" x14ac:dyDescent="0.3">
      <c r="A690">
        <v>689</v>
      </c>
      <c r="B690" t="s">
        <v>30</v>
      </c>
      <c r="C690" t="s">
        <v>1403</v>
      </c>
      <c r="D690" t="s">
        <v>1404</v>
      </c>
      <c r="E690" t="s">
        <v>815</v>
      </c>
      <c r="F690" t="s">
        <v>816</v>
      </c>
      <c r="G690" t="s">
        <v>837</v>
      </c>
      <c r="H690" t="s">
        <v>931</v>
      </c>
      <c r="I690" t="s">
        <v>1404</v>
      </c>
      <c r="J690" t="s">
        <v>373</v>
      </c>
      <c r="K690" t="s">
        <v>385</v>
      </c>
      <c r="L690" t="s">
        <v>900</v>
      </c>
      <c r="M690" t="s">
        <v>429</v>
      </c>
      <c r="N690" t="s">
        <v>838</v>
      </c>
      <c r="O690" t="s">
        <v>219</v>
      </c>
      <c r="P690" t="str">
        <f>_xlfn.TEXTBEFORE(_xlfn.TEXTAFTER(Table26[[#This Row],[WBS CODE]], "-"), "-")</f>
        <v>30101060212</v>
      </c>
    </row>
    <row r="691" spans="1:16" x14ac:dyDescent="0.3">
      <c r="A691">
        <v>690</v>
      </c>
      <c r="B691" t="s">
        <v>30</v>
      </c>
      <c r="C691" t="s">
        <v>1405</v>
      </c>
      <c r="D691" t="s">
        <v>1406</v>
      </c>
      <c r="E691" t="s">
        <v>815</v>
      </c>
      <c r="F691" t="s">
        <v>816</v>
      </c>
      <c r="G691" t="s">
        <v>837</v>
      </c>
      <c r="H691" t="s">
        <v>931</v>
      </c>
      <c r="I691" t="s">
        <v>1406</v>
      </c>
      <c r="J691" t="s">
        <v>373</v>
      </c>
      <c r="K691" t="s">
        <v>385</v>
      </c>
      <c r="L691" t="s">
        <v>900</v>
      </c>
      <c r="M691" t="s">
        <v>423</v>
      </c>
      <c r="N691" t="s">
        <v>838</v>
      </c>
      <c r="O691" t="s">
        <v>219</v>
      </c>
      <c r="P691" t="str">
        <f>_xlfn.TEXTBEFORE(_xlfn.TEXTAFTER(Table26[[#This Row],[WBS CODE]], "-"), "-")</f>
        <v>30101060213</v>
      </c>
    </row>
    <row r="692" spans="1:16" x14ac:dyDescent="0.3">
      <c r="A692">
        <v>691</v>
      </c>
      <c r="B692" t="s">
        <v>30</v>
      </c>
      <c r="C692" t="s">
        <v>1407</v>
      </c>
      <c r="D692" t="s">
        <v>1408</v>
      </c>
      <c r="E692" t="s">
        <v>815</v>
      </c>
      <c r="F692" t="s">
        <v>816</v>
      </c>
      <c r="G692" t="s">
        <v>837</v>
      </c>
      <c r="H692" t="s">
        <v>931</v>
      </c>
      <c r="I692" t="s">
        <v>1408</v>
      </c>
      <c r="J692" t="s">
        <v>373</v>
      </c>
      <c r="K692" t="s">
        <v>385</v>
      </c>
      <c r="L692" t="s">
        <v>900</v>
      </c>
      <c r="M692" t="s">
        <v>420</v>
      </c>
      <c r="N692" t="s">
        <v>838</v>
      </c>
      <c r="O692" t="s">
        <v>219</v>
      </c>
      <c r="P692" t="str">
        <f>_xlfn.TEXTBEFORE(_xlfn.TEXTAFTER(Table26[[#This Row],[WBS CODE]], "-"), "-")</f>
        <v>30101060214</v>
      </c>
    </row>
    <row r="693" spans="1:16" x14ac:dyDescent="0.3">
      <c r="A693">
        <v>692</v>
      </c>
      <c r="B693" t="s">
        <v>30</v>
      </c>
      <c r="C693" t="s">
        <v>1409</v>
      </c>
      <c r="D693" t="s">
        <v>1410</v>
      </c>
      <c r="E693" t="s">
        <v>815</v>
      </c>
      <c r="F693" t="s">
        <v>816</v>
      </c>
      <c r="G693" t="s">
        <v>837</v>
      </c>
      <c r="H693" t="s">
        <v>931</v>
      </c>
      <c r="I693" t="s">
        <v>1410</v>
      </c>
      <c r="J693" t="s">
        <v>373</v>
      </c>
      <c r="K693" t="s">
        <v>385</v>
      </c>
      <c r="L693" t="s">
        <v>900</v>
      </c>
      <c r="M693" t="s">
        <v>417</v>
      </c>
      <c r="N693" t="s">
        <v>838</v>
      </c>
      <c r="O693" t="s">
        <v>219</v>
      </c>
      <c r="P693" t="str">
        <f>_xlfn.TEXTBEFORE(_xlfn.TEXTAFTER(Table26[[#This Row],[WBS CODE]], "-"), "-")</f>
        <v>30101060215</v>
      </c>
    </row>
    <row r="694" spans="1:16" x14ac:dyDescent="0.3">
      <c r="A694">
        <v>693</v>
      </c>
      <c r="B694" t="s">
        <v>30</v>
      </c>
      <c r="C694" t="s">
        <v>1411</v>
      </c>
      <c r="D694" t="s">
        <v>1412</v>
      </c>
      <c r="E694" t="s">
        <v>815</v>
      </c>
      <c r="F694" t="s">
        <v>816</v>
      </c>
      <c r="G694" t="s">
        <v>837</v>
      </c>
      <c r="H694" t="s">
        <v>931</v>
      </c>
      <c r="I694" t="s">
        <v>1412</v>
      </c>
      <c r="J694" t="s">
        <v>373</v>
      </c>
      <c r="K694" t="s">
        <v>385</v>
      </c>
      <c r="L694" t="s">
        <v>900</v>
      </c>
      <c r="M694" t="s">
        <v>414</v>
      </c>
      <c r="N694" t="s">
        <v>838</v>
      </c>
      <c r="O694" t="s">
        <v>219</v>
      </c>
      <c r="P694" t="str">
        <f>_xlfn.TEXTBEFORE(_xlfn.TEXTAFTER(Table26[[#This Row],[WBS CODE]], "-"), "-")</f>
        <v>30101060216</v>
      </c>
    </row>
    <row r="695" spans="1:16" x14ac:dyDescent="0.3">
      <c r="A695">
        <v>694</v>
      </c>
      <c r="B695" t="s">
        <v>30</v>
      </c>
      <c r="C695" t="s">
        <v>1413</v>
      </c>
      <c r="D695" t="s">
        <v>1414</v>
      </c>
      <c r="E695" t="s">
        <v>815</v>
      </c>
      <c r="F695" t="s">
        <v>816</v>
      </c>
      <c r="G695" t="s">
        <v>837</v>
      </c>
      <c r="H695" t="s">
        <v>931</v>
      </c>
      <c r="I695" t="s">
        <v>1414</v>
      </c>
      <c r="J695" t="s">
        <v>373</v>
      </c>
      <c r="K695" t="s">
        <v>385</v>
      </c>
      <c r="L695" t="s">
        <v>900</v>
      </c>
      <c r="M695" t="s">
        <v>411</v>
      </c>
      <c r="N695" t="s">
        <v>838</v>
      </c>
      <c r="O695" t="s">
        <v>219</v>
      </c>
      <c r="P695" t="str">
        <f>_xlfn.TEXTBEFORE(_xlfn.TEXTAFTER(Table26[[#This Row],[WBS CODE]], "-"), "-")</f>
        <v>30101060217</v>
      </c>
    </row>
    <row r="696" spans="1:16" x14ac:dyDescent="0.3">
      <c r="A696">
        <v>695</v>
      </c>
      <c r="B696" t="s">
        <v>30</v>
      </c>
      <c r="C696" t="s">
        <v>1415</v>
      </c>
      <c r="D696" t="s">
        <v>1416</v>
      </c>
      <c r="E696" t="s">
        <v>815</v>
      </c>
      <c r="F696" t="s">
        <v>816</v>
      </c>
      <c r="G696" t="s">
        <v>837</v>
      </c>
      <c r="H696" t="s">
        <v>931</v>
      </c>
      <c r="I696" t="s">
        <v>1416</v>
      </c>
      <c r="J696" t="s">
        <v>373</v>
      </c>
      <c r="K696" t="s">
        <v>385</v>
      </c>
      <c r="L696" t="s">
        <v>900</v>
      </c>
      <c r="M696" t="s">
        <v>408</v>
      </c>
      <c r="N696" t="s">
        <v>838</v>
      </c>
      <c r="O696" t="s">
        <v>219</v>
      </c>
      <c r="P696" t="str">
        <f>_xlfn.TEXTBEFORE(_xlfn.TEXTAFTER(Table26[[#This Row],[WBS CODE]], "-"), "-")</f>
        <v>30101060220</v>
      </c>
    </row>
    <row r="697" spans="1:16" x14ac:dyDescent="0.3">
      <c r="A697">
        <v>696</v>
      </c>
      <c r="B697" t="s">
        <v>30</v>
      </c>
      <c r="C697" t="s">
        <v>1417</v>
      </c>
      <c r="D697" t="s">
        <v>1418</v>
      </c>
      <c r="E697" t="s">
        <v>815</v>
      </c>
      <c r="F697" t="s">
        <v>816</v>
      </c>
      <c r="G697" t="s">
        <v>837</v>
      </c>
      <c r="H697" t="s">
        <v>931</v>
      </c>
      <c r="I697" t="s">
        <v>1418</v>
      </c>
      <c r="J697" t="s">
        <v>373</v>
      </c>
      <c r="K697" t="s">
        <v>385</v>
      </c>
      <c r="L697" t="s">
        <v>900</v>
      </c>
      <c r="M697" t="s">
        <v>390</v>
      </c>
      <c r="N697" t="s">
        <v>838</v>
      </c>
      <c r="O697" t="s">
        <v>219</v>
      </c>
      <c r="P697" t="str">
        <f>_xlfn.TEXTBEFORE(_xlfn.TEXTAFTER(Table26[[#This Row],[WBS CODE]], "-"), "-")</f>
        <v>30101060224</v>
      </c>
    </row>
    <row r="698" spans="1:16" x14ac:dyDescent="0.3">
      <c r="A698">
        <v>697</v>
      </c>
      <c r="B698" t="s">
        <v>30</v>
      </c>
      <c r="C698" t="s">
        <v>1419</v>
      </c>
      <c r="D698" t="s">
        <v>1420</v>
      </c>
      <c r="E698" t="s">
        <v>815</v>
      </c>
      <c r="F698" t="s">
        <v>816</v>
      </c>
      <c r="G698" t="s">
        <v>837</v>
      </c>
      <c r="H698" t="s">
        <v>931</v>
      </c>
      <c r="I698" t="s">
        <v>1420</v>
      </c>
      <c r="J698" t="s">
        <v>373</v>
      </c>
      <c r="K698" t="s">
        <v>385</v>
      </c>
      <c r="L698" t="s">
        <v>900</v>
      </c>
      <c r="M698" t="s">
        <v>1139</v>
      </c>
      <c r="N698" t="s">
        <v>838</v>
      </c>
      <c r="O698" t="s">
        <v>219</v>
      </c>
      <c r="P698" t="str">
        <f>_xlfn.TEXTBEFORE(_xlfn.TEXTAFTER(Table26[[#This Row],[WBS CODE]], "-"), "-")</f>
        <v>30101060245</v>
      </c>
    </row>
    <row r="699" spans="1:16" x14ac:dyDescent="0.3">
      <c r="A699">
        <v>698</v>
      </c>
      <c r="B699" t="s">
        <v>30</v>
      </c>
      <c r="C699" t="s">
        <v>1421</v>
      </c>
      <c r="D699" t="s">
        <v>1422</v>
      </c>
      <c r="E699" t="s">
        <v>815</v>
      </c>
      <c r="F699" t="s">
        <v>816</v>
      </c>
      <c r="G699" t="s">
        <v>837</v>
      </c>
      <c r="H699" t="s">
        <v>931</v>
      </c>
      <c r="I699" t="s">
        <v>1422</v>
      </c>
      <c r="J699" t="s">
        <v>373</v>
      </c>
      <c r="K699" t="s">
        <v>385</v>
      </c>
      <c r="L699" t="s">
        <v>900</v>
      </c>
      <c r="M699" t="s">
        <v>426</v>
      </c>
      <c r="N699" t="s">
        <v>838</v>
      </c>
      <c r="O699" t="s">
        <v>219</v>
      </c>
      <c r="P699" t="str">
        <f>_xlfn.TEXTBEFORE(_xlfn.TEXTAFTER(Table26[[#This Row],[WBS CODE]], "-"), "-")</f>
        <v>30101060247</v>
      </c>
    </row>
    <row r="700" spans="1:16" x14ac:dyDescent="0.3">
      <c r="A700">
        <v>699</v>
      </c>
      <c r="B700" t="s">
        <v>30</v>
      </c>
      <c r="C700" t="s">
        <v>1423</v>
      </c>
      <c r="D700" t="s">
        <v>1424</v>
      </c>
      <c r="E700" t="s">
        <v>815</v>
      </c>
      <c r="F700" t="s">
        <v>816</v>
      </c>
      <c r="G700" t="s">
        <v>837</v>
      </c>
      <c r="H700" t="s">
        <v>931</v>
      </c>
      <c r="I700" t="s">
        <v>1424</v>
      </c>
      <c r="J700" t="s">
        <v>373</v>
      </c>
      <c r="K700" t="s">
        <v>385</v>
      </c>
      <c r="L700" t="s">
        <v>900</v>
      </c>
      <c r="M700" t="s">
        <v>405</v>
      </c>
      <c r="N700" t="s">
        <v>838</v>
      </c>
      <c r="O700" t="s">
        <v>219</v>
      </c>
      <c r="P700" t="str">
        <f>_xlfn.TEXTBEFORE(_xlfn.TEXTAFTER(Table26[[#This Row],[WBS CODE]], "-"), "-")</f>
        <v>30101060294</v>
      </c>
    </row>
    <row r="701" spans="1:16" x14ac:dyDescent="0.3">
      <c r="A701">
        <v>700</v>
      </c>
      <c r="B701" t="s">
        <v>30</v>
      </c>
      <c r="C701" t="s">
        <v>1425</v>
      </c>
      <c r="D701" t="s">
        <v>1426</v>
      </c>
      <c r="E701" t="s">
        <v>815</v>
      </c>
      <c r="F701" t="s">
        <v>816</v>
      </c>
      <c r="G701" t="s">
        <v>837</v>
      </c>
      <c r="H701" t="s">
        <v>931</v>
      </c>
      <c r="I701" t="s">
        <v>1426</v>
      </c>
      <c r="J701" t="s">
        <v>373</v>
      </c>
      <c r="K701" t="s">
        <v>385</v>
      </c>
      <c r="L701" t="s">
        <v>900</v>
      </c>
      <c r="M701" t="s">
        <v>402</v>
      </c>
      <c r="N701" t="s">
        <v>838</v>
      </c>
      <c r="O701" t="s">
        <v>219</v>
      </c>
      <c r="P701" t="str">
        <f>_xlfn.TEXTBEFORE(_xlfn.TEXTAFTER(Table26[[#This Row],[WBS CODE]], "-"), "-")</f>
        <v>30101060295</v>
      </c>
    </row>
    <row r="702" spans="1:16" x14ac:dyDescent="0.3">
      <c r="A702">
        <v>701</v>
      </c>
      <c r="B702" t="s">
        <v>30</v>
      </c>
      <c r="C702" t="s">
        <v>1427</v>
      </c>
      <c r="D702" t="s">
        <v>1428</v>
      </c>
      <c r="E702" t="s">
        <v>815</v>
      </c>
      <c r="F702" t="s">
        <v>816</v>
      </c>
      <c r="G702" t="s">
        <v>837</v>
      </c>
      <c r="H702" t="s">
        <v>931</v>
      </c>
      <c r="I702" t="s">
        <v>1428</v>
      </c>
      <c r="J702" t="s">
        <v>373</v>
      </c>
      <c r="K702" t="s">
        <v>385</v>
      </c>
      <c r="L702" t="s">
        <v>900</v>
      </c>
      <c r="M702" t="s">
        <v>399</v>
      </c>
      <c r="N702" t="s">
        <v>838</v>
      </c>
      <c r="O702" t="s">
        <v>219</v>
      </c>
      <c r="P702" t="str">
        <f>_xlfn.TEXTBEFORE(_xlfn.TEXTAFTER(Table26[[#This Row],[WBS CODE]], "-"), "-")</f>
        <v>30101060296</v>
      </c>
    </row>
    <row r="703" spans="1:16" x14ac:dyDescent="0.3">
      <c r="A703">
        <v>702</v>
      </c>
      <c r="B703" t="s">
        <v>30</v>
      </c>
      <c r="C703" t="s">
        <v>1429</v>
      </c>
      <c r="D703" t="s">
        <v>1430</v>
      </c>
      <c r="E703" t="s">
        <v>815</v>
      </c>
      <c r="F703" t="s">
        <v>816</v>
      </c>
      <c r="G703" t="s">
        <v>837</v>
      </c>
      <c r="H703" t="s">
        <v>931</v>
      </c>
      <c r="I703" t="s">
        <v>1430</v>
      </c>
      <c r="J703" t="s">
        <v>373</v>
      </c>
      <c r="K703" t="s">
        <v>385</v>
      </c>
      <c r="L703" t="s">
        <v>900</v>
      </c>
      <c r="M703" t="s">
        <v>396</v>
      </c>
      <c r="N703" t="s">
        <v>838</v>
      </c>
      <c r="O703" t="s">
        <v>219</v>
      </c>
      <c r="P703" t="str">
        <f>_xlfn.TEXTBEFORE(_xlfn.TEXTAFTER(Table26[[#This Row],[WBS CODE]], "-"), "-")</f>
        <v>30101060297</v>
      </c>
    </row>
    <row r="704" spans="1:16" x14ac:dyDescent="0.3">
      <c r="A704">
        <v>703</v>
      </c>
      <c r="B704" t="s">
        <v>30</v>
      </c>
      <c r="C704" t="s">
        <v>1431</v>
      </c>
      <c r="D704" t="s">
        <v>1432</v>
      </c>
      <c r="E704" t="s">
        <v>815</v>
      </c>
      <c r="F704" t="s">
        <v>816</v>
      </c>
      <c r="G704" t="s">
        <v>837</v>
      </c>
      <c r="H704" t="s">
        <v>931</v>
      </c>
      <c r="I704" t="s">
        <v>1432</v>
      </c>
      <c r="J704" t="s">
        <v>373</v>
      </c>
      <c r="K704" t="s">
        <v>385</v>
      </c>
      <c r="L704" t="s">
        <v>900</v>
      </c>
      <c r="M704" t="s">
        <v>393</v>
      </c>
      <c r="N704" t="s">
        <v>838</v>
      </c>
      <c r="O704" t="s">
        <v>219</v>
      </c>
      <c r="P704" t="str">
        <f>_xlfn.TEXTBEFORE(_xlfn.TEXTAFTER(Table26[[#This Row],[WBS CODE]], "-"), "-")</f>
        <v>30101060298</v>
      </c>
    </row>
    <row r="705" spans="1:16" x14ac:dyDescent="0.3">
      <c r="A705">
        <v>704</v>
      </c>
      <c r="B705" t="s">
        <v>30</v>
      </c>
      <c r="C705" t="s">
        <v>1433</v>
      </c>
      <c r="D705" t="s">
        <v>1434</v>
      </c>
      <c r="E705" t="s">
        <v>815</v>
      </c>
      <c r="F705" t="s">
        <v>816</v>
      </c>
      <c r="G705" t="s">
        <v>837</v>
      </c>
      <c r="H705" t="s">
        <v>933</v>
      </c>
      <c r="I705" t="s">
        <v>1434</v>
      </c>
      <c r="J705" t="s">
        <v>373</v>
      </c>
      <c r="K705" t="s">
        <v>385</v>
      </c>
      <c r="L705" t="s">
        <v>42</v>
      </c>
      <c r="M705" t="s">
        <v>471</v>
      </c>
      <c r="N705" t="s">
        <v>838</v>
      </c>
      <c r="O705" t="s">
        <v>219</v>
      </c>
      <c r="P705" t="str">
        <f>_xlfn.TEXTBEFORE(_xlfn.TEXTAFTER(Table26[[#This Row],[WBS CODE]], "-"), "-")</f>
        <v>30101066101</v>
      </c>
    </row>
    <row r="706" spans="1:16" x14ac:dyDescent="0.3">
      <c r="A706">
        <v>705</v>
      </c>
      <c r="B706" t="s">
        <v>30</v>
      </c>
      <c r="C706" t="s">
        <v>1435</v>
      </c>
      <c r="D706" t="s">
        <v>1436</v>
      </c>
      <c r="E706" t="s">
        <v>815</v>
      </c>
      <c r="F706" t="s">
        <v>816</v>
      </c>
      <c r="G706" t="s">
        <v>837</v>
      </c>
      <c r="H706" t="s">
        <v>933</v>
      </c>
      <c r="I706" t="s">
        <v>1436</v>
      </c>
      <c r="J706" t="s">
        <v>373</v>
      </c>
      <c r="K706" t="s">
        <v>385</v>
      </c>
      <c r="L706" t="s">
        <v>42</v>
      </c>
      <c r="M706" t="s">
        <v>1156</v>
      </c>
      <c r="N706" t="s">
        <v>838</v>
      </c>
      <c r="O706" t="s">
        <v>219</v>
      </c>
      <c r="P706" t="str">
        <f>_xlfn.TEXTBEFORE(_xlfn.TEXTAFTER(Table26[[#This Row],[WBS CODE]], "-"), "-")</f>
        <v>30101066102</v>
      </c>
    </row>
    <row r="707" spans="1:16" x14ac:dyDescent="0.3">
      <c r="A707">
        <v>706</v>
      </c>
      <c r="B707" t="s">
        <v>30</v>
      </c>
      <c r="C707" t="s">
        <v>1437</v>
      </c>
      <c r="D707" t="s">
        <v>1438</v>
      </c>
      <c r="E707" t="s">
        <v>815</v>
      </c>
      <c r="F707" t="s">
        <v>816</v>
      </c>
      <c r="G707" t="s">
        <v>837</v>
      </c>
      <c r="H707" t="s">
        <v>933</v>
      </c>
      <c r="I707" t="s">
        <v>1438</v>
      </c>
      <c r="J707" t="s">
        <v>373</v>
      </c>
      <c r="K707" t="s">
        <v>385</v>
      </c>
      <c r="L707" t="s">
        <v>42</v>
      </c>
      <c r="M707" t="s">
        <v>466</v>
      </c>
      <c r="N707" t="s">
        <v>838</v>
      </c>
      <c r="O707" t="s">
        <v>219</v>
      </c>
      <c r="P707" t="str">
        <f>_xlfn.TEXTBEFORE(_xlfn.TEXTAFTER(Table26[[#This Row],[WBS CODE]], "-"), "-")</f>
        <v>30101066118</v>
      </c>
    </row>
    <row r="708" spans="1:16" x14ac:dyDescent="0.3">
      <c r="A708">
        <v>707</v>
      </c>
      <c r="B708" t="s">
        <v>30</v>
      </c>
      <c r="C708" t="s">
        <v>1439</v>
      </c>
      <c r="D708" t="s">
        <v>1440</v>
      </c>
      <c r="E708" t="s">
        <v>815</v>
      </c>
      <c r="F708" t="s">
        <v>816</v>
      </c>
      <c r="G708" t="s">
        <v>837</v>
      </c>
      <c r="H708" t="s">
        <v>933</v>
      </c>
      <c r="I708" t="s">
        <v>1440</v>
      </c>
      <c r="J708" t="s">
        <v>373</v>
      </c>
      <c r="K708" t="s">
        <v>385</v>
      </c>
      <c r="L708" t="s">
        <v>42</v>
      </c>
      <c r="M708" t="s">
        <v>460</v>
      </c>
      <c r="N708" t="s">
        <v>838</v>
      </c>
      <c r="O708" t="s">
        <v>219</v>
      </c>
      <c r="P708" t="str">
        <f>_xlfn.TEXTBEFORE(_xlfn.TEXTAFTER(Table26[[#This Row],[WBS CODE]], "-"), "-")</f>
        <v>30101066162</v>
      </c>
    </row>
    <row r="709" spans="1:16" x14ac:dyDescent="0.3">
      <c r="A709">
        <v>708</v>
      </c>
      <c r="B709" t="s">
        <v>30</v>
      </c>
      <c r="C709" t="s">
        <v>1441</v>
      </c>
      <c r="D709" t="s">
        <v>1442</v>
      </c>
      <c r="E709" t="s">
        <v>815</v>
      </c>
      <c r="F709" t="s">
        <v>816</v>
      </c>
      <c r="G709" t="s">
        <v>837</v>
      </c>
      <c r="H709" t="s">
        <v>933</v>
      </c>
      <c r="I709" t="s">
        <v>1442</v>
      </c>
      <c r="J709" t="s">
        <v>373</v>
      </c>
      <c r="K709" t="s">
        <v>385</v>
      </c>
      <c r="L709" t="s">
        <v>42</v>
      </c>
      <c r="M709" t="s">
        <v>463</v>
      </c>
      <c r="N709" t="s">
        <v>838</v>
      </c>
      <c r="O709" t="s">
        <v>219</v>
      </c>
      <c r="P709" t="str">
        <f>_xlfn.TEXTBEFORE(_xlfn.TEXTAFTER(Table26[[#This Row],[WBS CODE]], "-"), "-")</f>
        <v>30101066193</v>
      </c>
    </row>
    <row r="710" spans="1:16" x14ac:dyDescent="0.3">
      <c r="A710">
        <v>709</v>
      </c>
      <c r="B710" t="s">
        <v>30</v>
      </c>
      <c r="C710" t="s">
        <v>1443</v>
      </c>
      <c r="D710" t="s">
        <v>1444</v>
      </c>
      <c r="E710" t="s">
        <v>815</v>
      </c>
      <c r="F710" t="s">
        <v>816</v>
      </c>
      <c r="G710" t="s">
        <v>840</v>
      </c>
      <c r="H710" t="s">
        <v>935</v>
      </c>
      <c r="I710" t="s">
        <v>1444</v>
      </c>
      <c r="J710" t="s">
        <v>373</v>
      </c>
      <c r="K710" t="s">
        <v>385</v>
      </c>
      <c r="L710" t="s">
        <v>39</v>
      </c>
      <c r="M710" t="s">
        <v>455</v>
      </c>
      <c r="N710" t="s">
        <v>841</v>
      </c>
      <c r="O710" t="s">
        <v>219</v>
      </c>
      <c r="P710" t="str">
        <f>_xlfn.TEXTBEFORE(_xlfn.TEXTAFTER(Table26[[#This Row],[WBS CODE]], "-"), "-")</f>
        <v>30101070160</v>
      </c>
    </row>
    <row r="711" spans="1:16" x14ac:dyDescent="0.3">
      <c r="A711">
        <v>710</v>
      </c>
      <c r="B711" t="s">
        <v>30</v>
      </c>
      <c r="C711" t="s">
        <v>1445</v>
      </c>
      <c r="D711" t="s">
        <v>1446</v>
      </c>
      <c r="E711" t="s">
        <v>815</v>
      </c>
      <c r="F711" t="s">
        <v>816</v>
      </c>
      <c r="G711" t="s">
        <v>840</v>
      </c>
      <c r="H711" t="s">
        <v>937</v>
      </c>
      <c r="I711" t="s">
        <v>1446</v>
      </c>
      <c r="J711" t="s">
        <v>373</v>
      </c>
      <c r="K711" t="s">
        <v>385</v>
      </c>
      <c r="L711" t="s">
        <v>900</v>
      </c>
      <c r="M711" t="s">
        <v>450</v>
      </c>
      <c r="N711" t="s">
        <v>841</v>
      </c>
      <c r="O711" t="s">
        <v>219</v>
      </c>
      <c r="P711" t="str">
        <f>_xlfn.TEXTBEFORE(_xlfn.TEXTAFTER(Table26[[#This Row],[WBS CODE]], "-"), "-")</f>
        <v>30101070204</v>
      </c>
    </row>
    <row r="712" spans="1:16" x14ac:dyDescent="0.3">
      <c r="A712">
        <v>711</v>
      </c>
      <c r="B712" t="s">
        <v>30</v>
      </c>
      <c r="C712" t="s">
        <v>1447</v>
      </c>
      <c r="D712" t="s">
        <v>1448</v>
      </c>
      <c r="E712" t="s">
        <v>815</v>
      </c>
      <c r="F712" t="s">
        <v>816</v>
      </c>
      <c r="G712" t="s">
        <v>840</v>
      </c>
      <c r="H712" t="s">
        <v>937</v>
      </c>
      <c r="I712" t="s">
        <v>1448</v>
      </c>
      <c r="J712" t="s">
        <v>373</v>
      </c>
      <c r="K712" t="s">
        <v>385</v>
      </c>
      <c r="L712" t="s">
        <v>900</v>
      </c>
      <c r="M712" t="s">
        <v>447</v>
      </c>
      <c r="N712" t="s">
        <v>841</v>
      </c>
      <c r="O712" t="s">
        <v>219</v>
      </c>
      <c r="P712" t="str">
        <f>_xlfn.TEXTBEFORE(_xlfn.TEXTAFTER(Table26[[#This Row],[WBS CODE]], "-"), "-")</f>
        <v>30101070205</v>
      </c>
    </row>
    <row r="713" spans="1:16" x14ac:dyDescent="0.3">
      <c r="A713">
        <v>712</v>
      </c>
      <c r="B713" t="s">
        <v>30</v>
      </c>
      <c r="C713" t="s">
        <v>1449</v>
      </c>
      <c r="D713" t="s">
        <v>1450</v>
      </c>
      <c r="E713" t="s">
        <v>815</v>
      </c>
      <c r="F713" t="s">
        <v>816</v>
      </c>
      <c r="G713" t="s">
        <v>840</v>
      </c>
      <c r="H713" t="s">
        <v>937</v>
      </c>
      <c r="I713" t="s">
        <v>1450</v>
      </c>
      <c r="J713" t="s">
        <v>373</v>
      </c>
      <c r="K713" t="s">
        <v>385</v>
      </c>
      <c r="L713" t="s">
        <v>900</v>
      </c>
      <c r="M713" t="s">
        <v>444</v>
      </c>
      <c r="N713" t="s">
        <v>841</v>
      </c>
      <c r="O713" t="s">
        <v>219</v>
      </c>
      <c r="P713" t="str">
        <f>_xlfn.TEXTBEFORE(_xlfn.TEXTAFTER(Table26[[#This Row],[WBS CODE]], "-"), "-")</f>
        <v>30101070207</v>
      </c>
    </row>
    <row r="714" spans="1:16" x14ac:dyDescent="0.3">
      <c r="A714">
        <v>713</v>
      </c>
      <c r="B714" t="s">
        <v>30</v>
      </c>
      <c r="C714" t="s">
        <v>1451</v>
      </c>
      <c r="D714" t="s">
        <v>1452</v>
      </c>
      <c r="E714" t="s">
        <v>815</v>
      </c>
      <c r="F714" t="s">
        <v>816</v>
      </c>
      <c r="G714" t="s">
        <v>840</v>
      </c>
      <c r="H714" t="s">
        <v>937</v>
      </c>
      <c r="I714" t="s">
        <v>1452</v>
      </c>
      <c r="J714" t="s">
        <v>373</v>
      </c>
      <c r="K714" t="s">
        <v>385</v>
      </c>
      <c r="L714" t="s">
        <v>900</v>
      </c>
      <c r="M714" t="s">
        <v>441</v>
      </c>
      <c r="N714" t="s">
        <v>841</v>
      </c>
      <c r="O714" t="s">
        <v>219</v>
      </c>
      <c r="P714" t="str">
        <f>_xlfn.TEXTBEFORE(_xlfn.TEXTAFTER(Table26[[#This Row],[WBS CODE]], "-"), "-")</f>
        <v>30101070208</v>
      </c>
    </row>
    <row r="715" spans="1:16" x14ac:dyDescent="0.3">
      <c r="A715">
        <v>714</v>
      </c>
      <c r="B715" t="s">
        <v>30</v>
      </c>
      <c r="C715" t="s">
        <v>1453</v>
      </c>
      <c r="D715" t="s">
        <v>1454</v>
      </c>
      <c r="E715" t="s">
        <v>815</v>
      </c>
      <c r="F715" t="s">
        <v>816</v>
      </c>
      <c r="G715" t="s">
        <v>840</v>
      </c>
      <c r="H715" t="s">
        <v>937</v>
      </c>
      <c r="I715" t="s">
        <v>1454</v>
      </c>
      <c r="J715" t="s">
        <v>373</v>
      </c>
      <c r="K715" t="s">
        <v>385</v>
      </c>
      <c r="L715" t="s">
        <v>900</v>
      </c>
      <c r="M715" t="s">
        <v>438</v>
      </c>
      <c r="N715" t="s">
        <v>841</v>
      </c>
      <c r="O715" t="s">
        <v>219</v>
      </c>
      <c r="P715" t="str">
        <f>_xlfn.TEXTBEFORE(_xlfn.TEXTAFTER(Table26[[#This Row],[WBS CODE]], "-"), "-")</f>
        <v>30101070209</v>
      </c>
    </row>
    <row r="716" spans="1:16" x14ac:dyDescent="0.3">
      <c r="A716">
        <v>715</v>
      </c>
      <c r="B716" t="s">
        <v>30</v>
      </c>
      <c r="C716" t="s">
        <v>1455</v>
      </c>
      <c r="D716" t="s">
        <v>1456</v>
      </c>
      <c r="E716" t="s">
        <v>815</v>
      </c>
      <c r="F716" t="s">
        <v>816</v>
      </c>
      <c r="G716" t="s">
        <v>840</v>
      </c>
      <c r="H716" t="s">
        <v>937</v>
      </c>
      <c r="I716" t="s">
        <v>1456</v>
      </c>
      <c r="J716" t="s">
        <v>373</v>
      </c>
      <c r="K716" t="s">
        <v>385</v>
      </c>
      <c r="L716" t="s">
        <v>900</v>
      </c>
      <c r="M716" t="s">
        <v>435</v>
      </c>
      <c r="N716" t="s">
        <v>841</v>
      </c>
      <c r="O716" t="s">
        <v>219</v>
      </c>
      <c r="P716" t="str">
        <f>_xlfn.TEXTBEFORE(_xlfn.TEXTAFTER(Table26[[#This Row],[WBS CODE]], "-"), "-")</f>
        <v>30101070210</v>
      </c>
    </row>
    <row r="717" spans="1:16" x14ac:dyDescent="0.3">
      <c r="A717">
        <v>716</v>
      </c>
      <c r="B717" t="s">
        <v>30</v>
      </c>
      <c r="C717" t="s">
        <v>1457</v>
      </c>
      <c r="D717" t="s">
        <v>1458</v>
      </c>
      <c r="E717" t="s">
        <v>815</v>
      </c>
      <c r="F717" t="s">
        <v>816</v>
      </c>
      <c r="G717" t="s">
        <v>840</v>
      </c>
      <c r="H717" t="s">
        <v>937</v>
      </c>
      <c r="I717" t="s">
        <v>1458</v>
      </c>
      <c r="J717" t="s">
        <v>373</v>
      </c>
      <c r="K717" t="s">
        <v>385</v>
      </c>
      <c r="L717" t="s">
        <v>900</v>
      </c>
      <c r="M717" t="s">
        <v>432</v>
      </c>
      <c r="N717" t="s">
        <v>841</v>
      </c>
      <c r="O717" t="s">
        <v>219</v>
      </c>
      <c r="P717" t="str">
        <f>_xlfn.TEXTBEFORE(_xlfn.TEXTAFTER(Table26[[#This Row],[WBS CODE]], "-"), "-")</f>
        <v>30101070211</v>
      </c>
    </row>
    <row r="718" spans="1:16" x14ac:dyDescent="0.3">
      <c r="A718">
        <v>717</v>
      </c>
      <c r="B718" t="s">
        <v>30</v>
      </c>
      <c r="C718" t="s">
        <v>1459</v>
      </c>
      <c r="D718" t="s">
        <v>1460</v>
      </c>
      <c r="E718" t="s">
        <v>815</v>
      </c>
      <c r="F718" t="s">
        <v>816</v>
      </c>
      <c r="G718" t="s">
        <v>840</v>
      </c>
      <c r="H718" t="s">
        <v>937</v>
      </c>
      <c r="I718" t="s">
        <v>1460</v>
      </c>
      <c r="J718" t="s">
        <v>373</v>
      </c>
      <c r="K718" t="s">
        <v>385</v>
      </c>
      <c r="L718" t="s">
        <v>900</v>
      </c>
      <c r="M718" t="s">
        <v>429</v>
      </c>
      <c r="N718" t="s">
        <v>841</v>
      </c>
      <c r="O718" t="s">
        <v>219</v>
      </c>
      <c r="P718" t="str">
        <f>_xlfn.TEXTBEFORE(_xlfn.TEXTAFTER(Table26[[#This Row],[WBS CODE]], "-"), "-")</f>
        <v>30101070212</v>
      </c>
    </row>
    <row r="719" spans="1:16" x14ac:dyDescent="0.3">
      <c r="A719">
        <v>718</v>
      </c>
      <c r="B719" t="s">
        <v>30</v>
      </c>
      <c r="C719" t="s">
        <v>1461</v>
      </c>
      <c r="D719" t="s">
        <v>1462</v>
      </c>
      <c r="E719" t="s">
        <v>815</v>
      </c>
      <c r="F719" t="s">
        <v>816</v>
      </c>
      <c r="G719" t="s">
        <v>840</v>
      </c>
      <c r="H719" t="s">
        <v>937</v>
      </c>
      <c r="I719" t="s">
        <v>1462</v>
      </c>
      <c r="J719" t="s">
        <v>373</v>
      </c>
      <c r="K719" t="s">
        <v>385</v>
      </c>
      <c r="L719" t="s">
        <v>900</v>
      </c>
      <c r="M719" t="s">
        <v>423</v>
      </c>
      <c r="N719" t="s">
        <v>841</v>
      </c>
      <c r="O719" t="s">
        <v>219</v>
      </c>
      <c r="P719" t="str">
        <f>_xlfn.TEXTBEFORE(_xlfn.TEXTAFTER(Table26[[#This Row],[WBS CODE]], "-"), "-")</f>
        <v>30101070213</v>
      </c>
    </row>
    <row r="720" spans="1:16" x14ac:dyDescent="0.3">
      <c r="A720">
        <v>719</v>
      </c>
      <c r="B720" t="s">
        <v>30</v>
      </c>
      <c r="C720" t="s">
        <v>1463</v>
      </c>
      <c r="D720" t="s">
        <v>1464</v>
      </c>
      <c r="E720" t="s">
        <v>815</v>
      </c>
      <c r="F720" t="s">
        <v>816</v>
      </c>
      <c r="G720" t="s">
        <v>840</v>
      </c>
      <c r="H720" t="s">
        <v>937</v>
      </c>
      <c r="I720" t="s">
        <v>1464</v>
      </c>
      <c r="J720" t="s">
        <v>373</v>
      </c>
      <c r="K720" t="s">
        <v>385</v>
      </c>
      <c r="L720" t="s">
        <v>900</v>
      </c>
      <c r="M720" t="s">
        <v>420</v>
      </c>
      <c r="N720" t="s">
        <v>841</v>
      </c>
      <c r="O720" t="s">
        <v>219</v>
      </c>
      <c r="P720" t="str">
        <f>_xlfn.TEXTBEFORE(_xlfn.TEXTAFTER(Table26[[#This Row],[WBS CODE]], "-"), "-")</f>
        <v>30101070214</v>
      </c>
    </row>
    <row r="721" spans="1:16" x14ac:dyDescent="0.3">
      <c r="A721">
        <v>720</v>
      </c>
      <c r="B721" t="s">
        <v>30</v>
      </c>
      <c r="C721" t="s">
        <v>1465</v>
      </c>
      <c r="D721" t="s">
        <v>1466</v>
      </c>
      <c r="E721" t="s">
        <v>815</v>
      </c>
      <c r="F721" t="s">
        <v>816</v>
      </c>
      <c r="G721" t="s">
        <v>840</v>
      </c>
      <c r="H721" t="s">
        <v>937</v>
      </c>
      <c r="I721" t="s">
        <v>1466</v>
      </c>
      <c r="J721" t="s">
        <v>373</v>
      </c>
      <c r="K721" t="s">
        <v>385</v>
      </c>
      <c r="L721" t="s">
        <v>900</v>
      </c>
      <c r="M721" t="s">
        <v>417</v>
      </c>
      <c r="N721" t="s">
        <v>841</v>
      </c>
      <c r="O721" t="s">
        <v>219</v>
      </c>
      <c r="P721" t="str">
        <f>_xlfn.TEXTBEFORE(_xlfn.TEXTAFTER(Table26[[#This Row],[WBS CODE]], "-"), "-")</f>
        <v>30101070215</v>
      </c>
    </row>
    <row r="722" spans="1:16" x14ac:dyDescent="0.3">
      <c r="A722">
        <v>721</v>
      </c>
      <c r="B722" t="s">
        <v>30</v>
      </c>
      <c r="C722" t="s">
        <v>1467</v>
      </c>
      <c r="D722" t="s">
        <v>1468</v>
      </c>
      <c r="E722" t="s">
        <v>815</v>
      </c>
      <c r="F722" t="s">
        <v>816</v>
      </c>
      <c r="G722" t="s">
        <v>840</v>
      </c>
      <c r="H722" t="s">
        <v>937</v>
      </c>
      <c r="I722" t="s">
        <v>1468</v>
      </c>
      <c r="J722" t="s">
        <v>373</v>
      </c>
      <c r="K722" t="s">
        <v>385</v>
      </c>
      <c r="L722" t="s">
        <v>900</v>
      </c>
      <c r="M722" t="s">
        <v>414</v>
      </c>
      <c r="N722" t="s">
        <v>841</v>
      </c>
      <c r="O722" t="s">
        <v>219</v>
      </c>
      <c r="P722" t="str">
        <f>_xlfn.TEXTBEFORE(_xlfn.TEXTAFTER(Table26[[#This Row],[WBS CODE]], "-"), "-")</f>
        <v>30101070216</v>
      </c>
    </row>
    <row r="723" spans="1:16" x14ac:dyDescent="0.3">
      <c r="A723">
        <v>722</v>
      </c>
      <c r="B723" t="s">
        <v>30</v>
      </c>
      <c r="C723" t="s">
        <v>1469</v>
      </c>
      <c r="D723" t="s">
        <v>1470</v>
      </c>
      <c r="E723" t="s">
        <v>815</v>
      </c>
      <c r="F723" t="s">
        <v>816</v>
      </c>
      <c r="G723" t="s">
        <v>840</v>
      </c>
      <c r="H723" t="s">
        <v>937</v>
      </c>
      <c r="I723" t="s">
        <v>1470</v>
      </c>
      <c r="J723" t="s">
        <v>373</v>
      </c>
      <c r="K723" t="s">
        <v>385</v>
      </c>
      <c r="L723" t="s">
        <v>900</v>
      </c>
      <c r="M723" t="s">
        <v>411</v>
      </c>
      <c r="N723" t="s">
        <v>841</v>
      </c>
      <c r="O723" t="s">
        <v>219</v>
      </c>
      <c r="P723" t="str">
        <f>_xlfn.TEXTBEFORE(_xlfn.TEXTAFTER(Table26[[#This Row],[WBS CODE]], "-"), "-")</f>
        <v>30101070217</v>
      </c>
    </row>
    <row r="724" spans="1:16" x14ac:dyDescent="0.3">
      <c r="A724">
        <v>723</v>
      </c>
      <c r="B724" t="s">
        <v>30</v>
      </c>
      <c r="C724" t="s">
        <v>1471</v>
      </c>
      <c r="D724" t="s">
        <v>1472</v>
      </c>
      <c r="E724" t="s">
        <v>815</v>
      </c>
      <c r="F724" t="s">
        <v>816</v>
      </c>
      <c r="G724" t="s">
        <v>840</v>
      </c>
      <c r="H724" t="s">
        <v>937</v>
      </c>
      <c r="I724" t="s">
        <v>1472</v>
      </c>
      <c r="J724" t="s">
        <v>373</v>
      </c>
      <c r="K724" t="s">
        <v>385</v>
      </c>
      <c r="L724" t="s">
        <v>900</v>
      </c>
      <c r="M724" t="s">
        <v>408</v>
      </c>
      <c r="N724" t="s">
        <v>841</v>
      </c>
      <c r="O724" t="s">
        <v>219</v>
      </c>
      <c r="P724" t="str">
        <f>_xlfn.TEXTBEFORE(_xlfn.TEXTAFTER(Table26[[#This Row],[WBS CODE]], "-"), "-")</f>
        <v>30101070220</v>
      </c>
    </row>
    <row r="725" spans="1:16" x14ac:dyDescent="0.3">
      <c r="A725">
        <v>724</v>
      </c>
      <c r="B725" t="s">
        <v>30</v>
      </c>
      <c r="C725" t="s">
        <v>1473</v>
      </c>
      <c r="D725" t="s">
        <v>1474</v>
      </c>
      <c r="E725" t="s">
        <v>815</v>
      </c>
      <c r="F725" t="s">
        <v>816</v>
      </c>
      <c r="G725" t="s">
        <v>840</v>
      </c>
      <c r="H725" t="s">
        <v>937</v>
      </c>
      <c r="I725" t="s">
        <v>1474</v>
      </c>
      <c r="J725" t="s">
        <v>373</v>
      </c>
      <c r="K725" t="s">
        <v>385</v>
      </c>
      <c r="L725" t="s">
        <v>900</v>
      </c>
      <c r="M725" t="s">
        <v>390</v>
      </c>
      <c r="N725" t="s">
        <v>841</v>
      </c>
      <c r="O725" t="s">
        <v>219</v>
      </c>
      <c r="P725" t="str">
        <f>_xlfn.TEXTBEFORE(_xlfn.TEXTAFTER(Table26[[#This Row],[WBS CODE]], "-"), "-")</f>
        <v>30101070224</v>
      </c>
    </row>
    <row r="726" spans="1:16" x14ac:dyDescent="0.3">
      <c r="A726">
        <v>725</v>
      </c>
      <c r="B726" t="s">
        <v>30</v>
      </c>
      <c r="C726" t="s">
        <v>1475</v>
      </c>
      <c r="D726" t="s">
        <v>1476</v>
      </c>
      <c r="E726" t="s">
        <v>815</v>
      </c>
      <c r="F726" t="s">
        <v>816</v>
      </c>
      <c r="G726" t="s">
        <v>840</v>
      </c>
      <c r="H726" t="s">
        <v>937</v>
      </c>
      <c r="I726" t="s">
        <v>1476</v>
      </c>
      <c r="J726" t="s">
        <v>373</v>
      </c>
      <c r="K726" t="s">
        <v>385</v>
      </c>
      <c r="L726" t="s">
        <v>900</v>
      </c>
      <c r="M726" t="s">
        <v>1139</v>
      </c>
      <c r="N726" t="s">
        <v>841</v>
      </c>
      <c r="O726" t="s">
        <v>219</v>
      </c>
      <c r="P726" t="str">
        <f>_xlfn.TEXTBEFORE(_xlfn.TEXTAFTER(Table26[[#This Row],[WBS CODE]], "-"), "-")</f>
        <v>30101070245</v>
      </c>
    </row>
    <row r="727" spans="1:16" x14ac:dyDescent="0.3">
      <c r="A727">
        <v>726</v>
      </c>
      <c r="B727" t="s">
        <v>30</v>
      </c>
      <c r="C727" t="s">
        <v>1477</v>
      </c>
      <c r="D727" t="s">
        <v>1478</v>
      </c>
      <c r="E727" t="s">
        <v>815</v>
      </c>
      <c r="F727" t="s">
        <v>816</v>
      </c>
      <c r="G727" t="s">
        <v>840</v>
      </c>
      <c r="H727" t="s">
        <v>937</v>
      </c>
      <c r="I727" t="s">
        <v>1478</v>
      </c>
      <c r="J727" t="s">
        <v>373</v>
      </c>
      <c r="K727" t="s">
        <v>385</v>
      </c>
      <c r="L727" t="s">
        <v>900</v>
      </c>
      <c r="M727" t="s">
        <v>426</v>
      </c>
      <c r="N727" t="s">
        <v>841</v>
      </c>
      <c r="O727" t="s">
        <v>219</v>
      </c>
      <c r="P727" t="str">
        <f>_xlfn.TEXTBEFORE(_xlfn.TEXTAFTER(Table26[[#This Row],[WBS CODE]], "-"), "-")</f>
        <v>30101070247</v>
      </c>
    </row>
    <row r="728" spans="1:16" x14ac:dyDescent="0.3">
      <c r="A728">
        <v>727</v>
      </c>
      <c r="B728" t="s">
        <v>30</v>
      </c>
      <c r="C728" t="s">
        <v>1479</v>
      </c>
      <c r="D728" t="s">
        <v>1480</v>
      </c>
      <c r="E728" t="s">
        <v>815</v>
      </c>
      <c r="F728" t="s">
        <v>816</v>
      </c>
      <c r="G728" t="s">
        <v>840</v>
      </c>
      <c r="H728" t="s">
        <v>937</v>
      </c>
      <c r="I728" t="s">
        <v>1480</v>
      </c>
      <c r="J728" t="s">
        <v>373</v>
      </c>
      <c r="K728" t="s">
        <v>385</v>
      </c>
      <c r="L728" t="s">
        <v>900</v>
      </c>
      <c r="M728" t="s">
        <v>405</v>
      </c>
      <c r="N728" t="s">
        <v>841</v>
      </c>
      <c r="O728" t="s">
        <v>219</v>
      </c>
      <c r="P728" t="str">
        <f>_xlfn.TEXTBEFORE(_xlfn.TEXTAFTER(Table26[[#This Row],[WBS CODE]], "-"), "-")</f>
        <v>30101070294</v>
      </c>
    </row>
    <row r="729" spans="1:16" x14ac:dyDescent="0.3">
      <c r="A729">
        <v>728</v>
      </c>
      <c r="B729" t="s">
        <v>30</v>
      </c>
      <c r="C729" t="s">
        <v>1481</v>
      </c>
      <c r="D729" t="s">
        <v>1482</v>
      </c>
      <c r="E729" t="s">
        <v>815</v>
      </c>
      <c r="F729" t="s">
        <v>816</v>
      </c>
      <c r="G729" t="s">
        <v>840</v>
      </c>
      <c r="H729" t="s">
        <v>937</v>
      </c>
      <c r="I729" t="s">
        <v>1482</v>
      </c>
      <c r="J729" t="s">
        <v>373</v>
      </c>
      <c r="K729" t="s">
        <v>385</v>
      </c>
      <c r="L729" t="s">
        <v>900</v>
      </c>
      <c r="M729" t="s">
        <v>402</v>
      </c>
      <c r="N729" t="s">
        <v>841</v>
      </c>
      <c r="O729" t="s">
        <v>219</v>
      </c>
      <c r="P729" t="str">
        <f>_xlfn.TEXTBEFORE(_xlfn.TEXTAFTER(Table26[[#This Row],[WBS CODE]], "-"), "-")</f>
        <v>30101070295</v>
      </c>
    </row>
    <row r="730" spans="1:16" x14ac:dyDescent="0.3">
      <c r="A730">
        <v>729</v>
      </c>
      <c r="B730" t="s">
        <v>30</v>
      </c>
      <c r="C730" t="s">
        <v>1483</v>
      </c>
      <c r="D730" t="s">
        <v>1484</v>
      </c>
      <c r="E730" t="s">
        <v>815</v>
      </c>
      <c r="F730" t="s">
        <v>816</v>
      </c>
      <c r="G730" t="s">
        <v>840</v>
      </c>
      <c r="H730" t="s">
        <v>937</v>
      </c>
      <c r="I730" t="s">
        <v>1484</v>
      </c>
      <c r="J730" t="s">
        <v>373</v>
      </c>
      <c r="K730" t="s">
        <v>385</v>
      </c>
      <c r="L730" t="s">
        <v>900</v>
      </c>
      <c r="M730" t="s">
        <v>399</v>
      </c>
      <c r="N730" t="s">
        <v>841</v>
      </c>
      <c r="O730" t="s">
        <v>219</v>
      </c>
      <c r="P730" t="str">
        <f>_xlfn.TEXTBEFORE(_xlfn.TEXTAFTER(Table26[[#This Row],[WBS CODE]], "-"), "-")</f>
        <v>30101070296</v>
      </c>
    </row>
    <row r="731" spans="1:16" x14ac:dyDescent="0.3">
      <c r="A731">
        <v>730</v>
      </c>
      <c r="B731" t="s">
        <v>30</v>
      </c>
      <c r="C731" t="s">
        <v>1485</v>
      </c>
      <c r="D731" t="s">
        <v>1486</v>
      </c>
      <c r="E731" t="s">
        <v>815</v>
      </c>
      <c r="F731" t="s">
        <v>816</v>
      </c>
      <c r="G731" t="s">
        <v>840</v>
      </c>
      <c r="H731" t="s">
        <v>937</v>
      </c>
      <c r="I731" t="s">
        <v>1486</v>
      </c>
      <c r="J731" t="s">
        <v>373</v>
      </c>
      <c r="K731" t="s">
        <v>385</v>
      </c>
      <c r="L731" t="s">
        <v>900</v>
      </c>
      <c r="M731" t="s">
        <v>396</v>
      </c>
      <c r="N731" t="s">
        <v>841</v>
      </c>
      <c r="O731" t="s">
        <v>219</v>
      </c>
      <c r="P731" t="str">
        <f>_xlfn.TEXTBEFORE(_xlfn.TEXTAFTER(Table26[[#This Row],[WBS CODE]], "-"), "-")</f>
        <v>30101070297</v>
      </c>
    </row>
    <row r="732" spans="1:16" x14ac:dyDescent="0.3">
      <c r="A732">
        <v>731</v>
      </c>
      <c r="B732" t="s">
        <v>30</v>
      </c>
      <c r="C732" t="s">
        <v>1487</v>
      </c>
      <c r="D732" t="s">
        <v>1488</v>
      </c>
      <c r="E732" t="s">
        <v>815</v>
      </c>
      <c r="F732" t="s">
        <v>816</v>
      </c>
      <c r="G732" t="s">
        <v>840</v>
      </c>
      <c r="H732" t="s">
        <v>937</v>
      </c>
      <c r="I732" t="s">
        <v>1488</v>
      </c>
      <c r="J732" t="s">
        <v>373</v>
      </c>
      <c r="K732" t="s">
        <v>385</v>
      </c>
      <c r="L732" t="s">
        <v>900</v>
      </c>
      <c r="M732" t="s">
        <v>393</v>
      </c>
      <c r="N732" t="s">
        <v>841</v>
      </c>
      <c r="O732" t="s">
        <v>219</v>
      </c>
      <c r="P732" t="str">
        <f>_xlfn.TEXTBEFORE(_xlfn.TEXTAFTER(Table26[[#This Row],[WBS CODE]], "-"), "-")</f>
        <v>30101070298</v>
      </c>
    </row>
    <row r="733" spans="1:16" x14ac:dyDescent="0.3">
      <c r="A733">
        <v>732</v>
      </c>
      <c r="B733" t="s">
        <v>30</v>
      </c>
      <c r="C733" t="s">
        <v>1489</v>
      </c>
      <c r="D733" t="s">
        <v>1490</v>
      </c>
      <c r="E733" t="s">
        <v>815</v>
      </c>
      <c r="F733" t="s">
        <v>816</v>
      </c>
      <c r="G733" t="s">
        <v>840</v>
      </c>
      <c r="H733" t="s">
        <v>939</v>
      </c>
      <c r="I733" t="s">
        <v>1490</v>
      </c>
      <c r="J733" t="s">
        <v>373</v>
      </c>
      <c r="K733" t="s">
        <v>385</v>
      </c>
      <c r="L733" t="s">
        <v>42</v>
      </c>
      <c r="M733" t="s">
        <v>471</v>
      </c>
      <c r="N733" t="s">
        <v>841</v>
      </c>
      <c r="O733" t="s">
        <v>219</v>
      </c>
      <c r="P733" t="str">
        <f>_xlfn.TEXTBEFORE(_xlfn.TEXTAFTER(Table26[[#This Row],[WBS CODE]], "-"), "-")</f>
        <v>30101076101</v>
      </c>
    </row>
    <row r="734" spans="1:16" x14ac:dyDescent="0.3">
      <c r="A734">
        <v>733</v>
      </c>
      <c r="B734" t="s">
        <v>30</v>
      </c>
      <c r="C734" t="s">
        <v>1491</v>
      </c>
      <c r="D734" t="s">
        <v>1492</v>
      </c>
      <c r="E734" t="s">
        <v>815</v>
      </c>
      <c r="F734" t="s">
        <v>816</v>
      </c>
      <c r="G734" t="s">
        <v>840</v>
      </c>
      <c r="H734" t="s">
        <v>939</v>
      </c>
      <c r="I734" t="s">
        <v>1492</v>
      </c>
      <c r="J734" t="s">
        <v>373</v>
      </c>
      <c r="K734" t="s">
        <v>385</v>
      </c>
      <c r="L734" t="s">
        <v>42</v>
      </c>
      <c r="M734" t="s">
        <v>1156</v>
      </c>
      <c r="N734" t="s">
        <v>841</v>
      </c>
      <c r="O734" t="s">
        <v>219</v>
      </c>
      <c r="P734" t="str">
        <f>_xlfn.TEXTBEFORE(_xlfn.TEXTAFTER(Table26[[#This Row],[WBS CODE]], "-"), "-")</f>
        <v>30101076102</v>
      </c>
    </row>
    <row r="735" spans="1:16" x14ac:dyDescent="0.3">
      <c r="A735">
        <v>734</v>
      </c>
      <c r="B735" t="s">
        <v>30</v>
      </c>
      <c r="C735" t="s">
        <v>1493</v>
      </c>
      <c r="D735" t="s">
        <v>1494</v>
      </c>
      <c r="E735" t="s">
        <v>815</v>
      </c>
      <c r="F735" t="s">
        <v>816</v>
      </c>
      <c r="G735" t="s">
        <v>840</v>
      </c>
      <c r="H735" t="s">
        <v>939</v>
      </c>
      <c r="I735" t="s">
        <v>1494</v>
      </c>
      <c r="J735" t="s">
        <v>373</v>
      </c>
      <c r="K735" t="s">
        <v>385</v>
      </c>
      <c r="L735" t="s">
        <v>42</v>
      </c>
      <c r="M735" t="s">
        <v>466</v>
      </c>
      <c r="N735" t="s">
        <v>841</v>
      </c>
      <c r="O735" t="s">
        <v>219</v>
      </c>
      <c r="P735" t="str">
        <f>_xlfn.TEXTBEFORE(_xlfn.TEXTAFTER(Table26[[#This Row],[WBS CODE]], "-"), "-")</f>
        <v>30101076118</v>
      </c>
    </row>
    <row r="736" spans="1:16" x14ac:dyDescent="0.3">
      <c r="A736">
        <v>735</v>
      </c>
      <c r="B736" t="s">
        <v>30</v>
      </c>
      <c r="C736" t="s">
        <v>1495</v>
      </c>
      <c r="D736" t="s">
        <v>1496</v>
      </c>
      <c r="E736" t="s">
        <v>815</v>
      </c>
      <c r="F736" t="s">
        <v>816</v>
      </c>
      <c r="G736" t="s">
        <v>840</v>
      </c>
      <c r="H736" t="s">
        <v>939</v>
      </c>
      <c r="I736" t="s">
        <v>1496</v>
      </c>
      <c r="J736" t="s">
        <v>373</v>
      </c>
      <c r="K736" t="s">
        <v>385</v>
      </c>
      <c r="L736" t="s">
        <v>42</v>
      </c>
      <c r="M736" t="s">
        <v>460</v>
      </c>
      <c r="N736" t="s">
        <v>841</v>
      </c>
      <c r="O736" t="s">
        <v>219</v>
      </c>
      <c r="P736" t="str">
        <f>_xlfn.TEXTBEFORE(_xlfn.TEXTAFTER(Table26[[#This Row],[WBS CODE]], "-"), "-")</f>
        <v>30101076162</v>
      </c>
    </row>
    <row r="737" spans="1:16" x14ac:dyDescent="0.3">
      <c r="A737">
        <v>736</v>
      </c>
      <c r="B737" t="s">
        <v>30</v>
      </c>
      <c r="C737" t="s">
        <v>1497</v>
      </c>
      <c r="D737" t="s">
        <v>1498</v>
      </c>
      <c r="E737" t="s">
        <v>815</v>
      </c>
      <c r="F737" t="s">
        <v>816</v>
      </c>
      <c r="G737" t="s">
        <v>840</v>
      </c>
      <c r="H737" t="s">
        <v>939</v>
      </c>
      <c r="I737" t="s">
        <v>1498</v>
      </c>
      <c r="J737" t="s">
        <v>373</v>
      </c>
      <c r="K737" t="s">
        <v>385</v>
      </c>
      <c r="L737" t="s">
        <v>42</v>
      </c>
      <c r="M737" t="s">
        <v>463</v>
      </c>
      <c r="N737" t="s">
        <v>841</v>
      </c>
      <c r="O737" t="s">
        <v>219</v>
      </c>
      <c r="P737" t="str">
        <f>_xlfn.TEXTBEFORE(_xlfn.TEXTAFTER(Table26[[#This Row],[WBS CODE]], "-"), "-")</f>
        <v>30101076193</v>
      </c>
    </row>
    <row r="738" spans="1:16" x14ac:dyDescent="0.3">
      <c r="A738">
        <v>737</v>
      </c>
      <c r="B738" t="s">
        <v>30</v>
      </c>
      <c r="C738" t="s">
        <v>1499</v>
      </c>
      <c r="D738" t="s">
        <v>1500</v>
      </c>
      <c r="E738" t="s">
        <v>815</v>
      </c>
      <c r="F738" t="s">
        <v>816</v>
      </c>
      <c r="G738" t="s">
        <v>843</v>
      </c>
      <c r="H738" t="s">
        <v>941</v>
      </c>
      <c r="I738" t="s">
        <v>1500</v>
      </c>
      <c r="J738" t="s">
        <v>373</v>
      </c>
      <c r="K738" t="s">
        <v>385</v>
      </c>
      <c r="L738" t="s">
        <v>39</v>
      </c>
      <c r="M738" t="s">
        <v>455</v>
      </c>
      <c r="N738" t="s">
        <v>844</v>
      </c>
      <c r="O738" t="s">
        <v>219</v>
      </c>
      <c r="P738" t="str">
        <f>_xlfn.TEXTBEFORE(_xlfn.TEXTAFTER(Table26[[#This Row],[WBS CODE]], "-"), "-")</f>
        <v>30101080160</v>
      </c>
    </row>
    <row r="739" spans="1:16" x14ac:dyDescent="0.3">
      <c r="A739">
        <v>738</v>
      </c>
      <c r="B739" t="s">
        <v>30</v>
      </c>
      <c r="C739" t="s">
        <v>1501</v>
      </c>
      <c r="D739" t="s">
        <v>1502</v>
      </c>
      <c r="E739" t="s">
        <v>815</v>
      </c>
      <c r="F739" t="s">
        <v>816</v>
      </c>
      <c r="G739" t="s">
        <v>843</v>
      </c>
      <c r="H739" t="s">
        <v>943</v>
      </c>
      <c r="I739" t="s">
        <v>1502</v>
      </c>
      <c r="J739" t="s">
        <v>373</v>
      </c>
      <c r="K739" t="s">
        <v>385</v>
      </c>
      <c r="L739" t="s">
        <v>900</v>
      </c>
      <c r="M739" t="s">
        <v>450</v>
      </c>
      <c r="N739" t="s">
        <v>844</v>
      </c>
      <c r="O739" t="s">
        <v>219</v>
      </c>
      <c r="P739" t="str">
        <f>_xlfn.TEXTBEFORE(_xlfn.TEXTAFTER(Table26[[#This Row],[WBS CODE]], "-"), "-")</f>
        <v>30101080204</v>
      </c>
    </row>
    <row r="740" spans="1:16" x14ac:dyDescent="0.3">
      <c r="A740">
        <v>739</v>
      </c>
      <c r="B740" t="s">
        <v>30</v>
      </c>
      <c r="C740" t="s">
        <v>1503</v>
      </c>
      <c r="D740" t="s">
        <v>1504</v>
      </c>
      <c r="E740" t="s">
        <v>815</v>
      </c>
      <c r="F740" t="s">
        <v>816</v>
      </c>
      <c r="G740" t="s">
        <v>843</v>
      </c>
      <c r="H740" t="s">
        <v>943</v>
      </c>
      <c r="I740" t="s">
        <v>1504</v>
      </c>
      <c r="J740" t="s">
        <v>373</v>
      </c>
      <c r="K740" t="s">
        <v>385</v>
      </c>
      <c r="L740" t="s">
        <v>900</v>
      </c>
      <c r="M740" t="s">
        <v>447</v>
      </c>
      <c r="N740" t="s">
        <v>844</v>
      </c>
      <c r="O740" t="s">
        <v>219</v>
      </c>
      <c r="P740" t="str">
        <f>_xlfn.TEXTBEFORE(_xlfn.TEXTAFTER(Table26[[#This Row],[WBS CODE]], "-"), "-")</f>
        <v>30101080205</v>
      </c>
    </row>
    <row r="741" spans="1:16" x14ac:dyDescent="0.3">
      <c r="A741">
        <v>740</v>
      </c>
      <c r="B741" t="s">
        <v>30</v>
      </c>
      <c r="C741" t="s">
        <v>1505</v>
      </c>
      <c r="D741" t="s">
        <v>1506</v>
      </c>
      <c r="E741" t="s">
        <v>815</v>
      </c>
      <c r="F741" t="s">
        <v>816</v>
      </c>
      <c r="G741" t="s">
        <v>843</v>
      </c>
      <c r="H741" t="s">
        <v>943</v>
      </c>
      <c r="I741" t="s">
        <v>1506</v>
      </c>
      <c r="J741" t="s">
        <v>373</v>
      </c>
      <c r="K741" t="s">
        <v>385</v>
      </c>
      <c r="L741" t="s">
        <v>900</v>
      </c>
      <c r="M741" t="s">
        <v>444</v>
      </c>
      <c r="N741" t="s">
        <v>844</v>
      </c>
      <c r="O741" t="s">
        <v>219</v>
      </c>
      <c r="P741" t="str">
        <f>_xlfn.TEXTBEFORE(_xlfn.TEXTAFTER(Table26[[#This Row],[WBS CODE]], "-"), "-")</f>
        <v>30101080207</v>
      </c>
    </row>
    <row r="742" spans="1:16" x14ac:dyDescent="0.3">
      <c r="A742">
        <v>741</v>
      </c>
      <c r="B742" t="s">
        <v>30</v>
      </c>
      <c r="C742" t="s">
        <v>1507</v>
      </c>
      <c r="D742" t="s">
        <v>1508</v>
      </c>
      <c r="E742" t="s">
        <v>815</v>
      </c>
      <c r="F742" t="s">
        <v>816</v>
      </c>
      <c r="G742" t="s">
        <v>843</v>
      </c>
      <c r="H742" t="s">
        <v>943</v>
      </c>
      <c r="I742" t="s">
        <v>1508</v>
      </c>
      <c r="J742" t="s">
        <v>373</v>
      </c>
      <c r="K742" t="s">
        <v>385</v>
      </c>
      <c r="L742" t="s">
        <v>900</v>
      </c>
      <c r="M742" t="s">
        <v>441</v>
      </c>
      <c r="N742" t="s">
        <v>844</v>
      </c>
      <c r="O742" t="s">
        <v>219</v>
      </c>
      <c r="P742" t="str">
        <f>_xlfn.TEXTBEFORE(_xlfn.TEXTAFTER(Table26[[#This Row],[WBS CODE]], "-"), "-")</f>
        <v>30101080208</v>
      </c>
    </row>
    <row r="743" spans="1:16" x14ac:dyDescent="0.3">
      <c r="A743">
        <v>742</v>
      </c>
      <c r="B743" t="s">
        <v>30</v>
      </c>
      <c r="C743" t="s">
        <v>1509</v>
      </c>
      <c r="D743" t="s">
        <v>1510</v>
      </c>
      <c r="E743" t="s">
        <v>815</v>
      </c>
      <c r="F743" t="s">
        <v>816</v>
      </c>
      <c r="G743" t="s">
        <v>843</v>
      </c>
      <c r="H743" t="s">
        <v>943</v>
      </c>
      <c r="I743" t="s">
        <v>1510</v>
      </c>
      <c r="J743" t="s">
        <v>373</v>
      </c>
      <c r="K743" t="s">
        <v>385</v>
      </c>
      <c r="L743" t="s">
        <v>900</v>
      </c>
      <c r="M743" t="s">
        <v>438</v>
      </c>
      <c r="N743" t="s">
        <v>844</v>
      </c>
      <c r="O743" t="s">
        <v>219</v>
      </c>
      <c r="P743" t="str">
        <f>_xlfn.TEXTBEFORE(_xlfn.TEXTAFTER(Table26[[#This Row],[WBS CODE]], "-"), "-")</f>
        <v>30101080209</v>
      </c>
    </row>
    <row r="744" spans="1:16" x14ac:dyDescent="0.3">
      <c r="A744">
        <v>743</v>
      </c>
      <c r="B744" t="s">
        <v>30</v>
      </c>
      <c r="C744" t="s">
        <v>1511</v>
      </c>
      <c r="D744" t="s">
        <v>1512</v>
      </c>
      <c r="E744" t="s">
        <v>815</v>
      </c>
      <c r="F744" t="s">
        <v>816</v>
      </c>
      <c r="G744" t="s">
        <v>843</v>
      </c>
      <c r="H744" t="s">
        <v>943</v>
      </c>
      <c r="I744" t="s">
        <v>1512</v>
      </c>
      <c r="J744" t="s">
        <v>373</v>
      </c>
      <c r="K744" t="s">
        <v>385</v>
      </c>
      <c r="L744" t="s">
        <v>900</v>
      </c>
      <c r="M744" t="s">
        <v>435</v>
      </c>
      <c r="N744" t="s">
        <v>844</v>
      </c>
      <c r="O744" t="s">
        <v>219</v>
      </c>
      <c r="P744" t="str">
        <f>_xlfn.TEXTBEFORE(_xlfn.TEXTAFTER(Table26[[#This Row],[WBS CODE]], "-"), "-")</f>
        <v>30101080210</v>
      </c>
    </row>
    <row r="745" spans="1:16" x14ac:dyDescent="0.3">
      <c r="A745">
        <v>744</v>
      </c>
      <c r="B745" t="s">
        <v>30</v>
      </c>
      <c r="C745" t="s">
        <v>1513</v>
      </c>
      <c r="D745" t="s">
        <v>1514</v>
      </c>
      <c r="E745" t="s">
        <v>815</v>
      </c>
      <c r="F745" t="s">
        <v>816</v>
      </c>
      <c r="G745" t="s">
        <v>843</v>
      </c>
      <c r="H745" t="s">
        <v>943</v>
      </c>
      <c r="I745" t="s">
        <v>1514</v>
      </c>
      <c r="J745" t="s">
        <v>373</v>
      </c>
      <c r="K745" t="s">
        <v>385</v>
      </c>
      <c r="L745" t="s">
        <v>900</v>
      </c>
      <c r="M745" t="s">
        <v>432</v>
      </c>
      <c r="N745" t="s">
        <v>844</v>
      </c>
      <c r="O745" t="s">
        <v>219</v>
      </c>
      <c r="P745" t="str">
        <f>_xlfn.TEXTBEFORE(_xlfn.TEXTAFTER(Table26[[#This Row],[WBS CODE]], "-"), "-")</f>
        <v>30101080211</v>
      </c>
    </row>
    <row r="746" spans="1:16" x14ac:dyDescent="0.3">
      <c r="A746">
        <v>745</v>
      </c>
      <c r="B746" t="s">
        <v>30</v>
      </c>
      <c r="C746" t="s">
        <v>1515</v>
      </c>
      <c r="D746" t="s">
        <v>1516</v>
      </c>
      <c r="E746" t="s">
        <v>815</v>
      </c>
      <c r="F746" t="s">
        <v>816</v>
      </c>
      <c r="G746" t="s">
        <v>843</v>
      </c>
      <c r="H746" t="s">
        <v>943</v>
      </c>
      <c r="I746" t="s">
        <v>1516</v>
      </c>
      <c r="J746" t="s">
        <v>373</v>
      </c>
      <c r="K746" t="s">
        <v>385</v>
      </c>
      <c r="L746" t="s">
        <v>900</v>
      </c>
      <c r="M746" t="s">
        <v>429</v>
      </c>
      <c r="N746" t="s">
        <v>844</v>
      </c>
      <c r="O746" t="s">
        <v>219</v>
      </c>
      <c r="P746" t="str">
        <f>_xlfn.TEXTBEFORE(_xlfn.TEXTAFTER(Table26[[#This Row],[WBS CODE]], "-"), "-")</f>
        <v>30101080212</v>
      </c>
    </row>
    <row r="747" spans="1:16" x14ac:dyDescent="0.3">
      <c r="A747">
        <v>746</v>
      </c>
      <c r="B747" t="s">
        <v>30</v>
      </c>
      <c r="C747" t="s">
        <v>1517</v>
      </c>
      <c r="D747" t="s">
        <v>1518</v>
      </c>
      <c r="E747" t="s">
        <v>815</v>
      </c>
      <c r="F747" t="s">
        <v>816</v>
      </c>
      <c r="G747" t="s">
        <v>843</v>
      </c>
      <c r="H747" t="s">
        <v>943</v>
      </c>
      <c r="I747" t="s">
        <v>1518</v>
      </c>
      <c r="J747" t="s">
        <v>373</v>
      </c>
      <c r="K747" t="s">
        <v>385</v>
      </c>
      <c r="L747" t="s">
        <v>900</v>
      </c>
      <c r="M747" t="s">
        <v>423</v>
      </c>
      <c r="N747" t="s">
        <v>844</v>
      </c>
      <c r="O747" t="s">
        <v>219</v>
      </c>
      <c r="P747" t="str">
        <f>_xlfn.TEXTBEFORE(_xlfn.TEXTAFTER(Table26[[#This Row],[WBS CODE]], "-"), "-")</f>
        <v>30101080213</v>
      </c>
    </row>
    <row r="748" spans="1:16" x14ac:dyDescent="0.3">
      <c r="A748">
        <v>747</v>
      </c>
      <c r="B748" t="s">
        <v>30</v>
      </c>
      <c r="C748" t="s">
        <v>1519</v>
      </c>
      <c r="D748" t="s">
        <v>1520</v>
      </c>
      <c r="E748" t="s">
        <v>815</v>
      </c>
      <c r="F748" t="s">
        <v>816</v>
      </c>
      <c r="G748" t="s">
        <v>843</v>
      </c>
      <c r="H748" t="s">
        <v>943</v>
      </c>
      <c r="I748" t="s">
        <v>1520</v>
      </c>
      <c r="J748" t="s">
        <v>373</v>
      </c>
      <c r="K748" t="s">
        <v>385</v>
      </c>
      <c r="L748" t="s">
        <v>900</v>
      </c>
      <c r="M748" t="s">
        <v>420</v>
      </c>
      <c r="N748" t="s">
        <v>844</v>
      </c>
      <c r="O748" t="s">
        <v>219</v>
      </c>
      <c r="P748" t="str">
        <f>_xlfn.TEXTBEFORE(_xlfn.TEXTAFTER(Table26[[#This Row],[WBS CODE]], "-"), "-")</f>
        <v>30101080214</v>
      </c>
    </row>
    <row r="749" spans="1:16" x14ac:dyDescent="0.3">
      <c r="A749">
        <v>748</v>
      </c>
      <c r="B749" t="s">
        <v>30</v>
      </c>
      <c r="C749" t="s">
        <v>1521</v>
      </c>
      <c r="D749" t="s">
        <v>1522</v>
      </c>
      <c r="E749" t="s">
        <v>815</v>
      </c>
      <c r="F749" t="s">
        <v>816</v>
      </c>
      <c r="G749" t="s">
        <v>843</v>
      </c>
      <c r="H749" t="s">
        <v>943</v>
      </c>
      <c r="I749" t="s">
        <v>1522</v>
      </c>
      <c r="J749" t="s">
        <v>373</v>
      </c>
      <c r="K749" t="s">
        <v>385</v>
      </c>
      <c r="L749" t="s">
        <v>900</v>
      </c>
      <c r="M749" t="s">
        <v>417</v>
      </c>
      <c r="N749" t="s">
        <v>844</v>
      </c>
      <c r="O749" t="s">
        <v>219</v>
      </c>
      <c r="P749" t="str">
        <f>_xlfn.TEXTBEFORE(_xlfn.TEXTAFTER(Table26[[#This Row],[WBS CODE]], "-"), "-")</f>
        <v>30101080215</v>
      </c>
    </row>
    <row r="750" spans="1:16" x14ac:dyDescent="0.3">
      <c r="A750">
        <v>749</v>
      </c>
      <c r="B750" t="s">
        <v>30</v>
      </c>
      <c r="C750" t="s">
        <v>1523</v>
      </c>
      <c r="D750" t="s">
        <v>1524</v>
      </c>
      <c r="E750" t="s">
        <v>815</v>
      </c>
      <c r="F750" t="s">
        <v>816</v>
      </c>
      <c r="G750" t="s">
        <v>843</v>
      </c>
      <c r="H750" t="s">
        <v>943</v>
      </c>
      <c r="I750" t="s">
        <v>1524</v>
      </c>
      <c r="J750" t="s">
        <v>373</v>
      </c>
      <c r="K750" t="s">
        <v>385</v>
      </c>
      <c r="L750" t="s">
        <v>900</v>
      </c>
      <c r="M750" t="s">
        <v>414</v>
      </c>
      <c r="N750" t="s">
        <v>844</v>
      </c>
      <c r="O750" t="s">
        <v>219</v>
      </c>
      <c r="P750" t="str">
        <f>_xlfn.TEXTBEFORE(_xlfn.TEXTAFTER(Table26[[#This Row],[WBS CODE]], "-"), "-")</f>
        <v>30101080216</v>
      </c>
    </row>
    <row r="751" spans="1:16" x14ac:dyDescent="0.3">
      <c r="A751">
        <v>750</v>
      </c>
      <c r="B751" t="s">
        <v>30</v>
      </c>
      <c r="C751" t="s">
        <v>1525</v>
      </c>
      <c r="D751" t="s">
        <v>1526</v>
      </c>
      <c r="E751" t="s">
        <v>815</v>
      </c>
      <c r="F751" t="s">
        <v>816</v>
      </c>
      <c r="G751" t="s">
        <v>843</v>
      </c>
      <c r="H751" t="s">
        <v>943</v>
      </c>
      <c r="I751" t="s">
        <v>1526</v>
      </c>
      <c r="J751" t="s">
        <v>373</v>
      </c>
      <c r="K751" t="s">
        <v>385</v>
      </c>
      <c r="L751" t="s">
        <v>900</v>
      </c>
      <c r="M751" t="s">
        <v>411</v>
      </c>
      <c r="N751" t="s">
        <v>844</v>
      </c>
      <c r="O751" t="s">
        <v>219</v>
      </c>
      <c r="P751" t="str">
        <f>_xlfn.TEXTBEFORE(_xlfn.TEXTAFTER(Table26[[#This Row],[WBS CODE]], "-"), "-")</f>
        <v>30101080217</v>
      </c>
    </row>
    <row r="752" spans="1:16" x14ac:dyDescent="0.3">
      <c r="A752">
        <v>751</v>
      </c>
      <c r="B752" t="s">
        <v>30</v>
      </c>
      <c r="C752" t="s">
        <v>1527</v>
      </c>
      <c r="D752" t="s">
        <v>1528</v>
      </c>
      <c r="E752" t="s">
        <v>815</v>
      </c>
      <c r="F752" t="s">
        <v>816</v>
      </c>
      <c r="G752" t="s">
        <v>843</v>
      </c>
      <c r="H752" t="s">
        <v>943</v>
      </c>
      <c r="I752" t="s">
        <v>1528</v>
      </c>
      <c r="J752" t="s">
        <v>373</v>
      </c>
      <c r="K752" t="s">
        <v>385</v>
      </c>
      <c r="L752" t="s">
        <v>900</v>
      </c>
      <c r="M752" t="s">
        <v>408</v>
      </c>
      <c r="N752" t="s">
        <v>844</v>
      </c>
      <c r="O752" t="s">
        <v>219</v>
      </c>
      <c r="P752" t="str">
        <f>_xlfn.TEXTBEFORE(_xlfn.TEXTAFTER(Table26[[#This Row],[WBS CODE]], "-"), "-")</f>
        <v>30101080220</v>
      </c>
    </row>
    <row r="753" spans="1:16" x14ac:dyDescent="0.3">
      <c r="A753">
        <v>752</v>
      </c>
      <c r="B753" t="s">
        <v>30</v>
      </c>
      <c r="C753" t="s">
        <v>1529</v>
      </c>
      <c r="D753" t="s">
        <v>1530</v>
      </c>
      <c r="E753" t="s">
        <v>815</v>
      </c>
      <c r="F753" t="s">
        <v>816</v>
      </c>
      <c r="G753" t="s">
        <v>843</v>
      </c>
      <c r="H753" t="s">
        <v>943</v>
      </c>
      <c r="I753" t="s">
        <v>1530</v>
      </c>
      <c r="J753" t="s">
        <v>373</v>
      </c>
      <c r="K753" t="s">
        <v>385</v>
      </c>
      <c r="L753" t="s">
        <v>900</v>
      </c>
      <c r="M753" t="s">
        <v>390</v>
      </c>
      <c r="N753" t="s">
        <v>844</v>
      </c>
      <c r="O753" t="s">
        <v>219</v>
      </c>
      <c r="P753" t="str">
        <f>_xlfn.TEXTBEFORE(_xlfn.TEXTAFTER(Table26[[#This Row],[WBS CODE]], "-"), "-")</f>
        <v>30101080224</v>
      </c>
    </row>
    <row r="754" spans="1:16" x14ac:dyDescent="0.3">
      <c r="A754">
        <v>753</v>
      </c>
      <c r="B754" t="s">
        <v>30</v>
      </c>
      <c r="C754" t="s">
        <v>1531</v>
      </c>
      <c r="D754" t="s">
        <v>1532</v>
      </c>
      <c r="E754" t="s">
        <v>815</v>
      </c>
      <c r="F754" t="s">
        <v>816</v>
      </c>
      <c r="G754" t="s">
        <v>843</v>
      </c>
      <c r="H754" t="s">
        <v>943</v>
      </c>
      <c r="I754" t="s">
        <v>1532</v>
      </c>
      <c r="J754" t="s">
        <v>373</v>
      </c>
      <c r="K754" t="s">
        <v>385</v>
      </c>
      <c r="L754" t="s">
        <v>900</v>
      </c>
      <c r="M754" t="s">
        <v>1139</v>
      </c>
      <c r="N754" t="s">
        <v>844</v>
      </c>
      <c r="O754" t="s">
        <v>219</v>
      </c>
      <c r="P754" t="str">
        <f>_xlfn.TEXTBEFORE(_xlfn.TEXTAFTER(Table26[[#This Row],[WBS CODE]], "-"), "-")</f>
        <v>30101080245</v>
      </c>
    </row>
    <row r="755" spans="1:16" x14ac:dyDescent="0.3">
      <c r="A755">
        <v>754</v>
      </c>
      <c r="B755" t="s">
        <v>30</v>
      </c>
      <c r="C755" t="s">
        <v>1533</v>
      </c>
      <c r="D755" t="s">
        <v>1534</v>
      </c>
      <c r="E755" t="s">
        <v>815</v>
      </c>
      <c r="F755" t="s">
        <v>816</v>
      </c>
      <c r="G755" t="s">
        <v>843</v>
      </c>
      <c r="H755" t="s">
        <v>943</v>
      </c>
      <c r="I755" t="s">
        <v>1534</v>
      </c>
      <c r="J755" t="s">
        <v>373</v>
      </c>
      <c r="K755" t="s">
        <v>385</v>
      </c>
      <c r="L755" t="s">
        <v>900</v>
      </c>
      <c r="M755" t="s">
        <v>426</v>
      </c>
      <c r="N755" t="s">
        <v>844</v>
      </c>
      <c r="O755" t="s">
        <v>219</v>
      </c>
      <c r="P755" t="str">
        <f>_xlfn.TEXTBEFORE(_xlfn.TEXTAFTER(Table26[[#This Row],[WBS CODE]], "-"), "-")</f>
        <v>30101080247</v>
      </c>
    </row>
    <row r="756" spans="1:16" x14ac:dyDescent="0.3">
      <c r="A756">
        <v>755</v>
      </c>
      <c r="B756" t="s">
        <v>30</v>
      </c>
      <c r="C756" t="s">
        <v>1535</v>
      </c>
      <c r="D756" t="s">
        <v>1536</v>
      </c>
      <c r="E756" t="s">
        <v>815</v>
      </c>
      <c r="F756" t="s">
        <v>816</v>
      </c>
      <c r="G756" t="s">
        <v>843</v>
      </c>
      <c r="H756" t="s">
        <v>943</v>
      </c>
      <c r="I756" t="s">
        <v>1536</v>
      </c>
      <c r="J756" t="s">
        <v>373</v>
      </c>
      <c r="K756" t="s">
        <v>385</v>
      </c>
      <c r="L756" t="s">
        <v>900</v>
      </c>
      <c r="M756" t="s">
        <v>405</v>
      </c>
      <c r="N756" t="s">
        <v>844</v>
      </c>
      <c r="O756" t="s">
        <v>219</v>
      </c>
      <c r="P756" t="str">
        <f>_xlfn.TEXTBEFORE(_xlfn.TEXTAFTER(Table26[[#This Row],[WBS CODE]], "-"), "-")</f>
        <v>30101080294</v>
      </c>
    </row>
    <row r="757" spans="1:16" x14ac:dyDescent="0.3">
      <c r="A757">
        <v>756</v>
      </c>
      <c r="B757" t="s">
        <v>30</v>
      </c>
      <c r="C757" t="s">
        <v>1537</v>
      </c>
      <c r="D757" t="s">
        <v>1538</v>
      </c>
      <c r="E757" t="s">
        <v>815</v>
      </c>
      <c r="F757" t="s">
        <v>816</v>
      </c>
      <c r="G757" t="s">
        <v>843</v>
      </c>
      <c r="H757" t="s">
        <v>943</v>
      </c>
      <c r="I757" t="s">
        <v>1538</v>
      </c>
      <c r="J757" t="s">
        <v>373</v>
      </c>
      <c r="K757" t="s">
        <v>385</v>
      </c>
      <c r="L757" t="s">
        <v>900</v>
      </c>
      <c r="M757" t="s">
        <v>402</v>
      </c>
      <c r="N757" t="s">
        <v>844</v>
      </c>
      <c r="O757" t="s">
        <v>219</v>
      </c>
      <c r="P757" t="str">
        <f>_xlfn.TEXTBEFORE(_xlfn.TEXTAFTER(Table26[[#This Row],[WBS CODE]], "-"), "-")</f>
        <v>30101080295</v>
      </c>
    </row>
    <row r="758" spans="1:16" x14ac:dyDescent="0.3">
      <c r="A758">
        <v>757</v>
      </c>
      <c r="B758" t="s">
        <v>30</v>
      </c>
      <c r="C758" t="s">
        <v>1539</v>
      </c>
      <c r="D758" t="s">
        <v>1540</v>
      </c>
      <c r="E758" t="s">
        <v>815</v>
      </c>
      <c r="F758" t="s">
        <v>816</v>
      </c>
      <c r="G758" t="s">
        <v>843</v>
      </c>
      <c r="H758" t="s">
        <v>943</v>
      </c>
      <c r="I758" t="s">
        <v>1540</v>
      </c>
      <c r="J758" t="s">
        <v>373</v>
      </c>
      <c r="K758" t="s">
        <v>385</v>
      </c>
      <c r="L758" t="s">
        <v>900</v>
      </c>
      <c r="M758" t="s">
        <v>399</v>
      </c>
      <c r="N758" t="s">
        <v>844</v>
      </c>
      <c r="O758" t="s">
        <v>219</v>
      </c>
      <c r="P758" t="str">
        <f>_xlfn.TEXTBEFORE(_xlfn.TEXTAFTER(Table26[[#This Row],[WBS CODE]], "-"), "-")</f>
        <v>30101080296</v>
      </c>
    </row>
    <row r="759" spans="1:16" x14ac:dyDescent="0.3">
      <c r="A759">
        <v>758</v>
      </c>
      <c r="B759" t="s">
        <v>30</v>
      </c>
      <c r="C759" t="s">
        <v>1541</v>
      </c>
      <c r="D759" t="s">
        <v>1542</v>
      </c>
      <c r="E759" t="s">
        <v>815</v>
      </c>
      <c r="F759" t="s">
        <v>816</v>
      </c>
      <c r="G759" t="s">
        <v>843</v>
      </c>
      <c r="H759" t="s">
        <v>943</v>
      </c>
      <c r="I759" t="s">
        <v>1542</v>
      </c>
      <c r="J759" t="s">
        <v>373</v>
      </c>
      <c r="K759" t="s">
        <v>385</v>
      </c>
      <c r="L759" t="s">
        <v>900</v>
      </c>
      <c r="M759" t="s">
        <v>396</v>
      </c>
      <c r="N759" t="s">
        <v>844</v>
      </c>
      <c r="O759" t="s">
        <v>219</v>
      </c>
      <c r="P759" t="str">
        <f>_xlfn.TEXTBEFORE(_xlfn.TEXTAFTER(Table26[[#This Row],[WBS CODE]], "-"), "-")</f>
        <v>30101080297</v>
      </c>
    </row>
    <row r="760" spans="1:16" x14ac:dyDescent="0.3">
      <c r="A760">
        <v>759</v>
      </c>
      <c r="B760" t="s">
        <v>30</v>
      </c>
      <c r="C760" t="s">
        <v>1543</v>
      </c>
      <c r="D760" t="s">
        <v>1544</v>
      </c>
      <c r="E760" t="s">
        <v>815</v>
      </c>
      <c r="F760" t="s">
        <v>816</v>
      </c>
      <c r="G760" t="s">
        <v>843</v>
      </c>
      <c r="H760" t="s">
        <v>943</v>
      </c>
      <c r="I760" t="s">
        <v>1544</v>
      </c>
      <c r="J760" t="s">
        <v>373</v>
      </c>
      <c r="K760" t="s">
        <v>385</v>
      </c>
      <c r="L760" t="s">
        <v>900</v>
      </c>
      <c r="M760" t="s">
        <v>393</v>
      </c>
      <c r="N760" t="s">
        <v>844</v>
      </c>
      <c r="O760" t="s">
        <v>219</v>
      </c>
      <c r="P760" t="str">
        <f>_xlfn.TEXTBEFORE(_xlfn.TEXTAFTER(Table26[[#This Row],[WBS CODE]], "-"), "-")</f>
        <v>30101080298</v>
      </c>
    </row>
    <row r="761" spans="1:16" x14ac:dyDescent="0.3">
      <c r="A761">
        <v>760</v>
      </c>
      <c r="B761" t="s">
        <v>30</v>
      </c>
      <c r="C761" t="s">
        <v>1545</v>
      </c>
      <c r="D761" t="s">
        <v>1546</v>
      </c>
      <c r="E761" t="s">
        <v>815</v>
      </c>
      <c r="F761" t="s">
        <v>816</v>
      </c>
      <c r="G761" t="s">
        <v>843</v>
      </c>
      <c r="H761" t="s">
        <v>945</v>
      </c>
      <c r="I761" t="s">
        <v>1546</v>
      </c>
      <c r="J761" t="s">
        <v>373</v>
      </c>
      <c r="K761" t="s">
        <v>385</v>
      </c>
      <c r="L761" t="s">
        <v>42</v>
      </c>
      <c r="M761" t="s">
        <v>471</v>
      </c>
      <c r="N761" t="s">
        <v>844</v>
      </c>
      <c r="O761" t="s">
        <v>219</v>
      </c>
      <c r="P761" t="str">
        <f>_xlfn.TEXTBEFORE(_xlfn.TEXTAFTER(Table26[[#This Row],[WBS CODE]], "-"), "-")</f>
        <v>30101086101</v>
      </c>
    </row>
    <row r="762" spans="1:16" x14ac:dyDescent="0.3">
      <c r="A762">
        <v>761</v>
      </c>
      <c r="B762" t="s">
        <v>30</v>
      </c>
      <c r="C762" t="s">
        <v>1547</v>
      </c>
      <c r="D762" t="s">
        <v>1548</v>
      </c>
      <c r="E762" t="s">
        <v>815</v>
      </c>
      <c r="F762" t="s">
        <v>816</v>
      </c>
      <c r="G762" t="s">
        <v>843</v>
      </c>
      <c r="H762" t="s">
        <v>945</v>
      </c>
      <c r="I762" t="s">
        <v>1548</v>
      </c>
      <c r="J762" t="s">
        <v>373</v>
      </c>
      <c r="K762" t="s">
        <v>385</v>
      </c>
      <c r="L762" t="s">
        <v>42</v>
      </c>
      <c r="M762" t="s">
        <v>1156</v>
      </c>
      <c r="N762" t="s">
        <v>844</v>
      </c>
      <c r="O762" t="s">
        <v>219</v>
      </c>
      <c r="P762" t="str">
        <f>_xlfn.TEXTBEFORE(_xlfn.TEXTAFTER(Table26[[#This Row],[WBS CODE]], "-"), "-")</f>
        <v>30101086102</v>
      </c>
    </row>
    <row r="763" spans="1:16" x14ac:dyDescent="0.3">
      <c r="A763">
        <v>762</v>
      </c>
      <c r="B763" t="s">
        <v>30</v>
      </c>
      <c r="C763" t="s">
        <v>1549</v>
      </c>
      <c r="D763" t="s">
        <v>1550</v>
      </c>
      <c r="E763" t="s">
        <v>815</v>
      </c>
      <c r="F763" t="s">
        <v>816</v>
      </c>
      <c r="G763" t="s">
        <v>843</v>
      </c>
      <c r="H763" t="s">
        <v>945</v>
      </c>
      <c r="I763" t="s">
        <v>1550</v>
      </c>
      <c r="J763" t="s">
        <v>373</v>
      </c>
      <c r="K763" t="s">
        <v>385</v>
      </c>
      <c r="L763" t="s">
        <v>42</v>
      </c>
      <c r="M763" t="s">
        <v>466</v>
      </c>
      <c r="N763" t="s">
        <v>844</v>
      </c>
      <c r="O763" t="s">
        <v>219</v>
      </c>
      <c r="P763" t="str">
        <f>_xlfn.TEXTBEFORE(_xlfn.TEXTAFTER(Table26[[#This Row],[WBS CODE]], "-"), "-")</f>
        <v>30101086118</v>
      </c>
    </row>
    <row r="764" spans="1:16" x14ac:dyDescent="0.3">
      <c r="A764">
        <v>763</v>
      </c>
      <c r="B764" t="s">
        <v>30</v>
      </c>
      <c r="C764" t="s">
        <v>1551</v>
      </c>
      <c r="D764" t="s">
        <v>1552</v>
      </c>
      <c r="E764" t="s">
        <v>815</v>
      </c>
      <c r="F764" t="s">
        <v>816</v>
      </c>
      <c r="G764" t="s">
        <v>843</v>
      </c>
      <c r="H764" t="s">
        <v>945</v>
      </c>
      <c r="I764" t="s">
        <v>1552</v>
      </c>
      <c r="J764" t="s">
        <v>373</v>
      </c>
      <c r="K764" t="s">
        <v>385</v>
      </c>
      <c r="L764" t="s">
        <v>42</v>
      </c>
      <c r="M764" t="s">
        <v>460</v>
      </c>
      <c r="N764" t="s">
        <v>844</v>
      </c>
      <c r="O764" t="s">
        <v>219</v>
      </c>
      <c r="P764" t="str">
        <f>_xlfn.TEXTBEFORE(_xlfn.TEXTAFTER(Table26[[#This Row],[WBS CODE]], "-"), "-")</f>
        <v>30101086162</v>
      </c>
    </row>
    <row r="765" spans="1:16" x14ac:dyDescent="0.3">
      <c r="A765">
        <v>764</v>
      </c>
      <c r="B765" t="s">
        <v>30</v>
      </c>
      <c r="C765" t="s">
        <v>1553</v>
      </c>
      <c r="D765" t="s">
        <v>1554</v>
      </c>
      <c r="E765" t="s">
        <v>815</v>
      </c>
      <c r="F765" t="s">
        <v>816</v>
      </c>
      <c r="G765" t="s">
        <v>843</v>
      </c>
      <c r="H765" t="s">
        <v>945</v>
      </c>
      <c r="I765" t="s">
        <v>1554</v>
      </c>
      <c r="J765" t="s">
        <v>373</v>
      </c>
      <c r="K765" t="s">
        <v>385</v>
      </c>
      <c r="L765" t="s">
        <v>42</v>
      </c>
      <c r="M765" t="s">
        <v>463</v>
      </c>
      <c r="N765" t="s">
        <v>844</v>
      </c>
      <c r="O765" t="s">
        <v>219</v>
      </c>
      <c r="P765" t="str">
        <f>_xlfn.TEXTBEFORE(_xlfn.TEXTAFTER(Table26[[#This Row],[WBS CODE]], "-"), "-")</f>
        <v>30101086193</v>
      </c>
    </row>
    <row r="766" spans="1:16" x14ac:dyDescent="0.3">
      <c r="A766">
        <v>765</v>
      </c>
      <c r="B766" t="s">
        <v>30</v>
      </c>
      <c r="C766" t="s">
        <v>1555</v>
      </c>
      <c r="D766" t="s">
        <v>1556</v>
      </c>
      <c r="E766" t="s">
        <v>815</v>
      </c>
      <c r="F766" t="s">
        <v>816</v>
      </c>
      <c r="G766" t="s">
        <v>846</v>
      </c>
      <c r="H766" t="s">
        <v>947</v>
      </c>
      <c r="I766" t="s">
        <v>1556</v>
      </c>
      <c r="J766" t="s">
        <v>373</v>
      </c>
      <c r="K766" t="s">
        <v>385</v>
      </c>
      <c r="L766" t="s">
        <v>39</v>
      </c>
      <c r="M766" t="s">
        <v>455</v>
      </c>
      <c r="N766" t="s">
        <v>847</v>
      </c>
      <c r="O766" t="s">
        <v>219</v>
      </c>
      <c r="P766" t="str">
        <f>_xlfn.TEXTBEFORE(_xlfn.TEXTAFTER(Table26[[#This Row],[WBS CODE]], "-"), "-")</f>
        <v>30101090160</v>
      </c>
    </row>
    <row r="767" spans="1:16" x14ac:dyDescent="0.3">
      <c r="A767">
        <v>766</v>
      </c>
      <c r="B767" t="s">
        <v>30</v>
      </c>
      <c r="C767" t="s">
        <v>1557</v>
      </c>
      <c r="D767" t="s">
        <v>1558</v>
      </c>
      <c r="E767" t="s">
        <v>815</v>
      </c>
      <c r="F767" t="s">
        <v>816</v>
      </c>
      <c r="G767" t="s">
        <v>846</v>
      </c>
      <c r="H767" t="s">
        <v>949</v>
      </c>
      <c r="I767" t="s">
        <v>1558</v>
      </c>
      <c r="J767" t="s">
        <v>373</v>
      </c>
      <c r="K767" t="s">
        <v>385</v>
      </c>
      <c r="L767" t="s">
        <v>900</v>
      </c>
      <c r="M767" t="s">
        <v>450</v>
      </c>
      <c r="N767" t="s">
        <v>847</v>
      </c>
      <c r="O767" t="s">
        <v>219</v>
      </c>
      <c r="P767" t="str">
        <f>_xlfn.TEXTBEFORE(_xlfn.TEXTAFTER(Table26[[#This Row],[WBS CODE]], "-"), "-")</f>
        <v>30101090204</v>
      </c>
    </row>
    <row r="768" spans="1:16" x14ac:dyDescent="0.3">
      <c r="A768">
        <v>767</v>
      </c>
      <c r="B768" t="s">
        <v>30</v>
      </c>
      <c r="C768" t="s">
        <v>1559</v>
      </c>
      <c r="D768" t="s">
        <v>1560</v>
      </c>
      <c r="E768" t="s">
        <v>815</v>
      </c>
      <c r="F768" t="s">
        <v>816</v>
      </c>
      <c r="G768" t="s">
        <v>846</v>
      </c>
      <c r="H768" t="s">
        <v>949</v>
      </c>
      <c r="I768" t="s">
        <v>1560</v>
      </c>
      <c r="J768" t="s">
        <v>373</v>
      </c>
      <c r="K768" t="s">
        <v>385</v>
      </c>
      <c r="L768" t="s">
        <v>900</v>
      </c>
      <c r="M768" t="s">
        <v>447</v>
      </c>
      <c r="N768" t="s">
        <v>847</v>
      </c>
      <c r="O768" t="s">
        <v>219</v>
      </c>
      <c r="P768" t="str">
        <f>_xlfn.TEXTBEFORE(_xlfn.TEXTAFTER(Table26[[#This Row],[WBS CODE]], "-"), "-")</f>
        <v>30101090205</v>
      </c>
    </row>
    <row r="769" spans="1:16" x14ac:dyDescent="0.3">
      <c r="A769">
        <v>768</v>
      </c>
      <c r="B769" t="s">
        <v>30</v>
      </c>
      <c r="C769" t="s">
        <v>1561</v>
      </c>
      <c r="D769" t="s">
        <v>1562</v>
      </c>
      <c r="E769" t="s">
        <v>815</v>
      </c>
      <c r="F769" t="s">
        <v>816</v>
      </c>
      <c r="G769" t="s">
        <v>846</v>
      </c>
      <c r="H769" t="s">
        <v>949</v>
      </c>
      <c r="I769" t="s">
        <v>1562</v>
      </c>
      <c r="J769" t="s">
        <v>373</v>
      </c>
      <c r="K769" t="s">
        <v>385</v>
      </c>
      <c r="L769" t="s">
        <v>900</v>
      </c>
      <c r="M769" t="s">
        <v>444</v>
      </c>
      <c r="N769" t="s">
        <v>847</v>
      </c>
      <c r="O769" t="s">
        <v>219</v>
      </c>
      <c r="P769" t="str">
        <f>_xlfn.TEXTBEFORE(_xlfn.TEXTAFTER(Table26[[#This Row],[WBS CODE]], "-"), "-")</f>
        <v>30101090207</v>
      </c>
    </row>
    <row r="770" spans="1:16" x14ac:dyDescent="0.3">
      <c r="A770">
        <v>769</v>
      </c>
      <c r="B770" t="s">
        <v>30</v>
      </c>
      <c r="C770" t="s">
        <v>1563</v>
      </c>
      <c r="D770" t="s">
        <v>1564</v>
      </c>
      <c r="E770" t="s">
        <v>815</v>
      </c>
      <c r="F770" t="s">
        <v>816</v>
      </c>
      <c r="G770" t="s">
        <v>846</v>
      </c>
      <c r="H770" t="s">
        <v>949</v>
      </c>
      <c r="I770" t="s">
        <v>1564</v>
      </c>
      <c r="J770" t="s">
        <v>373</v>
      </c>
      <c r="K770" t="s">
        <v>385</v>
      </c>
      <c r="L770" t="s">
        <v>900</v>
      </c>
      <c r="M770" t="s">
        <v>441</v>
      </c>
      <c r="N770" t="s">
        <v>847</v>
      </c>
      <c r="O770" t="s">
        <v>219</v>
      </c>
      <c r="P770" t="str">
        <f>_xlfn.TEXTBEFORE(_xlfn.TEXTAFTER(Table26[[#This Row],[WBS CODE]], "-"), "-")</f>
        <v>30101090208</v>
      </c>
    </row>
    <row r="771" spans="1:16" x14ac:dyDescent="0.3">
      <c r="A771">
        <v>770</v>
      </c>
      <c r="B771" t="s">
        <v>30</v>
      </c>
      <c r="C771" t="s">
        <v>1565</v>
      </c>
      <c r="D771" t="s">
        <v>1566</v>
      </c>
      <c r="E771" t="s">
        <v>815</v>
      </c>
      <c r="F771" t="s">
        <v>816</v>
      </c>
      <c r="G771" t="s">
        <v>846</v>
      </c>
      <c r="H771" t="s">
        <v>949</v>
      </c>
      <c r="I771" t="s">
        <v>1566</v>
      </c>
      <c r="J771" t="s">
        <v>373</v>
      </c>
      <c r="K771" t="s">
        <v>385</v>
      </c>
      <c r="L771" t="s">
        <v>900</v>
      </c>
      <c r="M771" t="s">
        <v>438</v>
      </c>
      <c r="N771" t="s">
        <v>847</v>
      </c>
      <c r="O771" t="s">
        <v>219</v>
      </c>
      <c r="P771" t="str">
        <f>_xlfn.TEXTBEFORE(_xlfn.TEXTAFTER(Table26[[#This Row],[WBS CODE]], "-"), "-")</f>
        <v>30101090209</v>
      </c>
    </row>
    <row r="772" spans="1:16" x14ac:dyDescent="0.3">
      <c r="A772">
        <v>771</v>
      </c>
      <c r="B772" t="s">
        <v>30</v>
      </c>
      <c r="C772" t="s">
        <v>1567</v>
      </c>
      <c r="D772" t="s">
        <v>1568</v>
      </c>
      <c r="E772" t="s">
        <v>815</v>
      </c>
      <c r="F772" t="s">
        <v>816</v>
      </c>
      <c r="G772" t="s">
        <v>846</v>
      </c>
      <c r="H772" t="s">
        <v>949</v>
      </c>
      <c r="I772" t="s">
        <v>1568</v>
      </c>
      <c r="J772" t="s">
        <v>373</v>
      </c>
      <c r="K772" t="s">
        <v>385</v>
      </c>
      <c r="L772" t="s">
        <v>900</v>
      </c>
      <c r="M772" t="s">
        <v>435</v>
      </c>
      <c r="N772" t="s">
        <v>847</v>
      </c>
      <c r="O772" t="s">
        <v>219</v>
      </c>
      <c r="P772" t="str">
        <f>_xlfn.TEXTBEFORE(_xlfn.TEXTAFTER(Table26[[#This Row],[WBS CODE]], "-"), "-")</f>
        <v>30101090210</v>
      </c>
    </row>
    <row r="773" spans="1:16" x14ac:dyDescent="0.3">
      <c r="A773">
        <v>772</v>
      </c>
      <c r="B773" t="s">
        <v>30</v>
      </c>
      <c r="C773" t="s">
        <v>1569</v>
      </c>
      <c r="D773" t="s">
        <v>1570</v>
      </c>
      <c r="E773" t="s">
        <v>815</v>
      </c>
      <c r="F773" t="s">
        <v>816</v>
      </c>
      <c r="G773" t="s">
        <v>846</v>
      </c>
      <c r="H773" t="s">
        <v>949</v>
      </c>
      <c r="I773" t="s">
        <v>1570</v>
      </c>
      <c r="J773" t="s">
        <v>373</v>
      </c>
      <c r="K773" t="s">
        <v>385</v>
      </c>
      <c r="L773" t="s">
        <v>900</v>
      </c>
      <c r="M773" t="s">
        <v>432</v>
      </c>
      <c r="N773" t="s">
        <v>847</v>
      </c>
      <c r="O773" t="s">
        <v>219</v>
      </c>
      <c r="P773" t="str">
        <f>_xlfn.TEXTBEFORE(_xlfn.TEXTAFTER(Table26[[#This Row],[WBS CODE]], "-"), "-")</f>
        <v>30101090211</v>
      </c>
    </row>
    <row r="774" spans="1:16" x14ac:dyDescent="0.3">
      <c r="A774">
        <v>773</v>
      </c>
      <c r="B774" t="s">
        <v>30</v>
      </c>
      <c r="C774" t="s">
        <v>1571</v>
      </c>
      <c r="D774" t="s">
        <v>1572</v>
      </c>
      <c r="E774" t="s">
        <v>815</v>
      </c>
      <c r="F774" t="s">
        <v>816</v>
      </c>
      <c r="G774" t="s">
        <v>846</v>
      </c>
      <c r="H774" t="s">
        <v>949</v>
      </c>
      <c r="I774" t="s">
        <v>1572</v>
      </c>
      <c r="J774" t="s">
        <v>373</v>
      </c>
      <c r="K774" t="s">
        <v>385</v>
      </c>
      <c r="L774" t="s">
        <v>900</v>
      </c>
      <c r="M774" t="s">
        <v>429</v>
      </c>
      <c r="N774" t="s">
        <v>847</v>
      </c>
      <c r="O774" t="s">
        <v>219</v>
      </c>
      <c r="P774" t="str">
        <f>_xlfn.TEXTBEFORE(_xlfn.TEXTAFTER(Table26[[#This Row],[WBS CODE]], "-"), "-")</f>
        <v>30101090212</v>
      </c>
    </row>
    <row r="775" spans="1:16" x14ac:dyDescent="0.3">
      <c r="A775">
        <v>774</v>
      </c>
      <c r="B775" t="s">
        <v>30</v>
      </c>
      <c r="C775" t="s">
        <v>1573</v>
      </c>
      <c r="D775" t="s">
        <v>1574</v>
      </c>
      <c r="E775" t="s">
        <v>815</v>
      </c>
      <c r="F775" t="s">
        <v>816</v>
      </c>
      <c r="G775" t="s">
        <v>846</v>
      </c>
      <c r="H775" t="s">
        <v>949</v>
      </c>
      <c r="I775" t="s">
        <v>1574</v>
      </c>
      <c r="J775" t="s">
        <v>373</v>
      </c>
      <c r="K775" t="s">
        <v>385</v>
      </c>
      <c r="L775" t="s">
        <v>900</v>
      </c>
      <c r="M775" t="s">
        <v>423</v>
      </c>
      <c r="N775" t="s">
        <v>847</v>
      </c>
      <c r="O775" t="s">
        <v>219</v>
      </c>
      <c r="P775" t="str">
        <f>_xlfn.TEXTBEFORE(_xlfn.TEXTAFTER(Table26[[#This Row],[WBS CODE]], "-"), "-")</f>
        <v>30101090213</v>
      </c>
    </row>
    <row r="776" spans="1:16" x14ac:dyDescent="0.3">
      <c r="A776">
        <v>775</v>
      </c>
      <c r="B776" t="s">
        <v>30</v>
      </c>
      <c r="C776" t="s">
        <v>1575</v>
      </c>
      <c r="D776" t="s">
        <v>1576</v>
      </c>
      <c r="E776" t="s">
        <v>815</v>
      </c>
      <c r="F776" t="s">
        <v>816</v>
      </c>
      <c r="G776" t="s">
        <v>846</v>
      </c>
      <c r="H776" t="s">
        <v>949</v>
      </c>
      <c r="I776" t="s">
        <v>1576</v>
      </c>
      <c r="J776" t="s">
        <v>373</v>
      </c>
      <c r="K776" t="s">
        <v>385</v>
      </c>
      <c r="L776" t="s">
        <v>900</v>
      </c>
      <c r="M776" t="s">
        <v>420</v>
      </c>
      <c r="N776" t="s">
        <v>847</v>
      </c>
      <c r="O776" t="s">
        <v>219</v>
      </c>
      <c r="P776" t="str">
        <f>_xlfn.TEXTBEFORE(_xlfn.TEXTAFTER(Table26[[#This Row],[WBS CODE]], "-"), "-")</f>
        <v>30101090214</v>
      </c>
    </row>
    <row r="777" spans="1:16" x14ac:dyDescent="0.3">
      <c r="A777">
        <v>776</v>
      </c>
      <c r="B777" t="s">
        <v>30</v>
      </c>
      <c r="C777" t="s">
        <v>1577</v>
      </c>
      <c r="D777" t="s">
        <v>1578</v>
      </c>
      <c r="E777" t="s">
        <v>815</v>
      </c>
      <c r="F777" t="s">
        <v>816</v>
      </c>
      <c r="G777" t="s">
        <v>846</v>
      </c>
      <c r="H777" t="s">
        <v>949</v>
      </c>
      <c r="I777" t="s">
        <v>1578</v>
      </c>
      <c r="J777" t="s">
        <v>373</v>
      </c>
      <c r="K777" t="s">
        <v>385</v>
      </c>
      <c r="L777" t="s">
        <v>900</v>
      </c>
      <c r="M777" t="s">
        <v>417</v>
      </c>
      <c r="N777" t="s">
        <v>847</v>
      </c>
      <c r="O777" t="s">
        <v>219</v>
      </c>
      <c r="P777" t="str">
        <f>_xlfn.TEXTBEFORE(_xlfn.TEXTAFTER(Table26[[#This Row],[WBS CODE]], "-"), "-")</f>
        <v>30101090215</v>
      </c>
    </row>
    <row r="778" spans="1:16" x14ac:dyDescent="0.3">
      <c r="A778">
        <v>777</v>
      </c>
      <c r="B778" t="s">
        <v>30</v>
      </c>
      <c r="C778" t="s">
        <v>1579</v>
      </c>
      <c r="D778" t="s">
        <v>1580</v>
      </c>
      <c r="E778" t="s">
        <v>815</v>
      </c>
      <c r="F778" t="s">
        <v>816</v>
      </c>
      <c r="G778" t="s">
        <v>846</v>
      </c>
      <c r="H778" t="s">
        <v>949</v>
      </c>
      <c r="I778" t="s">
        <v>1580</v>
      </c>
      <c r="J778" t="s">
        <v>373</v>
      </c>
      <c r="K778" t="s">
        <v>385</v>
      </c>
      <c r="L778" t="s">
        <v>900</v>
      </c>
      <c r="M778" t="s">
        <v>414</v>
      </c>
      <c r="N778" t="s">
        <v>847</v>
      </c>
      <c r="O778" t="s">
        <v>219</v>
      </c>
      <c r="P778" t="str">
        <f>_xlfn.TEXTBEFORE(_xlfn.TEXTAFTER(Table26[[#This Row],[WBS CODE]], "-"), "-")</f>
        <v>30101090216</v>
      </c>
    </row>
    <row r="779" spans="1:16" x14ac:dyDescent="0.3">
      <c r="A779">
        <v>778</v>
      </c>
      <c r="B779" t="s">
        <v>30</v>
      </c>
      <c r="C779" t="s">
        <v>1581</v>
      </c>
      <c r="D779" t="s">
        <v>1582</v>
      </c>
      <c r="E779" t="s">
        <v>815</v>
      </c>
      <c r="F779" t="s">
        <v>816</v>
      </c>
      <c r="G779" t="s">
        <v>846</v>
      </c>
      <c r="H779" t="s">
        <v>949</v>
      </c>
      <c r="I779" t="s">
        <v>1582</v>
      </c>
      <c r="J779" t="s">
        <v>373</v>
      </c>
      <c r="K779" t="s">
        <v>385</v>
      </c>
      <c r="L779" t="s">
        <v>900</v>
      </c>
      <c r="M779" t="s">
        <v>411</v>
      </c>
      <c r="N779" t="s">
        <v>847</v>
      </c>
      <c r="O779" t="s">
        <v>219</v>
      </c>
      <c r="P779" t="str">
        <f>_xlfn.TEXTBEFORE(_xlfn.TEXTAFTER(Table26[[#This Row],[WBS CODE]], "-"), "-")</f>
        <v>30101090217</v>
      </c>
    </row>
    <row r="780" spans="1:16" x14ac:dyDescent="0.3">
      <c r="A780">
        <v>779</v>
      </c>
      <c r="B780" t="s">
        <v>30</v>
      </c>
      <c r="C780" t="s">
        <v>1583</v>
      </c>
      <c r="D780" t="s">
        <v>1584</v>
      </c>
      <c r="E780" t="s">
        <v>815</v>
      </c>
      <c r="F780" t="s">
        <v>816</v>
      </c>
      <c r="G780" t="s">
        <v>846</v>
      </c>
      <c r="H780" t="s">
        <v>949</v>
      </c>
      <c r="I780" t="s">
        <v>1584</v>
      </c>
      <c r="J780" t="s">
        <v>373</v>
      </c>
      <c r="K780" t="s">
        <v>385</v>
      </c>
      <c r="L780" t="s">
        <v>900</v>
      </c>
      <c r="M780" t="s">
        <v>408</v>
      </c>
      <c r="N780" t="s">
        <v>847</v>
      </c>
      <c r="O780" t="s">
        <v>219</v>
      </c>
      <c r="P780" t="str">
        <f>_xlfn.TEXTBEFORE(_xlfn.TEXTAFTER(Table26[[#This Row],[WBS CODE]], "-"), "-")</f>
        <v>30101090220</v>
      </c>
    </row>
    <row r="781" spans="1:16" x14ac:dyDescent="0.3">
      <c r="A781">
        <v>780</v>
      </c>
      <c r="B781" t="s">
        <v>30</v>
      </c>
      <c r="C781" t="s">
        <v>1585</v>
      </c>
      <c r="D781" t="s">
        <v>1586</v>
      </c>
      <c r="E781" t="s">
        <v>815</v>
      </c>
      <c r="F781" t="s">
        <v>816</v>
      </c>
      <c r="G781" t="s">
        <v>846</v>
      </c>
      <c r="H781" t="s">
        <v>949</v>
      </c>
      <c r="I781" t="s">
        <v>1586</v>
      </c>
      <c r="J781" t="s">
        <v>373</v>
      </c>
      <c r="K781" t="s">
        <v>385</v>
      </c>
      <c r="L781" t="s">
        <v>900</v>
      </c>
      <c r="M781" t="s">
        <v>390</v>
      </c>
      <c r="N781" t="s">
        <v>847</v>
      </c>
      <c r="O781" t="s">
        <v>219</v>
      </c>
      <c r="P781" t="str">
        <f>_xlfn.TEXTBEFORE(_xlfn.TEXTAFTER(Table26[[#This Row],[WBS CODE]], "-"), "-")</f>
        <v>30101090224</v>
      </c>
    </row>
    <row r="782" spans="1:16" x14ac:dyDescent="0.3">
      <c r="A782">
        <v>781</v>
      </c>
      <c r="B782" t="s">
        <v>30</v>
      </c>
      <c r="C782" t="s">
        <v>1587</v>
      </c>
      <c r="D782" t="s">
        <v>1588</v>
      </c>
      <c r="E782" t="s">
        <v>815</v>
      </c>
      <c r="F782" t="s">
        <v>816</v>
      </c>
      <c r="G782" t="s">
        <v>846</v>
      </c>
      <c r="H782" t="s">
        <v>949</v>
      </c>
      <c r="I782" t="s">
        <v>1588</v>
      </c>
      <c r="J782" t="s">
        <v>373</v>
      </c>
      <c r="K782" t="s">
        <v>385</v>
      </c>
      <c r="L782" t="s">
        <v>900</v>
      </c>
      <c r="M782" t="s">
        <v>1139</v>
      </c>
      <c r="N782" t="s">
        <v>847</v>
      </c>
      <c r="O782" t="s">
        <v>219</v>
      </c>
      <c r="P782" t="str">
        <f>_xlfn.TEXTBEFORE(_xlfn.TEXTAFTER(Table26[[#This Row],[WBS CODE]], "-"), "-")</f>
        <v>30101090245</v>
      </c>
    </row>
    <row r="783" spans="1:16" x14ac:dyDescent="0.3">
      <c r="A783">
        <v>782</v>
      </c>
      <c r="B783" t="s">
        <v>30</v>
      </c>
      <c r="C783" t="s">
        <v>1589</v>
      </c>
      <c r="D783" t="s">
        <v>1590</v>
      </c>
      <c r="E783" t="s">
        <v>815</v>
      </c>
      <c r="F783" t="s">
        <v>816</v>
      </c>
      <c r="G783" t="s">
        <v>846</v>
      </c>
      <c r="H783" t="s">
        <v>949</v>
      </c>
      <c r="I783" t="s">
        <v>1590</v>
      </c>
      <c r="J783" t="s">
        <v>373</v>
      </c>
      <c r="K783" t="s">
        <v>385</v>
      </c>
      <c r="L783" t="s">
        <v>900</v>
      </c>
      <c r="M783" t="s">
        <v>426</v>
      </c>
      <c r="N783" t="s">
        <v>847</v>
      </c>
      <c r="O783" t="s">
        <v>219</v>
      </c>
      <c r="P783" t="str">
        <f>_xlfn.TEXTBEFORE(_xlfn.TEXTAFTER(Table26[[#This Row],[WBS CODE]], "-"), "-")</f>
        <v>30101090247</v>
      </c>
    </row>
    <row r="784" spans="1:16" x14ac:dyDescent="0.3">
      <c r="A784">
        <v>783</v>
      </c>
      <c r="B784" t="s">
        <v>30</v>
      </c>
      <c r="C784" t="s">
        <v>1591</v>
      </c>
      <c r="D784" t="s">
        <v>1592</v>
      </c>
      <c r="E784" t="s">
        <v>815</v>
      </c>
      <c r="F784" t="s">
        <v>816</v>
      </c>
      <c r="G784" t="s">
        <v>846</v>
      </c>
      <c r="H784" t="s">
        <v>949</v>
      </c>
      <c r="I784" t="s">
        <v>1592</v>
      </c>
      <c r="J784" t="s">
        <v>373</v>
      </c>
      <c r="K784" t="s">
        <v>385</v>
      </c>
      <c r="L784" t="s">
        <v>900</v>
      </c>
      <c r="M784" t="s">
        <v>405</v>
      </c>
      <c r="N784" t="s">
        <v>847</v>
      </c>
      <c r="O784" t="s">
        <v>219</v>
      </c>
      <c r="P784" t="str">
        <f>_xlfn.TEXTBEFORE(_xlfn.TEXTAFTER(Table26[[#This Row],[WBS CODE]], "-"), "-")</f>
        <v>30101090294</v>
      </c>
    </row>
    <row r="785" spans="1:16" x14ac:dyDescent="0.3">
      <c r="A785">
        <v>784</v>
      </c>
      <c r="B785" t="s">
        <v>30</v>
      </c>
      <c r="C785" t="s">
        <v>1593</v>
      </c>
      <c r="D785" t="s">
        <v>1594</v>
      </c>
      <c r="E785" t="s">
        <v>815</v>
      </c>
      <c r="F785" t="s">
        <v>816</v>
      </c>
      <c r="G785" t="s">
        <v>846</v>
      </c>
      <c r="H785" t="s">
        <v>949</v>
      </c>
      <c r="I785" t="s">
        <v>1594</v>
      </c>
      <c r="J785" t="s">
        <v>373</v>
      </c>
      <c r="K785" t="s">
        <v>385</v>
      </c>
      <c r="L785" t="s">
        <v>900</v>
      </c>
      <c r="M785" t="s">
        <v>402</v>
      </c>
      <c r="N785" t="s">
        <v>847</v>
      </c>
      <c r="O785" t="s">
        <v>219</v>
      </c>
      <c r="P785" t="str">
        <f>_xlfn.TEXTBEFORE(_xlfn.TEXTAFTER(Table26[[#This Row],[WBS CODE]], "-"), "-")</f>
        <v>30101090295</v>
      </c>
    </row>
    <row r="786" spans="1:16" x14ac:dyDescent="0.3">
      <c r="A786">
        <v>785</v>
      </c>
      <c r="B786" t="s">
        <v>30</v>
      </c>
      <c r="C786" t="s">
        <v>1595</v>
      </c>
      <c r="D786" t="s">
        <v>1596</v>
      </c>
      <c r="E786" t="s">
        <v>815</v>
      </c>
      <c r="F786" t="s">
        <v>816</v>
      </c>
      <c r="G786" t="s">
        <v>846</v>
      </c>
      <c r="H786" t="s">
        <v>949</v>
      </c>
      <c r="I786" t="s">
        <v>1596</v>
      </c>
      <c r="J786" t="s">
        <v>373</v>
      </c>
      <c r="K786" t="s">
        <v>385</v>
      </c>
      <c r="L786" t="s">
        <v>900</v>
      </c>
      <c r="M786" t="s">
        <v>399</v>
      </c>
      <c r="N786" t="s">
        <v>847</v>
      </c>
      <c r="O786" t="s">
        <v>219</v>
      </c>
      <c r="P786" t="str">
        <f>_xlfn.TEXTBEFORE(_xlfn.TEXTAFTER(Table26[[#This Row],[WBS CODE]], "-"), "-")</f>
        <v>30101090296</v>
      </c>
    </row>
    <row r="787" spans="1:16" x14ac:dyDescent="0.3">
      <c r="A787">
        <v>786</v>
      </c>
      <c r="B787" t="s">
        <v>30</v>
      </c>
      <c r="C787" t="s">
        <v>1597</v>
      </c>
      <c r="D787" t="s">
        <v>1598</v>
      </c>
      <c r="E787" t="s">
        <v>815</v>
      </c>
      <c r="F787" t="s">
        <v>816</v>
      </c>
      <c r="G787" t="s">
        <v>846</v>
      </c>
      <c r="H787" t="s">
        <v>949</v>
      </c>
      <c r="I787" t="s">
        <v>1598</v>
      </c>
      <c r="J787" t="s">
        <v>373</v>
      </c>
      <c r="K787" t="s">
        <v>385</v>
      </c>
      <c r="L787" t="s">
        <v>900</v>
      </c>
      <c r="M787" t="s">
        <v>396</v>
      </c>
      <c r="N787" t="s">
        <v>847</v>
      </c>
      <c r="O787" t="s">
        <v>219</v>
      </c>
      <c r="P787" t="str">
        <f>_xlfn.TEXTBEFORE(_xlfn.TEXTAFTER(Table26[[#This Row],[WBS CODE]], "-"), "-")</f>
        <v>30101090297</v>
      </c>
    </row>
    <row r="788" spans="1:16" x14ac:dyDescent="0.3">
      <c r="A788">
        <v>787</v>
      </c>
      <c r="B788" t="s">
        <v>30</v>
      </c>
      <c r="C788" t="s">
        <v>1599</v>
      </c>
      <c r="D788" t="s">
        <v>1600</v>
      </c>
      <c r="E788" t="s">
        <v>815</v>
      </c>
      <c r="F788" t="s">
        <v>816</v>
      </c>
      <c r="G788" t="s">
        <v>846</v>
      </c>
      <c r="H788" t="s">
        <v>949</v>
      </c>
      <c r="I788" t="s">
        <v>1600</v>
      </c>
      <c r="J788" t="s">
        <v>373</v>
      </c>
      <c r="K788" t="s">
        <v>385</v>
      </c>
      <c r="L788" t="s">
        <v>900</v>
      </c>
      <c r="M788" t="s">
        <v>393</v>
      </c>
      <c r="N788" t="s">
        <v>847</v>
      </c>
      <c r="O788" t="s">
        <v>219</v>
      </c>
      <c r="P788" t="str">
        <f>_xlfn.TEXTBEFORE(_xlfn.TEXTAFTER(Table26[[#This Row],[WBS CODE]], "-"), "-")</f>
        <v>30101090298</v>
      </c>
    </row>
    <row r="789" spans="1:16" x14ac:dyDescent="0.3">
      <c r="A789">
        <v>788</v>
      </c>
      <c r="B789" t="s">
        <v>30</v>
      </c>
      <c r="C789" t="s">
        <v>1601</v>
      </c>
      <c r="D789" t="s">
        <v>1602</v>
      </c>
      <c r="E789" t="s">
        <v>815</v>
      </c>
      <c r="F789" t="s">
        <v>816</v>
      </c>
      <c r="G789" t="s">
        <v>846</v>
      </c>
      <c r="H789" t="s">
        <v>951</v>
      </c>
      <c r="I789" t="s">
        <v>1602</v>
      </c>
      <c r="J789" t="s">
        <v>373</v>
      </c>
      <c r="K789" t="s">
        <v>385</v>
      </c>
      <c r="L789" t="s">
        <v>42</v>
      </c>
      <c r="M789" t="s">
        <v>471</v>
      </c>
      <c r="N789" t="s">
        <v>847</v>
      </c>
      <c r="O789" t="s">
        <v>219</v>
      </c>
      <c r="P789" t="str">
        <f>_xlfn.TEXTBEFORE(_xlfn.TEXTAFTER(Table26[[#This Row],[WBS CODE]], "-"), "-")</f>
        <v>30101096101</v>
      </c>
    </row>
    <row r="790" spans="1:16" x14ac:dyDescent="0.3">
      <c r="A790">
        <v>789</v>
      </c>
      <c r="B790" t="s">
        <v>30</v>
      </c>
      <c r="C790" t="s">
        <v>1603</v>
      </c>
      <c r="D790" t="s">
        <v>1604</v>
      </c>
      <c r="E790" t="s">
        <v>815</v>
      </c>
      <c r="F790" t="s">
        <v>816</v>
      </c>
      <c r="G790" t="s">
        <v>846</v>
      </c>
      <c r="H790" t="s">
        <v>951</v>
      </c>
      <c r="I790" t="s">
        <v>1604</v>
      </c>
      <c r="J790" t="s">
        <v>373</v>
      </c>
      <c r="K790" t="s">
        <v>385</v>
      </c>
      <c r="L790" t="s">
        <v>42</v>
      </c>
      <c r="M790" t="s">
        <v>1156</v>
      </c>
      <c r="N790" t="s">
        <v>847</v>
      </c>
      <c r="O790" t="s">
        <v>219</v>
      </c>
      <c r="P790" t="str">
        <f>_xlfn.TEXTBEFORE(_xlfn.TEXTAFTER(Table26[[#This Row],[WBS CODE]], "-"), "-")</f>
        <v>30101096102</v>
      </c>
    </row>
    <row r="791" spans="1:16" x14ac:dyDescent="0.3">
      <c r="A791">
        <v>790</v>
      </c>
      <c r="B791" t="s">
        <v>30</v>
      </c>
      <c r="C791" t="s">
        <v>1605</v>
      </c>
      <c r="D791" t="s">
        <v>1606</v>
      </c>
      <c r="E791" t="s">
        <v>815</v>
      </c>
      <c r="F791" t="s">
        <v>816</v>
      </c>
      <c r="G791" t="s">
        <v>846</v>
      </c>
      <c r="H791" t="s">
        <v>951</v>
      </c>
      <c r="I791" t="s">
        <v>1606</v>
      </c>
      <c r="J791" t="s">
        <v>373</v>
      </c>
      <c r="K791" t="s">
        <v>385</v>
      </c>
      <c r="L791" t="s">
        <v>42</v>
      </c>
      <c r="M791" t="s">
        <v>466</v>
      </c>
      <c r="N791" t="s">
        <v>847</v>
      </c>
      <c r="O791" t="s">
        <v>219</v>
      </c>
      <c r="P791" t="str">
        <f>_xlfn.TEXTBEFORE(_xlfn.TEXTAFTER(Table26[[#This Row],[WBS CODE]], "-"), "-")</f>
        <v>30101096118</v>
      </c>
    </row>
    <row r="792" spans="1:16" x14ac:dyDescent="0.3">
      <c r="A792">
        <v>791</v>
      </c>
      <c r="B792" t="s">
        <v>30</v>
      </c>
      <c r="C792" t="s">
        <v>1607</v>
      </c>
      <c r="D792" t="s">
        <v>1608</v>
      </c>
      <c r="E792" t="s">
        <v>815</v>
      </c>
      <c r="F792" t="s">
        <v>816</v>
      </c>
      <c r="G792" t="s">
        <v>846</v>
      </c>
      <c r="H792" t="s">
        <v>951</v>
      </c>
      <c r="I792" t="s">
        <v>1608</v>
      </c>
      <c r="J792" t="s">
        <v>373</v>
      </c>
      <c r="K792" t="s">
        <v>385</v>
      </c>
      <c r="L792" t="s">
        <v>42</v>
      </c>
      <c r="M792" t="s">
        <v>460</v>
      </c>
      <c r="N792" t="s">
        <v>847</v>
      </c>
      <c r="O792" t="s">
        <v>219</v>
      </c>
      <c r="P792" t="str">
        <f>_xlfn.TEXTBEFORE(_xlfn.TEXTAFTER(Table26[[#This Row],[WBS CODE]], "-"), "-")</f>
        <v>30101096162</v>
      </c>
    </row>
    <row r="793" spans="1:16" x14ac:dyDescent="0.3">
      <c r="A793">
        <v>792</v>
      </c>
      <c r="B793" t="s">
        <v>30</v>
      </c>
      <c r="C793" t="s">
        <v>1609</v>
      </c>
      <c r="D793" t="s">
        <v>1610</v>
      </c>
      <c r="E793" t="s">
        <v>815</v>
      </c>
      <c r="F793" t="s">
        <v>816</v>
      </c>
      <c r="G793" t="s">
        <v>846</v>
      </c>
      <c r="H793" t="s">
        <v>951</v>
      </c>
      <c r="I793" t="s">
        <v>1610</v>
      </c>
      <c r="J793" t="s">
        <v>373</v>
      </c>
      <c r="K793" t="s">
        <v>385</v>
      </c>
      <c r="L793" t="s">
        <v>42</v>
      </c>
      <c r="M793" t="s">
        <v>463</v>
      </c>
      <c r="N793" t="s">
        <v>847</v>
      </c>
      <c r="O793" t="s">
        <v>219</v>
      </c>
      <c r="P793" t="str">
        <f>_xlfn.TEXTBEFORE(_xlfn.TEXTAFTER(Table26[[#This Row],[WBS CODE]], "-"), "-")</f>
        <v>30101096193</v>
      </c>
    </row>
    <row r="794" spans="1:16" x14ac:dyDescent="0.3">
      <c r="A794">
        <v>793</v>
      </c>
      <c r="B794" t="s">
        <v>30</v>
      </c>
      <c r="C794" t="s">
        <v>1611</v>
      </c>
      <c r="D794" t="s">
        <v>1612</v>
      </c>
      <c r="E794" t="s">
        <v>815</v>
      </c>
      <c r="F794" t="s">
        <v>816</v>
      </c>
      <c r="G794" t="s">
        <v>848</v>
      </c>
      <c r="H794" t="s">
        <v>952</v>
      </c>
      <c r="I794" t="s">
        <v>1612</v>
      </c>
      <c r="J794" t="s">
        <v>373</v>
      </c>
      <c r="K794" t="s">
        <v>725</v>
      </c>
      <c r="L794" t="s">
        <v>958</v>
      </c>
      <c r="M794" t="s">
        <v>725</v>
      </c>
      <c r="P794" t="str">
        <f>_xlfn.TEXTBEFORE(_xlfn.TEXTAFTER(Table26[[#This Row],[WBS CODE]], "-"), "-")</f>
        <v>30101560105</v>
      </c>
    </row>
    <row r="795" spans="1:16" x14ac:dyDescent="0.3">
      <c r="A795">
        <v>794</v>
      </c>
      <c r="B795" t="s">
        <v>30</v>
      </c>
      <c r="C795" t="s">
        <v>741</v>
      </c>
      <c r="D795" t="s">
        <v>1613</v>
      </c>
      <c r="E795" t="s">
        <v>815</v>
      </c>
      <c r="F795" t="s">
        <v>816</v>
      </c>
      <c r="G795" t="s">
        <v>848</v>
      </c>
      <c r="H795" t="s">
        <v>952</v>
      </c>
      <c r="I795" t="s">
        <v>1613</v>
      </c>
      <c r="J795" t="s">
        <v>373</v>
      </c>
      <c r="K795" t="s">
        <v>725</v>
      </c>
      <c r="L795" t="s">
        <v>958</v>
      </c>
      <c r="M795" t="s">
        <v>725</v>
      </c>
      <c r="P795" t="str">
        <f>_xlfn.TEXTBEFORE(_xlfn.TEXTAFTER(Table26[[#This Row],[WBS CODE]], "-"), "-")</f>
        <v>30101560123</v>
      </c>
    </row>
    <row r="796" spans="1:16" x14ac:dyDescent="0.3">
      <c r="A796">
        <v>795</v>
      </c>
      <c r="B796" t="s">
        <v>30</v>
      </c>
      <c r="C796" t="s">
        <v>1614</v>
      </c>
      <c r="D796" t="s">
        <v>1615</v>
      </c>
      <c r="E796" t="s">
        <v>815</v>
      </c>
      <c r="F796" t="s">
        <v>816</v>
      </c>
      <c r="G796" t="s">
        <v>848</v>
      </c>
      <c r="H796" t="s">
        <v>954</v>
      </c>
      <c r="I796" t="s">
        <v>1615</v>
      </c>
      <c r="J796" t="s">
        <v>373</v>
      </c>
      <c r="K796" t="s">
        <v>725</v>
      </c>
      <c r="L796" t="s">
        <v>900</v>
      </c>
      <c r="M796" t="s">
        <v>725</v>
      </c>
      <c r="P796" t="str">
        <f>_xlfn.TEXTBEFORE(_xlfn.TEXTAFTER(Table26[[#This Row],[WBS CODE]], "-"), "-")</f>
        <v>30101560205</v>
      </c>
    </row>
    <row r="797" spans="1:16" x14ac:dyDescent="0.3">
      <c r="A797">
        <v>796</v>
      </c>
      <c r="B797" t="s">
        <v>30</v>
      </c>
      <c r="C797" t="s">
        <v>737</v>
      </c>
      <c r="D797" t="s">
        <v>1616</v>
      </c>
      <c r="E797" t="s">
        <v>815</v>
      </c>
      <c r="F797" t="s">
        <v>816</v>
      </c>
      <c r="G797" t="s">
        <v>848</v>
      </c>
      <c r="H797" t="s">
        <v>954</v>
      </c>
      <c r="I797" t="s">
        <v>1616</v>
      </c>
      <c r="J797" t="s">
        <v>373</v>
      </c>
      <c r="K797" t="s">
        <v>725</v>
      </c>
      <c r="L797" t="s">
        <v>900</v>
      </c>
      <c r="M797" t="s">
        <v>725</v>
      </c>
      <c r="P797" t="str">
        <f>_xlfn.TEXTBEFORE(_xlfn.TEXTAFTER(Table26[[#This Row],[WBS CODE]], "-"), "-")</f>
        <v>30101560223</v>
      </c>
    </row>
    <row r="798" spans="1:16" x14ac:dyDescent="0.3">
      <c r="A798">
        <v>797</v>
      </c>
      <c r="B798" t="s">
        <v>30</v>
      </c>
      <c r="C798" t="s">
        <v>1617</v>
      </c>
      <c r="D798" t="s">
        <v>1618</v>
      </c>
      <c r="E798" t="s">
        <v>815</v>
      </c>
      <c r="F798" t="s">
        <v>816</v>
      </c>
      <c r="G798" t="s">
        <v>848</v>
      </c>
      <c r="H798" t="s">
        <v>955</v>
      </c>
      <c r="I798" t="s">
        <v>1618</v>
      </c>
      <c r="J798" t="s">
        <v>373</v>
      </c>
      <c r="K798" t="s">
        <v>725</v>
      </c>
      <c r="L798" t="s">
        <v>953</v>
      </c>
      <c r="M798" t="s">
        <v>725</v>
      </c>
      <c r="P798" t="str">
        <f>_xlfn.TEXTBEFORE(_xlfn.TEXTAFTER(Table26[[#This Row],[WBS CODE]], "-"), "-")</f>
        <v>30101560305</v>
      </c>
    </row>
    <row r="799" spans="1:16" x14ac:dyDescent="0.3">
      <c r="A799">
        <v>798</v>
      </c>
      <c r="B799" t="s">
        <v>30</v>
      </c>
      <c r="C799" t="s">
        <v>733</v>
      </c>
      <c r="D799" t="s">
        <v>1619</v>
      </c>
      <c r="E799" t="s">
        <v>815</v>
      </c>
      <c r="F799" t="s">
        <v>816</v>
      </c>
      <c r="G799" t="s">
        <v>848</v>
      </c>
      <c r="H799" t="s">
        <v>955</v>
      </c>
      <c r="I799" t="s">
        <v>1619</v>
      </c>
      <c r="J799" t="s">
        <v>373</v>
      </c>
      <c r="K799" t="s">
        <v>725</v>
      </c>
      <c r="L799" t="s">
        <v>953</v>
      </c>
      <c r="M799" t="s">
        <v>725</v>
      </c>
      <c r="P799" t="str">
        <f>_xlfn.TEXTBEFORE(_xlfn.TEXTAFTER(Table26[[#This Row],[WBS CODE]], "-"), "-")</f>
        <v>30101560323</v>
      </c>
    </row>
    <row r="800" spans="1:16" x14ac:dyDescent="0.3">
      <c r="A800">
        <v>799</v>
      </c>
      <c r="B800" t="s">
        <v>30</v>
      </c>
      <c r="C800" t="s">
        <v>1620</v>
      </c>
      <c r="D800" t="s">
        <v>1621</v>
      </c>
      <c r="E800" t="s">
        <v>815</v>
      </c>
      <c r="F800" t="s">
        <v>816</v>
      </c>
      <c r="G800" t="s">
        <v>848</v>
      </c>
      <c r="H800" t="s">
        <v>956</v>
      </c>
      <c r="I800" t="s">
        <v>1621</v>
      </c>
      <c r="J800" t="s">
        <v>373</v>
      </c>
      <c r="K800" t="s">
        <v>725</v>
      </c>
      <c r="L800" t="s">
        <v>953</v>
      </c>
      <c r="M800" t="s">
        <v>725</v>
      </c>
      <c r="P800" t="str">
        <f>_xlfn.TEXTBEFORE(_xlfn.TEXTAFTER(Table26[[#This Row],[WBS CODE]], "-"), "-")</f>
        <v>30101560405</v>
      </c>
    </row>
    <row r="801" spans="1:16" x14ac:dyDescent="0.3">
      <c r="A801">
        <v>800</v>
      </c>
      <c r="B801" t="s">
        <v>30</v>
      </c>
      <c r="C801" t="s">
        <v>729</v>
      </c>
      <c r="D801" t="s">
        <v>1622</v>
      </c>
      <c r="E801" t="s">
        <v>815</v>
      </c>
      <c r="F801" t="s">
        <v>816</v>
      </c>
      <c r="G801" t="s">
        <v>848</v>
      </c>
      <c r="H801" t="s">
        <v>956</v>
      </c>
      <c r="I801" t="s">
        <v>1622</v>
      </c>
      <c r="J801" t="s">
        <v>373</v>
      </c>
      <c r="K801" t="s">
        <v>725</v>
      </c>
      <c r="L801" t="s">
        <v>953</v>
      </c>
      <c r="M801" t="s">
        <v>725</v>
      </c>
      <c r="P801" t="str">
        <f>_xlfn.TEXTBEFORE(_xlfn.TEXTAFTER(Table26[[#This Row],[WBS CODE]], "-"), "-")</f>
        <v>30101560423</v>
      </c>
    </row>
    <row r="802" spans="1:16" x14ac:dyDescent="0.3">
      <c r="A802">
        <v>801</v>
      </c>
      <c r="B802" t="s">
        <v>30</v>
      </c>
      <c r="C802" t="s">
        <v>1623</v>
      </c>
      <c r="D802" t="s">
        <v>1624</v>
      </c>
      <c r="E802" t="s">
        <v>815</v>
      </c>
      <c r="F802" t="s">
        <v>816</v>
      </c>
      <c r="G802" t="s">
        <v>849</v>
      </c>
      <c r="H802" t="s">
        <v>957</v>
      </c>
      <c r="I802" t="s">
        <v>1624</v>
      </c>
      <c r="J802" t="s">
        <v>373</v>
      </c>
      <c r="K802" t="s">
        <v>720</v>
      </c>
      <c r="L802" t="s">
        <v>958</v>
      </c>
      <c r="M802" t="s">
        <v>720</v>
      </c>
      <c r="P802" t="str">
        <f>_xlfn.TEXTBEFORE(_xlfn.TEXTAFTER(Table26[[#This Row],[WBS CODE]], "-"), "-")</f>
        <v>30101610105</v>
      </c>
    </row>
    <row r="803" spans="1:16" x14ac:dyDescent="0.3">
      <c r="A803">
        <v>802</v>
      </c>
      <c r="B803" t="s">
        <v>30</v>
      </c>
      <c r="C803" t="s">
        <v>722</v>
      </c>
      <c r="D803" t="s">
        <v>1625</v>
      </c>
      <c r="E803" t="s">
        <v>815</v>
      </c>
      <c r="F803" t="s">
        <v>816</v>
      </c>
      <c r="G803" t="s">
        <v>849</v>
      </c>
      <c r="H803" t="s">
        <v>957</v>
      </c>
      <c r="I803" t="s">
        <v>1625</v>
      </c>
      <c r="J803" t="s">
        <v>373</v>
      </c>
      <c r="K803" t="s">
        <v>720</v>
      </c>
      <c r="L803" t="s">
        <v>958</v>
      </c>
      <c r="M803" t="s">
        <v>720</v>
      </c>
      <c r="P803" t="str">
        <f>_xlfn.TEXTBEFORE(_xlfn.TEXTAFTER(Table26[[#This Row],[WBS CODE]], "-"), "-")</f>
        <v>30101610123</v>
      </c>
    </row>
    <row r="804" spans="1:16" x14ac:dyDescent="0.3">
      <c r="A804">
        <v>803</v>
      </c>
      <c r="B804" t="s">
        <v>30</v>
      </c>
      <c r="C804" t="s">
        <v>1626</v>
      </c>
      <c r="D804" t="s">
        <v>1627</v>
      </c>
      <c r="E804" t="s">
        <v>815</v>
      </c>
      <c r="F804" t="s">
        <v>816</v>
      </c>
      <c r="G804" t="s">
        <v>849</v>
      </c>
      <c r="H804" t="s">
        <v>960</v>
      </c>
      <c r="I804" t="s">
        <v>1627</v>
      </c>
      <c r="J804" t="s">
        <v>373</v>
      </c>
      <c r="K804" t="s">
        <v>720</v>
      </c>
      <c r="L804" t="s">
        <v>958</v>
      </c>
      <c r="M804" t="s">
        <v>720</v>
      </c>
      <c r="P804" t="str">
        <f>_xlfn.TEXTBEFORE(_xlfn.TEXTAFTER(Table26[[#This Row],[WBS CODE]], "-"), "-")</f>
        <v>30101610205</v>
      </c>
    </row>
    <row r="805" spans="1:16" x14ac:dyDescent="0.3">
      <c r="A805">
        <v>804</v>
      </c>
      <c r="B805" t="s">
        <v>30</v>
      </c>
      <c r="C805" t="s">
        <v>959</v>
      </c>
      <c r="D805" t="s">
        <v>1628</v>
      </c>
      <c r="E805" t="s">
        <v>815</v>
      </c>
      <c r="F805" t="s">
        <v>816</v>
      </c>
      <c r="G805" t="s">
        <v>849</v>
      </c>
      <c r="H805" t="s">
        <v>960</v>
      </c>
      <c r="I805" t="s">
        <v>1628</v>
      </c>
      <c r="J805" t="s">
        <v>373</v>
      </c>
      <c r="K805" t="s">
        <v>720</v>
      </c>
      <c r="L805" t="s">
        <v>958</v>
      </c>
      <c r="M805" t="s">
        <v>720</v>
      </c>
      <c r="P805" t="str">
        <f>_xlfn.TEXTBEFORE(_xlfn.TEXTAFTER(Table26[[#This Row],[WBS CODE]], "-"), "-")</f>
        <v>30101610223</v>
      </c>
    </row>
    <row r="806" spans="1:16" x14ac:dyDescent="0.3">
      <c r="A806">
        <v>805</v>
      </c>
      <c r="B806" t="s">
        <v>30</v>
      </c>
      <c r="C806" t="s">
        <v>1629</v>
      </c>
      <c r="D806" t="s">
        <v>1630</v>
      </c>
      <c r="E806" t="s">
        <v>815</v>
      </c>
      <c r="F806" t="s">
        <v>816</v>
      </c>
      <c r="G806" t="s">
        <v>849</v>
      </c>
      <c r="H806" t="s">
        <v>962</v>
      </c>
      <c r="I806" t="s">
        <v>1630</v>
      </c>
      <c r="J806" t="s">
        <v>373</v>
      </c>
      <c r="K806" t="s">
        <v>720</v>
      </c>
      <c r="L806" t="s">
        <v>958</v>
      </c>
      <c r="M806" t="s">
        <v>720</v>
      </c>
      <c r="P806" t="str">
        <f>_xlfn.TEXTBEFORE(_xlfn.TEXTAFTER(Table26[[#This Row],[WBS CODE]], "-"), "-")</f>
        <v>30101610305</v>
      </c>
    </row>
    <row r="807" spans="1:16" x14ac:dyDescent="0.3">
      <c r="A807">
        <v>806</v>
      </c>
      <c r="B807" t="s">
        <v>30</v>
      </c>
      <c r="C807" t="s">
        <v>961</v>
      </c>
      <c r="D807" t="s">
        <v>1631</v>
      </c>
      <c r="E807" t="s">
        <v>815</v>
      </c>
      <c r="F807" t="s">
        <v>816</v>
      </c>
      <c r="G807" t="s">
        <v>849</v>
      </c>
      <c r="H807" t="s">
        <v>962</v>
      </c>
      <c r="I807" t="s">
        <v>1631</v>
      </c>
      <c r="J807" t="s">
        <v>373</v>
      </c>
      <c r="K807" t="s">
        <v>720</v>
      </c>
      <c r="L807" t="s">
        <v>958</v>
      </c>
      <c r="M807" t="s">
        <v>720</v>
      </c>
      <c r="P807" t="str">
        <f>_xlfn.TEXTBEFORE(_xlfn.TEXTAFTER(Table26[[#This Row],[WBS CODE]], "-"), "-")</f>
        <v>30101610323</v>
      </c>
    </row>
    <row r="808" spans="1:16" x14ac:dyDescent="0.3">
      <c r="A808">
        <v>807</v>
      </c>
      <c r="B808" t="s">
        <v>30</v>
      </c>
      <c r="C808" t="s">
        <v>1632</v>
      </c>
      <c r="D808" t="s">
        <v>1633</v>
      </c>
      <c r="E808" t="s">
        <v>815</v>
      </c>
      <c r="F808" t="s">
        <v>816</v>
      </c>
      <c r="G808" t="s">
        <v>849</v>
      </c>
      <c r="H808" t="s">
        <v>964</v>
      </c>
      <c r="I808" t="s">
        <v>1633</v>
      </c>
      <c r="J808" t="s">
        <v>373</v>
      </c>
      <c r="K808" t="s">
        <v>720</v>
      </c>
      <c r="L808" t="s">
        <v>958</v>
      </c>
      <c r="M808" t="s">
        <v>720</v>
      </c>
      <c r="P808" t="str">
        <f>_xlfn.TEXTBEFORE(_xlfn.TEXTAFTER(Table26[[#This Row],[WBS CODE]], "-"), "-")</f>
        <v>30101610405</v>
      </c>
    </row>
    <row r="809" spans="1:16" x14ac:dyDescent="0.3">
      <c r="A809">
        <v>808</v>
      </c>
      <c r="B809" t="s">
        <v>30</v>
      </c>
      <c r="C809" t="s">
        <v>963</v>
      </c>
      <c r="D809" t="s">
        <v>1634</v>
      </c>
      <c r="E809" t="s">
        <v>815</v>
      </c>
      <c r="F809" t="s">
        <v>816</v>
      </c>
      <c r="G809" t="s">
        <v>849</v>
      </c>
      <c r="H809" t="s">
        <v>964</v>
      </c>
      <c r="I809" t="s">
        <v>1634</v>
      </c>
      <c r="J809" t="s">
        <v>373</v>
      </c>
      <c r="K809" t="s">
        <v>720</v>
      </c>
      <c r="L809" t="s">
        <v>958</v>
      </c>
      <c r="M809" t="s">
        <v>720</v>
      </c>
      <c r="P809" t="str">
        <f>_xlfn.TEXTBEFORE(_xlfn.TEXTAFTER(Table26[[#This Row],[WBS CODE]], "-"), "-")</f>
        <v>30101610423</v>
      </c>
    </row>
    <row r="810" spans="1:16" x14ac:dyDescent="0.3">
      <c r="A810">
        <v>809</v>
      </c>
      <c r="B810" t="s">
        <v>30</v>
      </c>
      <c r="C810" t="s">
        <v>965</v>
      </c>
      <c r="D810" t="s">
        <v>1635</v>
      </c>
      <c r="E810" t="s">
        <v>815</v>
      </c>
      <c r="F810" t="s">
        <v>816</v>
      </c>
      <c r="G810" t="s">
        <v>850</v>
      </c>
      <c r="H810" t="s">
        <v>966</v>
      </c>
      <c r="I810" t="s">
        <v>1635</v>
      </c>
      <c r="J810" t="s">
        <v>373</v>
      </c>
      <c r="K810" t="s">
        <v>745</v>
      </c>
      <c r="L810" t="s">
        <v>745</v>
      </c>
      <c r="M810" t="s">
        <v>745</v>
      </c>
      <c r="P810" t="str">
        <f>_xlfn.TEXTBEFORE(_xlfn.TEXTAFTER(Table26[[#This Row],[WBS CODE]], "-"), "-")</f>
        <v>30101690306</v>
      </c>
    </row>
    <row r="811" spans="1:16" x14ac:dyDescent="0.3">
      <c r="A811">
        <v>810</v>
      </c>
      <c r="B811" t="s">
        <v>30</v>
      </c>
      <c r="C811" t="s">
        <v>379</v>
      </c>
      <c r="D811" t="s">
        <v>1636</v>
      </c>
      <c r="E811" t="s">
        <v>815</v>
      </c>
      <c r="F811" t="s">
        <v>816</v>
      </c>
      <c r="G811" t="s">
        <v>851</v>
      </c>
      <c r="H811" t="s">
        <v>967</v>
      </c>
      <c r="I811" t="s">
        <v>1636</v>
      </c>
      <c r="J811" t="s">
        <v>373</v>
      </c>
      <c r="K811" t="s">
        <v>379</v>
      </c>
      <c r="L811" t="s">
        <v>379</v>
      </c>
      <c r="M811" t="s">
        <v>379</v>
      </c>
      <c r="P811" t="str">
        <f>_xlfn.TEXTBEFORE(_xlfn.TEXTAFTER(Table26[[#This Row],[WBS CODE]], "-"), "-")</f>
        <v>30101729921</v>
      </c>
    </row>
    <row r="812" spans="1:16" x14ac:dyDescent="0.3">
      <c r="A812">
        <v>811</v>
      </c>
      <c r="B812" t="s">
        <v>30</v>
      </c>
      <c r="C812" t="s">
        <v>375</v>
      </c>
      <c r="D812" t="s">
        <v>1637</v>
      </c>
      <c r="E812" t="s">
        <v>815</v>
      </c>
      <c r="F812" t="s">
        <v>816</v>
      </c>
      <c r="G812" t="s">
        <v>852</v>
      </c>
      <c r="H812" t="s">
        <v>968</v>
      </c>
      <c r="I812" t="s">
        <v>1637</v>
      </c>
      <c r="J812" t="s">
        <v>373</v>
      </c>
      <c r="K812" t="s">
        <v>375</v>
      </c>
      <c r="L812" t="s">
        <v>375</v>
      </c>
      <c r="M812" t="s">
        <v>375</v>
      </c>
      <c r="P812" t="str">
        <f>_xlfn.TEXTBEFORE(_xlfn.TEXTAFTER(Table26[[#This Row],[WBS CODE]], "-"), "-")</f>
        <v>30101731160</v>
      </c>
    </row>
    <row r="813" spans="1:16" x14ac:dyDescent="0.3">
      <c r="A813">
        <v>812</v>
      </c>
      <c r="B813" t="s">
        <v>30</v>
      </c>
      <c r="C813" t="s">
        <v>853</v>
      </c>
      <c r="D813" t="s">
        <v>1638</v>
      </c>
      <c r="E813" t="s">
        <v>815</v>
      </c>
      <c r="F813" t="s">
        <v>816</v>
      </c>
      <c r="G813" t="s">
        <v>854</v>
      </c>
      <c r="H813" t="s">
        <v>969</v>
      </c>
      <c r="I813" t="s">
        <v>1638</v>
      </c>
      <c r="J813" t="s">
        <v>373</v>
      </c>
      <c r="K813" t="s">
        <v>853</v>
      </c>
      <c r="L813" t="s">
        <v>853</v>
      </c>
      <c r="M813" t="s">
        <v>853</v>
      </c>
      <c r="P813" t="str">
        <f>_xlfn.TEXTBEFORE(_xlfn.TEXTAFTER(Table26[[#This Row],[WBS CODE]], "-"), "-")</f>
        <v>30101956814</v>
      </c>
    </row>
    <row r="814" spans="1:16" x14ac:dyDescent="0.3">
      <c r="A814">
        <v>813</v>
      </c>
      <c r="B814" t="s">
        <v>30</v>
      </c>
      <c r="C814" t="s">
        <v>273</v>
      </c>
      <c r="D814" t="s">
        <v>1639</v>
      </c>
      <c r="E814" t="s">
        <v>815</v>
      </c>
      <c r="F814" t="s">
        <v>817</v>
      </c>
      <c r="G814" t="s">
        <v>855</v>
      </c>
      <c r="H814" t="s">
        <v>970</v>
      </c>
      <c r="I814" t="s">
        <v>1639</v>
      </c>
      <c r="J814" t="s">
        <v>261</v>
      </c>
      <c r="K814" t="s">
        <v>273</v>
      </c>
      <c r="L814" t="s">
        <v>273</v>
      </c>
      <c r="M814" t="s">
        <v>273</v>
      </c>
      <c r="P814" t="str">
        <f>_xlfn.TEXTBEFORE(_xlfn.TEXTAFTER(Table26[[#This Row],[WBS CODE]], "-"), "-")</f>
        <v>30129146321</v>
      </c>
    </row>
    <row r="815" spans="1:16" x14ac:dyDescent="0.3">
      <c r="A815">
        <v>814</v>
      </c>
      <c r="B815" t="s">
        <v>30</v>
      </c>
      <c r="C815" t="s">
        <v>971</v>
      </c>
      <c r="D815" t="s">
        <v>1640</v>
      </c>
      <c r="E815" t="s">
        <v>815</v>
      </c>
      <c r="F815" t="s">
        <v>817</v>
      </c>
      <c r="G815" t="s">
        <v>856</v>
      </c>
      <c r="H815" t="s">
        <v>972</v>
      </c>
      <c r="I815" t="s">
        <v>1640</v>
      </c>
      <c r="J815" t="s">
        <v>261</v>
      </c>
      <c r="K815" t="s">
        <v>354</v>
      </c>
      <c r="L815" t="s">
        <v>354</v>
      </c>
      <c r="M815" t="s">
        <v>354</v>
      </c>
      <c r="N815" t="s">
        <v>823</v>
      </c>
      <c r="O815" t="s">
        <v>219</v>
      </c>
      <c r="P815" t="str">
        <f>_xlfn.TEXTBEFORE(_xlfn.TEXTAFTER(Table26[[#This Row],[WBS CODE]], "-"), "-")</f>
        <v>30129750101</v>
      </c>
    </row>
    <row r="816" spans="1:16" x14ac:dyDescent="0.3">
      <c r="A816">
        <v>815</v>
      </c>
      <c r="B816" t="s">
        <v>30</v>
      </c>
      <c r="C816" t="s">
        <v>973</v>
      </c>
      <c r="D816" t="s">
        <v>1641</v>
      </c>
      <c r="E816" t="s">
        <v>815</v>
      </c>
      <c r="F816" t="s">
        <v>817</v>
      </c>
      <c r="G816" t="s">
        <v>856</v>
      </c>
      <c r="H816" t="s">
        <v>974</v>
      </c>
      <c r="I816" t="s">
        <v>1641</v>
      </c>
      <c r="J816" t="s">
        <v>261</v>
      </c>
      <c r="K816" t="s">
        <v>354</v>
      </c>
      <c r="L816" t="s">
        <v>354</v>
      </c>
      <c r="M816" t="s">
        <v>354</v>
      </c>
      <c r="N816" t="s">
        <v>905</v>
      </c>
      <c r="O816" t="s">
        <v>219</v>
      </c>
      <c r="P816" t="str">
        <f>_xlfn.TEXTBEFORE(_xlfn.TEXTAFTER(Table26[[#This Row],[WBS CODE]], "-"), "-")</f>
        <v>30129750202</v>
      </c>
    </row>
    <row r="817" spans="1:16" x14ac:dyDescent="0.3">
      <c r="A817">
        <v>816</v>
      </c>
      <c r="B817" t="s">
        <v>30</v>
      </c>
      <c r="C817" t="s">
        <v>975</v>
      </c>
      <c r="D817" t="s">
        <v>1642</v>
      </c>
      <c r="E817" t="s">
        <v>815</v>
      </c>
      <c r="F817" t="s">
        <v>817</v>
      </c>
      <c r="G817" t="s">
        <v>856</v>
      </c>
      <c r="H817" t="s">
        <v>976</v>
      </c>
      <c r="I817" t="s">
        <v>1642</v>
      </c>
      <c r="J817" t="s">
        <v>261</v>
      </c>
      <c r="K817" t="s">
        <v>354</v>
      </c>
      <c r="L817" t="s">
        <v>354</v>
      </c>
      <c r="M817" t="s">
        <v>354</v>
      </c>
      <c r="N817" t="s">
        <v>829</v>
      </c>
      <c r="O817" t="s">
        <v>219</v>
      </c>
      <c r="P817" t="str">
        <f>_xlfn.TEXTBEFORE(_xlfn.TEXTAFTER(Table26[[#This Row],[WBS CODE]], "-"), "-")</f>
        <v>30129750303</v>
      </c>
    </row>
    <row r="818" spans="1:16" x14ac:dyDescent="0.3">
      <c r="A818">
        <v>817</v>
      </c>
      <c r="B818" t="s">
        <v>30</v>
      </c>
      <c r="C818" t="s">
        <v>977</v>
      </c>
      <c r="D818" t="s">
        <v>1643</v>
      </c>
      <c r="E818" t="s">
        <v>815</v>
      </c>
      <c r="F818" t="s">
        <v>817</v>
      </c>
      <c r="G818" t="s">
        <v>856</v>
      </c>
      <c r="H818" t="s">
        <v>978</v>
      </c>
      <c r="I818" t="s">
        <v>1643</v>
      </c>
      <c r="J818" t="s">
        <v>261</v>
      </c>
      <c r="K818" t="s">
        <v>354</v>
      </c>
      <c r="L818" t="s">
        <v>354</v>
      </c>
      <c r="M818" t="s">
        <v>354</v>
      </c>
      <c r="N818" t="s">
        <v>832</v>
      </c>
      <c r="O818" t="s">
        <v>219</v>
      </c>
      <c r="P818" t="str">
        <f>_xlfn.TEXTBEFORE(_xlfn.TEXTAFTER(Table26[[#This Row],[WBS CODE]], "-"), "-")</f>
        <v>30129750404</v>
      </c>
    </row>
    <row r="819" spans="1:16" x14ac:dyDescent="0.3">
      <c r="A819">
        <v>818</v>
      </c>
      <c r="B819" t="s">
        <v>30</v>
      </c>
      <c r="C819" t="s">
        <v>979</v>
      </c>
      <c r="D819" t="s">
        <v>1644</v>
      </c>
      <c r="E819" t="s">
        <v>815</v>
      </c>
      <c r="F819" t="s">
        <v>817</v>
      </c>
      <c r="G819" t="s">
        <v>856</v>
      </c>
      <c r="H819" t="s">
        <v>980</v>
      </c>
      <c r="I819" t="s">
        <v>1644</v>
      </c>
      <c r="J819" t="s">
        <v>261</v>
      </c>
      <c r="K819" t="s">
        <v>354</v>
      </c>
      <c r="L819" t="s">
        <v>354</v>
      </c>
      <c r="M819" t="s">
        <v>354</v>
      </c>
      <c r="N819" t="s">
        <v>835</v>
      </c>
      <c r="O819" t="s">
        <v>219</v>
      </c>
      <c r="P819" t="str">
        <f>_xlfn.TEXTBEFORE(_xlfn.TEXTAFTER(Table26[[#This Row],[WBS CODE]], "-"), "-")</f>
        <v>30129750505</v>
      </c>
    </row>
    <row r="820" spans="1:16" x14ac:dyDescent="0.3">
      <c r="A820">
        <v>819</v>
      </c>
      <c r="B820" t="s">
        <v>30</v>
      </c>
      <c r="C820" t="s">
        <v>981</v>
      </c>
      <c r="D820" t="s">
        <v>1645</v>
      </c>
      <c r="E820" t="s">
        <v>815</v>
      </c>
      <c r="F820" t="s">
        <v>817</v>
      </c>
      <c r="G820" t="s">
        <v>856</v>
      </c>
      <c r="H820" t="s">
        <v>982</v>
      </c>
      <c r="I820" t="s">
        <v>1645</v>
      </c>
      <c r="J820" t="s">
        <v>261</v>
      </c>
      <c r="K820" t="s">
        <v>354</v>
      </c>
      <c r="L820" t="s">
        <v>354</v>
      </c>
      <c r="M820" t="s">
        <v>354</v>
      </c>
      <c r="N820" t="s">
        <v>838</v>
      </c>
      <c r="O820" t="s">
        <v>219</v>
      </c>
      <c r="P820" t="str">
        <f>_xlfn.TEXTBEFORE(_xlfn.TEXTAFTER(Table26[[#This Row],[WBS CODE]], "-"), "-")</f>
        <v>30129750606</v>
      </c>
    </row>
    <row r="821" spans="1:16" x14ac:dyDescent="0.3">
      <c r="A821">
        <v>820</v>
      </c>
      <c r="B821" t="s">
        <v>30</v>
      </c>
      <c r="C821" t="s">
        <v>983</v>
      </c>
      <c r="D821" t="s">
        <v>1646</v>
      </c>
      <c r="E821" t="s">
        <v>815</v>
      </c>
      <c r="F821" t="s">
        <v>817</v>
      </c>
      <c r="G821" t="s">
        <v>856</v>
      </c>
      <c r="H821" t="s">
        <v>984</v>
      </c>
      <c r="I821" t="s">
        <v>1646</v>
      </c>
      <c r="J821" t="s">
        <v>261</v>
      </c>
      <c r="K821" t="s">
        <v>354</v>
      </c>
      <c r="L821" t="s">
        <v>354</v>
      </c>
      <c r="M821" t="s">
        <v>354</v>
      </c>
      <c r="N821" t="s">
        <v>841</v>
      </c>
      <c r="O821" t="s">
        <v>219</v>
      </c>
      <c r="P821" t="str">
        <f>_xlfn.TEXTBEFORE(_xlfn.TEXTAFTER(Table26[[#This Row],[WBS CODE]], "-"), "-")</f>
        <v>30129750707</v>
      </c>
    </row>
    <row r="822" spans="1:16" x14ac:dyDescent="0.3">
      <c r="A822">
        <v>821</v>
      </c>
      <c r="B822" t="s">
        <v>30</v>
      </c>
      <c r="C822" t="s">
        <v>985</v>
      </c>
      <c r="D822" t="s">
        <v>1647</v>
      </c>
      <c r="E822" t="s">
        <v>815</v>
      </c>
      <c r="F822" t="s">
        <v>817</v>
      </c>
      <c r="G822" t="s">
        <v>856</v>
      </c>
      <c r="H822" t="s">
        <v>986</v>
      </c>
      <c r="I822" t="s">
        <v>1647</v>
      </c>
      <c r="J822" t="s">
        <v>261</v>
      </c>
      <c r="K822" t="s">
        <v>354</v>
      </c>
      <c r="L822" t="s">
        <v>354</v>
      </c>
      <c r="M822" t="s">
        <v>354</v>
      </c>
      <c r="N822" t="s">
        <v>844</v>
      </c>
      <c r="O822" t="s">
        <v>219</v>
      </c>
      <c r="P822" t="str">
        <f>_xlfn.TEXTBEFORE(_xlfn.TEXTAFTER(Table26[[#This Row],[WBS CODE]], "-"), "-")</f>
        <v>30129750808</v>
      </c>
    </row>
    <row r="823" spans="1:16" x14ac:dyDescent="0.3">
      <c r="A823">
        <v>822</v>
      </c>
      <c r="B823" t="s">
        <v>30</v>
      </c>
      <c r="C823" t="s">
        <v>987</v>
      </c>
      <c r="D823" t="s">
        <v>1648</v>
      </c>
      <c r="E823" t="s">
        <v>815</v>
      </c>
      <c r="F823" t="s">
        <v>817</v>
      </c>
      <c r="G823" t="s">
        <v>856</v>
      </c>
      <c r="H823" t="s">
        <v>988</v>
      </c>
      <c r="I823" t="s">
        <v>1648</v>
      </c>
      <c r="J823" t="s">
        <v>261</v>
      </c>
      <c r="K823" t="s">
        <v>354</v>
      </c>
      <c r="L823" t="s">
        <v>354</v>
      </c>
      <c r="M823" t="s">
        <v>354</v>
      </c>
      <c r="N823" t="s">
        <v>847</v>
      </c>
      <c r="O823" t="s">
        <v>219</v>
      </c>
      <c r="P823" t="str">
        <f>_xlfn.TEXTBEFORE(_xlfn.TEXTAFTER(Table26[[#This Row],[WBS CODE]], "-"), "-")</f>
        <v>30129750909</v>
      </c>
    </row>
    <row r="824" spans="1:16" x14ac:dyDescent="0.3">
      <c r="A824">
        <v>823</v>
      </c>
      <c r="B824" t="s">
        <v>30</v>
      </c>
      <c r="C824" t="s">
        <v>989</v>
      </c>
      <c r="D824" t="s">
        <v>1649</v>
      </c>
      <c r="E824" t="s">
        <v>815</v>
      </c>
      <c r="F824" t="s">
        <v>817</v>
      </c>
      <c r="G824" t="s">
        <v>857</v>
      </c>
      <c r="H824" t="s">
        <v>990</v>
      </c>
      <c r="I824" t="s">
        <v>1649</v>
      </c>
      <c r="J824" t="s">
        <v>261</v>
      </c>
      <c r="K824" t="s">
        <v>332</v>
      </c>
      <c r="L824" t="s">
        <v>332</v>
      </c>
      <c r="M824" t="s">
        <v>332</v>
      </c>
      <c r="N824" t="s">
        <v>823</v>
      </c>
      <c r="O824" t="s">
        <v>219</v>
      </c>
      <c r="P824" t="str">
        <f>_xlfn.TEXTBEFORE(_xlfn.TEXTAFTER(Table26[[#This Row],[WBS CODE]], "-"), "-")</f>
        <v>30129760101</v>
      </c>
    </row>
    <row r="825" spans="1:16" x14ac:dyDescent="0.3">
      <c r="A825">
        <v>824</v>
      </c>
      <c r="B825" t="s">
        <v>30</v>
      </c>
      <c r="C825" t="s">
        <v>991</v>
      </c>
      <c r="D825" t="s">
        <v>1650</v>
      </c>
      <c r="E825" t="s">
        <v>815</v>
      </c>
      <c r="F825" t="s">
        <v>817</v>
      </c>
      <c r="G825" t="s">
        <v>857</v>
      </c>
      <c r="H825" t="s">
        <v>992</v>
      </c>
      <c r="I825" t="s">
        <v>1650</v>
      </c>
      <c r="J825" t="s">
        <v>261</v>
      </c>
      <c r="K825" t="s">
        <v>332</v>
      </c>
      <c r="L825" t="s">
        <v>332</v>
      </c>
      <c r="M825" t="s">
        <v>332</v>
      </c>
      <c r="N825" t="s">
        <v>905</v>
      </c>
      <c r="O825" t="s">
        <v>219</v>
      </c>
      <c r="P825" t="str">
        <f>_xlfn.TEXTBEFORE(_xlfn.TEXTAFTER(Table26[[#This Row],[WBS CODE]], "-"), "-")</f>
        <v>30129760202</v>
      </c>
    </row>
    <row r="826" spans="1:16" x14ac:dyDescent="0.3">
      <c r="A826">
        <v>825</v>
      </c>
      <c r="B826" t="s">
        <v>30</v>
      </c>
      <c r="C826" t="s">
        <v>993</v>
      </c>
      <c r="D826" t="s">
        <v>1651</v>
      </c>
      <c r="E826" t="s">
        <v>815</v>
      </c>
      <c r="F826" t="s">
        <v>817</v>
      </c>
      <c r="G826" t="s">
        <v>857</v>
      </c>
      <c r="H826" t="s">
        <v>994</v>
      </c>
      <c r="I826" t="s">
        <v>1651</v>
      </c>
      <c r="J826" t="s">
        <v>261</v>
      </c>
      <c r="K826" t="s">
        <v>332</v>
      </c>
      <c r="L826" t="s">
        <v>332</v>
      </c>
      <c r="M826" t="s">
        <v>332</v>
      </c>
      <c r="N826" t="s">
        <v>829</v>
      </c>
      <c r="O826" t="s">
        <v>219</v>
      </c>
      <c r="P826" t="str">
        <f>_xlfn.TEXTBEFORE(_xlfn.TEXTAFTER(Table26[[#This Row],[WBS CODE]], "-"), "-")</f>
        <v>30129760303</v>
      </c>
    </row>
    <row r="827" spans="1:16" x14ac:dyDescent="0.3">
      <c r="A827">
        <v>826</v>
      </c>
      <c r="B827" t="s">
        <v>30</v>
      </c>
      <c r="C827" t="s">
        <v>995</v>
      </c>
      <c r="D827" t="s">
        <v>1652</v>
      </c>
      <c r="E827" t="s">
        <v>815</v>
      </c>
      <c r="F827" t="s">
        <v>817</v>
      </c>
      <c r="G827" t="s">
        <v>857</v>
      </c>
      <c r="H827" t="s">
        <v>996</v>
      </c>
      <c r="I827" t="s">
        <v>1652</v>
      </c>
      <c r="J827" t="s">
        <v>261</v>
      </c>
      <c r="K827" t="s">
        <v>332</v>
      </c>
      <c r="L827" t="s">
        <v>332</v>
      </c>
      <c r="M827" t="s">
        <v>332</v>
      </c>
      <c r="N827" t="s">
        <v>832</v>
      </c>
      <c r="O827" t="s">
        <v>219</v>
      </c>
      <c r="P827" t="str">
        <f>_xlfn.TEXTBEFORE(_xlfn.TEXTAFTER(Table26[[#This Row],[WBS CODE]], "-"), "-")</f>
        <v>30129760404</v>
      </c>
    </row>
    <row r="828" spans="1:16" x14ac:dyDescent="0.3">
      <c r="A828">
        <v>827</v>
      </c>
      <c r="B828" t="s">
        <v>30</v>
      </c>
      <c r="C828" t="s">
        <v>997</v>
      </c>
      <c r="D828" t="s">
        <v>1653</v>
      </c>
      <c r="E828" t="s">
        <v>815</v>
      </c>
      <c r="F828" t="s">
        <v>817</v>
      </c>
      <c r="G828" t="s">
        <v>857</v>
      </c>
      <c r="H828" t="s">
        <v>998</v>
      </c>
      <c r="I828" t="s">
        <v>1653</v>
      </c>
      <c r="J828" t="s">
        <v>261</v>
      </c>
      <c r="K828" t="s">
        <v>332</v>
      </c>
      <c r="L828" t="s">
        <v>332</v>
      </c>
      <c r="M828" t="s">
        <v>332</v>
      </c>
      <c r="N828" t="s">
        <v>835</v>
      </c>
      <c r="O828" t="s">
        <v>219</v>
      </c>
      <c r="P828" t="str">
        <f>_xlfn.TEXTBEFORE(_xlfn.TEXTAFTER(Table26[[#This Row],[WBS CODE]], "-"), "-")</f>
        <v>30129760505</v>
      </c>
    </row>
    <row r="829" spans="1:16" x14ac:dyDescent="0.3">
      <c r="A829">
        <v>828</v>
      </c>
      <c r="B829" t="s">
        <v>30</v>
      </c>
      <c r="C829" t="s">
        <v>999</v>
      </c>
      <c r="D829" t="s">
        <v>1654</v>
      </c>
      <c r="E829" t="s">
        <v>815</v>
      </c>
      <c r="F829" t="s">
        <v>817</v>
      </c>
      <c r="G829" t="s">
        <v>857</v>
      </c>
      <c r="H829" t="s">
        <v>1000</v>
      </c>
      <c r="I829" t="s">
        <v>1654</v>
      </c>
      <c r="J829" t="s">
        <v>261</v>
      </c>
      <c r="K829" t="s">
        <v>332</v>
      </c>
      <c r="L829" t="s">
        <v>332</v>
      </c>
      <c r="M829" t="s">
        <v>332</v>
      </c>
      <c r="N829" t="s">
        <v>838</v>
      </c>
      <c r="O829" t="s">
        <v>219</v>
      </c>
      <c r="P829" t="str">
        <f>_xlfn.TEXTBEFORE(_xlfn.TEXTAFTER(Table26[[#This Row],[WBS CODE]], "-"), "-")</f>
        <v>30129760606</v>
      </c>
    </row>
    <row r="830" spans="1:16" x14ac:dyDescent="0.3">
      <c r="A830">
        <v>829</v>
      </c>
      <c r="B830" t="s">
        <v>30</v>
      </c>
      <c r="C830" t="s">
        <v>1001</v>
      </c>
      <c r="D830" t="s">
        <v>1655</v>
      </c>
      <c r="E830" t="s">
        <v>815</v>
      </c>
      <c r="F830" t="s">
        <v>817</v>
      </c>
      <c r="G830" t="s">
        <v>857</v>
      </c>
      <c r="H830" t="s">
        <v>1002</v>
      </c>
      <c r="I830" t="s">
        <v>1655</v>
      </c>
      <c r="J830" t="s">
        <v>261</v>
      </c>
      <c r="K830" t="s">
        <v>332</v>
      </c>
      <c r="L830" t="s">
        <v>332</v>
      </c>
      <c r="M830" t="s">
        <v>332</v>
      </c>
      <c r="N830" t="s">
        <v>841</v>
      </c>
      <c r="O830" t="s">
        <v>219</v>
      </c>
      <c r="P830" t="str">
        <f>_xlfn.TEXTBEFORE(_xlfn.TEXTAFTER(Table26[[#This Row],[WBS CODE]], "-"), "-")</f>
        <v>30129760707</v>
      </c>
    </row>
    <row r="831" spans="1:16" x14ac:dyDescent="0.3">
      <c r="A831">
        <v>830</v>
      </c>
      <c r="B831" t="s">
        <v>30</v>
      </c>
      <c r="C831" t="s">
        <v>1003</v>
      </c>
      <c r="D831" t="s">
        <v>1656</v>
      </c>
      <c r="E831" t="s">
        <v>815</v>
      </c>
      <c r="F831" t="s">
        <v>817</v>
      </c>
      <c r="G831" t="s">
        <v>857</v>
      </c>
      <c r="H831" t="s">
        <v>1004</v>
      </c>
      <c r="I831" t="s">
        <v>1656</v>
      </c>
      <c r="J831" t="s">
        <v>261</v>
      </c>
      <c r="K831" t="s">
        <v>332</v>
      </c>
      <c r="L831" t="s">
        <v>332</v>
      </c>
      <c r="M831" t="s">
        <v>332</v>
      </c>
      <c r="N831" t="s">
        <v>844</v>
      </c>
      <c r="O831" t="s">
        <v>219</v>
      </c>
      <c r="P831" t="str">
        <f>_xlfn.TEXTBEFORE(_xlfn.TEXTAFTER(Table26[[#This Row],[WBS CODE]], "-"), "-")</f>
        <v>30129760808</v>
      </c>
    </row>
    <row r="832" spans="1:16" x14ac:dyDescent="0.3">
      <c r="A832">
        <v>831</v>
      </c>
      <c r="B832" t="s">
        <v>30</v>
      </c>
      <c r="C832" t="s">
        <v>1005</v>
      </c>
      <c r="D832" t="s">
        <v>1657</v>
      </c>
      <c r="E832" t="s">
        <v>815</v>
      </c>
      <c r="F832" t="s">
        <v>817</v>
      </c>
      <c r="G832" t="s">
        <v>857</v>
      </c>
      <c r="H832" t="s">
        <v>1006</v>
      </c>
      <c r="I832" t="s">
        <v>1657</v>
      </c>
      <c r="J832" t="s">
        <v>261</v>
      </c>
      <c r="K832" t="s">
        <v>332</v>
      </c>
      <c r="L832" t="s">
        <v>332</v>
      </c>
      <c r="M832" t="s">
        <v>332</v>
      </c>
      <c r="N832" t="s">
        <v>847</v>
      </c>
      <c r="O832" t="s">
        <v>219</v>
      </c>
      <c r="P832" t="str">
        <f>_xlfn.TEXTBEFORE(_xlfn.TEXTAFTER(Table26[[#This Row],[WBS CODE]], "-"), "-")</f>
        <v>30129760909</v>
      </c>
    </row>
    <row r="833" spans="1:16" x14ac:dyDescent="0.3">
      <c r="A833">
        <v>832</v>
      </c>
      <c r="B833" t="s">
        <v>30</v>
      </c>
      <c r="C833" t="s">
        <v>322</v>
      </c>
      <c r="D833" t="s">
        <v>1658</v>
      </c>
      <c r="E833" t="s">
        <v>815</v>
      </c>
      <c r="F833" t="s">
        <v>817</v>
      </c>
      <c r="G833" t="s">
        <v>858</v>
      </c>
      <c r="H833" t="s">
        <v>1007</v>
      </c>
      <c r="I833" t="s">
        <v>1658</v>
      </c>
      <c r="J833" t="s">
        <v>261</v>
      </c>
      <c r="K833" t="s">
        <v>313</v>
      </c>
      <c r="L833" t="s">
        <v>322</v>
      </c>
      <c r="M833" t="s">
        <v>322</v>
      </c>
      <c r="P833" t="str">
        <f>_xlfn.TEXTBEFORE(_xlfn.TEXTAFTER(Table26[[#This Row],[WBS CODE]], "-"), "-")</f>
        <v>30129775736</v>
      </c>
    </row>
    <row r="834" spans="1:16" x14ac:dyDescent="0.3">
      <c r="A834">
        <v>833</v>
      </c>
      <c r="B834" t="s">
        <v>30</v>
      </c>
      <c r="C834" t="s">
        <v>1659</v>
      </c>
      <c r="D834" t="s">
        <v>1660</v>
      </c>
      <c r="E834" t="s">
        <v>815</v>
      </c>
      <c r="F834" t="s">
        <v>817</v>
      </c>
      <c r="G834" t="s">
        <v>858</v>
      </c>
      <c r="H834" t="s">
        <v>1008</v>
      </c>
      <c r="I834" t="s">
        <v>1660</v>
      </c>
      <c r="J834" t="s">
        <v>261</v>
      </c>
      <c r="K834" t="s">
        <v>313</v>
      </c>
      <c r="L834" t="s">
        <v>325</v>
      </c>
      <c r="M834" t="s">
        <v>331</v>
      </c>
      <c r="P834" t="str">
        <f>_xlfn.TEXTBEFORE(_xlfn.TEXTAFTER(Table26[[#This Row],[WBS CODE]], "-"), "-")</f>
        <v>30129775816</v>
      </c>
    </row>
    <row r="835" spans="1:16" x14ac:dyDescent="0.3">
      <c r="A835">
        <v>834</v>
      </c>
      <c r="B835" t="s">
        <v>30</v>
      </c>
      <c r="C835" t="s">
        <v>1661</v>
      </c>
      <c r="D835" t="s">
        <v>1662</v>
      </c>
      <c r="E835" t="s">
        <v>815</v>
      </c>
      <c r="F835" t="s">
        <v>817</v>
      </c>
      <c r="G835" t="s">
        <v>858</v>
      </c>
      <c r="H835" t="s">
        <v>1008</v>
      </c>
      <c r="I835" t="s">
        <v>1662</v>
      </c>
      <c r="J835" t="s">
        <v>261</v>
      </c>
      <c r="K835" t="s">
        <v>313</v>
      </c>
      <c r="L835" t="s">
        <v>325</v>
      </c>
      <c r="M835" t="s">
        <v>331</v>
      </c>
      <c r="P835" t="str">
        <f>_xlfn.TEXTBEFORE(_xlfn.TEXTAFTER(Table26[[#This Row],[WBS CODE]], "-"), "-")</f>
        <v>30129775817</v>
      </c>
    </row>
    <row r="836" spans="1:16" x14ac:dyDescent="0.3">
      <c r="A836">
        <v>835</v>
      </c>
      <c r="B836" t="s">
        <v>30</v>
      </c>
      <c r="C836" t="s">
        <v>1663</v>
      </c>
      <c r="D836" t="s">
        <v>1664</v>
      </c>
      <c r="E836" t="s">
        <v>815</v>
      </c>
      <c r="F836" t="s">
        <v>817</v>
      </c>
      <c r="G836" t="s">
        <v>858</v>
      </c>
      <c r="H836" t="s">
        <v>1009</v>
      </c>
      <c r="I836" t="s">
        <v>1664</v>
      </c>
      <c r="J836" t="s">
        <v>261</v>
      </c>
      <c r="K836" t="s">
        <v>313</v>
      </c>
      <c r="L836" t="s">
        <v>319</v>
      </c>
      <c r="M836" t="s">
        <v>1663</v>
      </c>
      <c r="P836" t="str">
        <f>_xlfn.TEXTBEFORE(_xlfn.TEXTAFTER(Table26[[#This Row],[WBS CODE]], "-"), "-")</f>
        <v>30129775929</v>
      </c>
    </row>
    <row r="837" spans="1:16" x14ac:dyDescent="0.3">
      <c r="A837">
        <v>836</v>
      </c>
      <c r="B837" t="s">
        <v>30</v>
      </c>
      <c r="C837" t="s">
        <v>307</v>
      </c>
      <c r="D837" t="s">
        <v>1665</v>
      </c>
      <c r="E837" t="s">
        <v>815</v>
      </c>
      <c r="F837" t="s">
        <v>817</v>
      </c>
      <c r="G837" t="s">
        <v>859</v>
      </c>
      <c r="H837" t="s">
        <v>1010</v>
      </c>
      <c r="I837" t="s">
        <v>1665</v>
      </c>
      <c r="J837" t="s">
        <v>261</v>
      </c>
      <c r="K837" t="s">
        <v>306</v>
      </c>
      <c r="L837" t="s">
        <v>307</v>
      </c>
      <c r="M837" t="s">
        <v>307</v>
      </c>
      <c r="P837" t="str">
        <f>_xlfn.TEXTBEFORE(_xlfn.TEXTAFTER(Table26[[#This Row],[WBS CODE]], "-"), "-")</f>
        <v>30129785627</v>
      </c>
    </row>
    <row r="838" spans="1:16" x14ac:dyDescent="0.3">
      <c r="A838">
        <v>837</v>
      </c>
      <c r="B838" t="s">
        <v>30</v>
      </c>
      <c r="C838" t="s">
        <v>310</v>
      </c>
      <c r="D838" t="s">
        <v>1666</v>
      </c>
      <c r="E838" t="s">
        <v>815</v>
      </c>
      <c r="F838" t="s">
        <v>817</v>
      </c>
      <c r="G838" t="s">
        <v>859</v>
      </c>
      <c r="H838" t="s">
        <v>1011</v>
      </c>
      <c r="I838" t="s">
        <v>1666</v>
      </c>
      <c r="J838" t="s">
        <v>261</v>
      </c>
      <c r="K838" t="s">
        <v>306</v>
      </c>
      <c r="L838" t="s">
        <v>310</v>
      </c>
      <c r="M838" t="s">
        <v>310</v>
      </c>
      <c r="P838" t="str">
        <f>_xlfn.TEXTBEFORE(_xlfn.TEXTAFTER(Table26[[#This Row],[WBS CODE]], "-"), "-")</f>
        <v>30129786227</v>
      </c>
    </row>
    <row r="839" spans="1:16" x14ac:dyDescent="0.3">
      <c r="A839">
        <v>838</v>
      </c>
      <c r="B839" t="s">
        <v>30</v>
      </c>
      <c r="C839" t="s">
        <v>1012</v>
      </c>
      <c r="D839" t="s">
        <v>1667</v>
      </c>
      <c r="E839" t="s">
        <v>815</v>
      </c>
      <c r="F839" t="s">
        <v>817</v>
      </c>
      <c r="G839" t="s">
        <v>860</v>
      </c>
      <c r="H839" t="s">
        <v>1013</v>
      </c>
      <c r="I839" t="s">
        <v>1667</v>
      </c>
      <c r="J839" t="s">
        <v>261</v>
      </c>
      <c r="K839" t="s">
        <v>283</v>
      </c>
      <c r="L839" t="s">
        <v>283</v>
      </c>
      <c r="M839" t="s">
        <v>288</v>
      </c>
      <c r="N839" t="s">
        <v>823</v>
      </c>
      <c r="O839" t="s">
        <v>219</v>
      </c>
      <c r="P839" t="str">
        <f>_xlfn.TEXTBEFORE(_xlfn.TEXTAFTER(Table26[[#This Row],[WBS CODE]], "-"), "-")</f>
        <v>30129790101</v>
      </c>
    </row>
    <row r="840" spans="1:16" x14ac:dyDescent="0.3">
      <c r="A840">
        <v>839</v>
      </c>
      <c r="B840" t="s">
        <v>30</v>
      </c>
      <c r="C840" t="s">
        <v>1014</v>
      </c>
      <c r="D840" t="s">
        <v>1668</v>
      </c>
      <c r="E840" t="s">
        <v>815</v>
      </c>
      <c r="F840" t="s">
        <v>817</v>
      </c>
      <c r="G840" t="s">
        <v>860</v>
      </c>
      <c r="H840" t="s">
        <v>1015</v>
      </c>
      <c r="I840" t="s">
        <v>1668</v>
      </c>
      <c r="J840" t="s">
        <v>261</v>
      </c>
      <c r="K840" t="s">
        <v>283</v>
      </c>
      <c r="L840" t="s">
        <v>283</v>
      </c>
      <c r="M840" t="s">
        <v>288</v>
      </c>
      <c r="N840" t="s">
        <v>905</v>
      </c>
      <c r="O840" t="s">
        <v>219</v>
      </c>
      <c r="P840" t="str">
        <f>_xlfn.TEXTBEFORE(_xlfn.TEXTAFTER(Table26[[#This Row],[WBS CODE]], "-"), "-")</f>
        <v>30129790202</v>
      </c>
    </row>
    <row r="841" spans="1:16" x14ac:dyDescent="0.3">
      <c r="A841">
        <v>840</v>
      </c>
      <c r="B841" t="s">
        <v>30</v>
      </c>
      <c r="C841" t="s">
        <v>1016</v>
      </c>
      <c r="D841" t="s">
        <v>1669</v>
      </c>
      <c r="E841" t="s">
        <v>815</v>
      </c>
      <c r="F841" t="s">
        <v>817</v>
      </c>
      <c r="G841" t="s">
        <v>860</v>
      </c>
      <c r="H841" t="s">
        <v>1017</v>
      </c>
      <c r="I841" t="s">
        <v>1669</v>
      </c>
      <c r="J841" t="s">
        <v>261</v>
      </c>
      <c r="K841" t="s">
        <v>283</v>
      </c>
      <c r="L841" t="s">
        <v>283</v>
      </c>
      <c r="M841" t="s">
        <v>288</v>
      </c>
      <c r="N841" t="s">
        <v>829</v>
      </c>
      <c r="O841" t="s">
        <v>219</v>
      </c>
      <c r="P841" t="str">
        <f>_xlfn.TEXTBEFORE(_xlfn.TEXTAFTER(Table26[[#This Row],[WBS CODE]], "-"), "-")</f>
        <v>30129790303</v>
      </c>
    </row>
    <row r="842" spans="1:16" x14ac:dyDescent="0.3">
      <c r="A842">
        <v>841</v>
      </c>
      <c r="B842" t="s">
        <v>30</v>
      </c>
      <c r="C842" t="s">
        <v>1018</v>
      </c>
      <c r="D842" t="s">
        <v>1670</v>
      </c>
      <c r="E842" t="s">
        <v>815</v>
      </c>
      <c r="F842" t="s">
        <v>817</v>
      </c>
      <c r="G842" t="s">
        <v>860</v>
      </c>
      <c r="H842" t="s">
        <v>1019</v>
      </c>
      <c r="I842" t="s">
        <v>1670</v>
      </c>
      <c r="J842" t="s">
        <v>261</v>
      </c>
      <c r="K842" t="s">
        <v>283</v>
      </c>
      <c r="L842" t="s">
        <v>283</v>
      </c>
      <c r="M842" t="s">
        <v>288</v>
      </c>
      <c r="N842" t="s">
        <v>832</v>
      </c>
      <c r="O842" t="s">
        <v>219</v>
      </c>
      <c r="P842" t="str">
        <f>_xlfn.TEXTBEFORE(_xlfn.TEXTAFTER(Table26[[#This Row],[WBS CODE]], "-"), "-")</f>
        <v>30129790404</v>
      </c>
    </row>
    <row r="843" spans="1:16" x14ac:dyDescent="0.3">
      <c r="A843">
        <v>842</v>
      </c>
      <c r="B843" t="s">
        <v>30</v>
      </c>
      <c r="C843" t="s">
        <v>1020</v>
      </c>
      <c r="D843" t="s">
        <v>1671</v>
      </c>
      <c r="E843" t="s">
        <v>815</v>
      </c>
      <c r="F843" t="s">
        <v>817</v>
      </c>
      <c r="G843" t="s">
        <v>860</v>
      </c>
      <c r="H843" t="s">
        <v>1021</v>
      </c>
      <c r="I843" t="s">
        <v>1671</v>
      </c>
      <c r="J843" t="s">
        <v>261</v>
      </c>
      <c r="K843" t="s">
        <v>283</v>
      </c>
      <c r="L843" t="s">
        <v>283</v>
      </c>
      <c r="M843" t="s">
        <v>288</v>
      </c>
      <c r="N843" t="s">
        <v>835</v>
      </c>
      <c r="O843" t="s">
        <v>219</v>
      </c>
      <c r="P843" t="str">
        <f>_xlfn.TEXTBEFORE(_xlfn.TEXTAFTER(Table26[[#This Row],[WBS CODE]], "-"), "-")</f>
        <v>30129790505</v>
      </c>
    </row>
    <row r="844" spans="1:16" x14ac:dyDescent="0.3">
      <c r="A844">
        <v>843</v>
      </c>
      <c r="B844" t="s">
        <v>30</v>
      </c>
      <c r="C844" t="s">
        <v>1022</v>
      </c>
      <c r="D844" t="s">
        <v>1672</v>
      </c>
      <c r="E844" t="s">
        <v>815</v>
      </c>
      <c r="F844" t="s">
        <v>817</v>
      </c>
      <c r="G844" t="s">
        <v>860</v>
      </c>
      <c r="H844" t="s">
        <v>1023</v>
      </c>
      <c r="I844" t="s">
        <v>1672</v>
      </c>
      <c r="J844" t="s">
        <v>261</v>
      </c>
      <c r="K844" t="s">
        <v>283</v>
      </c>
      <c r="L844" t="s">
        <v>283</v>
      </c>
      <c r="M844" t="s">
        <v>288</v>
      </c>
      <c r="N844" t="s">
        <v>838</v>
      </c>
      <c r="O844" t="s">
        <v>219</v>
      </c>
      <c r="P844" t="str">
        <f>_xlfn.TEXTBEFORE(_xlfn.TEXTAFTER(Table26[[#This Row],[WBS CODE]], "-"), "-")</f>
        <v>30129790606</v>
      </c>
    </row>
    <row r="845" spans="1:16" x14ac:dyDescent="0.3">
      <c r="A845">
        <v>844</v>
      </c>
      <c r="B845" t="s">
        <v>30</v>
      </c>
      <c r="C845" t="s">
        <v>1024</v>
      </c>
      <c r="D845" t="s">
        <v>1673</v>
      </c>
      <c r="E845" t="s">
        <v>815</v>
      </c>
      <c r="F845" t="s">
        <v>817</v>
      </c>
      <c r="G845" t="s">
        <v>860</v>
      </c>
      <c r="H845" t="s">
        <v>1025</v>
      </c>
      <c r="I845" t="s">
        <v>1673</v>
      </c>
      <c r="J845" t="s">
        <v>261</v>
      </c>
      <c r="K845" t="s">
        <v>283</v>
      </c>
      <c r="L845" t="s">
        <v>283</v>
      </c>
      <c r="M845" t="s">
        <v>288</v>
      </c>
      <c r="N845" t="s">
        <v>841</v>
      </c>
      <c r="O845" t="s">
        <v>219</v>
      </c>
      <c r="P845" t="str">
        <f>_xlfn.TEXTBEFORE(_xlfn.TEXTAFTER(Table26[[#This Row],[WBS CODE]], "-"), "-")</f>
        <v>30129790707</v>
      </c>
    </row>
    <row r="846" spans="1:16" x14ac:dyDescent="0.3">
      <c r="A846">
        <v>845</v>
      </c>
      <c r="B846" t="s">
        <v>30</v>
      </c>
      <c r="C846" t="s">
        <v>1026</v>
      </c>
      <c r="D846" t="s">
        <v>1674</v>
      </c>
      <c r="E846" t="s">
        <v>815</v>
      </c>
      <c r="F846" t="s">
        <v>817</v>
      </c>
      <c r="G846" t="s">
        <v>860</v>
      </c>
      <c r="H846" t="s">
        <v>1027</v>
      </c>
      <c r="I846" t="s">
        <v>1674</v>
      </c>
      <c r="J846" t="s">
        <v>261</v>
      </c>
      <c r="K846" t="s">
        <v>283</v>
      </c>
      <c r="L846" t="s">
        <v>283</v>
      </c>
      <c r="M846" t="s">
        <v>288</v>
      </c>
      <c r="N846" t="s">
        <v>844</v>
      </c>
      <c r="O846" t="s">
        <v>219</v>
      </c>
      <c r="P846" t="str">
        <f>_xlfn.TEXTBEFORE(_xlfn.TEXTAFTER(Table26[[#This Row],[WBS CODE]], "-"), "-")</f>
        <v>30129790808</v>
      </c>
    </row>
    <row r="847" spans="1:16" x14ac:dyDescent="0.3">
      <c r="A847">
        <v>846</v>
      </c>
      <c r="B847" t="s">
        <v>30</v>
      </c>
      <c r="C847" t="s">
        <v>1028</v>
      </c>
      <c r="D847" t="s">
        <v>1675</v>
      </c>
      <c r="E847" t="s">
        <v>815</v>
      </c>
      <c r="F847" t="s">
        <v>817</v>
      </c>
      <c r="G847" t="s">
        <v>860</v>
      </c>
      <c r="H847" t="s">
        <v>1029</v>
      </c>
      <c r="I847" t="s">
        <v>1675</v>
      </c>
      <c r="J847" t="s">
        <v>261</v>
      </c>
      <c r="K847" t="s">
        <v>283</v>
      </c>
      <c r="L847" t="s">
        <v>283</v>
      </c>
      <c r="M847" t="s">
        <v>288</v>
      </c>
      <c r="N847" t="s">
        <v>847</v>
      </c>
      <c r="O847" t="s">
        <v>219</v>
      </c>
      <c r="P847" t="str">
        <f>_xlfn.TEXTBEFORE(_xlfn.TEXTAFTER(Table26[[#This Row],[WBS CODE]], "-"), "-")</f>
        <v>30129790909</v>
      </c>
    </row>
    <row r="848" spans="1:16" x14ac:dyDescent="0.3">
      <c r="A848">
        <v>847</v>
      </c>
      <c r="B848" t="s">
        <v>30</v>
      </c>
      <c r="C848" t="s">
        <v>861</v>
      </c>
      <c r="D848" t="s">
        <v>1676</v>
      </c>
      <c r="E848" t="s">
        <v>815</v>
      </c>
      <c r="F848" t="s">
        <v>817</v>
      </c>
      <c r="G848" t="s">
        <v>862</v>
      </c>
      <c r="H848" t="s">
        <v>1030</v>
      </c>
      <c r="I848" t="s">
        <v>1676</v>
      </c>
      <c r="J848" t="s">
        <v>261</v>
      </c>
      <c r="K848" t="s">
        <v>861</v>
      </c>
      <c r="L848" t="s">
        <v>861</v>
      </c>
      <c r="M848" t="s">
        <v>861</v>
      </c>
      <c r="P848" t="str">
        <f>_xlfn.TEXTBEFORE(_xlfn.TEXTAFTER(Table26[[#This Row],[WBS CODE]], "-"), "-")</f>
        <v>30129805264</v>
      </c>
    </row>
    <row r="849" spans="1:16" x14ac:dyDescent="0.3">
      <c r="A849">
        <v>848</v>
      </c>
      <c r="B849" t="s">
        <v>30</v>
      </c>
      <c r="C849" t="s">
        <v>279</v>
      </c>
      <c r="D849" t="s">
        <v>1677</v>
      </c>
      <c r="E849" t="s">
        <v>815</v>
      </c>
      <c r="F849" t="s">
        <v>817</v>
      </c>
      <c r="G849" t="s">
        <v>863</v>
      </c>
      <c r="H849" t="s">
        <v>1031</v>
      </c>
      <c r="I849" t="s">
        <v>1677</v>
      </c>
      <c r="J849" t="s">
        <v>261</v>
      </c>
      <c r="K849" t="s">
        <v>277</v>
      </c>
      <c r="L849" t="s">
        <v>277</v>
      </c>
      <c r="M849" t="s">
        <v>277</v>
      </c>
      <c r="P849" t="str">
        <f>_xlfn.TEXTBEFORE(_xlfn.TEXTAFTER(Table26[[#This Row],[WBS CODE]], "-"), "-")</f>
        <v>30129816043</v>
      </c>
    </row>
    <row r="850" spans="1:16" x14ac:dyDescent="0.3">
      <c r="A850">
        <v>849</v>
      </c>
      <c r="B850" t="s">
        <v>30</v>
      </c>
      <c r="C850" t="s">
        <v>266</v>
      </c>
      <c r="D850" t="s">
        <v>1678</v>
      </c>
      <c r="E850" t="s">
        <v>815</v>
      </c>
      <c r="F850" t="s">
        <v>817</v>
      </c>
      <c r="G850" t="s">
        <v>864</v>
      </c>
      <c r="H850" t="s">
        <v>1032</v>
      </c>
      <c r="I850" t="s">
        <v>1678</v>
      </c>
      <c r="J850" t="s">
        <v>261</v>
      </c>
      <c r="K850" t="s">
        <v>271</v>
      </c>
      <c r="L850" t="s">
        <v>266</v>
      </c>
      <c r="M850" t="s">
        <v>266</v>
      </c>
      <c r="P850" t="str">
        <f>_xlfn.TEXTBEFORE(_xlfn.TEXTAFTER(Table26[[#This Row],[WBS CODE]], "-"), "-")</f>
        <v>30129826460</v>
      </c>
    </row>
    <row r="851" spans="1:16" x14ac:dyDescent="0.3">
      <c r="A851">
        <v>850</v>
      </c>
      <c r="B851" t="s">
        <v>30</v>
      </c>
      <c r="C851" t="s">
        <v>1033</v>
      </c>
      <c r="D851" t="s">
        <v>1679</v>
      </c>
      <c r="E851" t="s">
        <v>815</v>
      </c>
      <c r="F851" t="s">
        <v>817</v>
      </c>
      <c r="G851" t="s">
        <v>864</v>
      </c>
      <c r="H851" t="s">
        <v>1034</v>
      </c>
      <c r="I851" t="s">
        <v>1679</v>
      </c>
      <c r="J851" t="s">
        <v>261</v>
      </c>
      <c r="K851" t="s">
        <v>271</v>
      </c>
      <c r="L851" t="s">
        <v>1033</v>
      </c>
      <c r="M851" t="s">
        <v>1033</v>
      </c>
      <c r="P851" t="str">
        <f>_xlfn.TEXTBEFORE(_xlfn.TEXTAFTER(Table26[[#This Row],[WBS CODE]], "-"), "-")</f>
        <v>30129826585</v>
      </c>
    </row>
    <row r="852" spans="1:16" x14ac:dyDescent="0.3">
      <c r="A852">
        <v>851</v>
      </c>
      <c r="B852" t="s">
        <v>30</v>
      </c>
      <c r="C852" t="s">
        <v>1680</v>
      </c>
      <c r="D852" t="s">
        <v>1681</v>
      </c>
      <c r="E852" t="s">
        <v>815</v>
      </c>
      <c r="F852" t="s">
        <v>818</v>
      </c>
      <c r="G852" t="s">
        <v>866</v>
      </c>
      <c r="H852" t="s">
        <v>1036</v>
      </c>
      <c r="I852" t="s">
        <v>1681</v>
      </c>
      <c r="J852" t="s">
        <v>19</v>
      </c>
      <c r="K852" t="s">
        <v>215</v>
      </c>
      <c r="L852" t="s">
        <v>900</v>
      </c>
      <c r="M852" t="s">
        <v>225</v>
      </c>
      <c r="P852" t="str">
        <f>_xlfn.TEXTBEFORE(_xlfn.TEXTAFTER(Table26[[#This Row],[WBS CODE]], "-"), "-")</f>
        <v>30203740103</v>
      </c>
    </row>
    <row r="853" spans="1:16" x14ac:dyDescent="0.3">
      <c r="A853">
        <v>852</v>
      </c>
      <c r="B853" t="s">
        <v>30</v>
      </c>
      <c r="C853" t="s">
        <v>1682</v>
      </c>
      <c r="D853" t="s">
        <v>1683</v>
      </c>
      <c r="E853" t="s">
        <v>815</v>
      </c>
      <c r="F853" t="s">
        <v>818</v>
      </c>
      <c r="G853" t="s">
        <v>866</v>
      </c>
      <c r="H853" t="s">
        <v>1036</v>
      </c>
      <c r="I853" t="s">
        <v>1683</v>
      </c>
      <c r="J853" t="s">
        <v>19</v>
      </c>
      <c r="K853" t="s">
        <v>215</v>
      </c>
      <c r="L853" t="s">
        <v>222</v>
      </c>
      <c r="M853" t="s">
        <v>222</v>
      </c>
      <c r="P853" t="str">
        <f>_xlfn.TEXTBEFORE(_xlfn.TEXTAFTER(Table26[[#This Row],[WBS CODE]], "-"), "-")</f>
        <v>30203740160</v>
      </c>
    </row>
    <row r="854" spans="1:16" x14ac:dyDescent="0.3">
      <c r="A854">
        <v>853</v>
      </c>
      <c r="B854" t="s">
        <v>30</v>
      </c>
      <c r="C854" t="s">
        <v>1684</v>
      </c>
      <c r="D854" t="s">
        <v>1685</v>
      </c>
      <c r="E854" t="s">
        <v>815</v>
      </c>
      <c r="F854" t="s">
        <v>818</v>
      </c>
      <c r="G854" t="s">
        <v>866</v>
      </c>
      <c r="H854" t="s">
        <v>1038</v>
      </c>
      <c r="I854" t="s">
        <v>1685</v>
      </c>
      <c r="J854" t="s">
        <v>19</v>
      </c>
      <c r="K854" t="s">
        <v>215</v>
      </c>
      <c r="L854" t="s">
        <v>900</v>
      </c>
      <c r="M854" t="s">
        <v>225</v>
      </c>
      <c r="P854" t="str">
        <f>_xlfn.TEXTBEFORE(_xlfn.TEXTAFTER(Table26[[#This Row],[WBS CODE]], "-"), "-")</f>
        <v>30203740203</v>
      </c>
    </row>
    <row r="855" spans="1:16" x14ac:dyDescent="0.3">
      <c r="A855">
        <v>854</v>
      </c>
      <c r="B855" t="s">
        <v>30</v>
      </c>
      <c r="C855" t="s">
        <v>1686</v>
      </c>
      <c r="D855" t="s">
        <v>1687</v>
      </c>
      <c r="E855" t="s">
        <v>815</v>
      </c>
      <c r="F855" t="s">
        <v>818</v>
      </c>
      <c r="G855" t="s">
        <v>866</v>
      </c>
      <c r="H855" t="s">
        <v>1038</v>
      </c>
      <c r="I855" t="s">
        <v>1687</v>
      </c>
      <c r="J855" t="s">
        <v>19</v>
      </c>
      <c r="K855" t="s">
        <v>215</v>
      </c>
      <c r="L855" t="s">
        <v>222</v>
      </c>
      <c r="M855" t="s">
        <v>222</v>
      </c>
      <c r="P855" t="str">
        <f>_xlfn.TEXTBEFORE(_xlfn.TEXTAFTER(Table26[[#This Row],[WBS CODE]], "-"), "-")</f>
        <v>30203740260</v>
      </c>
    </row>
    <row r="856" spans="1:16" x14ac:dyDescent="0.3">
      <c r="A856">
        <v>855</v>
      </c>
      <c r="B856" t="s">
        <v>30</v>
      </c>
      <c r="C856" t="s">
        <v>1688</v>
      </c>
      <c r="D856" t="s">
        <v>1689</v>
      </c>
      <c r="E856" t="s">
        <v>815</v>
      </c>
      <c r="F856" t="s">
        <v>818</v>
      </c>
      <c r="G856" t="s">
        <v>866</v>
      </c>
      <c r="H856" t="s">
        <v>1040</v>
      </c>
      <c r="I856" t="s">
        <v>1689</v>
      </c>
      <c r="J856" t="s">
        <v>19</v>
      </c>
      <c r="K856" t="s">
        <v>215</v>
      </c>
      <c r="L856" t="s">
        <v>900</v>
      </c>
      <c r="M856" t="s">
        <v>225</v>
      </c>
      <c r="P856" t="str">
        <f>_xlfn.TEXTBEFORE(_xlfn.TEXTAFTER(Table26[[#This Row],[WBS CODE]], "-"), "-")</f>
        <v>30203740303</v>
      </c>
    </row>
    <row r="857" spans="1:16" x14ac:dyDescent="0.3">
      <c r="A857">
        <v>856</v>
      </c>
      <c r="B857" t="s">
        <v>30</v>
      </c>
      <c r="C857" t="s">
        <v>1690</v>
      </c>
      <c r="D857" t="s">
        <v>1691</v>
      </c>
      <c r="E857" t="s">
        <v>815</v>
      </c>
      <c r="F857" t="s">
        <v>818</v>
      </c>
      <c r="G857" t="s">
        <v>866</v>
      </c>
      <c r="H857" t="s">
        <v>1040</v>
      </c>
      <c r="I857" t="s">
        <v>1691</v>
      </c>
      <c r="J857" t="s">
        <v>19</v>
      </c>
      <c r="K857" t="s">
        <v>215</v>
      </c>
      <c r="L857" t="s">
        <v>222</v>
      </c>
      <c r="M857" t="s">
        <v>222</v>
      </c>
      <c r="P857" t="str">
        <f>_xlfn.TEXTBEFORE(_xlfn.TEXTAFTER(Table26[[#This Row],[WBS CODE]], "-"), "-")</f>
        <v>30203740360</v>
      </c>
    </row>
    <row r="858" spans="1:16" x14ac:dyDescent="0.3">
      <c r="A858">
        <v>857</v>
      </c>
      <c r="B858" t="s">
        <v>30</v>
      </c>
      <c r="C858" t="s">
        <v>1692</v>
      </c>
      <c r="D858" t="s">
        <v>1693</v>
      </c>
      <c r="E858" t="s">
        <v>815</v>
      </c>
      <c r="F858" t="s">
        <v>818</v>
      </c>
      <c r="G858" t="s">
        <v>866</v>
      </c>
      <c r="H858" t="s">
        <v>1042</v>
      </c>
      <c r="I858" t="s">
        <v>1693</v>
      </c>
      <c r="J858" t="s">
        <v>19</v>
      </c>
      <c r="K858" t="s">
        <v>215</v>
      </c>
      <c r="L858" t="s">
        <v>900</v>
      </c>
      <c r="M858" t="s">
        <v>225</v>
      </c>
      <c r="P858" t="str">
        <f>_xlfn.TEXTBEFORE(_xlfn.TEXTAFTER(Table26[[#This Row],[WBS CODE]], "-"), "-")</f>
        <v>30203740403</v>
      </c>
    </row>
    <row r="859" spans="1:16" x14ac:dyDescent="0.3">
      <c r="A859">
        <v>858</v>
      </c>
      <c r="B859" t="s">
        <v>30</v>
      </c>
      <c r="C859" t="s">
        <v>1694</v>
      </c>
      <c r="D859" t="s">
        <v>1695</v>
      </c>
      <c r="E859" t="s">
        <v>815</v>
      </c>
      <c r="F859" t="s">
        <v>818</v>
      </c>
      <c r="G859" t="s">
        <v>866</v>
      </c>
      <c r="H859" t="s">
        <v>1042</v>
      </c>
      <c r="I859" t="s">
        <v>1695</v>
      </c>
      <c r="J859" t="s">
        <v>19</v>
      </c>
      <c r="K859" t="s">
        <v>215</v>
      </c>
      <c r="L859" t="s">
        <v>222</v>
      </c>
      <c r="M859" t="s">
        <v>222</v>
      </c>
      <c r="P859" t="str">
        <f>_xlfn.TEXTBEFORE(_xlfn.TEXTAFTER(Table26[[#This Row],[WBS CODE]], "-"), "-")</f>
        <v>30203740460</v>
      </c>
    </row>
    <row r="860" spans="1:16" x14ac:dyDescent="0.3">
      <c r="A860">
        <v>859</v>
      </c>
      <c r="B860" t="s">
        <v>30</v>
      </c>
      <c r="C860" t="s">
        <v>1696</v>
      </c>
      <c r="D860" t="s">
        <v>1697</v>
      </c>
      <c r="E860" t="s">
        <v>815</v>
      </c>
      <c r="F860" t="s">
        <v>818</v>
      </c>
      <c r="G860" t="s">
        <v>866</v>
      </c>
      <c r="H860" t="s">
        <v>1044</v>
      </c>
      <c r="I860" t="s">
        <v>1697</v>
      </c>
      <c r="J860" t="s">
        <v>19</v>
      </c>
      <c r="K860" t="s">
        <v>215</v>
      </c>
      <c r="L860" t="s">
        <v>900</v>
      </c>
      <c r="M860" t="s">
        <v>225</v>
      </c>
      <c r="P860" t="str">
        <f>_xlfn.TEXTBEFORE(_xlfn.TEXTAFTER(Table26[[#This Row],[WBS CODE]], "-"), "-")</f>
        <v>30203740503</v>
      </c>
    </row>
    <row r="861" spans="1:16" x14ac:dyDescent="0.3">
      <c r="A861">
        <v>860</v>
      </c>
      <c r="B861" t="s">
        <v>30</v>
      </c>
      <c r="C861" t="s">
        <v>1698</v>
      </c>
      <c r="D861" t="s">
        <v>1699</v>
      </c>
      <c r="E861" t="s">
        <v>815</v>
      </c>
      <c r="F861" t="s">
        <v>818</v>
      </c>
      <c r="G861" t="s">
        <v>866</v>
      </c>
      <c r="H861" t="s">
        <v>1044</v>
      </c>
      <c r="I861" t="s">
        <v>1699</v>
      </c>
      <c r="J861" t="s">
        <v>19</v>
      </c>
      <c r="K861" t="s">
        <v>215</v>
      </c>
      <c r="L861" t="s">
        <v>222</v>
      </c>
      <c r="M861" t="s">
        <v>222</v>
      </c>
      <c r="P861" t="str">
        <f>_xlfn.TEXTBEFORE(_xlfn.TEXTAFTER(Table26[[#This Row],[WBS CODE]], "-"), "-")</f>
        <v>30203740560</v>
      </c>
    </row>
    <row r="862" spans="1:16" x14ac:dyDescent="0.3">
      <c r="A862">
        <v>861</v>
      </c>
      <c r="B862" t="s">
        <v>30</v>
      </c>
      <c r="C862" t="s">
        <v>1700</v>
      </c>
      <c r="D862" t="s">
        <v>1701</v>
      </c>
      <c r="E862" t="s">
        <v>815</v>
      </c>
      <c r="F862" t="s">
        <v>818</v>
      </c>
      <c r="G862" t="s">
        <v>866</v>
      </c>
      <c r="H862" t="s">
        <v>1046</v>
      </c>
      <c r="I862" t="s">
        <v>1701</v>
      </c>
      <c r="J862" t="s">
        <v>19</v>
      </c>
      <c r="K862" t="s">
        <v>215</v>
      </c>
      <c r="L862" t="s">
        <v>900</v>
      </c>
      <c r="M862" t="s">
        <v>225</v>
      </c>
      <c r="P862" t="str">
        <f>_xlfn.TEXTBEFORE(_xlfn.TEXTAFTER(Table26[[#This Row],[WBS CODE]], "-"), "-")</f>
        <v>30203740603</v>
      </c>
    </row>
    <row r="863" spans="1:16" x14ac:dyDescent="0.3">
      <c r="A863">
        <v>862</v>
      </c>
      <c r="B863" t="s">
        <v>30</v>
      </c>
      <c r="C863" t="s">
        <v>1702</v>
      </c>
      <c r="D863" t="s">
        <v>1703</v>
      </c>
      <c r="E863" t="s">
        <v>815</v>
      </c>
      <c r="F863" t="s">
        <v>818</v>
      </c>
      <c r="G863" t="s">
        <v>866</v>
      </c>
      <c r="H863" t="s">
        <v>1046</v>
      </c>
      <c r="I863" t="s">
        <v>1703</v>
      </c>
      <c r="J863" t="s">
        <v>19</v>
      </c>
      <c r="K863" t="s">
        <v>215</v>
      </c>
      <c r="L863" t="s">
        <v>222</v>
      </c>
      <c r="M863" t="s">
        <v>222</v>
      </c>
      <c r="P863" t="str">
        <f>_xlfn.TEXTBEFORE(_xlfn.TEXTAFTER(Table26[[#This Row],[WBS CODE]], "-"), "-")</f>
        <v>30203740660</v>
      </c>
    </row>
    <row r="864" spans="1:16" x14ac:dyDescent="0.3">
      <c r="A864">
        <v>863</v>
      </c>
      <c r="B864" t="s">
        <v>30</v>
      </c>
      <c r="C864" t="s">
        <v>1704</v>
      </c>
      <c r="D864" t="s">
        <v>1705</v>
      </c>
      <c r="E864" t="s">
        <v>815</v>
      </c>
      <c r="F864" t="s">
        <v>818</v>
      </c>
      <c r="G864" t="s">
        <v>866</v>
      </c>
      <c r="H864" t="s">
        <v>1048</v>
      </c>
      <c r="I864" t="s">
        <v>1705</v>
      </c>
      <c r="J864" t="s">
        <v>19</v>
      </c>
      <c r="K864" t="s">
        <v>215</v>
      </c>
      <c r="L864" t="s">
        <v>900</v>
      </c>
      <c r="M864" t="s">
        <v>225</v>
      </c>
      <c r="P864" t="str">
        <f>_xlfn.TEXTBEFORE(_xlfn.TEXTAFTER(Table26[[#This Row],[WBS CODE]], "-"), "-")</f>
        <v>30203740703</v>
      </c>
    </row>
    <row r="865" spans="1:16" x14ac:dyDescent="0.3">
      <c r="A865">
        <v>864</v>
      </c>
      <c r="B865" t="s">
        <v>30</v>
      </c>
      <c r="C865" t="s">
        <v>1706</v>
      </c>
      <c r="D865" t="s">
        <v>1707</v>
      </c>
      <c r="E865" t="s">
        <v>815</v>
      </c>
      <c r="F865" t="s">
        <v>818</v>
      </c>
      <c r="G865" t="s">
        <v>866</v>
      </c>
      <c r="H865" t="s">
        <v>1048</v>
      </c>
      <c r="I865" t="s">
        <v>1707</v>
      </c>
      <c r="J865" t="s">
        <v>19</v>
      </c>
      <c r="K865" t="s">
        <v>215</v>
      </c>
      <c r="L865" t="s">
        <v>222</v>
      </c>
      <c r="M865" t="s">
        <v>222</v>
      </c>
      <c r="P865" t="str">
        <f>_xlfn.TEXTBEFORE(_xlfn.TEXTAFTER(Table26[[#This Row],[WBS CODE]], "-"), "-")</f>
        <v>30203740760</v>
      </c>
    </row>
    <row r="866" spans="1:16" x14ac:dyDescent="0.3">
      <c r="A866">
        <v>865</v>
      </c>
      <c r="B866" t="s">
        <v>30</v>
      </c>
      <c r="C866" t="s">
        <v>1708</v>
      </c>
      <c r="D866" t="s">
        <v>1709</v>
      </c>
      <c r="E866" t="s">
        <v>815</v>
      </c>
      <c r="F866" t="s">
        <v>818</v>
      </c>
      <c r="G866" t="s">
        <v>866</v>
      </c>
      <c r="H866" t="s">
        <v>1050</v>
      </c>
      <c r="I866" t="s">
        <v>1709</v>
      </c>
      <c r="J866" t="s">
        <v>19</v>
      </c>
      <c r="K866" t="s">
        <v>215</v>
      </c>
      <c r="L866" t="s">
        <v>900</v>
      </c>
      <c r="M866" t="s">
        <v>225</v>
      </c>
      <c r="P866" t="str">
        <f>_xlfn.TEXTBEFORE(_xlfn.TEXTAFTER(Table26[[#This Row],[WBS CODE]], "-"), "-")</f>
        <v>30203740803</v>
      </c>
    </row>
    <row r="867" spans="1:16" x14ac:dyDescent="0.3">
      <c r="A867">
        <v>866</v>
      </c>
      <c r="B867" t="s">
        <v>30</v>
      </c>
      <c r="C867" t="s">
        <v>1710</v>
      </c>
      <c r="D867" t="s">
        <v>1711</v>
      </c>
      <c r="E867" t="s">
        <v>815</v>
      </c>
      <c r="F867" t="s">
        <v>818</v>
      </c>
      <c r="G867" t="s">
        <v>866</v>
      </c>
      <c r="H867" t="s">
        <v>1050</v>
      </c>
      <c r="I867" t="s">
        <v>1711</v>
      </c>
      <c r="J867" t="s">
        <v>19</v>
      </c>
      <c r="K867" t="s">
        <v>215</v>
      </c>
      <c r="L867" t="s">
        <v>222</v>
      </c>
      <c r="M867" t="s">
        <v>222</v>
      </c>
      <c r="P867" t="str">
        <f>_xlfn.TEXTBEFORE(_xlfn.TEXTAFTER(Table26[[#This Row],[WBS CODE]], "-"), "-")</f>
        <v>30203740860</v>
      </c>
    </row>
    <row r="868" spans="1:16" x14ac:dyDescent="0.3">
      <c r="A868">
        <v>867</v>
      </c>
      <c r="B868" t="s">
        <v>30</v>
      </c>
      <c r="C868" t="s">
        <v>1712</v>
      </c>
      <c r="D868" t="s">
        <v>1713</v>
      </c>
      <c r="E868" t="s">
        <v>815</v>
      </c>
      <c r="F868" t="s">
        <v>818</v>
      </c>
      <c r="G868" t="s">
        <v>866</v>
      </c>
      <c r="H868" t="s">
        <v>1052</v>
      </c>
      <c r="I868" t="s">
        <v>1713</v>
      </c>
      <c r="J868" t="s">
        <v>19</v>
      </c>
      <c r="K868" t="s">
        <v>215</v>
      </c>
      <c r="L868" t="s">
        <v>900</v>
      </c>
      <c r="M868" t="s">
        <v>225</v>
      </c>
      <c r="P868" t="str">
        <f>_xlfn.TEXTBEFORE(_xlfn.TEXTAFTER(Table26[[#This Row],[WBS CODE]], "-"), "-")</f>
        <v>30203740903</v>
      </c>
    </row>
    <row r="869" spans="1:16" x14ac:dyDescent="0.3">
      <c r="A869">
        <v>868</v>
      </c>
      <c r="B869" t="s">
        <v>30</v>
      </c>
      <c r="C869" t="s">
        <v>1714</v>
      </c>
      <c r="D869" t="s">
        <v>1715</v>
      </c>
      <c r="E869" t="s">
        <v>815</v>
      </c>
      <c r="F869" t="s">
        <v>818</v>
      </c>
      <c r="G869" t="s">
        <v>866</v>
      </c>
      <c r="H869" t="s">
        <v>1052</v>
      </c>
      <c r="I869" t="s">
        <v>1715</v>
      </c>
      <c r="J869" t="s">
        <v>19</v>
      </c>
      <c r="K869" t="s">
        <v>215</v>
      </c>
      <c r="L869" t="s">
        <v>222</v>
      </c>
      <c r="M869" t="s">
        <v>222</v>
      </c>
      <c r="P869" t="str">
        <f>_xlfn.TEXTBEFORE(_xlfn.TEXTAFTER(Table26[[#This Row],[WBS CODE]], "-"), "-")</f>
        <v>30203740960</v>
      </c>
    </row>
    <row r="870" spans="1:16" x14ac:dyDescent="0.3">
      <c r="A870">
        <v>869</v>
      </c>
      <c r="B870" t="s">
        <v>30</v>
      </c>
      <c r="C870" t="s">
        <v>1716</v>
      </c>
      <c r="D870" t="s">
        <v>1717</v>
      </c>
      <c r="E870" t="s">
        <v>815</v>
      </c>
      <c r="F870" t="s">
        <v>818</v>
      </c>
      <c r="G870" t="s">
        <v>868</v>
      </c>
      <c r="H870" t="s">
        <v>1054</v>
      </c>
      <c r="I870" t="s">
        <v>1717</v>
      </c>
      <c r="J870" t="s">
        <v>19</v>
      </c>
      <c r="K870" t="s">
        <v>150</v>
      </c>
      <c r="L870" t="s">
        <v>45</v>
      </c>
      <c r="M870" t="s">
        <v>45</v>
      </c>
      <c r="N870" t="s">
        <v>869</v>
      </c>
      <c r="O870" t="s">
        <v>25</v>
      </c>
      <c r="P870" t="str">
        <f>_xlfn.TEXTBEFORE(_xlfn.TEXTAFTER(Table26[[#This Row],[WBS CODE]], "-"), "-")</f>
        <v>30203830759</v>
      </c>
    </row>
    <row r="871" spans="1:16" x14ac:dyDescent="0.3">
      <c r="A871">
        <v>870</v>
      </c>
      <c r="B871" t="s">
        <v>30</v>
      </c>
      <c r="C871" t="s">
        <v>1718</v>
      </c>
      <c r="D871" t="s">
        <v>1719</v>
      </c>
      <c r="E871" t="s">
        <v>815</v>
      </c>
      <c r="F871" t="s">
        <v>818</v>
      </c>
      <c r="G871" t="s">
        <v>868</v>
      </c>
      <c r="H871" t="s">
        <v>1056</v>
      </c>
      <c r="I871" t="s">
        <v>1719</v>
      </c>
      <c r="J871" t="s">
        <v>19</v>
      </c>
      <c r="K871" t="s">
        <v>150</v>
      </c>
      <c r="L871" t="s">
        <v>29</v>
      </c>
      <c r="M871" t="s">
        <v>29</v>
      </c>
      <c r="N871" t="s">
        <v>869</v>
      </c>
      <c r="O871" t="s">
        <v>25</v>
      </c>
      <c r="P871" t="str">
        <f>_xlfn.TEXTBEFORE(_xlfn.TEXTAFTER(Table26[[#This Row],[WBS CODE]], "-"), "-")</f>
        <v>30203830962</v>
      </c>
    </row>
    <row r="872" spans="1:16" x14ac:dyDescent="0.3">
      <c r="A872">
        <v>871</v>
      </c>
      <c r="B872" t="s">
        <v>30</v>
      </c>
      <c r="C872" t="s">
        <v>1720</v>
      </c>
      <c r="D872" t="s">
        <v>1721</v>
      </c>
      <c r="E872" t="s">
        <v>815</v>
      </c>
      <c r="F872" t="s">
        <v>818</v>
      </c>
      <c r="G872" t="s">
        <v>871</v>
      </c>
      <c r="H872" t="s">
        <v>1058</v>
      </c>
      <c r="I872" t="s">
        <v>1721</v>
      </c>
      <c r="J872" t="s">
        <v>19</v>
      </c>
      <c r="K872" t="s">
        <v>150</v>
      </c>
      <c r="L872" t="s">
        <v>45</v>
      </c>
      <c r="M872" t="s">
        <v>45</v>
      </c>
      <c r="N872" t="s">
        <v>872</v>
      </c>
      <c r="O872" t="s">
        <v>25</v>
      </c>
      <c r="P872" t="str">
        <f>_xlfn.TEXTBEFORE(_xlfn.TEXTAFTER(Table26[[#This Row],[WBS CODE]], "-"), "-")</f>
        <v>30203840759</v>
      </c>
    </row>
    <row r="873" spans="1:16" x14ac:dyDescent="0.3">
      <c r="A873">
        <v>872</v>
      </c>
      <c r="B873" t="s">
        <v>30</v>
      </c>
      <c r="C873" t="s">
        <v>1722</v>
      </c>
      <c r="D873" t="s">
        <v>1723</v>
      </c>
      <c r="E873" t="s">
        <v>815</v>
      </c>
      <c r="F873" t="s">
        <v>818</v>
      </c>
      <c r="G873" t="s">
        <v>871</v>
      </c>
      <c r="H873" t="s">
        <v>1060</v>
      </c>
      <c r="I873" t="s">
        <v>1723</v>
      </c>
      <c r="J873" t="s">
        <v>19</v>
      </c>
      <c r="K873" t="s">
        <v>150</v>
      </c>
      <c r="L873" t="s">
        <v>29</v>
      </c>
      <c r="M873" t="s">
        <v>29</v>
      </c>
      <c r="N873" t="s">
        <v>872</v>
      </c>
      <c r="O873" t="s">
        <v>25</v>
      </c>
      <c r="P873" t="str">
        <f>_xlfn.TEXTBEFORE(_xlfn.TEXTAFTER(Table26[[#This Row],[WBS CODE]], "-"), "-")</f>
        <v>30203840962</v>
      </c>
    </row>
    <row r="874" spans="1:16" x14ac:dyDescent="0.3">
      <c r="A874">
        <v>873</v>
      </c>
      <c r="B874" t="s">
        <v>30</v>
      </c>
      <c r="C874" t="s">
        <v>1724</v>
      </c>
      <c r="D874" t="s">
        <v>1725</v>
      </c>
      <c r="E874" t="s">
        <v>815</v>
      </c>
      <c r="F874" t="s">
        <v>818</v>
      </c>
      <c r="G874" t="s">
        <v>874</v>
      </c>
      <c r="H874" t="s">
        <v>1062</v>
      </c>
      <c r="I874" t="s">
        <v>1725</v>
      </c>
      <c r="J874" t="s">
        <v>19</v>
      </c>
      <c r="K874" t="s">
        <v>150</v>
      </c>
      <c r="L874" t="s">
        <v>45</v>
      </c>
      <c r="M874" t="s">
        <v>45</v>
      </c>
      <c r="N874" t="s">
        <v>875</v>
      </c>
      <c r="O874" t="s">
        <v>25</v>
      </c>
      <c r="P874" t="str">
        <f>_xlfn.TEXTBEFORE(_xlfn.TEXTAFTER(Table26[[#This Row],[WBS CODE]], "-"), "-")</f>
        <v>30203850759</v>
      </c>
    </row>
    <row r="875" spans="1:16" x14ac:dyDescent="0.3">
      <c r="A875">
        <v>874</v>
      </c>
      <c r="B875" t="s">
        <v>30</v>
      </c>
      <c r="C875" t="s">
        <v>1726</v>
      </c>
      <c r="D875" t="s">
        <v>1727</v>
      </c>
      <c r="E875" t="s">
        <v>815</v>
      </c>
      <c r="F875" t="s">
        <v>818</v>
      </c>
      <c r="G875" t="s">
        <v>874</v>
      </c>
      <c r="H875" t="s">
        <v>1064</v>
      </c>
      <c r="I875" t="s">
        <v>1727</v>
      </c>
      <c r="J875" t="s">
        <v>19</v>
      </c>
      <c r="K875" t="s">
        <v>150</v>
      </c>
      <c r="L875" t="s">
        <v>29</v>
      </c>
      <c r="M875" t="s">
        <v>29</v>
      </c>
      <c r="N875" t="s">
        <v>875</v>
      </c>
      <c r="O875" t="s">
        <v>25</v>
      </c>
      <c r="P875" t="str">
        <f>_xlfn.TEXTBEFORE(_xlfn.TEXTAFTER(Table26[[#This Row],[WBS CODE]], "-"), "-")</f>
        <v>30203850962</v>
      </c>
    </row>
    <row r="876" spans="1:16" x14ac:dyDescent="0.3">
      <c r="A876">
        <v>875</v>
      </c>
      <c r="B876" t="s">
        <v>30</v>
      </c>
      <c r="C876" t="s">
        <v>1728</v>
      </c>
      <c r="D876" t="s">
        <v>1729</v>
      </c>
      <c r="E876" t="s">
        <v>815</v>
      </c>
      <c r="F876" t="s">
        <v>818</v>
      </c>
      <c r="G876" t="s">
        <v>877</v>
      </c>
      <c r="H876" t="s">
        <v>1066</v>
      </c>
      <c r="I876" t="s">
        <v>1729</v>
      </c>
      <c r="J876" t="s">
        <v>19</v>
      </c>
      <c r="K876" t="s">
        <v>150</v>
      </c>
      <c r="L876" t="s">
        <v>45</v>
      </c>
      <c r="M876" t="s">
        <v>45</v>
      </c>
      <c r="N876" t="s">
        <v>878</v>
      </c>
      <c r="O876" t="s">
        <v>25</v>
      </c>
      <c r="P876" t="str">
        <f>_xlfn.TEXTBEFORE(_xlfn.TEXTAFTER(Table26[[#This Row],[WBS CODE]], "-"), "-")</f>
        <v>30203860759</v>
      </c>
    </row>
    <row r="877" spans="1:16" x14ac:dyDescent="0.3">
      <c r="A877">
        <v>876</v>
      </c>
      <c r="B877" t="s">
        <v>30</v>
      </c>
      <c r="C877" t="s">
        <v>1730</v>
      </c>
      <c r="D877" t="s">
        <v>1731</v>
      </c>
      <c r="E877" t="s">
        <v>815</v>
      </c>
      <c r="F877" t="s">
        <v>818</v>
      </c>
      <c r="G877" t="s">
        <v>877</v>
      </c>
      <c r="H877" t="s">
        <v>1068</v>
      </c>
      <c r="I877" t="s">
        <v>1731</v>
      </c>
      <c r="J877" t="s">
        <v>19</v>
      </c>
      <c r="K877" t="s">
        <v>150</v>
      </c>
      <c r="L877" t="s">
        <v>29</v>
      </c>
      <c r="M877" t="s">
        <v>29</v>
      </c>
      <c r="N877" t="s">
        <v>878</v>
      </c>
      <c r="O877" t="s">
        <v>25</v>
      </c>
      <c r="P877" t="str">
        <f>_xlfn.TEXTBEFORE(_xlfn.TEXTAFTER(Table26[[#This Row],[WBS CODE]], "-"), "-")</f>
        <v>30203860962</v>
      </c>
    </row>
    <row r="878" spans="1:16" x14ac:dyDescent="0.3">
      <c r="A878">
        <v>877</v>
      </c>
      <c r="B878" t="s">
        <v>30</v>
      </c>
      <c r="C878" t="s">
        <v>1069</v>
      </c>
      <c r="D878" t="s">
        <v>1732</v>
      </c>
      <c r="E878" t="s">
        <v>815</v>
      </c>
      <c r="F878" t="s">
        <v>818</v>
      </c>
      <c r="G878" t="s">
        <v>880</v>
      </c>
      <c r="H878" t="s">
        <v>1070</v>
      </c>
      <c r="I878" t="s">
        <v>1732</v>
      </c>
      <c r="J878" t="s">
        <v>19</v>
      </c>
      <c r="K878" t="s">
        <v>881</v>
      </c>
      <c r="L878" t="s">
        <v>45</v>
      </c>
      <c r="M878" t="s">
        <v>45</v>
      </c>
      <c r="N878" t="s">
        <v>869</v>
      </c>
      <c r="O878" t="s">
        <v>25</v>
      </c>
      <c r="P878" t="str">
        <f>_xlfn.TEXTBEFORE(_xlfn.TEXTAFTER(Table26[[#This Row],[WBS CODE]], "-"), "-")</f>
        <v>30203870759</v>
      </c>
    </row>
    <row r="879" spans="1:16" x14ac:dyDescent="0.3">
      <c r="A879">
        <v>878</v>
      </c>
      <c r="B879" t="s">
        <v>30</v>
      </c>
      <c r="C879" t="s">
        <v>1733</v>
      </c>
      <c r="D879" t="s">
        <v>1734</v>
      </c>
      <c r="E879" t="s">
        <v>815</v>
      </c>
      <c r="F879" t="s">
        <v>818</v>
      </c>
      <c r="G879" t="s">
        <v>880</v>
      </c>
      <c r="H879" t="s">
        <v>1072</v>
      </c>
      <c r="I879" t="s">
        <v>1734</v>
      </c>
      <c r="J879" t="s">
        <v>19</v>
      </c>
      <c r="K879" t="s">
        <v>881</v>
      </c>
      <c r="L879" t="s">
        <v>36</v>
      </c>
      <c r="M879" t="s">
        <v>39</v>
      </c>
      <c r="N879" t="s">
        <v>869</v>
      </c>
      <c r="O879" t="s">
        <v>25</v>
      </c>
      <c r="P879" t="str">
        <f>_xlfn.TEXTBEFORE(_xlfn.TEXTAFTER(Table26[[#This Row],[WBS CODE]], "-"), "-")</f>
        <v>30203870821</v>
      </c>
    </row>
    <row r="880" spans="1:16" x14ac:dyDescent="0.3">
      <c r="A880">
        <v>879</v>
      </c>
      <c r="B880" t="s">
        <v>30</v>
      </c>
      <c r="C880" t="s">
        <v>1735</v>
      </c>
      <c r="D880" t="s">
        <v>1736</v>
      </c>
      <c r="E880" t="s">
        <v>815</v>
      </c>
      <c r="F880" t="s">
        <v>818</v>
      </c>
      <c r="G880" t="s">
        <v>880</v>
      </c>
      <c r="H880" t="s">
        <v>1072</v>
      </c>
      <c r="I880" t="s">
        <v>1736</v>
      </c>
      <c r="J880" t="s">
        <v>19</v>
      </c>
      <c r="K880" t="s">
        <v>881</v>
      </c>
      <c r="L880" t="s">
        <v>36</v>
      </c>
      <c r="M880" t="s">
        <v>42</v>
      </c>
      <c r="N880" t="s">
        <v>869</v>
      </c>
      <c r="O880" t="s">
        <v>25</v>
      </c>
      <c r="P880" t="str">
        <f>_xlfn.TEXTBEFORE(_xlfn.TEXTAFTER(Table26[[#This Row],[WBS CODE]], "-"), "-")</f>
        <v>30203870860</v>
      </c>
    </row>
    <row r="881" spans="1:16" x14ac:dyDescent="0.3">
      <c r="A881">
        <v>880</v>
      </c>
      <c r="B881" t="s">
        <v>30</v>
      </c>
      <c r="C881" t="s">
        <v>1737</v>
      </c>
      <c r="D881" t="s">
        <v>1738</v>
      </c>
      <c r="E881" t="s">
        <v>815</v>
      </c>
      <c r="F881" t="s">
        <v>818</v>
      </c>
      <c r="G881" t="s">
        <v>880</v>
      </c>
      <c r="H881" t="s">
        <v>1074</v>
      </c>
      <c r="I881" t="s">
        <v>1738</v>
      </c>
      <c r="J881" t="s">
        <v>19</v>
      </c>
      <c r="K881" t="s">
        <v>881</v>
      </c>
      <c r="L881" t="s">
        <v>29</v>
      </c>
      <c r="M881" t="s">
        <v>33</v>
      </c>
      <c r="N881" t="s">
        <v>869</v>
      </c>
      <c r="O881" t="s">
        <v>25</v>
      </c>
      <c r="P881" t="str">
        <f>_xlfn.TEXTBEFORE(_xlfn.TEXTAFTER(Table26[[#This Row],[WBS CODE]], "-"), "-")</f>
        <v>30203870963</v>
      </c>
    </row>
    <row r="882" spans="1:16" x14ac:dyDescent="0.3">
      <c r="A882">
        <v>881</v>
      </c>
      <c r="B882" t="s">
        <v>30</v>
      </c>
      <c r="C882" t="s">
        <v>1075</v>
      </c>
      <c r="D882" t="s">
        <v>1739</v>
      </c>
      <c r="E882" t="s">
        <v>815</v>
      </c>
      <c r="F882" t="s">
        <v>818</v>
      </c>
      <c r="G882" t="s">
        <v>883</v>
      </c>
      <c r="H882" t="s">
        <v>1076</v>
      </c>
      <c r="I882" t="s">
        <v>1739</v>
      </c>
      <c r="J882" t="s">
        <v>19</v>
      </c>
      <c r="K882" t="s">
        <v>881</v>
      </c>
      <c r="L882" t="s">
        <v>45</v>
      </c>
      <c r="M882" t="s">
        <v>45</v>
      </c>
      <c r="N882" t="s">
        <v>872</v>
      </c>
      <c r="O882" t="s">
        <v>25</v>
      </c>
      <c r="P882" t="str">
        <f>_xlfn.TEXTBEFORE(_xlfn.TEXTAFTER(Table26[[#This Row],[WBS CODE]], "-"), "-")</f>
        <v>30203880759</v>
      </c>
    </row>
    <row r="883" spans="1:16" x14ac:dyDescent="0.3">
      <c r="A883">
        <v>882</v>
      </c>
      <c r="B883" t="s">
        <v>30</v>
      </c>
      <c r="C883" t="s">
        <v>1740</v>
      </c>
      <c r="D883" t="s">
        <v>1741</v>
      </c>
      <c r="E883" t="s">
        <v>815</v>
      </c>
      <c r="F883" t="s">
        <v>818</v>
      </c>
      <c r="G883" t="s">
        <v>883</v>
      </c>
      <c r="H883" t="s">
        <v>1078</v>
      </c>
      <c r="I883" t="s">
        <v>1741</v>
      </c>
      <c r="J883" t="s">
        <v>19</v>
      </c>
      <c r="K883" t="s">
        <v>881</v>
      </c>
      <c r="L883" t="s">
        <v>36</v>
      </c>
      <c r="M883" t="s">
        <v>39</v>
      </c>
      <c r="N883" t="s">
        <v>872</v>
      </c>
      <c r="O883" t="s">
        <v>25</v>
      </c>
      <c r="P883" t="str">
        <f>_xlfn.TEXTBEFORE(_xlfn.TEXTAFTER(Table26[[#This Row],[WBS CODE]], "-"), "-")</f>
        <v>30203880821</v>
      </c>
    </row>
    <row r="884" spans="1:16" x14ac:dyDescent="0.3">
      <c r="A884">
        <v>883</v>
      </c>
      <c r="B884" t="s">
        <v>30</v>
      </c>
      <c r="C884" t="s">
        <v>1742</v>
      </c>
      <c r="D884" t="s">
        <v>1743</v>
      </c>
      <c r="E884" t="s">
        <v>815</v>
      </c>
      <c r="F884" t="s">
        <v>818</v>
      </c>
      <c r="G884" t="s">
        <v>883</v>
      </c>
      <c r="H884" t="s">
        <v>1078</v>
      </c>
      <c r="I884" t="s">
        <v>1743</v>
      </c>
      <c r="J884" t="s">
        <v>19</v>
      </c>
      <c r="K884" t="s">
        <v>881</v>
      </c>
      <c r="L884" t="s">
        <v>36</v>
      </c>
      <c r="M884" t="s">
        <v>42</v>
      </c>
      <c r="N884" t="s">
        <v>872</v>
      </c>
      <c r="O884" t="s">
        <v>25</v>
      </c>
      <c r="P884" t="str">
        <f>_xlfn.TEXTBEFORE(_xlfn.TEXTAFTER(Table26[[#This Row],[WBS CODE]], "-"), "-")</f>
        <v>30203880860</v>
      </c>
    </row>
    <row r="885" spans="1:16" x14ac:dyDescent="0.3">
      <c r="A885">
        <v>884</v>
      </c>
      <c r="B885" t="s">
        <v>30</v>
      </c>
      <c r="C885" t="s">
        <v>1744</v>
      </c>
      <c r="D885" t="s">
        <v>1745</v>
      </c>
      <c r="E885" t="s">
        <v>815</v>
      </c>
      <c r="F885" t="s">
        <v>818</v>
      </c>
      <c r="G885" t="s">
        <v>883</v>
      </c>
      <c r="H885" t="s">
        <v>1080</v>
      </c>
      <c r="I885" t="s">
        <v>1745</v>
      </c>
      <c r="J885" t="s">
        <v>19</v>
      </c>
      <c r="K885" t="s">
        <v>881</v>
      </c>
      <c r="L885" t="s">
        <v>29</v>
      </c>
      <c r="M885" t="s">
        <v>33</v>
      </c>
      <c r="N885" t="s">
        <v>872</v>
      </c>
      <c r="O885" t="s">
        <v>25</v>
      </c>
      <c r="P885" t="str">
        <f>_xlfn.TEXTBEFORE(_xlfn.TEXTAFTER(Table26[[#This Row],[WBS CODE]], "-"), "-")</f>
        <v>30203880963</v>
      </c>
    </row>
    <row r="886" spans="1:16" x14ac:dyDescent="0.3">
      <c r="A886">
        <v>885</v>
      </c>
      <c r="B886" t="s">
        <v>30</v>
      </c>
      <c r="C886" t="s">
        <v>1081</v>
      </c>
      <c r="D886" t="s">
        <v>1746</v>
      </c>
      <c r="E886" t="s">
        <v>815</v>
      </c>
      <c r="F886" t="s">
        <v>818</v>
      </c>
      <c r="G886" t="s">
        <v>885</v>
      </c>
      <c r="H886" t="s">
        <v>1082</v>
      </c>
      <c r="I886" t="s">
        <v>1746</v>
      </c>
      <c r="J886" t="s">
        <v>19</v>
      </c>
      <c r="K886" t="s">
        <v>881</v>
      </c>
      <c r="L886" t="s">
        <v>45</v>
      </c>
      <c r="M886" t="s">
        <v>45</v>
      </c>
      <c r="N886" t="s">
        <v>886</v>
      </c>
      <c r="O886" t="s">
        <v>25</v>
      </c>
      <c r="P886" t="str">
        <f>_xlfn.TEXTBEFORE(_xlfn.TEXTAFTER(Table26[[#This Row],[WBS CODE]], "-"), "-")</f>
        <v>30203890759</v>
      </c>
    </row>
    <row r="887" spans="1:16" x14ac:dyDescent="0.3">
      <c r="A887">
        <v>886</v>
      </c>
      <c r="B887" t="s">
        <v>30</v>
      </c>
      <c r="C887" t="s">
        <v>1747</v>
      </c>
      <c r="D887" t="s">
        <v>1748</v>
      </c>
      <c r="E887" t="s">
        <v>815</v>
      </c>
      <c r="F887" t="s">
        <v>818</v>
      </c>
      <c r="G887" t="s">
        <v>885</v>
      </c>
      <c r="H887" t="s">
        <v>1084</v>
      </c>
      <c r="I887" t="s">
        <v>1748</v>
      </c>
      <c r="J887" t="s">
        <v>19</v>
      </c>
      <c r="K887" t="s">
        <v>881</v>
      </c>
      <c r="L887" t="s">
        <v>36</v>
      </c>
      <c r="M887" t="s">
        <v>39</v>
      </c>
      <c r="N887" t="s">
        <v>886</v>
      </c>
      <c r="O887" t="s">
        <v>25</v>
      </c>
      <c r="P887" t="str">
        <f>_xlfn.TEXTBEFORE(_xlfn.TEXTAFTER(Table26[[#This Row],[WBS CODE]], "-"), "-")</f>
        <v>30203890821</v>
      </c>
    </row>
    <row r="888" spans="1:16" x14ac:dyDescent="0.3">
      <c r="A888">
        <v>887</v>
      </c>
      <c r="B888" t="s">
        <v>30</v>
      </c>
      <c r="C888" t="s">
        <v>1749</v>
      </c>
      <c r="D888" t="s">
        <v>1750</v>
      </c>
      <c r="E888" t="s">
        <v>815</v>
      </c>
      <c r="F888" t="s">
        <v>818</v>
      </c>
      <c r="G888" t="s">
        <v>885</v>
      </c>
      <c r="H888" t="s">
        <v>1084</v>
      </c>
      <c r="I888" t="s">
        <v>1750</v>
      </c>
      <c r="J888" t="s">
        <v>19</v>
      </c>
      <c r="K888" t="s">
        <v>881</v>
      </c>
      <c r="L888" t="s">
        <v>36</v>
      </c>
      <c r="M888" t="s">
        <v>42</v>
      </c>
      <c r="N888" t="s">
        <v>886</v>
      </c>
      <c r="O888" t="s">
        <v>25</v>
      </c>
      <c r="P888" t="str">
        <f>_xlfn.TEXTBEFORE(_xlfn.TEXTAFTER(Table26[[#This Row],[WBS CODE]], "-"), "-")</f>
        <v>30203890860</v>
      </c>
    </row>
    <row r="889" spans="1:16" x14ac:dyDescent="0.3">
      <c r="A889">
        <v>888</v>
      </c>
      <c r="B889" t="s">
        <v>30</v>
      </c>
      <c r="C889" t="s">
        <v>1751</v>
      </c>
      <c r="D889" t="s">
        <v>1752</v>
      </c>
      <c r="E889" t="s">
        <v>815</v>
      </c>
      <c r="F889" t="s">
        <v>818</v>
      </c>
      <c r="G889" t="s">
        <v>885</v>
      </c>
      <c r="H889" t="s">
        <v>1086</v>
      </c>
      <c r="I889" t="s">
        <v>1752</v>
      </c>
      <c r="J889" t="s">
        <v>19</v>
      </c>
      <c r="K889" t="s">
        <v>881</v>
      </c>
      <c r="L889" t="s">
        <v>29</v>
      </c>
      <c r="M889" t="s">
        <v>33</v>
      </c>
      <c r="N889" t="s">
        <v>886</v>
      </c>
      <c r="O889" t="s">
        <v>25</v>
      </c>
      <c r="P889" t="str">
        <f>_xlfn.TEXTBEFORE(_xlfn.TEXTAFTER(Table26[[#This Row],[WBS CODE]], "-"), "-")</f>
        <v>30203890963</v>
      </c>
    </row>
    <row r="890" spans="1:16" x14ac:dyDescent="0.3">
      <c r="A890">
        <v>889</v>
      </c>
      <c r="B890" t="s">
        <v>30</v>
      </c>
      <c r="C890" t="s">
        <v>1087</v>
      </c>
      <c r="D890" t="s">
        <v>1753</v>
      </c>
      <c r="E890" t="s">
        <v>815</v>
      </c>
      <c r="F890" t="s">
        <v>818</v>
      </c>
      <c r="G890" t="s">
        <v>888</v>
      </c>
      <c r="H890" t="s">
        <v>1088</v>
      </c>
      <c r="I890" t="s">
        <v>1753</v>
      </c>
      <c r="J890" t="s">
        <v>19</v>
      </c>
      <c r="K890" t="s">
        <v>881</v>
      </c>
      <c r="L890" t="s">
        <v>45</v>
      </c>
      <c r="M890" t="s">
        <v>45</v>
      </c>
      <c r="N890" t="s">
        <v>878</v>
      </c>
      <c r="O890" t="s">
        <v>25</v>
      </c>
      <c r="P890" t="str">
        <f>_xlfn.TEXTBEFORE(_xlfn.TEXTAFTER(Table26[[#This Row],[WBS CODE]], "-"), "-")</f>
        <v>30203900759</v>
      </c>
    </row>
    <row r="891" spans="1:16" x14ac:dyDescent="0.3">
      <c r="A891">
        <v>890</v>
      </c>
      <c r="B891" t="s">
        <v>30</v>
      </c>
      <c r="C891" t="s">
        <v>1754</v>
      </c>
      <c r="D891" t="s">
        <v>1755</v>
      </c>
      <c r="E891" t="s">
        <v>815</v>
      </c>
      <c r="F891" t="s">
        <v>818</v>
      </c>
      <c r="G891" t="s">
        <v>888</v>
      </c>
      <c r="H891" t="s">
        <v>1090</v>
      </c>
      <c r="I891" t="s">
        <v>1755</v>
      </c>
      <c r="J891" t="s">
        <v>19</v>
      </c>
      <c r="K891" t="s">
        <v>881</v>
      </c>
      <c r="L891" t="s">
        <v>36</v>
      </c>
      <c r="M891" t="s">
        <v>39</v>
      </c>
      <c r="N891" t="s">
        <v>878</v>
      </c>
      <c r="O891" t="s">
        <v>25</v>
      </c>
      <c r="P891" t="str">
        <f>_xlfn.TEXTBEFORE(_xlfn.TEXTAFTER(Table26[[#This Row],[WBS CODE]], "-"), "-")</f>
        <v>30203900821</v>
      </c>
    </row>
    <row r="892" spans="1:16" x14ac:dyDescent="0.3">
      <c r="A892">
        <v>891</v>
      </c>
      <c r="B892" t="s">
        <v>30</v>
      </c>
      <c r="C892" t="s">
        <v>1756</v>
      </c>
      <c r="D892" t="s">
        <v>1757</v>
      </c>
      <c r="E892" t="s">
        <v>815</v>
      </c>
      <c r="F892" t="s">
        <v>818</v>
      </c>
      <c r="G892" t="s">
        <v>888</v>
      </c>
      <c r="H892" t="s">
        <v>1090</v>
      </c>
      <c r="I892" t="s">
        <v>1757</v>
      </c>
      <c r="J892" t="s">
        <v>19</v>
      </c>
      <c r="K892" t="s">
        <v>881</v>
      </c>
      <c r="L892" t="s">
        <v>36</v>
      </c>
      <c r="M892" t="s">
        <v>42</v>
      </c>
      <c r="N892" t="s">
        <v>878</v>
      </c>
      <c r="O892" t="s">
        <v>25</v>
      </c>
      <c r="P892" t="str">
        <f>_xlfn.TEXTBEFORE(_xlfn.TEXTAFTER(Table26[[#This Row],[WBS CODE]], "-"), "-")</f>
        <v>30203900860</v>
      </c>
    </row>
    <row r="893" spans="1:16" x14ac:dyDescent="0.3">
      <c r="A893">
        <v>892</v>
      </c>
      <c r="B893" t="s">
        <v>30</v>
      </c>
      <c r="C893" t="s">
        <v>1758</v>
      </c>
      <c r="D893" t="s">
        <v>1759</v>
      </c>
      <c r="E893" t="s">
        <v>815</v>
      </c>
      <c r="F893" t="s">
        <v>818</v>
      </c>
      <c r="G893" t="s">
        <v>888</v>
      </c>
      <c r="H893" t="s">
        <v>1092</v>
      </c>
      <c r="I893" t="s">
        <v>1759</v>
      </c>
      <c r="J893" t="s">
        <v>19</v>
      </c>
      <c r="K893" t="s">
        <v>881</v>
      </c>
      <c r="L893" t="s">
        <v>29</v>
      </c>
      <c r="M893" t="s">
        <v>33</v>
      </c>
      <c r="N893" t="s">
        <v>878</v>
      </c>
      <c r="O893" t="s">
        <v>25</v>
      </c>
      <c r="P893" t="str">
        <f>_xlfn.TEXTBEFORE(_xlfn.TEXTAFTER(Table26[[#This Row],[WBS CODE]], "-"), "-")</f>
        <v>30203900963</v>
      </c>
    </row>
    <row r="894" spans="1:16" x14ac:dyDescent="0.3">
      <c r="A894">
        <v>893</v>
      </c>
      <c r="B894" t="s">
        <v>30</v>
      </c>
      <c r="C894" t="s">
        <v>1093</v>
      </c>
      <c r="D894" t="s">
        <v>1760</v>
      </c>
      <c r="E894" t="s">
        <v>815</v>
      </c>
      <c r="F894" t="s">
        <v>818</v>
      </c>
      <c r="G894" t="s">
        <v>890</v>
      </c>
      <c r="H894" t="s">
        <v>1094</v>
      </c>
      <c r="I894" t="s">
        <v>1760</v>
      </c>
      <c r="J894" t="s">
        <v>19</v>
      </c>
      <c r="K894" t="s">
        <v>101</v>
      </c>
      <c r="L894" t="s">
        <v>45</v>
      </c>
      <c r="M894" t="s">
        <v>45</v>
      </c>
      <c r="N894" t="s">
        <v>875</v>
      </c>
      <c r="O894" t="s">
        <v>25</v>
      </c>
      <c r="P894" t="str">
        <f>_xlfn.TEXTBEFORE(_xlfn.TEXTAFTER(Table26[[#This Row],[WBS CODE]], "-"), "-")</f>
        <v>30203920759</v>
      </c>
    </row>
    <row r="895" spans="1:16" x14ac:dyDescent="0.3">
      <c r="A895">
        <v>894</v>
      </c>
      <c r="B895" t="s">
        <v>30</v>
      </c>
      <c r="C895" t="s">
        <v>1095</v>
      </c>
      <c r="D895" t="s">
        <v>1761</v>
      </c>
      <c r="E895" t="s">
        <v>815</v>
      </c>
      <c r="F895" t="s">
        <v>818</v>
      </c>
      <c r="G895" t="s">
        <v>890</v>
      </c>
      <c r="H895" t="s">
        <v>1096</v>
      </c>
      <c r="I895" t="s">
        <v>1761</v>
      </c>
      <c r="J895" t="s">
        <v>19</v>
      </c>
      <c r="K895" t="s">
        <v>101</v>
      </c>
      <c r="L895" t="s">
        <v>29</v>
      </c>
      <c r="M895" t="s">
        <v>29</v>
      </c>
      <c r="N895" t="s">
        <v>875</v>
      </c>
      <c r="O895" t="s">
        <v>25</v>
      </c>
      <c r="P895" t="str">
        <f>_xlfn.TEXTBEFORE(_xlfn.TEXTAFTER(Table26[[#This Row],[WBS CODE]], "-"), "-")</f>
        <v>30203920962</v>
      </c>
    </row>
    <row r="896" spans="1:16" x14ac:dyDescent="0.3">
      <c r="A896">
        <v>895</v>
      </c>
      <c r="B896" t="s">
        <v>30</v>
      </c>
      <c r="C896" t="s">
        <v>891</v>
      </c>
      <c r="D896" t="s">
        <v>1762</v>
      </c>
      <c r="E896" t="s">
        <v>815</v>
      </c>
      <c r="F896" t="s">
        <v>818</v>
      </c>
      <c r="G896" t="s">
        <v>892</v>
      </c>
      <c r="H896" t="s">
        <v>1097</v>
      </c>
      <c r="I896" t="s">
        <v>1762</v>
      </c>
      <c r="J896" t="s">
        <v>19</v>
      </c>
      <c r="K896" t="s">
        <v>891</v>
      </c>
      <c r="L896" t="s">
        <v>29</v>
      </c>
      <c r="M896" t="s">
        <v>891</v>
      </c>
      <c r="P896" t="str">
        <f>_xlfn.TEXTBEFORE(_xlfn.TEXTAFTER(Table26[[#This Row],[WBS CODE]], "-"), "-")</f>
        <v>30203930961</v>
      </c>
    </row>
    <row r="897" spans="1:16" x14ac:dyDescent="0.3">
      <c r="A897">
        <v>896</v>
      </c>
      <c r="B897" t="s">
        <v>30</v>
      </c>
      <c r="C897" t="s">
        <v>1098</v>
      </c>
      <c r="D897" t="s">
        <v>1763</v>
      </c>
      <c r="E897" t="s">
        <v>815</v>
      </c>
      <c r="F897" t="s">
        <v>818</v>
      </c>
      <c r="G897" t="s">
        <v>894</v>
      </c>
      <c r="H897" t="s">
        <v>1099</v>
      </c>
      <c r="I897" t="s">
        <v>1763</v>
      </c>
      <c r="J897" t="s">
        <v>19</v>
      </c>
      <c r="K897" t="s">
        <v>881</v>
      </c>
      <c r="L897" t="s">
        <v>45</v>
      </c>
      <c r="M897" t="s">
        <v>45</v>
      </c>
      <c r="N897" t="s">
        <v>875</v>
      </c>
      <c r="O897" t="s">
        <v>25</v>
      </c>
      <c r="P897" t="str">
        <f>_xlfn.TEXTBEFORE(_xlfn.TEXTAFTER(Table26[[#This Row],[WBS CODE]], "-"), "-")</f>
        <v>30203940759</v>
      </c>
    </row>
    <row r="898" spans="1:16" x14ac:dyDescent="0.3">
      <c r="A898">
        <v>897</v>
      </c>
      <c r="B898" t="s">
        <v>30</v>
      </c>
      <c r="C898" t="s">
        <v>1764</v>
      </c>
      <c r="D898" t="s">
        <v>1765</v>
      </c>
      <c r="E898" t="s">
        <v>815</v>
      </c>
      <c r="F898" t="s">
        <v>818</v>
      </c>
      <c r="G898" t="s">
        <v>894</v>
      </c>
      <c r="H898" t="s">
        <v>1101</v>
      </c>
      <c r="I898" t="s">
        <v>1765</v>
      </c>
      <c r="J898" t="s">
        <v>19</v>
      </c>
      <c r="K898" t="s">
        <v>881</v>
      </c>
      <c r="L898" t="s">
        <v>36</v>
      </c>
      <c r="M898" t="s">
        <v>39</v>
      </c>
      <c r="N898" t="s">
        <v>875</v>
      </c>
      <c r="O898" t="s">
        <v>25</v>
      </c>
      <c r="P898" t="str">
        <f>_xlfn.TEXTBEFORE(_xlfn.TEXTAFTER(Table26[[#This Row],[WBS CODE]], "-"), "-")</f>
        <v>30203940821</v>
      </c>
    </row>
    <row r="899" spans="1:16" x14ac:dyDescent="0.3">
      <c r="A899">
        <v>898</v>
      </c>
      <c r="B899" t="s">
        <v>30</v>
      </c>
      <c r="C899" t="s">
        <v>1766</v>
      </c>
      <c r="D899" t="s">
        <v>1767</v>
      </c>
      <c r="E899" t="s">
        <v>815</v>
      </c>
      <c r="F899" t="s">
        <v>818</v>
      </c>
      <c r="G899" t="s">
        <v>894</v>
      </c>
      <c r="H899" t="s">
        <v>1101</v>
      </c>
      <c r="I899" t="s">
        <v>1767</v>
      </c>
      <c r="J899" t="s">
        <v>19</v>
      </c>
      <c r="K899" t="s">
        <v>881</v>
      </c>
      <c r="L899" t="s">
        <v>36</v>
      </c>
      <c r="M899" t="s">
        <v>42</v>
      </c>
      <c r="N899" t="s">
        <v>875</v>
      </c>
      <c r="O899" t="s">
        <v>25</v>
      </c>
      <c r="P899" t="str">
        <f>_xlfn.TEXTBEFORE(_xlfn.TEXTAFTER(Table26[[#This Row],[WBS CODE]], "-"), "-")</f>
        <v>30203940860</v>
      </c>
    </row>
    <row r="900" spans="1:16" x14ac:dyDescent="0.3">
      <c r="A900">
        <v>899</v>
      </c>
      <c r="B900" t="s">
        <v>30</v>
      </c>
      <c r="C900" t="s">
        <v>1768</v>
      </c>
      <c r="D900" t="s">
        <v>1769</v>
      </c>
      <c r="E900" t="s">
        <v>815</v>
      </c>
      <c r="F900" t="s">
        <v>818</v>
      </c>
      <c r="G900" t="s">
        <v>894</v>
      </c>
      <c r="H900" t="s">
        <v>1103</v>
      </c>
      <c r="I900" t="s">
        <v>1769</v>
      </c>
      <c r="J900" t="s">
        <v>19</v>
      </c>
      <c r="K900" t="s">
        <v>881</v>
      </c>
      <c r="L900" t="s">
        <v>29</v>
      </c>
      <c r="M900" t="s">
        <v>33</v>
      </c>
      <c r="N900" t="s">
        <v>875</v>
      </c>
      <c r="O900" t="s">
        <v>25</v>
      </c>
      <c r="P900" t="str">
        <f>_xlfn.TEXTBEFORE(_xlfn.TEXTAFTER(Table26[[#This Row],[WBS CODE]], "-"), "-")</f>
        <v>30203940963</v>
      </c>
    </row>
    <row r="901" spans="1:16" x14ac:dyDescent="0.3">
      <c r="A901">
        <v>900</v>
      </c>
      <c r="B901" t="s">
        <v>30</v>
      </c>
      <c r="C901" t="s">
        <v>819</v>
      </c>
      <c r="D901" t="s">
        <v>1770</v>
      </c>
      <c r="E901" t="s">
        <v>815</v>
      </c>
      <c r="F901" t="s">
        <v>820</v>
      </c>
      <c r="G901" t="s">
        <v>895</v>
      </c>
      <c r="H901" t="s">
        <v>1104</v>
      </c>
      <c r="I901" t="s">
        <v>1770</v>
      </c>
      <c r="J901" t="s">
        <v>819</v>
      </c>
      <c r="K901" t="s">
        <v>819</v>
      </c>
      <c r="L901" t="s">
        <v>819</v>
      </c>
      <c r="M901" t="s">
        <v>819</v>
      </c>
      <c r="P901" t="str">
        <f>_xlfn.TEXTBEFORE(_xlfn.TEXTAFTER(Table26[[#This Row],[WBS CODE]], "-"), "-")</f>
        <v>30299011521</v>
      </c>
    </row>
    <row r="902" spans="1:16" x14ac:dyDescent="0.3">
      <c r="A902">
        <v>901</v>
      </c>
      <c r="B902" t="s">
        <v>15</v>
      </c>
      <c r="C902" t="s">
        <v>1771</v>
      </c>
      <c r="D902" t="s">
        <v>1772</v>
      </c>
      <c r="E902" t="s">
        <v>1772</v>
      </c>
      <c r="P902" t="str">
        <f>_xlfn.TEXTBEFORE(_xlfn.TEXTAFTER(Table26[[#This Row],[WBS CODE]], "-"), "-")</f>
        <v>30</v>
      </c>
    </row>
    <row r="903" spans="1:16" x14ac:dyDescent="0.3">
      <c r="A903">
        <v>902</v>
      </c>
      <c r="B903" t="s">
        <v>18</v>
      </c>
      <c r="C903" t="s">
        <v>261</v>
      </c>
      <c r="D903" t="s">
        <v>1773</v>
      </c>
      <c r="E903" t="s">
        <v>1772</v>
      </c>
      <c r="F903" t="s">
        <v>1773</v>
      </c>
      <c r="J903" t="s">
        <v>261</v>
      </c>
      <c r="P903" t="str">
        <f>_xlfn.TEXTBEFORE(_xlfn.TEXTAFTER(Table26[[#This Row],[WBS CODE]], "-"), "-")</f>
        <v>30129</v>
      </c>
    </row>
    <row r="904" spans="1:16" x14ac:dyDescent="0.3">
      <c r="A904">
        <v>903</v>
      </c>
      <c r="B904" t="s">
        <v>21</v>
      </c>
      <c r="C904" t="s">
        <v>269</v>
      </c>
      <c r="D904" t="s">
        <v>1774</v>
      </c>
      <c r="E904" t="s">
        <v>1772</v>
      </c>
      <c r="F904" t="s">
        <v>1773</v>
      </c>
      <c r="G904" t="s">
        <v>1774</v>
      </c>
      <c r="J904" t="s">
        <v>261</v>
      </c>
      <c r="K904" t="s">
        <v>271</v>
      </c>
      <c r="P904" t="str">
        <f>_xlfn.TEXTBEFORE(_xlfn.TEXTAFTER(Table26[[#This Row],[WBS CODE]], "-"), "-")</f>
        <v>3012982</v>
      </c>
    </row>
    <row r="905" spans="1:16" x14ac:dyDescent="0.3">
      <c r="A905">
        <v>904</v>
      </c>
      <c r="B905" t="s">
        <v>26</v>
      </c>
      <c r="C905" t="s">
        <v>1033</v>
      </c>
      <c r="D905" t="s">
        <v>1775</v>
      </c>
      <c r="E905" t="s">
        <v>1772</v>
      </c>
      <c r="F905" t="s">
        <v>1773</v>
      </c>
      <c r="G905" t="s">
        <v>1774</v>
      </c>
      <c r="H905" t="s">
        <v>1775</v>
      </c>
      <c r="J905" t="s">
        <v>261</v>
      </c>
      <c r="K905" t="s">
        <v>271</v>
      </c>
      <c r="L905" t="s">
        <v>1033</v>
      </c>
      <c r="P905" t="str">
        <f>_xlfn.TEXTBEFORE(_xlfn.TEXTAFTER(Table26[[#This Row],[WBS CODE]], "-"), "-")</f>
        <v>301298265</v>
      </c>
    </row>
    <row r="906" spans="1:16" x14ac:dyDescent="0.3">
      <c r="A906">
        <v>905</v>
      </c>
      <c r="B906" t="s">
        <v>30</v>
      </c>
      <c r="C906" t="s">
        <v>1033</v>
      </c>
      <c r="D906" t="s">
        <v>1776</v>
      </c>
      <c r="E906" t="s">
        <v>1772</v>
      </c>
      <c r="F906" t="s">
        <v>1773</v>
      </c>
      <c r="G906" t="s">
        <v>1774</v>
      </c>
      <c r="H906" t="s">
        <v>1775</v>
      </c>
      <c r="I906" t="s">
        <v>1776</v>
      </c>
      <c r="J906" t="s">
        <v>261</v>
      </c>
      <c r="K906" t="s">
        <v>271</v>
      </c>
      <c r="L906" t="s">
        <v>1033</v>
      </c>
      <c r="M906" t="s">
        <v>1033</v>
      </c>
      <c r="P906" t="str">
        <f>_xlfn.TEXTBEFORE(_xlfn.TEXTAFTER(Table26[[#This Row],[WBS CODE]], "-"), "-")</f>
        <v>30129826504</v>
      </c>
    </row>
    <row r="907" spans="1:16" x14ac:dyDescent="0.3">
      <c r="A907">
        <v>906</v>
      </c>
      <c r="B907" t="s">
        <v>26</v>
      </c>
      <c r="C907" t="s">
        <v>266</v>
      </c>
      <c r="D907" t="s">
        <v>1777</v>
      </c>
      <c r="E907" t="s">
        <v>1772</v>
      </c>
      <c r="F907" t="s">
        <v>1773</v>
      </c>
      <c r="G907" t="s">
        <v>1774</v>
      </c>
      <c r="H907" t="s">
        <v>1777</v>
      </c>
      <c r="J907" t="s">
        <v>261</v>
      </c>
      <c r="K907" t="s">
        <v>271</v>
      </c>
      <c r="L907" t="s">
        <v>266</v>
      </c>
      <c r="P907" t="str">
        <f>_xlfn.TEXTBEFORE(_xlfn.TEXTAFTER(Table26[[#This Row],[WBS CODE]], "-"), "-")</f>
        <v>301298264</v>
      </c>
    </row>
    <row r="908" spans="1:16" x14ac:dyDescent="0.3">
      <c r="A908">
        <v>907</v>
      </c>
      <c r="B908" t="s">
        <v>30</v>
      </c>
      <c r="C908" t="s">
        <v>266</v>
      </c>
      <c r="D908" t="s">
        <v>1778</v>
      </c>
      <c r="E908" t="s">
        <v>1772</v>
      </c>
      <c r="F908" t="s">
        <v>1773</v>
      </c>
      <c r="G908" t="s">
        <v>1774</v>
      </c>
      <c r="H908" t="s">
        <v>1777</v>
      </c>
      <c r="I908" t="s">
        <v>1778</v>
      </c>
      <c r="J908" t="s">
        <v>261</v>
      </c>
      <c r="K908" t="s">
        <v>271</v>
      </c>
      <c r="L908" t="s">
        <v>266</v>
      </c>
      <c r="M908" t="s">
        <v>266</v>
      </c>
      <c r="P908" t="str">
        <f>_xlfn.TEXTBEFORE(_xlfn.TEXTAFTER(Table26[[#This Row],[WBS CODE]], "-"), "-")</f>
        <v>30129826460</v>
      </c>
    </row>
    <row r="909" spans="1:16" x14ac:dyDescent="0.3">
      <c r="A909">
        <v>908</v>
      </c>
      <c r="B909" t="s">
        <v>21</v>
      </c>
      <c r="C909" t="s">
        <v>273</v>
      </c>
      <c r="D909" t="s">
        <v>1779</v>
      </c>
      <c r="E909" t="s">
        <v>1772</v>
      </c>
      <c r="F909" t="s">
        <v>1773</v>
      </c>
      <c r="G909" t="s">
        <v>1779</v>
      </c>
      <c r="J909" t="s">
        <v>261</v>
      </c>
      <c r="K909" t="s">
        <v>273</v>
      </c>
      <c r="P909" t="str">
        <f>_xlfn.TEXTBEFORE(_xlfn.TEXTAFTER(Table26[[#This Row],[WBS CODE]], "-"), "-")</f>
        <v>3012914</v>
      </c>
    </row>
    <row r="910" spans="1:16" x14ac:dyDescent="0.3">
      <c r="A910">
        <v>909</v>
      </c>
      <c r="B910" t="s">
        <v>26</v>
      </c>
      <c r="C910" t="s">
        <v>273</v>
      </c>
      <c r="D910" t="s">
        <v>1780</v>
      </c>
      <c r="E910" t="s">
        <v>1772</v>
      </c>
      <c r="F910" t="s">
        <v>1773</v>
      </c>
      <c r="G910" t="s">
        <v>1779</v>
      </c>
      <c r="H910" t="s">
        <v>1780</v>
      </c>
      <c r="J910" t="s">
        <v>261</v>
      </c>
      <c r="K910" t="s">
        <v>273</v>
      </c>
      <c r="L910" t="s">
        <v>273</v>
      </c>
      <c r="P910" t="str">
        <f>_xlfn.TEXTBEFORE(_xlfn.TEXTAFTER(Table26[[#This Row],[WBS CODE]], "-"), "-")</f>
        <v>301291463</v>
      </c>
    </row>
    <row r="911" spans="1:16" x14ac:dyDescent="0.3">
      <c r="A911">
        <v>910</v>
      </c>
      <c r="B911" t="s">
        <v>30</v>
      </c>
      <c r="C911" t="s">
        <v>273</v>
      </c>
      <c r="D911" t="s">
        <v>1781</v>
      </c>
      <c r="E911" t="s">
        <v>1772</v>
      </c>
      <c r="F911" t="s">
        <v>1773</v>
      </c>
      <c r="G911" t="s">
        <v>1779</v>
      </c>
      <c r="H911" t="s">
        <v>1780</v>
      </c>
      <c r="I911" t="s">
        <v>1781</v>
      </c>
      <c r="J911" t="s">
        <v>261</v>
      </c>
      <c r="K911" t="s">
        <v>273</v>
      </c>
      <c r="L911" t="s">
        <v>273</v>
      </c>
      <c r="M911" t="s">
        <v>273</v>
      </c>
      <c r="P911" t="str">
        <f>_xlfn.TEXTBEFORE(_xlfn.TEXTAFTER(Table26[[#This Row],[WBS CODE]], "-"), "-")</f>
        <v>30129146321</v>
      </c>
    </row>
    <row r="912" spans="1:16" x14ac:dyDescent="0.3">
      <c r="A912">
        <v>911</v>
      </c>
      <c r="B912" t="s">
        <v>21</v>
      </c>
      <c r="C912" t="s">
        <v>279</v>
      </c>
      <c r="D912" t="s">
        <v>1782</v>
      </c>
      <c r="E912" t="s">
        <v>1772</v>
      </c>
      <c r="F912" t="s">
        <v>1773</v>
      </c>
      <c r="G912" t="s">
        <v>1782</v>
      </c>
      <c r="J912" t="s">
        <v>261</v>
      </c>
      <c r="K912" t="s">
        <v>277</v>
      </c>
      <c r="P912" t="str">
        <f>_xlfn.TEXTBEFORE(_xlfn.TEXTAFTER(Table26[[#This Row],[WBS CODE]], "-"), "-")</f>
        <v>3012981</v>
      </c>
    </row>
    <row r="913" spans="1:16" x14ac:dyDescent="0.3">
      <c r="A913">
        <v>912</v>
      </c>
      <c r="B913" t="s">
        <v>26</v>
      </c>
      <c r="C913" t="s">
        <v>279</v>
      </c>
      <c r="D913" t="s">
        <v>1783</v>
      </c>
      <c r="E913" t="s">
        <v>1772</v>
      </c>
      <c r="F913" t="s">
        <v>1773</v>
      </c>
      <c r="G913" t="s">
        <v>1782</v>
      </c>
      <c r="H913" t="s">
        <v>1783</v>
      </c>
      <c r="J913" t="s">
        <v>261</v>
      </c>
      <c r="K913" t="s">
        <v>277</v>
      </c>
      <c r="L913" t="s">
        <v>277</v>
      </c>
      <c r="P913" t="str">
        <f>_xlfn.TEXTBEFORE(_xlfn.TEXTAFTER(Table26[[#This Row],[WBS CODE]], "-"), "-")</f>
        <v>301298160</v>
      </c>
    </row>
    <row r="914" spans="1:16" x14ac:dyDescent="0.3">
      <c r="A914">
        <v>913</v>
      </c>
      <c r="B914" t="s">
        <v>30</v>
      </c>
      <c r="C914" t="s">
        <v>279</v>
      </c>
      <c r="D914" t="s">
        <v>1784</v>
      </c>
      <c r="E914" t="s">
        <v>1772</v>
      </c>
      <c r="F914" t="s">
        <v>1773</v>
      </c>
      <c r="G914" t="s">
        <v>1782</v>
      </c>
      <c r="H914" t="s">
        <v>1783</v>
      </c>
      <c r="I914" t="s">
        <v>1784</v>
      </c>
      <c r="J914" t="s">
        <v>261</v>
      </c>
      <c r="K914" t="s">
        <v>277</v>
      </c>
      <c r="L914" t="s">
        <v>277</v>
      </c>
      <c r="M914" t="s">
        <v>277</v>
      </c>
      <c r="P914" t="str">
        <f>_xlfn.TEXTBEFORE(_xlfn.TEXTAFTER(Table26[[#This Row],[WBS CODE]], "-"), "-")</f>
        <v>30129816043</v>
      </c>
    </row>
    <row r="915" spans="1:16" x14ac:dyDescent="0.3">
      <c r="A915">
        <v>914</v>
      </c>
      <c r="B915" t="s">
        <v>21</v>
      </c>
      <c r="C915" t="s">
        <v>861</v>
      </c>
      <c r="D915" t="s">
        <v>1785</v>
      </c>
      <c r="E915" t="s">
        <v>1772</v>
      </c>
      <c r="F915" t="s">
        <v>1773</v>
      </c>
      <c r="G915" t="s">
        <v>1785</v>
      </c>
      <c r="J915" t="s">
        <v>261</v>
      </c>
      <c r="K915" t="s">
        <v>861</v>
      </c>
      <c r="P915" t="str">
        <f>_xlfn.TEXTBEFORE(_xlfn.TEXTAFTER(Table26[[#This Row],[WBS CODE]], "-"), "-")</f>
        <v>3012980</v>
      </c>
    </row>
    <row r="916" spans="1:16" x14ac:dyDescent="0.3">
      <c r="A916">
        <v>915</v>
      </c>
      <c r="B916" t="s">
        <v>26</v>
      </c>
      <c r="C916" t="s">
        <v>861</v>
      </c>
      <c r="D916" t="s">
        <v>1786</v>
      </c>
      <c r="E916" t="s">
        <v>1772</v>
      </c>
      <c r="F916" t="s">
        <v>1773</v>
      </c>
      <c r="G916" t="s">
        <v>1785</v>
      </c>
      <c r="H916" t="s">
        <v>1786</v>
      </c>
      <c r="J916" t="s">
        <v>261</v>
      </c>
      <c r="K916" t="s">
        <v>861</v>
      </c>
      <c r="L916" t="s">
        <v>861</v>
      </c>
      <c r="P916" t="str">
        <f>_xlfn.TEXTBEFORE(_xlfn.TEXTAFTER(Table26[[#This Row],[WBS CODE]], "-"), "-")</f>
        <v>301298052</v>
      </c>
    </row>
    <row r="917" spans="1:16" x14ac:dyDescent="0.3">
      <c r="A917">
        <v>916</v>
      </c>
      <c r="B917" t="s">
        <v>30</v>
      </c>
      <c r="C917" t="s">
        <v>861</v>
      </c>
      <c r="D917" t="s">
        <v>1787</v>
      </c>
      <c r="E917" t="s">
        <v>1772</v>
      </c>
      <c r="F917" t="s">
        <v>1773</v>
      </c>
      <c r="G917" t="s">
        <v>1785</v>
      </c>
      <c r="H917" t="s">
        <v>1786</v>
      </c>
      <c r="I917" t="s">
        <v>1787</v>
      </c>
      <c r="J917" t="s">
        <v>261</v>
      </c>
      <c r="K917" t="s">
        <v>861</v>
      </c>
      <c r="L917" t="s">
        <v>861</v>
      </c>
      <c r="M917" t="s">
        <v>861</v>
      </c>
      <c r="P917" t="str">
        <f>_xlfn.TEXTBEFORE(_xlfn.TEXTAFTER(Table26[[#This Row],[WBS CODE]], "-"), "-")</f>
        <v>30129805264</v>
      </c>
    </row>
    <row r="918" spans="1:16" x14ac:dyDescent="0.3">
      <c r="A918">
        <v>917</v>
      </c>
      <c r="B918" t="s">
        <v>21</v>
      </c>
      <c r="C918" t="s">
        <v>283</v>
      </c>
      <c r="D918" t="s">
        <v>1788</v>
      </c>
      <c r="E918" t="s">
        <v>1772</v>
      </c>
      <c r="F918" t="s">
        <v>1773</v>
      </c>
      <c r="G918" t="s">
        <v>1788</v>
      </c>
      <c r="J918" t="s">
        <v>261</v>
      </c>
      <c r="K918" t="s">
        <v>283</v>
      </c>
      <c r="P918" t="str">
        <f>_xlfn.TEXTBEFORE(_xlfn.TEXTAFTER(Table26[[#This Row],[WBS CODE]], "-"), "-")</f>
        <v>3012979</v>
      </c>
    </row>
    <row r="919" spans="1:16" x14ac:dyDescent="0.3">
      <c r="A919">
        <v>918</v>
      </c>
      <c r="B919" t="s">
        <v>26</v>
      </c>
      <c r="C919" t="s">
        <v>1789</v>
      </c>
      <c r="D919" t="s">
        <v>1790</v>
      </c>
      <c r="E919" t="s">
        <v>1772</v>
      </c>
      <c r="F919" t="s">
        <v>1773</v>
      </c>
      <c r="G919" t="s">
        <v>1788</v>
      </c>
      <c r="H919" t="s">
        <v>1790</v>
      </c>
      <c r="J919" t="s">
        <v>261</v>
      </c>
      <c r="K919" t="s">
        <v>283</v>
      </c>
      <c r="L919" t="s">
        <v>283</v>
      </c>
      <c r="N919" t="s">
        <v>1791</v>
      </c>
      <c r="O919" t="s">
        <v>219</v>
      </c>
      <c r="P919" t="str">
        <f>_xlfn.TEXTBEFORE(_xlfn.TEXTAFTER(Table26[[#This Row],[WBS CODE]], "-"), "-")</f>
        <v>301297905</v>
      </c>
    </row>
    <row r="920" spans="1:16" x14ac:dyDescent="0.3">
      <c r="A920">
        <v>919</v>
      </c>
      <c r="B920" t="s">
        <v>30</v>
      </c>
      <c r="C920" t="s">
        <v>1789</v>
      </c>
      <c r="D920" t="s">
        <v>1792</v>
      </c>
      <c r="E920" t="s">
        <v>1772</v>
      </c>
      <c r="F920" t="s">
        <v>1773</v>
      </c>
      <c r="G920" t="s">
        <v>1788</v>
      </c>
      <c r="H920" t="s">
        <v>1790</v>
      </c>
      <c r="I920" t="s">
        <v>1792</v>
      </c>
      <c r="J920" t="s">
        <v>261</v>
      </c>
      <c r="K920" t="s">
        <v>283</v>
      </c>
      <c r="L920" t="s">
        <v>283</v>
      </c>
      <c r="M920" t="s">
        <v>288</v>
      </c>
      <c r="N920" t="s">
        <v>1791</v>
      </c>
      <c r="O920" t="s">
        <v>219</v>
      </c>
      <c r="P920" t="str">
        <f>_xlfn.TEXTBEFORE(_xlfn.TEXTAFTER(Table26[[#This Row],[WBS CODE]], "-"), "-")</f>
        <v>30129790505</v>
      </c>
    </row>
    <row r="921" spans="1:16" x14ac:dyDescent="0.3">
      <c r="A921">
        <v>920</v>
      </c>
      <c r="B921" t="s">
        <v>26</v>
      </c>
      <c r="C921" t="s">
        <v>1793</v>
      </c>
      <c r="D921" t="s">
        <v>1794</v>
      </c>
      <c r="E921" t="s">
        <v>1772</v>
      </c>
      <c r="F921" t="s">
        <v>1773</v>
      </c>
      <c r="G921" t="s">
        <v>1788</v>
      </c>
      <c r="H921" t="s">
        <v>1794</v>
      </c>
      <c r="J921" t="s">
        <v>261</v>
      </c>
      <c r="K921" t="s">
        <v>283</v>
      </c>
      <c r="L921" t="s">
        <v>283</v>
      </c>
      <c r="N921" t="s">
        <v>1795</v>
      </c>
      <c r="O921" t="s">
        <v>219</v>
      </c>
      <c r="P921" t="str">
        <f>_xlfn.TEXTBEFORE(_xlfn.TEXTAFTER(Table26[[#This Row],[WBS CODE]], "-"), "-")</f>
        <v>301297904</v>
      </c>
    </row>
    <row r="922" spans="1:16" x14ac:dyDescent="0.3">
      <c r="A922">
        <v>921</v>
      </c>
      <c r="B922" t="s">
        <v>30</v>
      </c>
      <c r="C922" t="s">
        <v>1793</v>
      </c>
      <c r="D922" t="s">
        <v>1796</v>
      </c>
      <c r="E922" t="s">
        <v>1772</v>
      </c>
      <c r="F922" t="s">
        <v>1773</v>
      </c>
      <c r="G922" t="s">
        <v>1788</v>
      </c>
      <c r="H922" t="s">
        <v>1794</v>
      </c>
      <c r="I922" t="s">
        <v>1796</v>
      </c>
      <c r="J922" t="s">
        <v>261</v>
      </c>
      <c r="K922" t="s">
        <v>283</v>
      </c>
      <c r="L922" t="s">
        <v>283</v>
      </c>
      <c r="M922" t="s">
        <v>288</v>
      </c>
      <c r="N922" t="s">
        <v>1795</v>
      </c>
      <c r="O922" t="s">
        <v>219</v>
      </c>
      <c r="P922" t="str">
        <f>_xlfn.TEXTBEFORE(_xlfn.TEXTAFTER(Table26[[#This Row],[WBS CODE]], "-"), "-")</f>
        <v>30129790404</v>
      </c>
    </row>
    <row r="923" spans="1:16" x14ac:dyDescent="0.3">
      <c r="A923">
        <v>922</v>
      </c>
      <c r="B923" t="s">
        <v>26</v>
      </c>
      <c r="C923" t="s">
        <v>1797</v>
      </c>
      <c r="D923" t="s">
        <v>1798</v>
      </c>
      <c r="E923" t="s">
        <v>1772</v>
      </c>
      <c r="F923" t="s">
        <v>1773</v>
      </c>
      <c r="G923" t="s">
        <v>1788</v>
      </c>
      <c r="H923" t="s">
        <v>1798</v>
      </c>
      <c r="J923" t="s">
        <v>261</v>
      </c>
      <c r="K923" t="s">
        <v>283</v>
      </c>
      <c r="L923" t="s">
        <v>283</v>
      </c>
      <c r="N923" t="s">
        <v>1799</v>
      </c>
      <c r="O923" t="s">
        <v>219</v>
      </c>
      <c r="P923" t="str">
        <f>_xlfn.TEXTBEFORE(_xlfn.TEXTAFTER(Table26[[#This Row],[WBS CODE]], "-"), "-")</f>
        <v>301297903</v>
      </c>
    </row>
    <row r="924" spans="1:16" x14ac:dyDescent="0.3">
      <c r="A924">
        <v>923</v>
      </c>
      <c r="B924" t="s">
        <v>30</v>
      </c>
      <c r="C924" t="s">
        <v>1797</v>
      </c>
      <c r="D924" t="s">
        <v>1800</v>
      </c>
      <c r="E924" t="s">
        <v>1772</v>
      </c>
      <c r="F924" t="s">
        <v>1773</v>
      </c>
      <c r="G924" t="s">
        <v>1788</v>
      </c>
      <c r="H924" t="s">
        <v>1798</v>
      </c>
      <c r="I924" t="s">
        <v>1800</v>
      </c>
      <c r="J924" t="s">
        <v>261</v>
      </c>
      <c r="K924" t="s">
        <v>283</v>
      </c>
      <c r="L924" t="s">
        <v>283</v>
      </c>
      <c r="M924" t="s">
        <v>288</v>
      </c>
      <c r="N924" t="s">
        <v>1799</v>
      </c>
      <c r="O924" t="s">
        <v>219</v>
      </c>
      <c r="P924" t="str">
        <f>_xlfn.TEXTBEFORE(_xlfn.TEXTAFTER(Table26[[#This Row],[WBS CODE]], "-"), "-")</f>
        <v>30129790303</v>
      </c>
    </row>
    <row r="925" spans="1:16" x14ac:dyDescent="0.3">
      <c r="A925">
        <v>924</v>
      </c>
      <c r="B925" t="s">
        <v>26</v>
      </c>
      <c r="C925" t="s">
        <v>1801</v>
      </c>
      <c r="D925" t="s">
        <v>1802</v>
      </c>
      <c r="E925" t="s">
        <v>1772</v>
      </c>
      <c r="F925" t="s">
        <v>1773</v>
      </c>
      <c r="G925" t="s">
        <v>1788</v>
      </c>
      <c r="H925" t="s">
        <v>1802</v>
      </c>
      <c r="J925" t="s">
        <v>261</v>
      </c>
      <c r="K925" t="s">
        <v>283</v>
      </c>
      <c r="L925" t="s">
        <v>283</v>
      </c>
      <c r="N925" t="s">
        <v>1803</v>
      </c>
      <c r="O925" t="s">
        <v>219</v>
      </c>
      <c r="P925" t="str">
        <f>_xlfn.TEXTBEFORE(_xlfn.TEXTAFTER(Table26[[#This Row],[WBS CODE]], "-"), "-")</f>
        <v>301297902</v>
      </c>
    </row>
    <row r="926" spans="1:16" x14ac:dyDescent="0.3">
      <c r="A926">
        <v>925</v>
      </c>
      <c r="B926" t="s">
        <v>30</v>
      </c>
      <c r="C926" t="s">
        <v>1801</v>
      </c>
      <c r="D926" t="s">
        <v>1804</v>
      </c>
      <c r="E926" t="s">
        <v>1772</v>
      </c>
      <c r="F926" t="s">
        <v>1773</v>
      </c>
      <c r="G926" t="s">
        <v>1788</v>
      </c>
      <c r="H926" t="s">
        <v>1802</v>
      </c>
      <c r="I926" t="s">
        <v>1804</v>
      </c>
      <c r="J926" t="s">
        <v>261</v>
      </c>
      <c r="K926" t="s">
        <v>283</v>
      </c>
      <c r="L926" t="s">
        <v>283</v>
      </c>
      <c r="M926" t="s">
        <v>288</v>
      </c>
      <c r="N926" t="s">
        <v>1803</v>
      </c>
      <c r="O926" t="s">
        <v>219</v>
      </c>
      <c r="P926" t="str">
        <f>_xlfn.TEXTBEFORE(_xlfn.TEXTAFTER(Table26[[#This Row],[WBS CODE]], "-"), "-")</f>
        <v>30129790202</v>
      </c>
    </row>
    <row r="927" spans="1:16" x14ac:dyDescent="0.3">
      <c r="A927">
        <v>926</v>
      </c>
      <c r="B927" t="s">
        <v>26</v>
      </c>
      <c r="C927" t="s">
        <v>1805</v>
      </c>
      <c r="D927" t="s">
        <v>1806</v>
      </c>
      <c r="E927" t="s">
        <v>1772</v>
      </c>
      <c r="F927" t="s">
        <v>1773</v>
      </c>
      <c r="G927" t="s">
        <v>1788</v>
      </c>
      <c r="H927" t="s">
        <v>1806</v>
      </c>
      <c r="J927" t="s">
        <v>261</v>
      </c>
      <c r="K927" t="s">
        <v>283</v>
      </c>
      <c r="L927" t="s">
        <v>283</v>
      </c>
      <c r="N927" t="s">
        <v>1807</v>
      </c>
      <c r="O927" t="s">
        <v>219</v>
      </c>
      <c r="P927" t="str">
        <f>_xlfn.TEXTBEFORE(_xlfn.TEXTAFTER(Table26[[#This Row],[WBS CODE]], "-"), "-")</f>
        <v>301297901</v>
      </c>
    </row>
    <row r="928" spans="1:16" x14ac:dyDescent="0.3">
      <c r="A928">
        <v>927</v>
      </c>
      <c r="B928" t="s">
        <v>30</v>
      </c>
      <c r="C928" t="s">
        <v>1805</v>
      </c>
      <c r="D928" t="s">
        <v>1808</v>
      </c>
      <c r="E928" t="s">
        <v>1772</v>
      </c>
      <c r="F928" t="s">
        <v>1773</v>
      </c>
      <c r="G928" t="s">
        <v>1788</v>
      </c>
      <c r="H928" t="s">
        <v>1806</v>
      </c>
      <c r="I928" t="s">
        <v>1808</v>
      </c>
      <c r="J928" t="s">
        <v>261</v>
      </c>
      <c r="K928" t="s">
        <v>283</v>
      </c>
      <c r="L928" t="s">
        <v>283</v>
      </c>
      <c r="M928" t="s">
        <v>288</v>
      </c>
      <c r="N928" t="s">
        <v>1807</v>
      </c>
      <c r="O928" t="s">
        <v>219</v>
      </c>
      <c r="P928" t="str">
        <f>_xlfn.TEXTBEFORE(_xlfn.TEXTAFTER(Table26[[#This Row],[WBS CODE]], "-"), "-")</f>
        <v>30129790101</v>
      </c>
    </row>
    <row r="929" spans="1:16" x14ac:dyDescent="0.3">
      <c r="A929">
        <v>928</v>
      </c>
      <c r="B929" t="s">
        <v>21</v>
      </c>
      <c r="C929" t="s">
        <v>304</v>
      </c>
      <c r="D929" t="s">
        <v>1809</v>
      </c>
      <c r="E929" t="s">
        <v>1772</v>
      </c>
      <c r="F929" t="s">
        <v>1773</v>
      </c>
      <c r="G929" t="s">
        <v>1809</v>
      </c>
      <c r="J929" t="s">
        <v>261</v>
      </c>
      <c r="K929" t="s">
        <v>306</v>
      </c>
      <c r="P929" t="str">
        <f>_xlfn.TEXTBEFORE(_xlfn.TEXTAFTER(Table26[[#This Row],[WBS CODE]], "-"), "-")</f>
        <v>3012978</v>
      </c>
    </row>
    <row r="930" spans="1:16" x14ac:dyDescent="0.3">
      <c r="A930">
        <v>929</v>
      </c>
      <c r="B930" t="s">
        <v>26</v>
      </c>
      <c r="C930" t="s">
        <v>307</v>
      </c>
      <c r="D930" t="s">
        <v>1810</v>
      </c>
      <c r="E930" t="s">
        <v>1772</v>
      </c>
      <c r="F930" t="s">
        <v>1773</v>
      </c>
      <c r="G930" t="s">
        <v>1809</v>
      </c>
      <c r="H930" t="s">
        <v>1810</v>
      </c>
      <c r="J930" t="s">
        <v>261</v>
      </c>
      <c r="K930" t="s">
        <v>306</v>
      </c>
      <c r="L930" t="s">
        <v>307</v>
      </c>
      <c r="P930" t="str">
        <f>_xlfn.TEXTBEFORE(_xlfn.TEXTAFTER(Table26[[#This Row],[WBS CODE]], "-"), "-")</f>
        <v>301297856</v>
      </c>
    </row>
    <row r="931" spans="1:16" x14ac:dyDescent="0.3">
      <c r="A931">
        <v>930</v>
      </c>
      <c r="B931" t="s">
        <v>30</v>
      </c>
      <c r="C931" t="s">
        <v>307</v>
      </c>
      <c r="D931" t="s">
        <v>1811</v>
      </c>
      <c r="E931" t="s">
        <v>1772</v>
      </c>
      <c r="F931" t="s">
        <v>1773</v>
      </c>
      <c r="G931" t="s">
        <v>1809</v>
      </c>
      <c r="H931" t="s">
        <v>1810</v>
      </c>
      <c r="I931" t="s">
        <v>1811</v>
      </c>
      <c r="J931" t="s">
        <v>261</v>
      </c>
      <c r="K931" t="s">
        <v>306</v>
      </c>
      <c r="L931" t="s">
        <v>307</v>
      </c>
      <c r="M931" t="s">
        <v>307</v>
      </c>
      <c r="P931" t="str">
        <f>_xlfn.TEXTBEFORE(_xlfn.TEXTAFTER(Table26[[#This Row],[WBS CODE]], "-"), "-")</f>
        <v>30129785627</v>
      </c>
    </row>
    <row r="932" spans="1:16" x14ac:dyDescent="0.3">
      <c r="A932">
        <v>931</v>
      </c>
      <c r="B932" t="s">
        <v>26</v>
      </c>
      <c r="C932" t="s">
        <v>310</v>
      </c>
      <c r="D932" t="s">
        <v>1812</v>
      </c>
      <c r="E932" t="s">
        <v>1772</v>
      </c>
      <c r="F932" t="s">
        <v>1773</v>
      </c>
      <c r="G932" t="s">
        <v>1809</v>
      </c>
      <c r="H932" t="s">
        <v>1812</v>
      </c>
      <c r="J932" t="s">
        <v>261</v>
      </c>
      <c r="K932" t="s">
        <v>306</v>
      </c>
      <c r="L932" t="s">
        <v>310</v>
      </c>
      <c r="P932" t="str">
        <f>_xlfn.TEXTBEFORE(_xlfn.TEXTAFTER(Table26[[#This Row],[WBS CODE]], "-"), "-")</f>
        <v>301297862</v>
      </c>
    </row>
    <row r="933" spans="1:16" x14ac:dyDescent="0.3">
      <c r="A933">
        <v>932</v>
      </c>
      <c r="B933" t="s">
        <v>30</v>
      </c>
      <c r="C933" t="s">
        <v>310</v>
      </c>
      <c r="D933" t="s">
        <v>1813</v>
      </c>
      <c r="E933" t="s">
        <v>1772</v>
      </c>
      <c r="F933" t="s">
        <v>1773</v>
      </c>
      <c r="G933" t="s">
        <v>1809</v>
      </c>
      <c r="H933" t="s">
        <v>1812</v>
      </c>
      <c r="I933" t="s">
        <v>1813</v>
      </c>
      <c r="J933" t="s">
        <v>261</v>
      </c>
      <c r="K933" t="s">
        <v>306</v>
      </c>
      <c r="L933" t="s">
        <v>310</v>
      </c>
      <c r="M933" t="s">
        <v>310</v>
      </c>
      <c r="P933" t="str">
        <f>_xlfn.TEXTBEFORE(_xlfn.TEXTAFTER(Table26[[#This Row],[WBS CODE]], "-"), "-")</f>
        <v>30129786227</v>
      </c>
    </row>
    <row r="934" spans="1:16" x14ac:dyDescent="0.3">
      <c r="A934">
        <v>933</v>
      </c>
      <c r="B934" t="s">
        <v>21</v>
      </c>
      <c r="C934" t="s">
        <v>313</v>
      </c>
      <c r="D934" t="s">
        <v>1814</v>
      </c>
      <c r="E934" t="s">
        <v>1772</v>
      </c>
      <c r="F934" t="s">
        <v>1773</v>
      </c>
      <c r="G934" t="s">
        <v>1814</v>
      </c>
      <c r="J934" t="s">
        <v>261</v>
      </c>
      <c r="K934" t="s">
        <v>313</v>
      </c>
      <c r="P934" t="str">
        <f>_xlfn.TEXTBEFORE(_xlfn.TEXTAFTER(Table26[[#This Row],[WBS CODE]], "-"), "-")</f>
        <v>3012977</v>
      </c>
    </row>
    <row r="935" spans="1:16" x14ac:dyDescent="0.3">
      <c r="A935">
        <v>934</v>
      </c>
      <c r="B935" t="s">
        <v>26</v>
      </c>
      <c r="C935" t="s">
        <v>315</v>
      </c>
      <c r="D935" t="s">
        <v>1815</v>
      </c>
      <c r="E935" t="s">
        <v>1772</v>
      </c>
      <c r="F935" t="s">
        <v>1773</v>
      </c>
      <c r="G935" t="s">
        <v>1814</v>
      </c>
      <c r="H935" t="s">
        <v>1815</v>
      </c>
      <c r="J935" t="s">
        <v>261</v>
      </c>
      <c r="K935" t="s">
        <v>313</v>
      </c>
      <c r="L935" t="s">
        <v>315</v>
      </c>
      <c r="P935" t="str">
        <f>_xlfn.TEXTBEFORE(_xlfn.TEXTAFTER(Table26[[#This Row],[WBS CODE]], "-"), "-")</f>
        <v>301297726</v>
      </c>
    </row>
    <row r="936" spans="1:16" x14ac:dyDescent="0.3">
      <c r="A936">
        <v>935</v>
      </c>
      <c r="B936" t="s">
        <v>30</v>
      </c>
      <c r="C936" t="s">
        <v>1816</v>
      </c>
      <c r="D936" t="s">
        <v>1817</v>
      </c>
      <c r="E936" t="s">
        <v>1772</v>
      </c>
      <c r="F936" t="s">
        <v>1773</v>
      </c>
      <c r="G936" t="s">
        <v>1814</v>
      </c>
      <c r="H936" t="s">
        <v>1815</v>
      </c>
      <c r="I936" t="s">
        <v>1817</v>
      </c>
      <c r="J936" t="s">
        <v>261</v>
      </c>
      <c r="K936" t="s">
        <v>313</v>
      </c>
      <c r="L936" t="s">
        <v>315</v>
      </c>
      <c r="M936" t="s">
        <v>1816</v>
      </c>
      <c r="P936" t="str">
        <f>_xlfn.TEXTBEFORE(_xlfn.TEXTAFTER(Table26[[#This Row],[WBS CODE]], "-"), "-")</f>
        <v>30129772699</v>
      </c>
    </row>
    <row r="937" spans="1:16" x14ac:dyDescent="0.3">
      <c r="A937">
        <v>936</v>
      </c>
      <c r="B937" t="s">
        <v>30</v>
      </c>
      <c r="C937" t="s">
        <v>317</v>
      </c>
      <c r="D937" t="s">
        <v>1818</v>
      </c>
      <c r="E937" t="s">
        <v>1772</v>
      </c>
      <c r="F937" t="s">
        <v>1773</v>
      </c>
      <c r="G937" t="s">
        <v>1814</v>
      </c>
      <c r="H937" t="s">
        <v>1815</v>
      </c>
      <c r="I937" t="s">
        <v>1818</v>
      </c>
      <c r="J937" t="s">
        <v>261</v>
      </c>
      <c r="K937" t="s">
        <v>313</v>
      </c>
      <c r="L937" t="s">
        <v>315</v>
      </c>
      <c r="M937" t="s">
        <v>317</v>
      </c>
      <c r="P937" t="str">
        <f>_xlfn.TEXTBEFORE(_xlfn.TEXTAFTER(Table26[[#This Row],[WBS CODE]], "-"), "-")</f>
        <v>30129772624</v>
      </c>
    </row>
    <row r="938" spans="1:16" x14ac:dyDescent="0.3">
      <c r="A938">
        <v>937</v>
      </c>
      <c r="B938" t="s">
        <v>26</v>
      </c>
      <c r="C938" t="s">
        <v>319</v>
      </c>
      <c r="D938" t="s">
        <v>1819</v>
      </c>
      <c r="E938" t="s">
        <v>1772</v>
      </c>
      <c r="F938" t="s">
        <v>1773</v>
      </c>
      <c r="G938" t="s">
        <v>1814</v>
      </c>
      <c r="H938" t="s">
        <v>1819</v>
      </c>
      <c r="J938" t="s">
        <v>261</v>
      </c>
      <c r="K938" t="s">
        <v>313</v>
      </c>
      <c r="L938" t="s">
        <v>319</v>
      </c>
      <c r="P938" t="str">
        <f>_xlfn.TEXTBEFORE(_xlfn.TEXTAFTER(Table26[[#This Row],[WBS CODE]], "-"), "-")</f>
        <v>301297759</v>
      </c>
    </row>
    <row r="939" spans="1:16" x14ac:dyDescent="0.3">
      <c r="A939">
        <v>938</v>
      </c>
      <c r="B939" t="s">
        <v>30</v>
      </c>
      <c r="C939" t="s">
        <v>1820</v>
      </c>
      <c r="D939" t="s">
        <v>1821</v>
      </c>
      <c r="E939" t="s">
        <v>1772</v>
      </c>
      <c r="F939" t="s">
        <v>1773</v>
      </c>
      <c r="G939" t="s">
        <v>1814</v>
      </c>
      <c r="H939" t="s">
        <v>1819</v>
      </c>
      <c r="I939" t="s">
        <v>1821</v>
      </c>
      <c r="J939" t="s">
        <v>261</v>
      </c>
      <c r="K939" t="s">
        <v>313</v>
      </c>
      <c r="L939" t="s">
        <v>319</v>
      </c>
      <c r="M939" t="s">
        <v>1820</v>
      </c>
      <c r="P939" t="str">
        <f>_xlfn.TEXTBEFORE(_xlfn.TEXTAFTER(Table26[[#This Row],[WBS CODE]], "-"), "-")</f>
        <v>30129775943</v>
      </c>
    </row>
    <row r="940" spans="1:16" x14ac:dyDescent="0.3">
      <c r="A940">
        <v>939</v>
      </c>
      <c r="B940" t="s">
        <v>30</v>
      </c>
      <c r="C940" t="s">
        <v>319</v>
      </c>
      <c r="D940" t="s">
        <v>1822</v>
      </c>
      <c r="E940" t="s">
        <v>1772</v>
      </c>
      <c r="F940" t="s">
        <v>1773</v>
      </c>
      <c r="G940" t="s">
        <v>1814</v>
      </c>
      <c r="H940" t="s">
        <v>1819</v>
      </c>
      <c r="I940" t="s">
        <v>1822</v>
      </c>
      <c r="J940" t="s">
        <v>261</v>
      </c>
      <c r="K940" t="s">
        <v>313</v>
      </c>
      <c r="L940" t="s">
        <v>319</v>
      </c>
      <c r="M940" t="s">
        <v>319</v>
      </c>
      <c r="P940" t="str">
        <f>_xlfn.TEXTBEFORE(_xlfn.TEXTAFTER(Table26[[#This Row],[WBS CODE]], "-"), "-")</f>
        <v>30129775920</v>
      </c>
    </row>
    <row r="941" spans="1:16" x14ac:dyDescent="0.3">
      <c r="A941">
        <v>940</v>
      </c>
      <c r="B941" t="s">
        <v>26</v>
      </c>
      <c r="C941" t="s">
        <v>322</v>
      </c>
      <c r="D941" t="s">
        <v>1823</v>
      </c>
      <c r="E941" t="s">
        <v>1772</v>
      </c>
      <c r="F941" t="s">
        <v>1773</v>
      </c>
      <c r="G941" t="s">
        <v>1814</v>
      </c>
      <c r="H941" t="s">
        <v>1823</v>
      </c>
      <c r="J941" t="s">
        <v>261</v>
      </c>
      <c r="K941" t="s">
        <v>313</v>
      </c>
      <c r="L941" t="s">
        <v>322</v>
      </c>
      <c r="P941" t="str">
        <f>_xlfn.TEXTBEFORE(_xlfn.TEXTAFTER(Table26[[#This Row],[WBS CODE]], "-"), "-")</f>
        <v>301297757</v>
      </c>
    </row>
    <row r="942" spans="1:16" x14ac:dyDescent="0.3">
      <c r="A942">
        <v>941</v>
      </c>
      <c r="B942" t="s">
        <v>30</v>
      </c>
      <c r="C942" t="s">
        <v>1824</v>
      </c>
      <c r="D942" t="s">
        <v>1825</v>
      </c>
      <c r="E942" t="s">
        <v>1772</v>
      </c>
      <c r="F942" t="s">
        <v>1773</v>
      </c>
      <c r="G942" t="s">
        <v>1814</v>
      </c>
      <c r="H942" t="s">
        <v>1823</v>
      </c>
      <c r="I942" t="s">
        <v>1825</v>
      </c>
      <c r="J942" t="s">
        <v>261</v>
      </c>
      <c r="K942" t="s">
        <v>313</v>
      </c>
      <c r="L942" t="s">
        <v>322</v>
      </c>
      <c r="M942" t="s">
        <v>322</v>
      </c>
      <c r="P942" t="str">
        <f>_xlfn.TEXTBEFORE(_xlfn.TEXTAFTER(Table26[[#This Row],[WBS CODE]], "-"), "-")</f>
        <v>30129775799</v>
      </c>
    </row>
    <row r="943" spans="1:16" x14ac:dyDescent="0.3">
      <c r="A943">
        <v>942</v>
      </c>
      <c r="B943" t="s">
        <v>30</v>
      </c>
      <c r="C943" t="s">
        <v>322</v>
      </c>
      <c r="D943" t="s">
        <v>1826</v>
      </c>
      <c r="E943" t="s">
        <v>1772</v>
      </c>
      <c r="F943" t="s">
        <v>1773</v>
      </c>
      <c r="G943" t="s">
        <v>1814</v>
      </c>
      <c r="H943" t="s">
        <v>1823</v>
      </c>
      <c r="I943" t="s">
        <v>1826</v>
      </c>
      <c r="J943" t="s">
        <v>261</v>
      </c>
      <c r="K943" t="s">
        <v>313</v>
      </c>
      <c r="L943" t="s">
        <v>322</v>
      </c>
      <c r="M943" t="s">
        <v>322</v>
      </c>
      <c r="P943" t="str">
        <f>_xlfn.TEXTBEFORE(_xlfn.TEXTAFTER(Table26[[#This Row],[WBS CODE]], "-"), "-")</f>
        <v>30129775736</v>
      </c>
    </row>
    <row r="944" spans="1:16" x14ac:dyDescent="0.3">
      <c r="A944">
        <v>943</v>
      </c>
      <c r="B944" t="s">
        <v>26</v>
      </c>
      <c r="C944" t="s">
        <v>325</v>
      </c>
      <c r="D944" t="s">
        <v>1827</v>
      </c>
      <c r="E944" t="s">
        <v>1772</v>
      </c>
      <c r="F944" t="s">
        <v>1773</v>
      </c>
      <c r="G944" t="s">
        <v>1814</v>
      </c>
      <c r="H944" t="s">
        <v>1827</v>
      </c>
      <c r="J944" t="s">
        <v>261</v>
      </c>
      <c r="K944" t="s">
        <v>313</v>
      </c>
      <c r="L944" t="s">
        <v>325</v>
      </c>
      <c r="P944" t="str">
        <f>_xlfn.TEXTBEFORE(_xlfn.TEXTAFTER(Table26[[#This Row],[WBS CODE]], "-"), "-")</f>
        <v>301297758</v>
      </c>
    </row>
    <row r="945" spans="1:16" x14ac:dyDescent="0.3">
      <c r="A945">
        <v>944</v>
      </c>
      <c r="B945" t="s">
        <v>30</v>
      </c>
      <c r="C945" t="s">
        <v>327</v>
      </c>
      <c r="D945" t="s">
        <v>1828</v>
      </c>
      <c r="E945" t="s">
        <v>1772</v>
      </c>
      <c r="F945" t="s">
        <v>1773</v>
      </c>
      <c r="G945" t="s">
        <v>1814</v>
      </c>
      <c r="H945" t="s">
        <v>1827</v>
      </c>
      <c r="I945" t="s">
        <v>1828</v>
      </c>
      <c r="J945" t="s">
        <v>261</v>
      </c>
      <c r="K945" t="s">
        <v>313</v>
      </c>
      <c r="L945" t="s">
        <v>325</v>
      </c>
      <c r="M945" t="s">
        <v>327</v>
      </c>
      <c r="P945" t="str">
        <f>_xlfn.TEXTBEFORE(_xlfn.TEXTAFTER(Table26[[#This Row],[WBS CODE]], "-"), "-")</f>
        <v>30129775816</v>
      </c>
    </row>
    <row r="946" spans="1:16" x14ac:dyDescent="0.3">
      <c r="A946">
        <v>945</v>
      </c>
      <c r="B946" t="s">
        <v>30</v>
      </c>
      <c r="C946" t="s">
        <v>329</v>
      </c>
      <c r="D946" t="s">
        <v>1829</v>
      </c>
      <c r="E946" t="s">
        <v>1772</v>
      </c>
      <c r="F946" t="s">
        <v>1773</v>
      </c>
      <c r="G946" t="s">
        <v>1814</v>
      </c>
      <c r="H946" t="s">
        <v>1827</v>
      </c>
      <c r="I946" t="s">
        <v>1829</v>
      </c>
      <c r="J946" t="s">
        <v>261</v>
      </c>
      <c r="K946" t="s">
        <v>313</v>
      </c>
      <c r="L946" t="s">
        <v>325</v>
      </c>
      <c r="M946" t="s">
        <v>331</v>
      </c>
      <c r="P946" t="str">
        <f>_xlfn.TEXTBEFORE(_xlfn.TEXTAFTER(Table26[[#This Row],[WBS CODE]], "-"), "-")</f>
        <v>30129775817</v>
      </c>
    </row>
    <row r="947" spans="1:16" x14ac:dyDescent="0.3">
      <c r="A947">
        <v>946</v>
      </c>
      <c r="B947" t="s">
        <v>21</v>
      </c>
      <c r="C947" t="s">
        <v>332</v>
      </c>
      <c r="D947" t="s">
        <v>1830</v>
      </c>
      <c r="E947" t="s">
        <v>1772</v>
      </c>
      <c r="F947" t="s">
        <v>1773</v>
      </c>
      <c r="G947" t="s">
        <v>1830</v>
      </c>
      <c r="J947" t="s">
        <v>261</v>
      </c>
      <c r="K947" t="s">
        <v>332</v>
      </c>
      <c r="P947" t="str">
        <f>_xlfn.TEXTBEFORE(_xlfn.TEXTAFTER(Table26[[#This Row],[WBS CODE]], "-"), "-")</f>
        <v>3012976</v>
      </c>
    </row>
    <row r="948" spans="1:16" x14ac:dyDescent="0.3">
      <c r="A948">
        <v>947</v>
      </c>
      <c r="B948" t="s">
        <v>26</v>
      </c>
      <c r="C948" t="s">
        <v>1831</v>
      </c>
      <c r="D948" t="s">
        <v>1832</v>
      </c>
      <c r="E948" t="s">
        <v>1772</v>
      </c>
      <c r="F948" t="s">
        <v>1773</v>
      </c>
      <c r="G948" t="s">
        <v>1830</v>
      </c>
      <c r="H948" t="s">
        <v>1832</v>
      </c>
      <c r="J948" t="s">
        <v>261</v>
      </c>
      <c r="K948" t="s">
        <v>332</v>
      </c>
      <c r="L948" t="s">
        <v>332</v>
      </c>
      <c r="N948" t="s">
        <v>1791</v>
      </c>
      <c r="O948" t="s">
        <v>219</v>
      </c>
      <c r="P948" t="str">
        <f>_xlfn.TEXTBEFORE(_xlfn.TEXTAFTER(Table26[[#This Row],[WBS CODE]], "-"), "-")</f>
        <v>301297605</v>
      </c>
    </row>
    <row r="949" spans="1:16" x14ac:dyDescent="0.3">
      <c r="A949">
        <v>948</v>
      </c>
      <c r="B949" t="s">
        <v>30</v>
      </c>
      <c r="C949" t="s">
        <v>1831</v>
      </c>
      <c r="D949" t="s">
        <v>1833</v>
      </c>
      <c r="E949" t="s">
        <v>1772</v>
      </c>
      <c r="F949" t="s">
        <v>1773</v>
      </c>
      <c r="G949" t="s">
        <v>1830</v>
      </c>
      <c r="H949" t="s">
        <v>1832</v>
      </c>
      <c r="I949" t="s">
        <v>1833</v>
      </c>
      <c r="J949" t="s">
        <v>261</v>
      </c>
      <c r="K949" t="s">
        <v>332</v>
      </c>
      <c r="L949" t="s">
        <v>332</v>
      </c>
      <c r="M949" t="s">
        <v>332</v>
      </c>
      <c r="N949" t="s">
        <v>1791</v>
      </c>
      <c r="O949" t="s">
        <v>219</v>
      </c>
      <c r="P949" t="str">
        <f>_xlfn.TEXTBEFORE(_xlfn.TEXTAFTER(Table26[[#This Row],[WBS CODE]], "-"), "-")</f>
        <v>30129760505</v>
      </c>
    </row>
    <row r="950" spans="1:16" x14ac:dyDescent="0.3">
      <c r="A950">
        <v>949</v>
      </c>
      <c r="B950" t="s">
        <v>26</v>
      </c>
      <c r="C950" t="s">
        <v>1834</v>
      </c>
      <c r="D950" t="s">
        <v>1835</v>
      </c>
      <c r="E950" t="s">
        <v>1772</v>
      </c>
      <c r="F950" t="s">
        <v>1773</v>
      </c>
      <c r="G950" t="s">
        <v>1830</v>
      </c>
      <c r="H950" t="s">
        <v>1835</v>
      </c>
      <c r="J950" t="s">
        <v>261</v>
      </c>
      <c r="K950" t="s">
        <v>332</v>
      </c>
      <c r="L950" t="s">
        <v>332</v>
      </c>
      <c r="N950" t="s">
        <v>1795</v>
      </c>
      <c r="O950" t="s">
        <v>219</v>
      </c>
      <c r="P950" t="str">
        <f>_xlfn.TEXTBEFORE(_xlfn.TEXTAFTER(Table26[[#This Row],[WBS CODE]], "-"), "-")</f>
        <v>301297604</v>
      </c>
    </row>
    <row r="951" spans="1:16" x14ac:dyDescent="0.3">
      <c r="A951">
        <v>950</v>
      </c>
      <c r="B951" t="s">
        <v>30</v>
      </c>
      <c r="C951" t="s">
        <v>1834</v>
      </c>
      <c r="D951" t="s">
        <v>1836</v>
      </c>
      <c r="E951" t="s">
        <v>1772</v>
      </c>
      <c r="F951" t="s">
        <v>1773</v>
      </c>
      <c r="G951" t="s">
        <v>1830</v>
      </c>
      <c r="H951" t="s">
        <v>1835</v>
      </c>
      <c r="I951" t="s">
        <v>1836</v>
      </c>
      <c r="J951" t="s">
        <v>261</v>
      </c>
      <c r="K951" t="s">
        <v>332</v>
      </c>
      <c r="L951" t="s">
        <v>332</v>
      </c>
      <c r="M951" t="s">
        <v>332</v>
      </c>
      <c r="N951" t="s">
        <v>1795</v>
      </c>
      <c r="O951" t="s">
        <v>219</v>
      </c>
      <c r="P951" t="str">
        <f>_xlfn.TEXTBEFORE(_xlfn.TEXTAFTER(Table26[[#This Row],[WBS CODE]], "-"), "-")</f>
        <v>30129760404</v>
      </c>
    </row>
    <row r="952" spans="1:16" x14ac:dyDescent="0.3">
      <c r="A952">
        <v>951</v>
      </c>
      <c r="B952" t="s">
        <v>26</v>
      </c>
      <c r="C952" t="s">
        <v>1837</v>
      </c>
      <c r="D952" t="s">
        <v>1838</v>
      </c>
      <c r="E952" t="s">
        <v>1772</v>
      </c>
      <c r="F952" t="s">
        <v>1773</v>
      </c>
      <c r="G952" t="s">
        <v>1830</v>
      </c>
      <c r="H952" t="s">
        <v>1838</v>
      </c>
      <c r="J952" t="s">
        <v>261</v>
      </c>
      <c r="K952" t="s">
        <v>332</v>
      </c>
      <c r="L952" t="s">
        <v>332</v>
      </c>
      <c r="N952" t="s">
        <v>1799</v>
      </c>
      <c r="O952" t="s">
        <v>219</v>
      </c>
      <c r="P952" t="str">
        <f>_xlfn.TEXTBEFORE(_xlfn.TEXTAFTER(Table26[[#This Row],[WBS CODE]], "-"), "-")</f>
        <v>301297603</v>
      </c>
    </row>
    <row r="953" spans="1:16" x14ac:dyDescent="0.3">
      <c r="A953">
        <v>952</v>
      </c>
      <c r="B953" t="s">
        <v>30</v>
      </c>
      <c r="C953" t="s">
        <v>1837</v>
      </c>
      <c r="D953" t="s">
        <v>1839</v>
      </c>
      <c r="E953" t="s">
        <v>1772</v>
      </c>
      <c r="F953" t="s">
        <v>1773</v>
      </c>
      <c r="G953" t="s">
        <v>1830</v>
      </c>
      <c r="H953" t="s">
        <v>1838</v>
      </c>
      <c r="I953" t="s">
        <v>1839</v>
      </c>
      <c r="J953" t="s">
        <v>261</v>
      </c>
      <c r="K953" t="s">
        <v>332</v>
      </c>
      <c r="L953" t="s">
        <v>332</v>
      </c>
      <c r="M953" t="s">
        <v>332</v>
      </c>
      <c r="N953" t="s">
        <v>1799</v>
      </c>
      <c r="O953" t="s">
        <v>219</v>
      </c>
      <c r="P953" t="str">
        <f>_xlfn.TEXTBEFORE(_xlfn.TEXTAFTER(Table26[[#This Row],[WBS CODE]], "-"), "-")</f>
        <v>30129760303</v>
      </c>
    </row>
    <row r="954" spans="1:16" x14ac:dyDescent="0.3">
      <c r="A954">
        <v>953</v>
      </c>
      <c r="B954" t="s">
        <v>26</v>
      </c>
      <c r="C954" t="s">
        <v>1840</v>
      </c>
      <c r="D954" t="s">
        <v>1841</v>
      </c>
      <c r="E954" t="s">
        <v>1772</v>
      </c>
      <c r="F954" t="s">
        <v>1773</v>
      </c>
      <c r="G954" t="s">
        <v>1830</v>
      </c>
      <c r="H954" t="s">
        <v>1841</v>
      </c>
      <c r="J954" t="s">
        <v>261</v>
      </c>
      <c r="K954" t="s">
        <v>332</v>
      </c>
      <c r="L954" t="s">
        <v>332</v>
      </c>
      <c r="N954" t="s">
        <v>1803</v>
      </c>
      <c r="O954" t="s">
        <v>219</v>
      </c>
      <c r="P954" t="str">
        <f>_xlfn.TEXTBEFORE(_xlfn.TEXTAFTER(Table26[[#This Row],[WBS CODE]], "-"), "-")</f>
        <v>301297602</v>
      </c>
    </row>
    <row r="955" spans="1:16" x14ac:dyDescent="0.3">
      <c r="A955">
        <v>954</v>
      </c>
      <c r="B955" t="s">
        <v>30</v>
      </c>
      <c r="C955" t="s">
        <v>1840</v>
      </c>
      <c r="D955" t="s">
        <v>1842</v>
      </c>
      <c r="E955" t="s">
        <v>1772</v>
      </c>
      <c r="F955" t="s">
        <v>1773</v>
      </c>
      <c r="G955" t="s">
        <v>1830</v>
      </c>
      <c r="H955" t="s">
        <v>1841</v>
      </c>
      <c r="I955" t="s">
        <v>1842</v>
      </c>
      <c r="J955" t="s">
        <v>261</v>
      </c>
      <c r="K955" t="s">
        <v>332</v>
      </c>
      <c r="L955" t="s">
        <v>332</v>
      </c>
      <c r="M955" t="s">
        <v>332</v>
      </c>
      <c r="N955" t="s">
        <v>1803</v>
      </c>
      <c r="O955" t="s">
        <v>219</v>
      </c>
      <c r="P955" t="str">
        <f>_xlfn.TEXTBEFORE(_xlfn.TEXTAFTER(Table26[[#This Row],[WBS CODE]], "-"), "-")</f>
        <v>30129760202</v>
      </c>
    </row>
    <row r="956" spans="1:16" x14ac:dyDescent="0.3">
      <c r="A956">
        <v>955</v>
      </c>
      <c r="B956" t="s">
        <v>26</v>
      </c>
      <c r="C956" t="s">
        <v>1843</v>
      </c>
      <c r="D956" t="s">
        <v>1844</v>
      </c>
      <c r="E956" t="s">
        <v>1772</v>
      </c>
      <c r="F956" t="s">
        <v>1773</v>
      </c>
      <c r="G956" t="s">
        <v>1830</v>
      </c>
      <c r="H956" t="s">
        <v>1844</v>
      </c>
      <c r="J956" t="s">
        <v>261</v>
      </c>
      <c r="K956" t="s">
        <v>332</v>
      </c>
      <c r="L956" t="s">
        <v>332</v>
      </c>
      <c r="N956" t="s">
        <v>1807</v>
      </c>
      <c r="O956" t="s">
        <v>219</v>
      </c>
      <c r="P956" t="str">
        <f>_xlfn.TEXTBEFORE(_xlfn.TEXTAFTER(Table26[[#This Row],[WBS CODE]], "-"), "-")</f>
        <v>301297601</v>
      </c>
    </row>
    <row r="957" spans="1:16" x14ac:dyDescent="0.3">
      <c r="A957">
        <v>956</v>
      </c>
      <c r="B957" t="s">
        <v>30</v>
      </c>
      <c r="C957" t="s">
        <v>1843</v>
      </c>
      <c r="D957" t="s">
        <v>1845</v>
      </c>
      <c r="E957" t="s">
        <v>1772</v>
      </c>
      <c r="F957" t="s">
        <v>1773</v>
      </c>
      <c r="G957" t="s">
        <v>1830</v>
      </c>
      <c r="H957" t="s">
        <v>1844</v>
      </c>
      <c r="I957" t="s">
        <v>1845</v>
      </c>
      <c r="J957" t="s">
        <v>261</v>
      </c>
      <c r="K957" t="s">
        <v>332</v>
      </c>
      <c r="L957" t="s">
        <v>332</v>
      </c>
      <c r="M957" t="s">
        <v>332</v>
      </c>
      <c r="N957" t="s">
        <v>1807</v>
      </c>
      <c r="O957" t="s">
        <v>219</v>
      </c>
      <c r="P957" t="str">
        <f>_xlfn.TEXTBEFORE(_xlfn.TEXTAFTER(Table26[[#This Row],[WBS CODE]], "-"), "-")</f>
        <v>30129760101</v>
      </c>
    </row>
    <row r="958" spans="1:16" x14ac:dyDescent="0.3">
      <c r="A958">
        <v>957</v>
      </c>
      <c r="B958" t="s">
        <v>21</v>
      </c>
      <c r="C958" t="s">
        <v>352</v>
      </c>
      <c r="D958" t="s">
        <v>1846</v>
      </c>
      <c r="E958" t="s">
        <v>1772</v>
      </c>
      <c r="F958" t="s">
        <v>1773</v>
      </c>
      <c r="G958" t="s">
        <v>1846</v>
      </c>
      <c r="J958" t="s">
        <v>261</v>
      </c>
      <c r="K958" t="s">
        <v>354</v>
      </c>
      <c r="P958" t="str">
        <f>_xlfn.TEXTBEFORE(_xlfn.TEXTAFTER(Table26[[#This Row],[WBS CODE]], "-"), "-")</f>
        <v>3012975</v>
      </c>
    </row>
    <row r="959" spans="1:16" x14ac:dyDescent="0.3">
      <c r="A959">
        <v>958</v>
      </c>
      <c r="B959" t="s">
        <v>26</v>
      </c>
      <c r="C959" t="s">
        <v>1847</v>
      </c>
      <c r="D959" t="s">
        <v>1848</v>
      </c>
      <c r="E959" t="s">
        <v>1772</v>
      </c>
      <c r="F959" t="s">
        <v>1773</v>
      </c>
      <c r="G959" t="s">
        <v>1846</v>
      </c>
      <c r="H959" t="s">
        <v>1848</v>
      </c>
      <c r="J959" t="s">
        <v>261</v>
      </c>
      <c r="K959" t="s">
        <v>354</v>
      </c>
      <c r="L959" t="s">
        <v>354</v>
      </c>
      <c r="N959" t="s">
        <v>1791</v>
      </c>
      <c r="O959" t="s">
        <v>219</v>
      </c>
      <c r="P959" t="str">
        <f>_xlfn.TEXTBEFORE(_xlfn.TEXTAFTER(Table26[[#This Row],[WBS CODE]], "-"), "-")</f>
        <v>301297505</v>
      </c>
    </row>
    <row r="960" spans="1:16" x14ac:dyDescent="0.3">
      <c r="A960">
        <v>959</v>
      </c>
      <c r="B960" t="s">
        <v>30</v>
      </c>
      <c r="C960" t="s">
        <v>1847</v>
      </c>
      <c r="D960" t="s">
        <v>1849</v>
      </c>
      <c r="E960" t="s">
        <v>1772</v>
      </c>
      <c r="F960" t="s">
        <v>1773</v>
      </c>
      <c r="G960" t="s">
        <v>1846</v>
      </c>
      <c r="H960" t="s">
        <v>1848</v>
      </c>
      <c r="I960" t="s">
        <v>1849</v>
      </c>
      <c r="J960" t="s">
        <v>261</v>
      </c>
      <c r="K960" t="s">
        <v>354</v>
      </c>
      <c r="L960" t="s">
        <v>354</v>
      </c>
      <c r="M960" t="s">
        <v>354</v>
      </c>
      <c r="N960" t="s">
        <v>1791</v>
      </c>
      <c r="O960" t="s">
        <v>219</v>
      </c>
      <c r="P960" t="str">
        <f>_xlfn.TEXTBEFORE(_xlfn.TEXTAFTER(Table26[[#This Row],[WBS CODE]], "-"), "-")</f>
        <v>30129750505</v>
      </c>
    </row>
    <row r="961" spans="1:16" x14ac:dyDescent="0.3">
      <c r="A961">
        <v>960</v>
      </c>
      <c r="B961" t="s">
        <v>26</v>
      </c>
      <c r="C961" t="s">
        <v>1850</v>
      </c>
      <c r="D961" t="s">
        <v>1851</v>
      </c>
      <c r="E961" t="s">
        <v>1772</v>
      </c>
      <c r="F961" t="s">
        <v>1773</v>
      </c>
      <c r="G961" t="s">
        <v>1846</v>
      </c>
      <c r="H961" t="s">
        <v>1851</v>
      </c>
      <c r="J961" t="s">
        <v>261</v>
      </c>
      <c r="K961" t="s">
        <v>354</v>
      </c>
      <c r="L961" t="s">
        <v>354</v>
      </c>
      <c r="N961" t="s">
        <v>1795</v>
      </c>
      <c r="O961" t="s">
        <v>219</v>
      </c>
      <c r="P961" t="str">
        <f>_xlfn.TEXTBEFORE(_xlfn.TEXTAFTER(Table26[[#This Row],[WBS CODE]], "-"), "-")</f>
        <v>301297504</v>
      </c>
    </row>
    <row r="962" spans="1:16" x14ac:dyDescent="0.3">
      <c r="A962">
        <v>961</v>
      </c>
      <c r="B962" t="s">
        <v>30</v>
      </c>
      <c r="C962" t="s">
        <v>1850</v>
      </c>
      <c r="D962" t="s">
        <v>1852</v>
      </c>
      <c r="E962" t="s">
        <v>1772</v>
      </c>
      <c r="F962" t="s">
        <v>1773</v>
      </c>
      <c r="G962" t="s">
        <v>1846</v>
      </c>
      <c r="H962" t="s">
        <v>1851</v>
      </c>
      <c r="I962" t="s">
        <v>1852</v>
      </c>
      <c r="J962" t="s">
        <v>261</v>
      </c>
      <c r="K962" t="s">
        <v>354</v>
      </c>
      <c r="L962" t="s">
        <v>354</v>
      </c>
      <c r="M962" t="s">
        <v>354</v>
      </c>
      <c r="N962" t="s">
        <v>1795</v>
      </c>
      <c r="O962" t="s">
        <v>219</v>
      </c>
      <c r="P962" t="str">
        <f>_xlfn.TEXTBEFORE(_xlfn.TEXTAFTER(Table26[[#This Row],[WBS CODE]], "-"), "-")</f>
        <v>30129750404</v>
      </c>
    </row>
    <row r="963" spans="1:16" x14ac:dyDescent="0.3">
      <c r="A963">
        <v>962</v>
      </c>
      <c r="B963" t="s">
        <v>26</v>
      </c>
      <c r="C963" t="s">
        <v>1853</v>
      </c>
      <c r="D963" t="s">
        <v>1854</v>
      </c>
      <c r="E963" t="s">
        <v>1772</v>
      </c>
      <c r="F963" t="s">
        <v>1773</v>
      </c>
      <c r="G963" t="s">
        <v>1846</v>
      </c>
      <c r="H963" t="s">
        <v>1854</v>
      </c>
      <c r="J963" t="s">
        <v>261</v>
      </c>
      <c r="K963" t="s">
        <v>354</v>
      </c>
      <c r="L963" t="s">
        <v>354</v>
      </c>
      <c r="N963" t="s">
        <v>1799</v>
      </c>
      <c r="O963" t="s">
        <v>219</v>
      </c>
      <c r="P963" t="str">
        <f>_xlfn.TEXTBEFORE(_xlfn.TEXTAFTER(Table26[[#This Row],[WBS CODE]], "-"), "-")</f>
        <v>301297503</v>
      </c>
    </row>
    <row r="964" spans="1:16" x14ac:dyDescent="0.3">
      <c r="A964">
        <v>963</v>
      </c>
      <c r="B964" t="s">
        <v>30</v>
      </c>
      <c r="C964" t="s">
        <v>1853</v>
      </c>
      <c r="D964" t="s">
        <v>1855</v>
      </c>
      <c r="E964" t="s">
        <v>1772</v>
      </c>
      <c r="F964" t="s">
        <v>1773</v>
      </c>
      <c r="G964" t="s">
        <v>1846</v>
      </c>
      <c r="H964" t="s">
        <v>1854</v>
      </c>
      <c r="I964" t="s">
        <v>1855</v>
      </c>
      <c r="J964" t="s">
        <v>261</v>
      </c>
      <c r="K964" t="s">
        <v>354</v>
      </c>
      <c r="L964" t="s">
        <v>354</v>
      </c>
      <c r="M964" t="s">
        <v>354</v>
      </c>
      <c r="N964" t="s">
        <v>1799</v>
      </c>
      <c r="O964" t="s">
        <v>219</v>
      </c>
      <c r="P964" t="str">
        <f>_xlfn.TEXTBEFORE(_xlfn.TEXTAFTER(Table26[[#This Row],[WBS CODE]], "-"), "-")</f>
        <v>30129750303</v>
      </c>
    </row>
    <row r="965" spans="1:16" x14ac:dyDescent="0.3">
      <c r="A965">
        <v>964</v>
      </c>
      <c r="B965" t="s">
        <v>26</v>
      </c>
      <c r="C965" t="s">
        <v>1856</v>
      </c>
      <c r="D965" t="s">
        <v>1857</v>
      </c>
      <c r="E965" t="s">
        <v>1772</v>
      </c>
      <c r="F965" t="s">
        <v>1773</v>
      </c>
      <c r="G965" t="s">
        <v>1846</v>
      </c>
      <c r="H965" t="s">
        <v>1857</v>
      </c>
      <c r="J965" t="s">
        <v>261</v>
      </c>
      <c r="K965" t="s">
        <v>354</v>
      </c>
      <c r="L965" t="s">
        <v>354</v>
      </c>
      <c r="N965" t="s">
        <v>1803</v>
      </c>
      <c r="O965" t="s">
        <v>219</v>
      </c>
      <c r="P965" t="str">
        <f>_xlfn.TEXTBEFORE(_xlfn.TEXTAFTER(Table26[[#This Row],[WBS CODE]], "-"), "-")</f>
        <v>301297502</v>
      </c>
    </row>
    <row r="966" spans="1:16" x14ac:dyDescent="0.3">
      <c r="A966">
        <v>965</v>
      </c>
      <c r="B966" t="s">
        <v>30</v>
      </c>
      <c r="C966" t="s">
        <v>1856</v>
      </c>
      <c r="D966" t="s">
        <v>1858</v>
      </c>
      <c r="E966" t="s">
        <v>1772</v>
      </c>
      <c r="F966" t="s">
        <v>1773</v>
      </c>
      <c r="G966" t="s">
        <v>1846</v>
      </c>
      <c r="H966" t="s">
        <v>1857</v>
      </c>
      <c r="I966" t="s">
        <v>1858</v>
      </c>
      <c r="J966" t="s">
        <v>261</v>
      </c>
      <c r="K966" t="s">
        <v>354</v>
      </c>
      <c r="L966" t="s">
        <v>354</v>
      </c>
      <c r="M966" t="s">
        <v>354</v>
      </c>
      <c r="N966" t="s">
        <v>1803</v>
      </c>
      <c r="O966" t="s">
        <v>219</v>
      </c>
      <c r="P966" t="str">
        <f>_xlfn.TEXTBEFORE(_xlfn.TEXTAFTER(Table26[[#This Row],[WBS CODE]], "-"), "-")</f>
        <v>30129750202</v>
      </c>
    </row>
    <row r="967" spans="1:16" x14ac:dyDescent="0.3">
      <c r="A967">
        <v>966</v>
      </c>
      <c r="B967" t="s">
        <v>26</v>
      </c>
      <c r="C967" t="s">
        <v>1859</v>
      </c>
      <c r="D967" t="s">
        <v>1860</v>
      </c>
      <c r="E967" t="s">
        <v>1772</v>
      </c>
      <c r="F967" t="s">
        <v>1773</v>
      </c>
      <c r="G967" t="s">
        <v>1846</v>
      </c>
      <c r="H967" t="s">
        <v>1860</v>
      </c>
      <c r="J967" t="s">
        <v>261</v>
      </c>
      <c r="K967" t="s">
        <v>354</v>
      </c>
      <c r="L967" t="s">
        <v>354</v>
      </c>
      <c r="N967" t="s">
        <v>1807</v>
      </c>
      <c r="O967" t="s">
        <v>219</v>
      </c>
      <c r="P967" t="str">
        <f>_xlfn.TEXTBEFORE(_xlfn.TEXTAFTER(Table26[[#This Row],[WBS CODE]], "-"), "-")</f>
        <v>301297501</v>
      </c>
    </row>
    <row r="968" spans="1:16" x14ac:dyDescent="0.3">
      <c r="A968">
        <v>967</v>
      </c>
      <c r="B968" t="s">
        <v>30</v>
      </c>
      <c r="C968" t="s">
        <v>1859</v>
      </c>
      <c r="D968" t="s">
        <v>1861</v>
      </c>
      <c r="E968" t="s">
        <v>1772</v>
      </c>
      <c r="F968" t="s">
        <v>1773</v>
      </c>
      <c r="G968" t="s">
        <v>1846</v>
      </c>
      <c r="H968" t="s">
        <v>1860</v>
      </c>
      <c r="I968" t="s">
        <v>1861</v>
      </c>
      <c r="J968" t="s">
        <v>261</v>
      </c>
      <c r="K968" t="s">
        <v>354</v>
      </c>
      <c r="L968" t="s">
        <v>354</v>
      </c>
      <c r="M968" t="s">
        <v>354</v>
      </c>
      <c r="N968" t="s">
        <v>1807</v>
      </c>
      <c r="O968" t="s">
        <v>219</v>
      </c>
      <c r="P968" t="str">
        <f>_xlfn.TEXTBEFORE(_xlfn.TEXTAFTER(Table26[[#This Row],[WBS CODE]], "-"), "-")</f>
        <v>30129750101</v>
      </c>
    </row>
    <row r="969" spans="1:16" x14ac:dyDescent="0.3">
      <c r="A969">
        <v>968</v>
      </c>
      <c r="B969" t="s">
        <v>18</v>
      </c>
      <c r="C969" t="s">
        <v>373</v>
      </c>
      <c r="D969" t="s">
        <v>1862</v>
      </c>
      <c r="E969" t="s">
        <v>1772</v>
      </c>
      <c r="F969" t="s">
        <v>1862</v>
      </c>
      <c r="J969" t="s">
        <v>373</v>
      </c>
      <c r="P969" t="str">
        <f>_xlfn.TEXTBEFORE(_xlfn.TEXTAFTER(Table26[[#This Row],[WBS CODE]], "-"), "-")</f>
        <v>30101</v>
      </c>
    </row>
    <row r="970" spans="1:16" x14ac:dyDescent="0.3">
      <c r="A970">
        <v>969</v>
      </c>
      <c r="B970" t="s">
        <v>21</v>
      </c>
      <c r="C970" t="s">
        <v>375</v>
      </c>
      <c r="D970" t="s">
        <v>1863</v>
      </c>
      <c r="E970" t="s">
        <v>1772</v>
      </c>
      <c r="F970" t="s">
        <v>1862</v>
      </c>
      <c r="G970" t="s">
        <v>1863</v>
      </c>
      <c r="J970" t="s">
        <v>373</v>
      </c>
      <c r="K970" t="s">
        <v>375</v>
      </c>
      <c r="P970" t="str">
        <f>_xlfn.TEXTBEFORE(_xlfn.TEXTAFTER(Table26[[#This Row],[WBS CODE]], "-"), "-")</f>
        <v>3010173</v>
      </c>
    </row>
    <row r="971" spans="1:16" x14ac:dyDescent="0.3">
      <c r="A971">
        <v>970</v>
      </c>
      <c r="B971" t="s">
        <v>26</v>
      </c>
      <c r="C971" t="s">
        <v>375</v>
      </c>
      <c r="D971" t="s">
        <v>1864</v>
      </c>
      <c r="E971" t="s">
        <v>1772</v>
      </c>
      <c r="F971" t="s">
        <v>1862</v>
      </c>
      <c r="G971" t="s">
        <v>1863</v>
      </c>
      <c r="H971" t="s">
        <v>1864</v>
      </c>
      <c r="J971" t="s">
        <v>373</v>
      </c>
      <c r="K971" t="s">
        <v>375</v>
      </c>
      <c r="L971" t="s">
        <v>375</v>
      </c>
      <c r="P971" t="str">
        <f>_xlfn.TEXTBEFORE(_xlfn.TEXTAFTER(Table26[[#This Row],[WBS CODE]], "-"), "-")</f>
        <v>301017311</v>
      </c>
    </row>
    <row r="972" spans="1:16" x14ac:dyDescent="0.3">
      <c r="A972">
        <v>971</v>
      </c>
      <c r="B972" t="s">
        <v>30</v>
      </c>
      <c r="C972" t="s">
        <v>375</v>
      </c>
      <c r="D972" t="s">
        <v>1865</v>
      </c>
      <c r="E972" t="s">
        <v>1772</v>
      </c>
      <c r="F972" t="s">
        <v>1862</v>
      </c>
      <c r="G972" t="s">
        <v>1863</v>
      </c>
      <c r="H972" t="s">
        <v>1864</v>
      </c>
      <c r="I972" t="s">
        <v>1865</v>
      </c>
      <c r="J972" t="s">
        <v>373</v>
      </c>
      <c r="K972" t="s">
        <v>375</v>
      </c>
      <c r="L972" t="s">
        <v>375</v>
      </c>
      <c r="M972" t="s">
        <v>375</v>
      </c>
      <c r="P972" t="str">
        <f>_xlfn.TEXTBEFORE(_xlfn.TEXTAFTER(Table26[[#This Row],[WBS CODE]], "-"), "-")</f>
        <v>30101731160</v>
      </c>
    </row>
    <row r="973" spans="1:16" x14ac:dyDescent="0.3">
      <c r="A973">
        <v>972</v>
      </c>
      <c r="B973" t="s">
        <v>21</v>
      </c>
      <c r="C973" t="s">
        <v>379</v>
      </c>
      <c r="D973" t="s">
        <v>1866</v>
      </c>
      <c r="E973" t="s">
        <v>1772</v>
      </c>
      <c r="F973" t="s">
        <v>1862</v>
      </c>
      <c r="G973" t="s">
        <v>1866</v>
      </c>
      <c r="J973" t="s">
        <v>373</v>
      </c>
      <c r="K973" t="s">
        <v>379</v>
      </c>
      <c r="P973" t="str">
        <f>_xlfn.TEXTBEFORE(_xlfn.TEXTAFTER(Table26[[#This Row],[WBS CODE]], "-"), "-")</f>
        <v>3010172</v>
      </c>
    </row>
    <row r="974" spans="1:16" x14ac:dyDescent="0.3">
      <c r="A974">
        <v>973</v>
      </c>
      <c r="B974" t="s">
        <v>26</v>
      </c>
      <c r="C974" t="s">
        <v>379</v>
      </c>
      <c r="D974" t="s">
        <v>1867</v>
      </c>
      <c r="E974" t="s">
        <v>1772</v>
      </c>
      <c r="F974" t="s">
        <v>1862</v>
      </c>
      <c r="G974" t="s">
        <v>1866</v>
      </c>
      <c r="H974" t="s">
        <v>1867</v>
      </c>
      <c r="J974" t="s">
        <v>373</v>
      </c>
      <c r="K974" t="s">
        <v>379</v>
      </c>
      <c r="L974" t="s">
        <v>379</v>
      </c>
      <c r="P974" t="str">
        <f>_xlfn.TEXTBEFORE(_xlfn.TEXTAFTER(Table26[[#This Row],[WBS CODE]], "-"), "-")</f>
        <v>301017299</v>
      </c>
    </row>
    <row r="975" spans="1:16" x14ac:dyDescent="0.3">
      <c r="A975">
        <v>974</v>
      </c>
      <c r="B975" t="s">
        <v>30</v>
      </c>
      <c r="C975" t="s">
        <v>379</v>
      </c>
      <c r="D975" t="s">
        <v>1868</v>
      </c>
      <c r="E975" t="s">
        <v>1772</v>
      </c>
      <c r="F975" t="s">
        <v>1862</v>
      </c>
      <c r="G975" t="s">
        <v>1866</v>
      </c>
      <c r="H975" t="s">
        <v>1867</v>
      </c>
      <c r="I975" t="s">
        <v>1868</v>
      </c>
      <c r="J975" t="s">
        <v>373</v>
      </c>
      <c r="K975" t="s">
        <v>379</v>
      </c>
      <c r="L975" t="s">
        <v>379</v>
      </c>
      <c r="M975" t="s">
        <v>379</v>
      </c>
      <c r="P975" t="str">
        <f>_xlfn.TEXTBEFORE(_xlfn.TEXTAFTER(Table26[[#This Row],[WBS CODE]], "-"), "-")</f>
        <v>30101729921</v>
      </c>
    </row>
    <row r="976" spans="1:16" x14ac:dyDescent="0.3">
      <c r="A976">
        <v>975</v>
      </c>
      <c r="B976" t="s">
        <v>21</v>
      </c>
      <c r="C976" t="s">
        <v>720</v>
      </c>
      <c r="D976" t="s">
        <v>1869</v>
      </c>
      <c r="E976" t="s">
        <v>1772</v>
      </c>
      <c r="F976" t="s">
        <v>1862</v>
      </c>
      <c r="G976" t="s">
        <v>1869</v>
      </c>
      <c r="J976" t="s">
        <v>373</v>
      </c>
      <c r="K976" t="s">
        <v>720</v>
      </c>
      <c r="P976" t="str">
        <f>_xlfn.TEXTBEFORE(_xlfn.TEXTAFTER(Table26[[#This Row],[WBS CODE]], "-"), "-")</f>
        <v>3010161</v>
      </c>
    </row>
    <row r="977" spans="1:16" x14ac:dyDescent="0.3">
      <c r="A977">
        <v>976</v>
      </c>
      <c r="B977" t="s">
        <v>26</v>
      </c>
      <c r="C977" t="s">
        <v>722</v>
      </c>
      <c r="D977" t="s">
        <v>1870</v>
      </c>
      <c r="E977" t="s">
        <v>1772</v>
      </c>
      <c r="F977" t="s">
        <v>1862</v>
      </c>
      <c r="G977" t="s">
        <v>1869</v>
      </c>
      <c r="H977" t="s">
        <v>1870</v>
      </c>
      <c r="J977" t="s">
        <v>373</v>
      </c>
      <c r="K977" t="s">
        <v>720</v>
      </c>
      <c r="L977" t="s">
        <v>958</v>
      </c>
      <c r="P977" t="str">
        <f>_xlfn.TEXTBEFORE(_xlfn.TEXTAFTER(Table26[[#This Row],[WBS CODE]], "-"), "-")</f>
        <v>301016101</v>
      </c>
    </row>
    <row r="978" spans="1:16" x14ac:dyDescent="0.3">
      <c r="A978">
        <v>977</v>
      </c>
      <c r="B978" t="s">
        <v>30</v>
      </c>
      <c r="C978" t="s">
        <v>722</v>
      </c>
      <c r="D978" t="s">
        <v>1871</v>
      </c>
      <c r="E978" t="s">
        <v>1772</v>
      </c>
      <c r="F978" t="s">
        <v>1862</v>
      </c>
      <c r="G978" t="s">
        <v>1869</v>
      </c>
      <c r="H978" t="s">
        <v>1870</v>
      </c>
      <c r="I978" t="s">
        <v>1871</v>
      </c>
      <c r="J978" t="s">
        <v>373</v>
      </c>
      <c r="K978" t="s">
        <v>720</v>
      </c>
      <c r="L978" t="s">
        <v>958</v>
      </c>
      <c r="M978" t="s">
        <v>720</v>
      </c>
      <c r="P978" t="str">
        <f>_xlfn.TEXTBEFORE(_xlfn.TEXTAFTER(Table26[[#This Row],[WBS CODE]], "-"), "-")</f>
        <v>30101610123</v>
      </c>
    </row>
    <row r="979" spans="1:16" x14ac:dyDescent="0.3">
      <c r="A979">
        <v>978</v>
      </c>
      <c r="B979" t="s">
        <v>21</v>
      </c>
      <c r="C979" t="s">
        <v>725</v>
      </c>
      <c r="D979" t="s">
        <v>1872</v>
      </c>
      <c r="E979" t="s">
        <v>1772</v>
      </c>
      <c r="F979" t="s">
        <v>1862</v>
      </c>
      <c r="G979" t="s">
        <v>1872</v>
      </c>
      <c r="J979" t="s">
        <v>373</v>
      </c>
      <c r="K979" t="s">
        <v>725</v>
      </c>
      <c r="P979" t="str">
        <f>_xlfn.TEXTBEFORE(_xlfn.TEXTAFTER(Table26[[#This Row],[WBS CODE]], "-"), "-")</f>
        <v>3010156</v>
      </c>
    </row>
    <row r="980" spans="1:16" x14ac:dyDescent="0.3">
      <c r="A980">
        <v>979</v>
      </c>
      <c r="B980" t="s">
        <v>26</v>
      </c>
      <c r="C980" t="s">
        <v>731</v>
      </c>
      <c r="D980" t="s">
        <v>1873</v>
      </c>
      <c r="E980" t="s">
        <v>1772</v>
      </c>
      <c r="F980" t="s">
        <v>1862</v>
      </c>
      <c r="G980" t="s">
        <v>1872</v>
      </c>
      <c r="H980" t="s">
        <v>1873</v>
      </c>
      <c r="J980" t="s">
        <v>373</v>
      </c>
      <c r="K980" t="s">
        <v>725</v>
      </c>
      <c r="L980" t="s">
        <v>953</v>
      </c>
      <c r="P980" t="str">
        <f>_xlfn.TEXTBEFORE(_xlfn.TEXTAFTER(Table26[[#This Row],[WBS CODE]], "-"), "-")</f>
        <v>301015603</v>
      </c>
    </row>
    <row r="981" spans="1:16" x14ac:dyDescent="0.3">
      <c r="A981">
        <v>980</v>
      </c>
      <c r="B981" t="s">
        <v>30</v>
      </c>
      <c r="C981" t="s">
        <v>733</v>
      </c>
      <c r="D981" t="s">
        <v>1874</v>
      </c>
      <c r="E981" t="s">
        <v>1772</v>
      </c>
      <c r="F981" t="s">
        <v>1862</v>
      </c>
      <c r="G981" t="s">
        <v>1872</v>
      </c>
      <c r="H981" t="s">
        <v>1873</v>
      </c>
      <c r="I981" t="s">
        <v>1874</v>
      </c>
      <c r="J981" t="s">
        <v>373</v>
      </c>
      <c r="K981" t="s">
        <v>725</v>
      </c>
      <c r="L981" t="s">
        <v>953</v>
      </c>
      <c r="M981" t="s">
        <v>725</v>
      </c>
      <c r="P981" t="str">
        <f>_xlfn.TEXTBEFORE(_xlfn.TEXTAFTER(Table26[[#This Row],[WBS CODE]], "-"), "-")</f>
        <v>30101560323</v>
      </c>
    </row>
    <row r="982" spans="1:16" x14ac:dyDescent="0.3">
      <c r="A982">
        <v>981</v>
      </c>
      <c r="B982" t="s">
        <v>26</v>
      </c>
      <c r="C982" t="s">
        <v>735</v>
      </c>
      <c r="D982" t="s">
        <v>1875</v>
      </c>
      <c r="E982" t="s">
        <v>1772</v>
      </c>
      <c r="F982" t="s">
        <v>1862</v>
      </c>
      <c r="G982" t="s">
        <v>1872</v>
      </c>
      <c r="H982" t="s">
        <v>1875</v>
      </c>
      <c r="J982" t="s">
        <v>373</v>
      </c>
      <c r="K982" t="s">
        <v>725</v>
      </c>
      <c r="L982" t="s">
        <v>953</v>
      </c>
      <c r="P982" t="str">
        <f>_xlfn.TEXTBEFORE(_xlfn.TEXTAFTER(Table26[[#This Row],[WBS CODE]], "-"), "-")</f>
        <v>301015602</v>
      </c>
    </row>
    <row r="983" spans="1:16" x14ac:dyDescent="0.3">
      <c r="A983">
        <v>982</v>
      </c>
      <c r="B983" t="s">
        <v>30</v>
      </c>
      <c r="C983" t="s">
        <v>737</v>
      </c>
      <c r="D983" t="s">
        <v>1876</v>
      </c>
      <c r="E983" t="s">
        <v>1772</v>
      </c>
      <c r="F983" t="s">
        <v>1862</v>
      </c>
      <c r="G983" t="s">
        <v>1872</v>
      </c>
      <c r="H983" t="s">
        <v>1875</v>
      </c>
      <c r="I983" t="s">
        <v>1876</v>
      </c>
      <c r="J983" t="s">
        <v>373</v>
      </c>
      <c r="K983" t="s">
        <v>725</v>
      </c>
      <c r="L983" t="s">
        <v>953</v>
      </c>
      <c r="M983" t="s">
        <v>725</v>
      </c>
      <c r="P983" t="str">
        <f>_xlfn.TEXTBEFORE(_xlfn.TEXTAFTER(Table26[[#This Row],[WBS CODE]], "-"), "-")</f>
        <v>30101560223</v>
      </c>
    </row>
    <row r="984" spans="1:16" x14ac:dyDescent="0.3">
      <c r="A984">
        <v>983</v>
      </c>
      <c r="B984" t="s">
        <v>26</v>
      </c>
      <c r="C984" t="s">
        <v>739</v>
      </c>
      <c r="D984" t="s">
        <v>1877</v>
      </c>
      <c r="E984" t="s">
        <v>1772</v>
      </c>
      <c r="F984" t="s">
        <v>1862</v>
      </c>
      <c r="G984" t="s">
        <v>1872</v>
      </c>
      <c r="H984" t="s">
        <v>1877</v>
      </c>
      <c r="J984" t="s">
        <v>373</v>
      </c>
      <c r="K984" t="s">
        <v>725</v>
      </c>
      <c r="L984" t="s">
        <v>953</v>
      </c>
      <c r="P984" t="str">
        <f>_xlfn.TEXTBEFORE(_xlfn.TEXTAFTER(Table26[[#This Row],[WBS CODE]], "-"), "-")</f>
        <v>301015601</v>
      </c>
    </row>
    <row r="985" spans="1:16" x14ac:dyDescent="0.3">
      <c r="A985">
        <v>984</v>
      </c>
      <c r="B985" t="s">
        <v>30</v>
      </c>
      <c r="C985" t="s">
        <v>741</v>
      </c>
      <c r="D985" t="s">
        <v>1878</v>
      </c>
      <c r="E985" t="s">
        <v>1772</v>
      </c>
      <c r="F985" t="s">
        <v>1862</v>
      </c>
      <c r="G985" t="s">
        <v>1872</v>
      </c>
      <c r="H985" t="s">
        <v>1877</v>
      </c>
      <c r="I985" t="s">
        <v>1878</v>
      </c>
      <c r="J985" t="s">
        <v>373</v>
      </c>
      <c r="K985" t="s">
        <v>725</v>
      </c>
      <c r="L985" t="s">
        <v>953</v>
      </c>
      <c r="M985" t="s">
        <v>725</v>
      </c>
      <c r="P985" t="str">
        <f>_xlfn.TEXTBEFORE(_xlfn.TEXTAFTER(Table26[[#This Row],[WBS CODE]], "-"), "-")</f>
        <v>30101560123</v>
      </c>
    </row>
    <row r="986" spans="1:16" x14ac:dyDescent="0.3">
      <c r="A986">
        <v>985</v>
      </c>
      <c r="B986" t="s">
        <v>21</v>
      </c>
      <c r="C986" t="s">
        <v>743</v>
      </c>
      <c r="D986" t="s">
        <v>1879</v>
      </c>
      <c r="E986" t="s">
        <v>1772</v>
      </c>
      <c r="F986" t="s">
        <v>1862</v>
      </c>
      <c r="G986" t="s">
        <v>1879</v>
      </c>
      <c r="J986" t="s">
        <v>373</v>
      </c>
      <c r="K986" t="s">
        <v>745</v>
      </c>
      <c r="P986" t="str">
        <f>_xlfn.TEXTBEFORE(_xlfn.TEXTAFTER(Table26[[#This Row],[WBS CODE]], "-"), "-")</f>
        <v>3010169</v>
      </c>
    </row>
    <row r="987" spans="1:16" x14ac:dyDescent="0.3">
      <c r="A987">
        <v>986</v>
      </c>
      <c r="B987" t="s">
        <v>26</v>
      </c>
      <c r="C987" t="s">
        <v>1880</v>
      </c>
      <c r="D987" t="s">
        <v>1881</v>
      </c>
      <c r="E987" t="s">
        <v>1772</v>
      </c>
      <c r="F987" t="s">
        <v>1862</v>
      </c>
      <c r="G987" t="s">
        <v>1879</v>
      </c>
      <c r="H987" t="s">
        <v>1881</v>
      </c>
      <c r="J987" t="s">
        <v>373</v>
      </c>
      <c r="K987" t="s">
        <v>745</v>
      </c>
      <c r="L987" t="s">
        <v>745</v>
      </c>
      <c r="P987" t="str">
        <f>_xlfn.TEXTBEFORE(_xlfn.TEXTAFTER(Table26[[#This Row],[WBS CODE]], "-"), "-")</f>
        <v>301016966</v>
      </c>
    </row>
    <row r="988" spans="1:16" x14ac:dyDescent="0.3">
      <c r="A988">
        <v>987</v>
      </c>
      <c r="B988" t="s">
        <v>30</v>
      </c>
      <c r="C988" t="s">
        <v>1882</v>
      </c>
      <c r="D988" t="s">
        <v>1883</v>
      </c>
      <c r="E988" t="s">
        <v>1772</v>
      </c>
      <c r="F988" t="s">
        <v>1862</v>
      </c>
      <c r="G988" t="s">
        <v>1879</v>
      </c>
      <c r="H988" t="s">
        <v>1881</v>
      </c>
      <c r="I988" t="s">
        <v>1883</v>
      </c>
      <c r="J988" t="s">
        <v>373</v>
      </c>
      <c r="K988" t="s">
        <v>745</v>
      </c>
      <c r="L988" t="s">
        <v>745</v>
      </c>
      <c r="M988" t="s">
        <v>745</v>
      </c>
      <c r="P988" t="str">
        <f>_xlfn.TEXTBEFORE(_xlfn.TEXTAFTER(Table26[[#This Row],[WBS CODE]], "-"), "-")</f>
        <v>30101696623</v>
      </c>
    </row>
    <row r="989" spans="1:16" x14ac:dyDescent="0.3">
      <c r="A989">
        <v>988</v>
      </c>
      <c r="B989" t="s">
        <v>26</v>
      </c>
      <c r="C989" t="s">
        <v>746</v>
      </c>
      <c r="D989" t="s">
        <v>1884</v>
      </c>
      <c r="E989" t="s">
        <v>1772</v>
      </c>
      <c r="F989" t="s">
        <v>1862</v>
      </c>
      <c r="G989" t="s">
        <v>1879</v>
      </c>
      <c r="H989" t="s">
        <v>1884</v>
      </c>
      <c r="J989" t="s">
        <v>373</v>
      </c>
      <c r="K989" t="s">
        <v>745</v>
      </c>
      <c r="L989" t="s">
        <v>745</v>
      </c>
      <c r="P989" t="str">
        <f>_xlfn.TEXTBEFORE(_xlfn.TEXTAFTER(Table26[[#This Row],[WBS CODE]], "-"), "-")</f>
        <v>301016967</v>
      </c>
    </row>
    <row r="990" spans="1:16" x14ac:dyDescent="0.3">
      <c r="A990">
        <v>989</v>
      </c>
      <c r="B990" t="s">
        <v>30</v>
      </c>
      <c r="C990" t="s">
        <v>746</v>
      </c>
      <c r="D990" t="s">
        <v>1885</v>
      </c>
      <c r="E990" t="s">
        <v>1772</v>
      </c>
      <c r="F990" t="s">
        <v>1862</v>
      </c>
      <c r="G990" t="s">
        <v>1879</v>
      </c>
      <c r="H990" t="s">
        <v>1884</v>
      </c>
      <c r="I990" t="s">
        <v>1885</v>
      </c>
      <c r="J990" t="s">
        <v>373</v>
      </c>
      <c r="K990" t="s">
        <v>745</v>
      </c>
      <c r="L990" t="s">
        <v>745</v>
      </c>
      <c r="M990" t="s">
        <v>745</v>
      </c>
      <c r="P990" t="str">
        <f>_xlfn.TEXTBEFORE(_xlfn.TEXTAFTER(Table26[[#This Row],[WBS CODE]], "-"), "-")</f>
        <v>30101696706</v>
      </c>
    </row>
    <row r="991" spans="1:16" x14ac:dyDescent="0.3">
      <c r="A991">
        <v>990</v>
      </c>
      <c r="B991" t="s">
        <v>21</v>
      </c>
      <c r="C991" t="s">
        <v>1886</v>
      </c>
      <c r="D991" t="s">
        <v>1887</v>
      </c>
      <c r="E991" t="s">
        <v>1772</v>
      </c>
      <c r="F991" t="s">
        <v>1862</v>
      </c>
      <c r="G991" t="s">
        <v>1887</v>
      </c>
      <c r="J991" t="s">
        <v>373</v>
      </c>
      <c r="K991" t="s">
        <v>385</v>
      </c>
      <c r="N991" t="s">
        <v>1791</v>
      </c>
      <c r="O991" t="s">
        <v>219</v>
      </c>
      <c r="P991" t="str">
        <f>_xlfn.TEXTBEFORE(_xlfn.TEXTAFTER(Table26[[#This Row],[WBS CODE]], "-"), "-")</f>
        <v>3010105</v>
      </c>
    </row>
    <row r="992" spans="1:16" x14ac:dyDescent="0.3">
      <c r="A992">
        <v>991</v>
      </c>
      <c r="B992" t="s">
        <v>26</v>
      </c>
      <c r="C992" t="s">
        <v>1888</v>
      </c>
      <c r="D992" t="s">
        <v>1889</v>
      </c>
      <c r="E992" t="s">
        <v>1772</v>
      </c>
      <c r="F992" t="s">
        <v>1862</v>
      </c>
      <c r="G992" t="s">
        <v>1887</v>
      </c>
      <c r="H992" t="s">
        <v>1889</v>
      </c>
      <c r="J992" t="s">
        <v>373</v>
      </c>
      <c r="K992" t="s">
        <v>385</v>
      </c>
      <c r="L992" t="s">
        <v>900</v>
      </c>
      <c r="N992" t="s">
        <v>1791</v>
      </c>
      <c r="O992" t="s">
        <v>219</v>
      </c>
      <c r="P992" t="str">
        <f>_xlfn.TEXTBEFORE(_xlfn.TEXTAFTER(Table26[[#This Row],[WBS CODE]], "-"), "-")</f>
        <v>301010502</v>
      </c>
    </row>
    <row r="993" spans="1:16" x14ac:dyDescent="0.3">
      <c r="A993">
        <v>992</v>
      </c>
      <c r="B993" t="s">
        <v>30</v>
      </c>
      <c r="C993" t="s">
        <v>390</v>
      </c>
      <c r="D993" t="s">
        <v>1890</v>
      </c>
      <c r="E993" t="s">
        <v>1772</v>
      </c>
      <c r="F993" t="s">
        <v>1862</v>
      </c>
      <c r="G993" t="s">
        <v>1887</v>
      </c>
      <c r="H993" t="s">
        <v>1889</v>
      </c>
      <c r="I993" t="s">
        <v>1890</v>
      </c>
      <c r="J993" t="s">
        <v>373</v>
      </c>
      <c r="K993" t="s">
        <v>385</v>
      </c>
      <c r="L993" t="s">
        <v>900</v>
      </c>
      <c r="M993" t="s">
        <v>390</v>
      </c>
      <c r="P993" t="str">
        <f>_xlfn.TEXTBEFORE(_xlfn.TEXTAFTER(Table26[[#This Row],[WBS CODE]], "-"), "-")</f>
        <v>30101050224</v>
      </c>
    </row>
    <row r="994" spans="1:16" x14ac:dyDescent="0.3">
      <c r="A994">
        <v>993</v>
      </c>
      <c r="B994" t="s">
        <v>30</v>
      </c>
      <c r="C994" t="s">
        <v>1891</v>
      </c>
      <c r="D994" t="s">
        <v>1892</v>
      </c>
      <c r="E994" t="s">
        <v>1772</v>
      </c>
      <c r="F994" t="s">
        <v>1862</v>
      </c>
      <c r="G994" t="s">
        <v>1887</v>
      </c>
      <c r="H994" t="s">
        <v>1889</v>
      </c>
      <c r="I994" t="s">
        <v>1892</v>
      </c>
      <c r="J994" t="s">
        <v>373</v>
      </c>
      <c r="K994" t="s">
        <v>385</v>
      </c>
      <c r="L994" t="s">
        <v>900</v>
      </c>
      <c r="M994" t="s">
        <v>393</v>
      </c>
      <c r="P994" t="str">
        <f>_xlfn.TEXTBEFORE(_xlfn.TEXTAFTER(Table26[[#This Row],[WBS CODE]], "-"), "-")</f>
        <v>30101050298</v>
      </c>
    </row>
    <row r="995" spans="1:16" x14ac:dyDescent="0.3">
      <c r="A995">
        <v>994</v>
      </c>
      <c r="B995" t="s">
        <v>30</v>
      </c>
      <c r="C995" t="s">
        <v>1893</v>
      </c>
      <c r="D995" t="s">
        <v>1894</v>
      </c>
      <c r="E995" t="s">
        <v>1772</v>
      </c>
      <c r="F995" t="s">
        <v>1862</v>
      </c>
      <c r="G995" t="s">
        <v>1887</v>
      </c>
      <c r="H995" t="s">
        <v>1889</v>
      </c>
      <c r="I995" t="s">
        <v>1894</v>
      </c>
      <c r="J995" t="s">
        <v>373</v>
      </c>
      <c r="K995" t="s">
        <v>385</v>
      </c>
      <c r="L995" t="s">
        <v>900</v>
      </c>
      <c r="M995" t="s">
        <v>396</v>
      </c>
      <c r="P995" t="str">
        <f>_xlfn.TEXTBEFORE(_xlfn.TEXTAFTER(Table26[[#This Row],[WBS CODE]], "-"), "-")</f>
        <v>30101050297</v>
      </c>
    </row>
    <row r="996" spans="1:16" x14ac:dyDescent="0.3">
      <c r="A996">
        <v>995</v>
      </c>
      <c r="B996" t="s">
        <v>30</v>
      </c>
      <c r="C996" t="s">
        <v>399</v>
      </c>
      <c r="D996" t="s">
        <v>1895</v>
      </c>
      <c r="E996" t="s">
        <v>1772</v>
      </c>
      <c r="F996" t="s">
        <v>1862</v>
      </c>
      <c r="G996" t="s">
        <v>1887</v>
      </c>
      <c r="H996" t="s">
        <v>1889</v>
      </c>
      <c r="I996" t="s">
        <v>1895</v>
      </c>
      <c r="J996" t="s">
        <v>373</v>
      </c>
      <c r="K996" t="s">
        <v>385</v>
      </c>
      <c r="L996" t="s">
        <v>900</v>
      </c>
      <c r="M996" t="s">
        <v>399</v>
      </c>
      <c r="P996" t="str">
        <f>_xlfn.TEXTBEFORE(_xlfn.TEXTAFTER(Table26[[#This Row],[WBS CODE]], "-"), "-")</f>
        <v>30101050296</v>
      </c>
    </row>
    <row r="997" spans="1:16" x14ac:dyDescent="0.3">
      <c r="A997">
        <v>996</v>
      </c>
      <c r="B997" t="s">
        <v>30</v>
      </c>
      <c r="C997" t="s">
        <v>402</v>
      </c>
      <c r="D997" t="s">
        <v>1896</v>
      </c>
      <c r="E997" t="s">
        <v>1772</v>
      </c>
      <c r="F997" t="s">
        <v>1862</v>
      </c>
      <c r="G997" t="s">
        <v>1887</v>
      </c>
      <c r="H997" t="s">
        <v>1889</v>
      </c>
      <c r="I997" t="s">
        <v>1896</v>
      </c>
      <c r="J997" t="s">
        <v>373</v>
      </c>
      <c r="K997" t="s">
        <v>385</v>
      </c>
      <c r="L997" t="s">
        <v>900</v>
      </c>
      <c r="M997" t="s">
        <v>402</v>
      </c>
      <c r="P997" t="str">
        <f>_xlfn.TEXTBEFORE(_xlfn.TEXTAFTER(Table26[[#This Row],[WBS CODE]], "-"), "-")</f>
        <v>30101050295</v>
      </c>
    </row>
    <row r="998" spans="1:16" x14ac:dyDescent="0.3">
      <c r="A998">
        <v>997</v>
      </c>
      <c r="B998" t="s">
        <v>30</v>
      </c>
      <c r="C998" t="s">
        <v>405</v>
      </c>
      <c r="D998" t="s">
        <v>1897</v>
      </c>
      <c r="E998" t="s">
        <v>1772</v>
      </c>
      <c r="F998" t="s">
        <v>1862</v>
      </c>
      <c r="G998" t="s">
        <v>1887</v>
      </c>
      <c r="H998" t="s">
        <v>1889</v>
      </c>
      <c r="I998" t="s">
        <v>1897</v>
      </c>
      <c r="J998" t="s">
        <v>373</v>
      </c>
      <c r="K998" t="s">
        <v>385</v>
      </c>
      <c r="L998" t="s">
        <v>900</v>
      </c>
      <c r="M998" t="s">
        <v>405</v>
      </c>
      <c r="P998" t="str">
        <f>_xlfn.TEXTBEFORE(_xlfn.TEXTAFTER(Table26[[#This Row],[WBS CODE]], "-"), "-")</f>
        <v>30101050294</v>
      </c>
    </row>
    <row r="999" spans="1:16" x14ac:dyDescent="0.3">
      <c r="A999">
        <v>998</v>
      </c>
      <c r="B999" t="s">
        <v>30</v>
      </c>
      <c r="C999" t="s">
        <v>1898</v>
      </c>
      <c r="D999" t="s">
        <v>1899</v>
      </c>
      <c r="E999" t="s">
        <v>1772</v>
      </c>
      <c r="F999" t="s">
        <v>1862</v>
      </c>
      <c r="G999" t="s">
        <v>1887</v>
      </c>
      <c r="H999" t="s">
        <v>1889</v>
      </c>
      <c r="I999" t="s">
        <v>1899</v>
      </c>
      <c r="J999" t="s">
        <v>373</v>
      </c>
      <c r="K999" t="s">
        <v>385</v>
      </c>
      <c r="L999" t="s">
        <v>900</v>
      </c>
      <c r="M999" t="s">
        <v>408</v>
      </c>
      <c r="P999" t="str">
        <f>_xlfn.TEXTBEFORE(_xlfn.TEXTAFTER(Table26[[#This Row],[WBS CODE]], "-"), "-")</f>
        <v>30101050220</v>
      </c>
    </row>
    <row r="1000" spans="1:16" x14ac:dyDescent="0.3">
      <c r="A1000">
        <v>999</v>
      </c>
      <c r="B1000" t="s">
        <v>30</v>
      </c>
      <c r="C1000" t="s">
        <v>411</v>
      </c>
      <c r="D1000" t="s">
        <v>1900</v>
      </c>
      <c r="E1000" t="s">
        <v>1772</v>
      </c>
      <c r="F1000" t="s">
        <v>1862</v>
      </c>
      <c r="G1000" t="s">
        <v>1887</v>
      </c>
      <c r="H1000" t="s">
        <v>1889</v>
      </c>
      <c r="I1000" t="s">
        <v>1900</v>
      </c>
      <c r="J1000" t="s">
        <v>373</v>
      </c>
      <c r="K1000" t="s">
        <v>385</v>
      </c>
      <c r="L1000" t="s">
        <v>900</v>
      </c>
      <c r="M1000" t="s">
        <v>411</v>
      </c>
      <c r="P1000" t="str">
        <f>_xlfn.TEXTBEFORE(_xlfn.TEXTAFTER(Table26[[#This Row],[WBS CODE]], "-"), "-")</f>
        <v>30101050217</v>
      </c>
    </row>
    <row r="1001" spans="1:16" x14ac:dyDescent="0.3">
      <c r="A1001">
        <v>1000</v>
      </c>
      <c r="B1001" t="s">
        <v>30</v>
      </c>
      <c r="C1001" t="s">
        <v>414</v>
      </c>
      <c r="D1001" t="s">
        <v>1901</v>
      </c>
      <c r="E1001" t="s">
        <v>1772</v>
      </c>
      <c r="F1001" t="s">
        <v>1862</v>
      </c>
      <c r="G1001" t="s">
        <v>1887</v>
      </c>
      <c r="H1001" t="s">
        <v>1889</v>
      </c>
      <c r="I1001" t="s">
        <v>1901</v>
      </c>
      <c r="J1001" t="s">
        <v>373</v>
      </c>
      <c r="K1001" t="s">
        <v>385</v>
      </c>
      <c r="L1001" t="s">
        <v>900</v>
      </c>
      <c r="M1001" t="s">
        <v>414</v>
      </c>
      <c r="P1001" t="str">
        <f>_xlfn.TEXTBEFORE(_xlfn.TEXTAFTER(Table26[[#This Row],[WBS CODE]], "-"), "-")</f>
        <v>30101050216</v>
      </c>
    </row>
    <row r="1002" spans="1:16" x14ac:dyDescent="0.3">
      <c r="A1002">
        <v>1001</v>
      </c>
      <c r="B1002" t="s">
        <v>30</v>
      </c>
      <c r="C1002" t="s">
        <v>417</v>
      </c>
      <c r="D1002" t="s">
        <v>1902</v>
      </c>
      <c r="E1002" t="s">
        <v>1772</v>
      </c>
      <c r="F1002" t="s">
        <v>1862</v>
      </c>
      <c r="G1002" t="s">
        <v>1887</v>
      </c>
      <c r="H1002" t="s">
        <v>1889</v>
      </c>
      <c r="I1002" t="s">
        <v>1902</v>
      </c>
      <c r="J1002" t="s">
        <v>373</v>
      </c>
      <c r="K1002" t="s">
        <v>385</v>
      </c>
      <c r="L1002" t="s">
        <v>900</v>
      </c>
      <c r="M1002" t="s">
        <v>417</v>
      </c>
      <c r="P1002" t="str">
        <f>_xlfn.TEXTBEFORE(_xlfn.TEXTAFTER(Table26[[#This Row],[WBS CODE]], "-"), "-")</f>
        <v>30101050215</v>
      </c>
    </row>
    <row r="1003" spans="1:16" x14ac:dyDescent="0.3">
      <c r="A1003">
        <v>1002</v>
      </c>
      <c r="B1003" t="s">
        <v>30</v>
      </c>
      <c r="C1003" t="s">
        <v>1903</v>
      </c>
      <c r="D1003" t="s">
        <v>1904</v>
      </c>
      <c r="E1003" t="s">
        <v>1772</v>
      </c>
      <c r="F1003" t="s">
        <v>1862</v>
      </c>
      <c r="G1003" t="s">
        <v>1887</v>
      </c>
      <c r="H1003" t="s">
        <v>1889</v>
      </c>
      <c r="I1003" t="s">
        <v>1904</v>
      </c>
      <c r="J1003" t="s">
        <v>373</v>
      </c>
      <c r="K1003" t="s">
        <v>385</v>
      </c>
      <c r="L1003" t="s">
        <v>900</v>
      </c>
      <c r="M1003" t="s">
        <v>420</v>
      </c>
      <c r="P1003" t="str">
        <f>_xlfn.TEXTBEFORE(_xlfn.TEXTAFTER(Table26[[#This Row],[WBS CODE]], "-"), "-")</f>
        <v>30101050214</v>
      </c>
    </row>
    <row r="1004" spans="1:16" x14ac:dyDescent="0.3">
      <c r="A1004">
        <v>1003</v>
      </c>
      <c r="B1004" t="s">
        <v>30</v>
      </c>
      <c r="C1004" t="s">
        <v>423</v>
      </c>
      <c r="D1004" t="s">
        <v>1905</v>
      </c>
      <c r="E1004" t="s">
        <v>1772</v>
      </c>
      <c r="F1004" t="s">
        <v>1862</v>
      </c>
      <c r="G1004" t="s">
        <v>1887</v>
      </c>
      <c r="H1004" t="s">
        <v>1889</v>
      </c>
      <c r="I1004" t="s">
        <v>1905</v>
      </c>
      <c r="J1004" t="s">
        <v>373</v>
      </c>
      <c r="K1004" t="s">
        <v>385</v>
      </c>
      <c r="L1004" t="s">
        <v>900</v>
      </c>
      <c r="M1004" t="s">
        <v>423</v>
      </c>
      <c r="P1004" t="str">
        <f>_xlfn.TEXTBEFORE(_xlfn.TEXTAFTER(Table26[[#This Row],[WBS CODE]], "-"), "-")</f>
        <v>30101050213</v>
      </c>
    </row>
    <row r="1005" spans="1:16" x14ac:dyDescent="0.3">
      <c r="A1005">
        <v>1004</v>
      </c>
      <c r="B1005" t="s">
        <v>30</v>
      </c>
      <c r="C1005" t="s">
        <v>426</v>
      </c>
      <c r="D1005" t="s">
        <v>1906</v>
      </c>
      <c r="E1005" t="s">
        <v>1772</v>
      </c>
      <c r="F1005" t="s">
        <v>1862</v>
      </c>
      <c r="G1005" t="s">
        <v>1887</v>
      </c>
      <c r="H1005" t="s">
        <v>1889</v>
      </c>
      <c r="I1005" t="s">
        <v>1906</v>
      </c>
      <c r="J1005" t="s">
        <v>373</v>
      </c>
      <c r="K1005" t="s">
        <v>385</v>
      </c>
      <c r="L1005" t="s">
        <v>900</v>
      </c>
      <c r="M1005" t="s">
        <v>426</v>
      </c>
      <c r="P1005" t="str">
        <f>_xlfn.TEXTBEFORE(_xlfn.TEXTAFTER(Table26[[#This Row],[WBS CODE]], "-"), "-")</f>
        <v>30101050247</v>
      </c>
    </row>
    <row r="1006" spans="1:16" x14ac:dyDescent="0.3">
      <c r="A1006">
        <v>1005</v>
      </c>
      <c r="B1006" t="s">
        <v>30</v>
      </c>
      <c r="C1006" t="s">
        <v>429</v>
      </c>
      <c r="D1006" t="s">
        <v>1907</v>
      </c>
      <c r="E1006" t="s">
        <v>1772</v>
      </c>
      <c r="F1006" t="s">
        <v>1862</v>
      </c>
      <c r="G1006" t="s">
        <v>1887</v>
      </c>
      <c r="H1006" t="s">
        <v>1889</v>
      </c>
      <c r="I1006" t="s">
        <v>1907</v>
      </c>
      <c r="J1006" t="s">
        <v>373</v>
      </c>
      <c r="K1006" t="s">
        <v>385</v>
      </c>
      <c r="L1006" t="s">
        <v>900</v>
      </c>
      <c r="M1006" t="s">
        <v>429</v>
      </c>
      <c r="P1006" t="str">
        <f>_xlfn.TEXTBEFORE(_xlfn.TEXTAFTER(Table26[[#This Row],[WBS CODE]], "-"), "-")</f>
        <v>30101050212</v>
      </c>
    </row>
    <row r="1007" spans="1:16" x14ac:dyDescent="0.3">
      <c r="A1007">
        <v>1006</v>
      </c>
      <c r="B1007" t="s">
        <v>30</v>
      </c>
      <c r="C1007" t="s">
        <v>432</v>
      </c>
      <c r="D1007" t="s">
        <v>1908</v>
      </c>
      <c r="E1007" t="s">
        <v>1772</v>
      </c>
      <c r="F1007" t="s">
        <v>1862</v>
      </c>
      <c r="G1007" t="s">
        <v>1887</v>
      </c>
      <c r="H1007" t="s">
        <v>1889</v>
      </c>
      <c r="I1007" t="s">
        <v>1908</v>
      </c>
      <c r="J1007" t="s">
        <v>373</v>
      </c>
      <c r="K1007" t="s">
        <v>385</v>
      </c>
      <c r="L1007" t="s">
        <v>900</v>
      </c>
      <c r="M1007" t="s">
        <v>432</v>
      </c>
      <c r="P1007" t="str">
        <f>_xlfn.TEXTBEFORE(_xlfn.TEXTAFTER(Table26[[#This Row],[WBS CODE]], "-"), "-")</f>
        <v>30101050211</v>
      </c>
    </row>
    <row r="1008" spans="1:16" x14ac:dyDescent="0.3">
      <c r="A1008">
        <v>1007</v>
      </c>
      <c r="B1008" t="s">
        <v>30</v>
      </c>
      <c r="C1008" t="s">
        <v>435</v>
      </c>
      <c r="D1008" t="s">
        <v>1909</v>
      </c>
      <c r="E1008" t="s">
        <v>1772</v>
      </c>
      <c r="F1008" t="s">
        <v>1862</v>
      </c>
      <c r="G1008" t="s">
        <v>1887</v>
      </c>
      <c r="H1008" t="s">
        <v>1889</v>
      </c>
      <c r="I1008" t="s">
        <v>1909</v>
      </c>
      <c r="J1008" t="s">
        <v>373</v>
      </c>
      <c r="K1008" t="s">
        <v>385</v>
      </c>
      <c r="L1008" t="s">
        <v>900</v>
      </c>
      <c r="M1008" t="s">
        <v>435</v>
      </c>
      <c r="P1008" t="str">
        <f>_xlfn.TEXTBEFORE(_xlfn.TEXTAFTER(Table26[[#This Row],[WBS CODE]], "-"), "-")</f>
        <v>30101050210</v>
      </c>
    </row>
    <row r="1009" spans="1:16" x14ac:dyDescent="0.3">
      <c r="A1009">
        <v>1008</v>
      </c>
      <c r="B1009" t="s">
        <v>30</v>
      </c>
      <c r="C1009" t="s">
        <v>438</v>
      </c>
      <c r="D1009" t="s">
        <v>1910</v>
      </c>
      <c r="E1009" t="s">
        <v>1772</v>
      </c>
      <c r="F1009" t="s">
        <v>1862</v>
      </c>
      <c r="G1009" t="s">
        <v>1887</v>
      </c>
      <c r="H1009" t="s">
        <v>1889</v>
      </c>
      <c r="I1009" t="s">
        <v>1910</v>
      </c>
      <c r="J1009" t="s">
        <v>373</v>
      </c>
      <c r="K1009" t="s">
        <v>385</v>
      </c>
      <c r="L1009" t="s">
        <v>900</v>
      </c>
      <c r="M1009" t="s">
        <v>438</v>
      </c>
      <c r="P1009" t="str">
        <f>_xlfn.TEXTBEFORE(_xlfn.TEXTAFTER(Table26[[#This Row],[WBS CODE]], "-"), "-")</f>
        <v>30101050209</v>
      </c>
    </row>
    <row r="1010" spans="1:16" x14ac:dyDescent="0.3">
      <c r="A1010">
        <v>1009</v>
      </c>
      <c r="B1010" t="s">
        <v>30</v>
      </c>
      <c r="C1010" t="s">
        <v>441</v>
      </c>
      <c r="D1010" t="s">
        <v>1911</v>
      </c>
      <c r="E1010" t="s">
        <v>1772</v>
      </c>
      <c r="F1010" t="s">
        <v>1862</v>
      </c>
      <c r="G1010" t="s">
        <v>1887</v>
      </c>
      <c r="H1010" t="s">
        <v>1889</v>
      </c>
      <c r="I1010" t="s">
        <v>1911</v>
      </c>
      <c r="J1010" t="s">
        <v>373</v>
      </c>
      <c r="K1010" t="s">
        <v>385</v>
      </c>
      <c r="L1010" t="s">
        <v>900</v>
      </c>
      <c r="M1010" t="s">
        <v>441</v>
      </c>
      <c r="P1010" t="str">
        <f>_xlfn.TEXTBEFORE(_xlfn.TEXTAFTER(Table26[[#This Row],[WBS CODE]], "-"), "-")</f>
        <v>30101050208</v>
      </c>
    </row>
    <row r="1011" spans="1:16" x14ac:dyDescent="0.3">
      <c r="A1011">
        <v>1010</v>
      </c>
      <c r="B1011" t="s">
        <v>30</v>
      </c>
      <c r="C1011" t="s">
        <v>1912</v>
      </c>
      <c r="D1011" t="s">
        <v>1913</v>
      </c>
      <c r="E1011" t="s">
        <v>1772</v>
      </c>
      <c r="F1011" t="s">
        <v>1862</v>
      </c>
      <c r="G1011" t="s">
        <v>1887</v>
      </c>
      <c r="H1011" t="s">
        <v>1889</v>
      </c>
      <c r="I1011" t="s">
        <v>1913</v>
      </c>
      <c r="J1011" t="s">
        <v>373</v>
      </c>
      <c r="K1011" t="s">
        <v>385</v>
      </c>
      <c r="L1011" t="s">
        <v>900</v>
      </c>
      <c r="M1011" t="s">
        <v>444</v>
      </c>
      <c r="P1011" t="str">
        <f>_xlfn.TEXTBEFORE(_xlfn.TEXTAFTER(Table26[[#This Row],[WBS CODE]], "-"), "-")</f>
        <v>30101050207</v>
      </c>
    </row>
    <row r="1012" spans="1:16" x14ac:dyDescent="0.3">
      <c r="A1012">
        <v>1011</v>
      </c>
      <c r="B1012" t="s">
        <v>30</v>
      </c>
      <c r="C1012" t="s">
        <v>447</v>
      </c>
      <c r="D1012" t="s">
        <v>1914</v>
      </c>
      <c r="E1012" t="s">
        <v>1772</v>
      </c>
      <c r="F1012" t="s">
        <v>1862</v>
      </c>
      <c r="G1012" t="s">
        <v>1887</v>
      </c>
      <c r="H1012" t="s">
        <v>1889</v>
      </c>
      <c r="I1012" t="s">
        <v>1914</v>
      </c>
      <c r="J1012" t="s">
        <v>373</v>
      </c>
      <c r="K1012" t="s">
        <v>385</v>
      </c>
      <c r="L1012" t="s">
        <v>900</v>
      </c>
      <c r="M1012" t="s">
        <v>447</v>
      </c>
      <c r="P1012" t="str">
        <f>_xlfn.TEXTBEFORE(_xlfn.TEXTAFTER(Table26[[#This Row],[WBS CODE]], "-"), "-")</f>
        <v>30101050205</v>
      </c>
    </row>
    <row r="1013" spans="1:16" x14ac:dyDescent="0.3">
      <c r="A1013">
        <v>1012</v>
      </c>
      <c r="B1013" t="s">
        <v>30</v>
      </c>
      <c r="C1013" t="s">
        <v>1915</v>
      </c>
      <c r="D1013" t="s">
        <v>1916</v>
      </c>
      <c r="E1013" t="s">
        <v>1772</v>
      </c>
      <c r="F1013" t="s">
        <v>1862</v>
      </c>
      <c r="G1013" t="s">
        <v>1887</v>
      </c>
      <c r="H1013" t="s">
        <v>1889</v>
      </c>
      <c r="I1013" t="s">
        <v>1916</v>
      </c>
      <c r="J1013" t="s">
        <v>373</v>
      </c>
      <c r="K1013" t="s">
        <v>385</v>
      </c>
      <c r="L1013" t="s">
        <v>900</v>
      </c>
      <c r="M1013" t="s">
        <v>450</v>
      </c>
      <c r="P1013" t="str">
        <f>_xlfn.TEXTBEFORE(_xlfn.TEXTAFTER(Table26[[#This Row],[WBS CODE]], "-"), "-")</f>
        <v>30101050204</v>
      </c>
    </row>
    <row r="1014" spans="1:16" x14ac:dyDescent="0.3">
      <c r="A1014">
        <v>1013</v>
      </c>
      <c r="B1014" t="s">
        <v>26</v>
      </c>
      <c r="C1014" t="s">
        <v>1917</v>
      </c>
      <c r="D1014" t="s">
        <v>1918</v>
      </c>
      <c r="E1014" t="s">
        <v>1772</v>
      </c>
      <c r="F1014" t="s">
        <v>1862</v>
      </c>
      <c r="G1014" t="s">
        <v>1887</v>
      </c>
      <c r="H1014" t="s">
        <v>1918</v>
      </c>
      <c r="J1014" t="s">
        <v>373</v>
      </c>
      <c r="K1014" t="s">
        <v>385</v>
      </c>
      <c r="L1014" t="s">
        <v>39</v>
      </c>
      <c r="N1014" t="s">
        <v>1791</v>
      </c>
      <c r="O1014" t="s">
        <v>219</v>
      </c>
      <c r="P1014" t="str">
        <f>_xlfn.TEXTBEFORE(_xlfn.TEXTAFTER(Table26[[#This Row],[WBS CODE]], "-"), "-")</f>
        <v>301010501</v>
      </c>
    </row>
    <row r="1015" spans="1:16" x14ac:dyDescent="0.3">
      <c r="A1015">
        <v>1014</v>
      </c>
      <c r="B1015" t="s">
        <v>30</v>
      </c>
      <c r="C1015" t="s">
        <v>1919</v>
      </c>
      <c r="D1015" t="s">
        <v>1920</v>
      </c>
      <c r="E1015" t="s">
        <v>1772</v>
      </c>
      <c r="F1015" t="s">
        <v>1862</v>
      </c>
      <c r="G1015" t="s">
        <v>1887</v>
      </c>
      <c r="H1015" t="s">
        <v>1918</v>
      </c>
      <c r="I1015" t="s">
        <v>1920</v>
      </c>
      <c r="J1015" t="s">
        <v>373</v>
      </c>
      <c r="K1015" t="s">
        <v>385</v>
      </c>
      <c r="L1015" t="s">
        <v>39</v>
      </c>
      <c r="M1015" t="s">
        <v>455</v>
      </c>
      <c r="N1015" t="s">
        <v>1791</v>
      </c>
      <c r="O1015" t="s">
        <v>219</v>
      </c>
      <c r="P1015" t="str">
        <f>_xlfn.TEXTBEFORE(_xlfn.TEXTAFTER(Table26[[#This Row],[WBS CODE]], "-"), "-")</f>
        <v>30101050160</v>
      </c>
    </row>
    <row r="1016" spans="1:16" x14ac:dyDescent="0.3">
      <c r="A1016">
        <v>1015</v>
      </c>
      <c r="B1016" t="s">
        <v>26</v>
      </c>
      <c r="C1016" t="s">
        <v>1921</v>
      </c>
      <c r="D1016" t="s">
        <v>1922</v>
      </c>
      <c r="E1016" t="s">
        <v>1772</v>
      </c>
      <c r="F1016" t="s">
        <v>1862</v>
      </c>
      <c r="G1016" t="s">
        <v>1887</v>
      </c>
      <c r="H1016" t="s">
        <v>1922</v>
      </c>
      <c r="J1016" t="s">
        <v>373</v>
      </c>
      <c r="K1016" t="s">
        <v>385</v>
      </c>
      <c r="L1016" t="s">
        <v>42</v>
      </c>
      <c r="N1016" t="s">
        <v>1791</v>
      </c>
      <c r="O1016" t="s">
        <v>219</v>
      </c>
      <c r="P1016" t="str">
        <f>_xlfn.TEXTBEFORE(_xlfn.TEXTAFTER(Table26[[#This Row],[WBS CODE]], "-"), "-")</f>
        <v>301010561</v>
      </c>
    </row>
    <row r="1017" spans="1:16" x14ac:dyDescent="0.3">
      <c r="A1017">
        <v>1016</v>
      </c>
      <c r="B1017" t="s">
        <v>30</v>
      </c>
      <c r="C1017" t="s">
        <v>1923</v>
      </c>
      <c r="D1017" t="s">
        <v>1924</v>
      </c>
      <c r="E1017" t="s">
        <v>1772</v>
      </c>
      <c r="F1017" t="s">
        <v>1862</v>
      </c>
      <c r="G1017" t="s">
        <v>1887</v>
      </c>
      <c r="H1017" t="s">
        <v>1922</v>
      </c>
      <c r="I1017" t="s">
        <v>1924</v>
      </c>
      <c r="J1017" t="s">
        <v>373</v>
      </c>
      <c r="K1017" t="s">
        <v>385</v>
      </c>
      <c r="L1017" t="s">
        <v>42</v>
      </c>
      <c r="M1017" t="s">
        <v>463</v>
      </c>
      <c r="N1017" t="s">
        <v>1791</v>
      </c>
      <c r="O1017" t="s">
        <v>219</v>
      </c>
      <c r="P1017" t="str">
        <f>_xlfn.TEXTBEFORE(_xlfn.TEXTAFTER(Table26[[#This Row],[WBS CODE]], "-"), "-")</f>
        <v>30101056193</v>
      </c>
    </row>
    <row r="1018" spans="1:16" x14ac:dyDescent="0.3">
      <c r="A1018">
        <v>1017</v>
      </c>
      <c r="B1018" t="s">
        <v>30</v>
      </c>
      <c r="C1018" t="s">
        <v>1925</v>
      </c>
      <c r="D1018" t="s">
        <v>1926</v>
      </c>
      <c r="E1018" t="s">
        <v>1772</v>
      </c>
      <c r="F1018" t="s">
        <v>1862</v>
      </c>
      <c r="G1018" t="s">
        <v>1887</v>
      </c>
      <c r="H1018" t="s">
        <v>1922</v>
      </c>
      <c r="I1018" t="s">
        <v>1926</v>
      </c>
      <c r="J1018" t="s">
        <v>373</v>
      </c>
      <c r="K1018" t="s">
        <v>385</v>
      </c>
      <c r="L1018" t="s">
        <v>42</v>
      </c>
      <c r="M1018" t="s">
        <v>466</v>
      </c>
      <c r="N1018" t="s">
        <v>1791</v>
      </c>
      <c r="O1018" t="s">
        <v>219</v>
      </c>
      <c r="P1018" t="str">
        <f>_xlfn.TEXTBEFORE(_xlfn.TEXTAFTER(Table26[[#This Row],[WBS CODE]], "-"), "-")</f>
        <v>30101056118</v>
      </c>
    </row>
    <row r="1019" spans="1:16" x14ac:dyDescent="0.3">
      <c r="A1019">
        <v>1018</v>
      </c>
      <c r="B1019" t="s">
        <v>30</v>
      </c>
      <c r="C1019" t="s">
        <v>1927</v>
      </c>
      <c r="D1019" t="s">
        <v>1928</v>
      </c>
      <c r="E1019" t="s">
        <v>1772</v>
      </c>
      <c r="F1019" t="s">
        <v>1862</v>
      </c>
      <c r="G1019" t="s">
        <v>1887</v>
      </c>
      <c r="H1019" t="s">
        <v>1922</v>
      </c>
      <c r="I1019" t="s">
        <v>1928</v>
      </c>
      <c r="J1019" t="s">
        <v>373</v>
      </c>
      <c r="K1019" t="s">
        <v>385</v>
      </c>
      <c r="L1019" t="s">
        <v>42</v>
      </c>
      <c r="M1019" t="s">
        <v>1156</v>
      </c>
      <c r="N1019" t="s">
        <v>1791</v>
      </c>
      <c r="O1019" t="s">
        <v>219</v>
      </c>
      <c r="P1019" t="str">
        <f>_xlfn.TEXTBEFORE(_xlfn.TEXTAFTER(Table26[[#This Row],[WBS CODE]], "-"), "-")</f>
        <v>30101056102</v>
      </c>
    </row>
    <row r="1020" spans="1:16" x14ac:dyDescent="0.3">
      <c r="A1020">
        <v>1019</v>
      </c>
      <c r="B1020" t="s">
        <v>30</v>
      </c>
      <c r="C1020" t="s">
        <v>1929</v>
      </c>
      <c r="D1020" t="s">
        <v>1930</v>
      </c>
      <c r="E1020" t="s">
        <v>1772</v>
      </c>
      <c r="F1020" t="s">
        <v>1862</v>
      </c>
      <c r="G1020" t="s">
        <v>1887</v>
      </c>
      <c r="H1020" t="s">
        <v>1922</v>
      </c>
      <c r="I1020" t="s">
        <v>1930</v>
      </c>
      <c r="J1020" t="s">
        <v>373</v>
      </c>
      <c r="K1020" t="s">
        <v>385</v>
      </c>
      <c r="L1020" t="s">
        <v>42</v>
      </c>
      <c r="M1020" t="s">
        <v>471</v>
      </c>
      <c r="N1020" t="s">
        <v>1791</v>
      </c>
      <c r="O1020" t="s">
        <v>219</v>
      </c>
      <c r="P1020" t="str">
        <f>_xlfn.TEXTBEFORE(_xlfn.TEXTAFTER(Table26[[#This Row],[WBS CODE]], "-"), "-")</f>
        <v>30101056101</v>
      </c>
    </row>
    <row r="1021" spans="1:16" x14ac:dyDescent="0.3">
      <c r="A1021">
        <v>1020</v>
      </c>
      <c r="B1021" t="s">
        <v>21</v>
      </c>
      <c r="C1021" t="s">
        <v>1931</v>
      </c>
      <c r="D1021" t="s">
        <v>1932</v>
      </c>
      <c r="E1021" t="s">
        <v>1772</v>
      </c>
      <c r="F1021" t="s">
        <v>1862</v>
      </c>
      <c r="G1021" t="s">
        <v>1932</v>
      </c>
      <c r="J1021" t="s">
        <v>373</v>
      </c>
      <c r="K1021" t="s">
        <v>385</v>
      </c>
      <c r="N1021" t="s">
        <v>1795</v>
      </c>
      <c r="O1021" t="s">
        <v>219</v>
      </c>
      <c r="P1021" t="str">
        <f>_xlfn.TEXTBEFORE(_xlfn.TEXTAFTER(Table26[[#This Row],[WBS CODE]], "-"), "-")</f>
        <v>3010104</v>
      </c>
    </row>
    <row r="1022" spans="1:16" x14ac:dyDescent="0.3">
      <c r="A1022">
        <v>1021</v>
      </c>
      <c r="B1022" t="s">
        <v>26</v>
      </c>
      <c r="C1022" t="s">
        <v>1933</v>
      </c>
      <c r="D1022" t="s">
        <v>1934</v>
      </c>
      <c r="E1022" t="s">
        <v>1772</v>
      </c>
      <c r="F1022" t="s">
        <v>1862</v>
      </c>
      <c r="G1022" t="s">
        <v>1932</v>
      </c>
      <c r="H1022" t="s">
        <v>1934</v>
      </c>
      <c r="J1022" t="s">
        <v>373</v>
      </c>
      <c r="K1022" t="s">
        <v>385</v>
      </c>
      <c r="L1022" t="s">
        <v>900</v>
      </c>
      <c r="N1022" t="s">
        <v>1795</v>
      </c>
      <c r="O1022" t="s">
        <v>219</v>
      </c>
      <c r="P1022" t="str">
        <f>_xlfn.TEXTBEFORE(_xlfn.TEXTAFTER(Table26[[#This Row],[WBS CODE]], "-"), "-")</f>
        <v>301010402</v>
      </c>
    </row>
    <row r="1023" spans="1:16" x14ac:dyDescent="0.3">
      <c r="A1023">
        <v>1022</v>
      </c>
      <c r="B1023" t="s">
        <v>30</v>
      </c>
      <c r="C1023" t="s">
        <v>390</v>
      </c>
      <c r="D1023" t="s">
        <v>1935</v>
      </c>
      <c r="E1023" t="s">
        <v>1772</v>
      </c>
      <c r="F1023" t="s">
        <v>1862</v>
      </c>
      <c r="G1023" t="s">
        <v>1932</v>
      </c>
      <c r="H1023" t="s">
        <v>1934</v>
      </c>
      <c r="I1023" t="s">
        <v>1935</v>
      </c>
      <c r="J1023" t="s">
        <v>373</v>
      </c>
      <c r="K1023" t="s">
        <v>385</v>
      </c>
      <c r="L1023" t="s">
        <v>900</v>
      </c>
      <c r="M1023" t="s">
        <v>390</v>
      </c>
      <c r="P1023" t="str">
        <f>_xlfn.TEXTBEFORE(_xlfn.TEXTAFTER(Table26[[#This Row],[WBS CODE]], "-"), "-")</f>
        <v>30101040224</v>
      </c>
    </row>
    <row r="1024" spans="1:16" x14ac:dyDescent="0.3">
      <c r="A1024">
        <v>1023</v>
      </c>
      <c r="B1024" t="s">
        <v>30</v>
      </c>
      <c r="C1024" t="s">
        <v>1891</v>
      </c>
      <c r="D1024" t="s">
        <v>1936</v>
      </c>
      <c r="E1024" t="s">
        <v>1772</v>
      </c>
      <c r="F1024" t="s">
        <v>1862</v>
      </c>
      <c r="G1024" t="s">
        <v>1932</v>
      </c>
      <c r="H1024" t="s">
        <v>1934</v>
      </c>
      <c r="I1024" t="s">
        <v>1936</v>
      </c>
      <c r="J1024" t="s">
        <v>373</v>
      </c>
      <c r="K1024" t="s">
        <v>385</v>
      </c>
      <c r="L1024" t="s">
        <v>900</v>
      </c>
      <c r="M1024" t="s">
        <v>393</v>
      </c>
      <c r="P1024" t="str">
        <f>_xlfn.TEXTBEFORE(_xlfn.TEXTAFTER(Table26[[#This Row],[WBS CODE]], "-"), "-")</f>
        <v>30101040298</v>
      </c>
    </row>
    <row r="1025" spans="1:16" x14ac:dyDescent="0.3">
      <c r="A1025">
        <v>1024</v>
      </c>
      <c r="B1025" t="s">
        <v>30</v>
      </c>
      <c r="C1025" t="s">
        <v>1893</v>
      </c>
      <c r="D1025" t="s">
        <v>1937</v>
      </c>
      <c r="E1025" t="s">
        <v>1772</v>
      </c>
      <c r="F1025" t="s">
        <v>1862</v>
      </c>
      <c r="G1025" t="s">
        <v>1932</v>
      </c>
      <c r="H1025" t="s">
        <v>1934</v>
      </c>
      <c r="I1025" t="s">
        <v>1937</v>
      </c>
      <c r="J1025" t="s">
        <v>373</v>
      </c>
      <c r="K1025" t="s">
        <v>385</v>
      </c>
      <c r="L1025" t="s">
        <v>900</v>
      </c>
      <c r="M1025" t="s">
        <v>396</v>
      </c>
      <c r="P1025" t="str">
        <f>_xlfn.TEXTBEFORE(_xlfn.TEXTAFTER(Table26[[#This Row],[WBS CODE]], "-"), "-")</f>
        <v>30101040297</v>
      </c>
    </row>
    <row r="1026" spans="1:16" x14ac:dyDescent="0.3">
      <c r="A1026">
        <v>1025</v>
      </c>
      <c r="B1026" t="s">
        <v>30</v>
      </c>
      <c r="C1026" t="s">
        <v>399</v>
      </c>
      <c r="D1026" t="s">
        <v>1938</v>
      </c>
      <c r="E1026" t="s">
        <v>1772</v>
      </c>
      <c r="F1026" t="s">
        <v>1862</v>
      </c>
      <c r="G1026" t="s">
        <v>1932</v>
      </c>
      <c r="H1026" t="s">
        <v>1934</v>
      </c>
      <c r="I1026" t="s">
        <v>1938</v>
      </c>
      <c r="J1026" t="s">
        <v>373</v>
      </c>
      <c r="K1026" t="s">
        <v>385</v>
      </c>
      <c r="L1026" t="s">
        <v>900</v>
      </c>
      <c r="M1026" t="s">
        <v>399</v>
      </c>
      <c r="P1026" t="str">
        <f>_xlfn.TEXTBEFORE(_xlfn.TEXTAFTER(Table26[[#This Row],[WBS CODE]], "-"), "-")</f>
        <v>30101040296</v>
      </c>
    </row>
    <row r="1027" spans="1:16" x14ac:dyDescent="0.3">
      <c r="A1027">
        <v>1026</v>
      </c>
      <c r="B1027" t="s">
        <v>30</v>
      </c>
      <c r="C1027" t="s">
        <v>402</v>
      </c>
      <c r="D1027" t="s">
        <v>1939</v>
      </c>
      <c r="E1027" t="s">
        <v>1772</v>
      </c>
      <c r="F1027" t="s">
        <v>1862</v>
      </c>
      <c r="G1027" t="s">
        <v>1932</v>
      </c>
      <c r="H1027" t="s">
        <v>1934</v>
      </c>
      <c r="I1027" t="s">
        <v>1939</v>
      </c>
      <c r="J1027" t="s">
        <v>373</v>
      </c>
      <c r="K1027" t="s">
        <v>385</v>
      </c>
      <c r="L1027" t="s">
        <v>900</v>
      </c>
      <c r="M1027" t="s">
        <v>402</v>
      </c>
      <c r="P1027" t="str">
        <f>_xlfn.TEXTBEFORE(_xlfn.TEXTAFTER(Table26[[#This Row],[WBS CODE]], "-"), "-")</f>
        <v>30101040295</v>
      </c>
    </row>
    <row r="1028" spans="1:16" x14ac:dyDescent="0.3">
      <c r="A1028">
        <v>1027</v>
      </c>
      <c r="B1028" t="s">
        <v>30</v>
      </c>
      <c r="C1028" t="s">
        <v>405</v>
      </c>
      <c r="D1028" t="s">
        <v>1940</v>
      </c>
      <c r="E1028" t="s">
        <v>1772</v>
      </c>
      <c r="F1028" t="s">
        <v>1862</v>
      </c>
      <c r="G1028" t="s">
        <v>1932</v>
      </c>
      <c r="H1028" t="s">
        <v>1934</v>
      </c>
      <c r="I1028" t="s">
        <v>1940</v>
      </c>
      <c r="J1028" t="s">
        <v>373</v>
      </c>
      <c r="K1028" t="s">
        <v>385</v>
      </c>
      <c r="L1028" t="s">
        <v>900</v>
      </c>
      <c r="M1028" t="s">
        <v>405</v>
      </c>
      <c r="P1028" t="str">
        <f>_xlfn.TEXTBEFORE(_xlfn.TEXTAFTER(Table26[[#This Row],[WBS CODE]], "-"), "-")</f>
        <v>30101040294</v>
      </c>
    </row>
    <row r="1029" spans="1:16" x14ac:dyDescent="0.3">
      <c r="A1029">
        <v>1028</v>
      </c>
      <c r="B1029" t="s">
        <v>30</v>
      </c>
      <c r="C1029" t="s">
        <v>1898</v>
      </c>
      <c r="D1029" t="s">
        <v>1941</v>
      </c>
      <c r="E1029" t="s">
        <v>1772</v>
      </c>
      <c r="F1029" t="s">
        <v>1862</v>
      </c>
      <c r="G1029" t="s">
        <v>1932</v>
      </c>
      <c r="H1029" t="s">
        <v>1934</v>
      </c>
      <c r="I1029" t="s">
        <v>1941</v>
      </c>
      <c r="J1029" t="s">
        <v>373</v>
      </c>
      <c r="K1029" t="s">
        <v>385</v>
      </c>
      <c r="L1029" t="s">
        <v>900</v>
      </c>
      <c r="M1029" t="s">
        <v>408</v>
      </c>
      <c r="P1029" t="str">
        <f>_xlfn.TEXTBEFORE(_xlfn.TEXTAFTER(Table26[[#This Row],[WBS CODE]], "-"), "-")</f>
        <v>30101040220</v>
      </c>
    </row>
    <row r="1030" spans="1:16" x14ac:dyDescent="0.3">
      <c r="A1030">
        <v>1029</v>
      </c>
      <c r="B1030" t="s">
        <v>30</v>
      </c>
      <c r="C1030" t="s">
        <v>411</v>
      </c>
      <c r="D1030" t="s">
        <v>1942</v>
      </c>
      <c r="E1030" t="s">
        <v>1772</v>
      </c>
      <c r="F1030" t="s">
        <v>1862</v>
      </c>
      <c r="G1030" t="s">
        <v>1932</v>
      </c>
      <c r="H1030" t="s">
        <v>1934</v>
      </c>
      <c r="I1030" t="s">
        <v>1942</v>
      </c>
      <c r="J1030" t="s">
        <v>373</v>
      </c>
      <c r="K1030" t="s">
        <v>385</v>
      </c>
      <c r="L1030" t="s">
        <v>900</v>
      </c>
      <c r="M1030" t="s">
        <v>411</v>
      </c>
      <c r="P1030" t="str">
        <f>_xlfn.TEXTBEFORE(_xlfn.TEXTAFTER(Table26[[#This Row],[WBS CODE]], "-"), "-")</f>
        <v>30101040217</v>
      </c>
    </row>
    <row r="1031" spans="1:16" x14ac:dyDescent="0.3">
      <c r="A1031">
        <v>1030</v>
      </c>
      <c r="B1031" t="s">
        <v>30</v>
      </c>
      <c r="C1031" t="s">
        <v>414</v>
      </c>
      <c r="D1031" t="s">
        <v>1943</v>
      </c>
      <c r="E1031" t="s">
        <v>1772</v>
      </c>
      <c r="F1031" t="s">
        <v>1862</v>
      </c>
      <c r="G1031" t="s">
        <v>1932</v>
      </c>
      <c r="H1031" t="s">
        <v>1934</v>
      </c>
      <c r="I1031" t="s">
        <v>1943</v>
      </c>
      <c r="J1031" t="s">
        <v>373</v>
      </c>
      <c r="K1031" t="s">
        <v>385</v>
      </c>
      <c r="L1031" t="s">
        <v>900</v>
      </c>
      <c r="M1031" t="s">
        <v>414</v>
      </c>
      <c r="P1031" t="str">
        <f>_xlfn.TEXTBEFORE(_xlfn.TEXTAFTER(Table26[[#This Row],[WBS CODE]], "-"), "-")</f>
        <v>30101040216</v>
      </c>
    </row>
    <row r="1032" spans="1:16" x14ac:dyDescent="0.3">
      <c r="A1032">
        <v>1031</v>
      </c>
      <c r="B1032" t="s">
        <v>30</v>
      </c>
      <c r="C1032" t="s">
        <v>417</v>
      </c>
      <c r="D1032" t="s">
        <v>1944</v>
      </c>
      <c r="E1032" t="s">
        <v>1772</v>
      </c>
      <c r="F1032" t="s">
        <v>1862</v>
      </c>
      <c r="G1032" t="s">
        <v>1932</v>
      </c>
      <c r="H1032" t="s">
        <v>1934</v>
      </c>
      <c r="I1032" t="s">
        <v>1944</v>
      </c>
      <c r="J1032" t="s">
        <v>373</v>
      </c>
      <c r="K1032" t="s">
        <v>385</v>
      </c>
      <c r="L1032" t="s">
        <v>900</v>
      </c>
      <c r="M1032" t="s">
        <v>417</v>
      </c>
      <c r="P1032" t="str">
        <f>_xlfn.TEXTBEFORE(_xlfn.TEXTAFTER(Table26[[#This Row],[WBS CODE]], "-"), "-")</f>
        <v>30101040215</v>
      </c>
    </row>
    <row r="1033" spans="1:16" x14ac:dyDescent="0.3">
      <c r="A1033">
        <v>1032</v>
      </c>
      <c r="B1033" t="s">
        <v>30</v>
      </c>
      <c r="C1033" t="s">
        <v>1903</v>
      </c>
      <c r="D1033" t="s">
        <v>1945</v>
      </c>
      <c r="E1033" t="s">
        <v>1772</v>
      </c>
      <c r="F1033" t="s">
        <v>1862</v>
      </c>
      <c r="G1033" t="s">
        <v>1932</v>
      </c>
      <c r="H1033" t="s">
        <v>1934</v>
      </c>
      <c r="I1033" t="s">
        <v>1945</v>
      </c>
      <c r="J1033" t="s">
        <v>373</v>
      </c>
      <c r="K1033" t="s">
        <v>385</v>
      </c>
      <c r="L1033" t="s">
        <v>900</v>
      </c>
      <c r="M1033" t="s">
        <v>420</v>
      </c>
      <c r="P1033" t="str">
        <f>_xlfn.TEXTBEFORE(_xlfn.TEXTAFTER(Table26[[#This Row],[WBS CODE]], "-"), "-")</f>
        <v>30101040214</v>
      </c>
    </row>
    <row r="1034" spans="1:16" x14ac:dyDescent="0.3">
      <c r="A1034">
        <v>1033</v>
      </c>
      <c r="B1034" t="s">
        <v>30</v>
      </c>
      <c r="C1034" t="s">
        <v>423</v>
      </c>
      <c r="D1034" t="s">
        <v>1946</v>
      </c>
      <c r="E1034" t="s">
        <v>1772</v>
      </c>
      <c r="F1034" t="s">
        <v>1862</v>
      </c>
      <c r="G1034" t="s">
        <v>1932</v>
      </c>
      <c r="H1034" t="s">
        <v>1934</v>
      </c>
      <c r="I1034" t="s">
        <v>1946</v>
      </c>
      <c r="J1034" t="s">
        <v>373</v>
      </c>
      <c r="K1034" t="s">
        <v>385</v>
      </c>
      <c r="L1034" t="s">
        <v>900</v>
      </c>
      <c r="M1034" t="s">
        <v>423</v>
      </c>
      <c r="P1034" t="str">
        <f>_xlfn.TEXTBEFORE(_xlfn.TEXTAFTER(Table26[[#This Row],[WBS CODE]], "-"), "-")</f>
        <v>30101040213</v>
      </c>
    </row>
    <row r="1035" spans="1:16" x14ac:dyDescent="0.3">
      <c r="A1035">
        <v>1034</v>
      </c>
      <c r="B1035" t="s">
        <v>30</v>
      </c>
      <c r="C1035" t="s">
        <v>426</v>
      </c>
      <c r="D1035" t="s">
        <v>1947</v>
      </c>
      <c r="E1035" t="s">
        <v>1772</v>
      </c>
      <c r="F1035" t="s">
        <v>1862</v>
      </c>
      <c r="G1035" t="s">
        <v>1932</v>
      </c>
      <c r="H1035" t="s">
        <v>1934</v>
      </c>
      <c r="I1035" t="s">
        <v>1947</v>
      </c>
      <c r="J1035" t="s">
        <v>373</v>
      </c>
      <c r="K1035" t="s">
        <v>385</v>
      </c>
      <c r="L1035" t="s">
        <v>900</v>
      </c>
      <c r="M1035" t="s">
        <v>426</v>
      </c>
      <c r="P1035" t="str">
        <f>_xlfn.TEXTBEFORE(_xlfn.TEXTAFTER(Table26[[#This Row],[WBS CODE]], "-"), "-")</f>
        <v>30101040247</v>
      </c>
    </row>
    <row r="1036" spans="1:16" x14ac:dyDescent="0.3">
      <c r="A1036">
        <v>1035</v>
      </c>
      <c r="B1036" t="s">
        <v>30</v>
      </c>
      <c r="C1036" t="s">
        <v>429</v>
      </c>
      <c r="D1036" t="s">
        <v>1948</v>
      </c>
      <c r="E1036" t="s">
        <v>1772</v>
      </c>
      <c r="F1036" t="s">
        <v>1862</v>
      </c>
      <c r="G1036" t="s">
        <v>1932</v>
      </c>
      <c r="H1036" t="s">
        <v>1934</v>
      </c>
      <c r="I1036" t="s">
        <v>1948</v>
      </c>
      <c r="J1036" t="s">
        <v>373</v>
      </c>
      <c r="K1036" t="s">
        <v>385</v>
      </c>
      <c r="L1036" t="s">
        <v>900</v>
      </c>
      <c r="M1036" t="s">
        <v>429</v>
      </c>
      <c r="P1036" t="str">
        <f>_xlfn.TEXTBEFORE(_xlfn.TEXTAFTER(Table26[[#This Row],[WBS CODE]], "-"), "-")</f>
        <v>30101040212</v>
      </c>
    </row>
    <row r="1037" spans="1:16" x14ac:dyDescent="0.3">
      <c r="A1037">
        <v>1036</v>
      </c>
      <c r="B1037" t="s">
        <v>30</v>
      </c>
      <c r="C1037" t="s">
        <v>432</v>
      </c>
      <c r="D1037" t="s">
        <v>1949</v>
      </c>
      <c r="E1037" t="s">
        <v>1772</v>
      </c>
      <c r="F1037" t="s">
        <v>1862</v>
      </c>
      <c r="G1037" t="s">
        <v>1932</v>
      </c>
      <c r="H1037" t="s">
        <v>1934</v>
      </c>
      <c r="I1037" t="s">
        <v>1949</v>
      </c>
      <c r="J1037" t="s">
        <v>373</v>
      </c>
      <c r="K1037" t="s">
        <v>385</v>
      </c>
      <c r="L1037" t="s">
        <v>900</v>
      </c>
      <c r="M1037" t="s">
        <v>432</v>
      </c>
      <c r="P1037" t="str">
        <f>_xlfn.TEXTBEFORE(_xlfn.TEXTAFTER(Table26[[#This Row],[WBS CODE]], "-"), "-")</f>
        <v>30101040211</v>
      </c>
    </row>
    <row r="1038" spans="1:16" x14ac:dyDescent="0.3">
      <c r="A1038">
        <v>1037</v>
      </c>
      <c r="B1038" t="s">
        <v>30</v>
      </c>
      <c r="C1038" t="s">
        <v>435</v>
      </c>
      <c r="D1038" t="s">
        <v>1950</v>
      </c>
      <c r="E1038" t="s">
        <v>1772</v>
      </c>
      <c r="F1038" t="s">
        <v>1862</v>
      </c>
      <c r="G1038" t="s">
        <v>1932</v>
      </c>
      <c r="H1038" t="s">
        <v>1934</v>
      </c>
      <c r="I1038" t="s">
        <v>1950</v>
      </c>
      <c r="J1038" t="s">
        <v>373</v>
      </c>
      <c r="K1038" t="s">
        <v>385</v>
      </c>
      <c r="L1038" t="s">
        <v>900</v>
      </c>
      <c r="M1038" t="s">
        <v>435</v>
      </c>
      <c r="P1038" t="str">
        <f>_xlfn.TEXTBEFORE(_xlfn.TEXTAFTER(Table26[[#This Row],[WBS CODE]], "-"), "-")</f>
        <v>30101040210</v>
      </c>
    </row>
    <row r="1039" spans="1:16" x14ac:dyDescent="0.3">
      <c r="A1039">
        <v>1038</v>
      </c>
      <c r="B1039" t="s">
        <v>30</v>
      </c>
      <c r="C1039" t="s">
        <v>438</v>
      </c>
      <c r="D1039" t="s">
        <v>1951</v>
      </c>
      <c r="E1039" t="s">
        <v>1772</v>
      </c>
      <c r="F1039" t="s">
        <v>1862</v>
      </c>
      <c r="G1039" t="s">
        <v>1932</v>
      </c>
      <c r="H1039" t="s">
        <v>1934</v>
      </c>
      <c r="I1039" t="s">
        <v>1951</v>
      </c>
      <c r="J1039" t="s">
        <v>373</v>
      </c>
      <c r="K1039" t="s">
        <v>385</v>
      </c>
      <c r="L1039" t="s">
        <v>900</v>
      </c>
      <c r="M1039" t="s">
        <v>438</v>
      </c>
      <c r="P1039" t="str">
        <f>_xlfn.TEXTBEFORE(_xlfn.TEXTAFTER(Table26[[#This Row],[WBS CODE]], "-"), "-")</f>
        <v>30101040209</v>
      </c>
    </row>
    <row r="1040" spans="1:16" x14ac:dyDescent="0.3">
      <c r="A1040">
        <v>1039</v>
      </c>
      <c r="B1040" t="s">
        <v>30</v>
      </c>
      <c r="C1040" t="s">
        <v>441</v>
      </c>
      <c r="D1040" t="s">
        <v>1952</v>
      </c>
      <c r="E1040" t="s">
        <v>1772</v>
      </c>
      <c r="F1040" t="s">
        <v>1862</v>
      </c>
      <c r="G1040" t="s">
        <v>1932</v>
      </c>
      <c r="H1040" t="s">
        <v>1934</v>
      </c>
      <c r="I1040" t="s">
        <v>1952</v>
      </c>
      <c r="J1040" t="s">
        <v>373</v>
      </c>
      <c r="K1040" t="s">
        <v>385</v>
      </c>
      <c r="L1040" t="s">
        <v>900</v>
      </c>
      <c r="M1040" t="s">
        <v>441</v>
      </c>
      <c r="P1040" t="str">
        <f>_xlfn.TEXTBEFORE(_xlfn.TEXTAFTER(Table26[[#This Row],[WBS CODE]], "-"), "-")</f>
        <v>30101040208</v>
      </c>
    </row>
    <row r="1041" spans="1:16" x14ac:dyDescent="0.3">
      <c r="A1041">
        <v>1040</v>
      </c>
      <c r="B1041" t="s">
        <v>30</v>
      </c>
      <c r="C1041" t="s">
        <v>1912</v>
      </c>
      <c r="D1041" t="s">
        <v>1953</v>
      </c>
      <c r="E1041" t="s">
        <v>1772</v>
      </c>
      <c r="F1041" t="s">
        <v>1862</v>
      </c>
      <c r="G1041" t="s">
        <v>1932</v>
      </c>
      <c r="H1041" t="s">
        <v>1934</v>
      </c>
      <c r="I1041" t="s">
        <v>1953</v>
      </c>
      <c r="J1041" t="s">
        <v>373</v>
      </c>
      <c r="K1041" t="s">
        <v>385</v>
      </c>
      <c r="L1041" t="s">
        <v>900</v>
      </c>
      <c r="M1041" t="s">
        <v>444</v>
      </c>
      <c r="P1041" t="str">
        <f>_xlfn.TEXTBEFORE(_xlfn.TEXTAFTER(Table26[[#This Row],[WBS CODE]], "-"), "-")</f>
        <v>30101040207</v>
      </c>
    </row>
    <row r="1042" spans="1:16" x14ac:dyDescent="0.3">
      <c r="A1042">
        <v>1041</v>
      </c>
      <c r="B1042" t="s">
        <v>30</v>
      </c>
      <c r="C1042" t="s">
        <v>447</v>
      </c>
      <c r="D1042" t="s">
        <v>1954</v>
      </c>
      <c r="E1042" t="s">
        <v>1772</v>
      </c>
      <c r="F1042" t="s">
        <v>1862</v>
      </c>
      <c r="G1042" t="s">
        <v>1932</v>
      </c>
      <c r="H1042" t="s">
        <v>1934</v>
      </c>
      <c r="I1042" t="s">
        <v>1954</v>
      </c>
      <c r="J1042" t="s">
        <v>373</v>
      </c>
      <c r="K1042" t="s">
        <v>385</v>
      </c>
      <c r="L1042" t="s">
        <v>900</v>
      </c>
      <c r="M1042" t="s">
        <v>447</v>
      </c>
      <c r="P1042" t="str">
        <f>_xlfn.TEXTBEFORE(_xlfn.TEXTAFTER(Table26[[#This Row],[WBS CODE]], "-"), "-")</f>
        <v>30101040205</v>
      </c>
    </row>
    <row r="1043" spans="1:16" x14ac:dyDescent="0.3">
      <c r="A1043">
        <v>1042</v>
      </c>
      <c r="B1043" t="s">
        <v>30</v>
      </c>
      <c r="C1043" t="s">
        <v>1915</v>
      </c>
      <c r="D1043" t="s">
        <v>1955</v>
      </c>
      <c r="E1043" t="s">
        <v>1772</v>
      </c>
      <c r="F1043" t="s">
        <v>1862</v>
      </c>
      <c r="G1043" t="s">
        <v>1932</v>
      </c>
      <c r="H1043" t="s">
        <v>1934</v>
      </c>
      <c r="I1043" t="s">
        <v>1955</v>
      </c>
      <c r="J1043" t="s">
        <v>373</v>
      </c>
      <c r="K1043" t="s">
        <v>385</v>
      </c>
      <c r="L1043" t="s">
        <v>900</v>
      </c>
      <c r="M1043" t="s">
        <v>450</v>
      </c>
      <c r="P1043" t="str">
        <f>_xlfn.TEXTBEFORE(_xlfn.TEXTAFTER(Table26[[#This Row],[WBS CODE]], "-"), "-")</f>
        <v>30101040204</v>
      </c>
    </row>
    <row r="1044" spans="1:16" x14ac:dyDescent="0.3">
      <c r="A1044">
        <v>1043</v>
      </c>
      <c r="B1044" t="s">
        <v>26</v>
      </c>
      <c r="C1044" t="s">
        <v>1956</v>
      </c>
      <c r="D1044" t="s">
        <v>1957</v>
      </c>
      <c r="E1044" t="s">
        <v>1772</v>
      </c>
      <c r="F1044" t="s">
        <v>1862</v>
      </c>
      <c r="G1044" t="s">
        <v>1932</v>
      </c>
      <c r="H1044" t="s">
        <v>1957</v>
      </c>
      <c r="J1044" t="s">
        <v>373</v>
      </c>
      <c r="K1044" t="s">
        <v>385</v>
      </c>
      <c r="L1044" t="s">
        <v>39</v>
      </c>
      <c r="N1044" t="s">
        <v>1795</v>
      </c>
      <c r="O1044" t="s">
        <v>219</v>
      </c>
      <c r="P1044" t="str">
        <f>_xlfn.TEXTBEFORE(_xlfn.TEXTAFTER(Table26[[#This Row],[WBS CODE]], "-"), "-")</f>
        <v>301010401</v>
      </c>
    </row>
    <row r="1045" spans="1:16" x14ac:dyDescent="0.3">
      <c r="A1045">
        <v>1044</v>
      </c>
      <c r="B1045" t="s">
        <v>30</v>
      </c>
      <c r="C1045" t="s">
        <v>1958</v>
      </c>
      <c r="D1045" t="s">
        <v>1959</v>
      </c>
      <c r="E1045" t="s">
        <v>1772</v>
      </c>
      <c r="F1045" t="s">
        <v>1862</v>
      </c>
      <c r="G1045" t="s">
        <v>1932</v>
      </c>
      <c r="H1045" t="s">
        <v>1957</v>
      </c>
      <c r="I1045" t="s">
        <v>1959</v>
      </c>
      <c r="J1045" t="s">
        <v>373</v>
      </c>
      <c r="K1045" t="s">
        <v>385</v>
      </c>
      <c r="L1045" t="s">
        <v>39</v>
      </c>
      <c r="M1045" t="s">
        <v>455</v>
      </c>
      <c r="N1045" t="s">
        <v>1795</v>
      </c>
      <c r="O1045" t="s">
        <v>219</v>
      </c>
      <c r="P1045" t="str">
        <f>_xlfn.TEXTBEFORE(_xlfn.TEXTAFTER(Table26[[#This Row],[WBS CODE]], "-"), "-")</f>
        <v>30101040160</v>
      </c>
    </row>
    <row r="1046" spans="1:16" x14ac:dyDescent="0.3">
      <c r="A1046">
        <v>1045</v>
      </c>
      <c r="B1046" t="s">
        <v>26</v>
      </c>
      <c r="C1046" t="s">
        <v>1960</v>
      </c>
      <c r="D1046" t="s">
        <v>1961</v>
      </c>
      <c r="E1046" t="s">
        <v>1772</v>
      </c>
      <c r="F1046" t="s">
        <v>1862</v>
      </c>
      <c r="G1046" t="s">
        <v>1932</v>
      </c>
      <c r="H1046" t="s">
        <v>1961</v>
      </c>
      <c r="J1046" t="s">
        <v>373</v>
      </c>
      <c r="K1046" t="s">
        <v>385</v>
      </c>
      <c r="L1046" t="s">
        <v>42</v>
      </c>
      <c r="N1046" t="s">
        <v>1795</v>
      </c>
      <c r="O1046" t="s">
        <v>219</v>
      </c>
      <c r="P1046" t="str">
        <f>_xlfn.TEXTBEFORE(_xlfn.TEXTAFTER(Table26[[#This Row],[WBS CODE]], "-"), "-")</f>
        <v>301010461</v>
      </c>
    </row>
    <row r="1047" spans="1:16" x14ac:dyDescent="0.3">
      <c r="A1047">
        <v>1046</v>
      </c>
      <c r="B1047" t="s">
        <v>30</v>
      </c>
      <c r="C1047" t="s">
        <v>1962</v>
      </c>
      <c r="D1047" t="s">
        <v>1963</v>
      </c>
      <c r="E1047" t="s">
        <v>1772</v>
      </c>
      <c r="F1047" t="s">
        <v>1862</v>
      </c>
      <c r="G1047" t="s">
        <v>1932</v>
      </c>
      <c r="H1047" t="s">
        <v>1961</v>
      </c>
      <c r="I1047" t="s">
        <v>1963</v>
      </c>
      <c r="J1047" t="s">
        <v>373</v>
      </c>
      <c r="K1047" t="s">
        <v>385</v>
      </c>
      <c r="L1047" t="s">
        <v>42</v>
      </c>
      <c r="M1047" t="s">
        <v>463</v>
      </c>
      <c r="N1047" t="s">
        <v>1795</v>
      </c>
      <c r="O1047" t="s">
        <v>219</v>
      </c>
      <c r="P1047" t="str">
        <f>_xlfn.TEXTBEFORE(_xlfn.TEXTAFTER(Table26[[#This Row],[WBS CODE]], "-"), "-")</f>
        <v>30101046193</v>
      </c>
    </row>
    <row r="1048" spans="1:16" x14ac:dyDescent="0.3">
      <c r="A1048">
        <v>1047</v>
      </c>
      <c r="B1048" t="s">
        <v>30</v>
      </c>
      <c r="C1048" t="s">
        <v>1964</v>
      </c>
      <c r="D1048" t="s">
        <v>1965</v>
      </c>
      <c r="E1048" t="s">
        <v>1772</v>
      </c>
      <c r="F1048" t="s">
        <v>1862</v>
      </c>
      <c r="G1048" t="s">
        <v>1932</v>
      </c>
      <c r="H1048" t="s">
        <v>1961</v>
      </c>
      <c r="I1048" t="s">
        <v>1965</v>
      </c>
      <c r="J1048" t="s">
        <v>373</v>
      </c>
      <c r="K1048" t="s">
        <v>385</v>
      </c>
      <c r="L1048" t="s">
        <v>42</v>
      </c>
      <c r="M1048" t="s">
        <v>466</v>
      </c>
      <c r="N1048" t="s">
        <v>1795</v>
      </c>
      <c r="O1048" t="s">
        <v>219</v>
      </c>
      <c r="P1048" t="str">
        <f>_xlfn.TEXTBEFORE(_xlfn.TEXTAFTER(Table26[[#This Row],[WBS CODE]], "-"), "-")</f>
        <v>30101046118</v>
      </c>
    </row>
    <row r="1049" spans="1:16" x14ac:dyDescent="0.3">
      <c r="A1049">
        <v>1048</v>
      </c>
      <c r="B1049" t="s">
        <v>30</v>
      </c>
      <c r="C1049" t="s">
        <v>1966</v>
      </c>
      <c r="D1049" t="s">
        <v>1967</v>
      </c>
      <c r="E1049" t="s">
        <v>1772</v>
      </c>
      <c r="F1049" t="s">
        <v>1862</v>
      </c>
      <c r="G1049" t="s">
        <v>1932</v>
      </c>
      <c r="H1049" t="s">
        <v>1961</v>
      </c>
      <c r="I1049" t="s">
        <v>1967</v>
      </c>
      <c r="J1049" t="s">
        <v>373</v>
      </c>
      <c r="K1049" t="s">
        <v>385</v>
      </c>
      <c r="L1049" t="s">
        <v>42</v>
      </c>
      <c r="M1049" t="s">
        <v>1156</v>
      </c>
      <c r="N1049" t="s">
        <v>1795</v>
      </c>
      <c r="O1049" t="s">
        <v>219</v>
      </c>
      <c r="P1049" t="str">
        <f>_xlfn.TEXTBEFORE(_xlfn.TEXTAFTER(Table26[[#This Row],[WBS CODE]], "-"), "-")</f>
        <v>30101046102</v>
      </c>
    </row>
    <row r="1050" spans="1:16" x14ac:dyDescent="0.3">
      <c r="A1050">
        <v>1049</v>
      </c>
      <c r="B1050" t="s">
        <v>30</v>
      </c>
      <c r="C1050" t="s">
        <v>1968</v>
      </c>
      <c r="D1050" t="s">
        <v>1969</v>
      </c>
      <c r="E1050" t="s">
        <v>1772</v>
      </c>
      <c r="F1050" t="s">
        <v>1862</v>
      </c>
      <c r="G1050" t="s">
        <v>1932</v>
      </c>
      <c r="H1050" t="s">
        <v>1961</v>
      </c>
      <c r="I1050" t="s">
        <v>1969</v>
      </c>
      <c r="J1050" t="s">
        <v>373</v>
      </c>
      <c r="K1050" t="s">
        <v>385</v>
      </c>
      <c r="L1050" t="s">
        <v>42</v>
      </c>
      <c r="M1050" t="s">
        <v>471</v>
      </c>
      <c r="N1050" t="s">
        <v>1795</v>
      </c>
      <c r="O1050" t="s">
        <v>219</v>
      </c>
      <c r="P1050" t="str">
        <f>_xlfn.TEXTBEFORE(_xlfn.TEXTAFTER(Table26[[#This Row],[WBS CODE]], "-"), "-")</f>
        <v>30101046101</v>
      </c>
    </row>
    <row r="1051" spans="1:16" x14ac:dyDescent="0.3">
      <c r="A1051">
        <v>1050</v>
      </c>
      <c r="B1051" t="s">
        <v>21</v>
      </c>
      <c r="C1051" t="s">
        <v>1970</v>
      </c>
      <c r="D1051" t="s">
        <v>1971</v>
      </c>
      <c r="E1051" t="s">
        <v>1772</v>
      </c>
      <c r="F1051" t="s">
        <v>1862</v>
      </c>
      <c r="G1051" t="s">
        <v>1971</v>
      </c>
      <c r="J1051" t="s">
        <v>373</v>
      </c>
      <c r="K1051" t="s">
        <v>385</v>
      </c>
      <c r="N1051" t="s">
        <v>1799</v>
      </c>
      <c r="O1051" t="s">
        <v>219</v>
      </c>
      <c r="P1051" t="str">
        <f>_xlfn.TEXTBEFORE(_xlfn.TEXTAFTER(Table26[[#This Row],[WBS CODE]], "-"), "-")</f>
        <v>3010103</v>
      </c>
    </row>
    <row r="1052" spans="1:16" x14ac:dyDescent="0.3">
      <c r="A1052">
        <v>1051</v>
      </c>
      <c r="B1052" t="s">
        <v>26</v>
      </c>
      <c r="C1052" t="s">
        <v>1972</v>
      </c>
      <c r="D1052" t="s">
        <v>1973</v>
      </c>
      <c r="E1052" t="s">
        <v>1772</v>
      </c>
      <c r="F1052" t="s">
        <v>1862</v>
      </c>
      <c r="G1052" t="s">
        <v>1971</v>
      </c>
      <c r="H1052" t="s">
        <v>1973</v>
      </c>
      <c r="J1052" t="s">
        <v>373</v>
      </c>
      <c r="K1052" t="s">
        <v>385</v>
      </c>
      <c r="L1052" t="s">
        <v>900</v>
      </c>
      <c r="N1052" t="s">
        <v>1799</v>
      </c>
      <c r="O1052" t="s">
        <v>219</v>
      </c>
      <c r="P1052" t="str">
        <f>_xlfn.TEXTBEFORE(_xlfn.TEXTAFTER(Table26[[#This Row],[WBS CODE]], "-"), "-")</f>
        <v>301010302</v>
      </c>
    </row>
    <row r="1053" spans="1:16" x14ac:dyDescent="0.3">
      <c r="A1053">
        <v>1052</v>
      </c>
      <c r="B1053" t="s">
        <v>30</v>
      </c>
      <c r="C1053" t="s">
        <v>390</v>
      </c>
      <c r="D1053" t="s">
        <v>1974</v>
      </c>
      <c r="E1053" t="s">
        <v>1772</v>
      </c>
      <c r="F1053" t="s">
        <v>1862</v>
      </c>
      <c r="G1053" t="s">
        <v>1971</v>
      </c>
      <c r="H1053" t="s">
        <v>1973</v>
      </c>
      <c r="I1053" t="s">
        <v>1974</v>
      </c>
      <c r="J1053" t="s">
        <v>373</v>
      </c>
      <c r="K1053" t="s">
        <v>385</v>
      </c>
      <c r="L1053" t="s">
        <v>900</v>
      </c>
      <c r="M1053" t="s">
        <v>390</v>
      </c>
      <c r="P1053" t="str">
        <f>_xlfn.TEXTBEFORE(_xlfn.TEXTAFTER(Table26[[#This Row],[WBS CODE]], "-"), "-")</f>
        <v>30101030224</v>
      </c>
    </row>
    <row r="1054" spans="1:16" x14ac:dyDescent="0.3">
      <c r="A1054">
        <v>1053</v>
      </c>
      <c r="B1054" t="s">
        <v>30</v>
      </c>
      <c r="C1054" t="s">
        <v>1891</v>
      </c>
      <c r="D1054" t="s">
        <v>1975</v>
      </c>
      <c r="E1054" t="s">
        <v>1772</v>
      </c>
      <c r="F1054" t="s">
        <v>1862</v>
      </c>
      <c r="G1054" t="s">
        <v>1971</v>
      </c>
      <c r="H1054" t="s">
        <v>1973</v>
      </c>
      <c r="I1054" t="s">
        <v>1975</v>
      </c>
      <c r="J1054" t="s">
        <v>373</v>
      </c>
      <c r="K1054" t="s">
        <v>385</v>
      </c>
      <c r="L1054" t="s">
        <v>900</v>
      </c>
      <c r="M1054" t="s">
        <v>393</v>
      </c>
      <c r="P1054" t="str">
        <f>_xlfn.TEXTBEFORE(_xlfn.TEXTAFTER(Table26[[#This Row],[WBS CODE]], "-"), "-")</f>
        <v>30101030298</v>
      </c>
    </row>
    <row r="1055" spans="1:16" x14ac:dyDescent="0.3">
      <c r="A1055">
        <v>1054</v>
      </c>
      <c r="B1055" t="s">
        <v>30</v>
      </c>
      <c r="C1055" t="s">
        <v>1893</v>
      </c>
      <c r="D1055" t="s">
        <v>1976</v>
      </c>
      <c r="E1055" t="s">
        <v>1772</v>
      </c>
      <c r="F1055" t="s">
        <v>1862</v>
      </c>
      <c r="G1055" t="s">
        <v>1971</v>
      </c>
      <c r="H1055" t="s">
        <v>1973</v>
      </c>
      <c r="I1055" t="s">
        <v>1976</v>
      </c>
      <c r="J1055" t="s">
        <v>373</v>
      </c>
      <c r="K1055" t="s">
        <v>385</v>
      </c>
      <c r="L1055" t="s">
        <v>900</v>
      </c>
      <c r="M1055" t="s">
        <v>396</v>
      </c>
      <c r="P1055" t="str">
        <f>_xlfn.TEXTBEFORE(_xlfn.TEXTAFTER(Table26[[#This Row],[WBS CODE]], "-"), "-")</f>
        <v>30101030297</v>
      </c>
    </row>
    <row r="1056" spans="1:16" x14ac:dyDescent="0.3">
      <c r="A1056">
        <v>1055</v>
      </c>
      <c r="B1056" t="s">
        <v>30</v>
      </c>
      <c r="C1056" t="s">
        <v>399</v>
      </c>
      <c r="D1056" t="s">
        <v>1977</v>
      </c>
      <c r="E1056" t="s">
        <v>1772</v>
      </c>
      <c r="F1056" t="s">
        <v>1862</v>
      </c>
      <c r="G1056" t="s">
        <v>1971</v>
      </c>
      <c r="H1056" t="s">
        <v>1973</v>
      </c>
      <c r="I1056" t="s">
        <v>1977</v>
      </c>
      <c r="J1056" t="s">
        <v>373</v>
      </c>
      <c r="K1056" t="s">
        <v>385</v>
      </c>
      <c r="L1056" t="s">
        <v>900</v>
      </c>
      <c r="M1056" t="s">
        <v>399</v>
      </c>
      <c r="P1056" t="str">
        <f>_xlfn.TEXTBEFORE(_xlfn.TEXTAFTER(Table26[[#This Row],[WBS CODE]], "-"), "-")</f>
        <v>30101030296</v>
      </c>
    </row>
    <row r="1057" spans="1:16" x14ac:dyDescent="0.3">
      <c r="A1057">
        <v>1056</v>
      </c>
      <c r="B1057" t="s">
        <v>30</v>
      </c>
      <c r="C1057" t="s">
        <v>402</v>
      </c>
      <c r="D1057" t="s">
        <v>1978</v>
      </c>
      <c r="E1057" t="s">
        <v>1772</v>
      </c>
      <c r="F1057" t="s">
        <v>1862</v>
      </c>
      <c r="G1057" t="s">
        <v>1971</v>
      </c>
      <c r="H1057" t="s">
        <v>1973</v>
      </c>
      <c r="I1057" t="s">
        <v>1978</v>
      </c>
      <c r="J1057" t="s">
        <v>373</v>
      </c>
      <c r="K1057" t="s">
        <v>385</v>
      </c>
      <c r="L1057" t="s">
        <v>900</v>
      </c>
      <c r="M1057" t="s">
        <v>402</v>
      </c>
      <c r="P1057" t="str">
        <f>_xlfn.TEXTBEFORE(_xlfn.TEXTAFTER(Table26[[#This Row],[WBS CODE]], "-"), "-")</f>
        <v>30101030295</v>
      </c>
    </row>
    <row r="1058" spans="1:16" x14ac:dyDescent="0.3">
      <c r="A1058">
        <v>1057</v>
      </c>
      <c r="B1058" t="s">
        <v>30</v>
      </c>
      <c r="C1058" t="s">
        <v>405</v>
      </c>
      <c r="D1058" t="s">
        <v>1979</v>
      </c>
      <c r="E1058" t="s">
        <v>1772</v>
      </c>
      <c r="F1058" t="s">
        <v>1862</v>
      </c>
      <c r="G1058" t="s">
        <v>1971</v>
      </c>
      <c r="H1058" t="s">
        <v>1973</v>
      </c>
      <c r="I1058" t="s">
        <v>1979</v>
      </c>
      <c r="J1058" t="s">
        <v>373</v>
      </c>
      <c r="K1058" t="s">
        <v>385</v>
      </c>
      <c r="L1058" t="s">
        <v>900</v>
      </c>
      <c r="M1058" t="s">
        <v>405</v>
      </c>
      <c r="P1058" t="str">
        <f>_xlfn.TEXTBEFORE(_xlfn.TEXTAFTER(Table26[[#This Row],[WBS CODE]], "-"), "-")</f>
        <v>30101030294</v>
      </c>
    </row>
    <row r="1059" spans="1:16" x14ac:dyDescent="0.3">
      <c r="A1059">
        <v>1058</v>
      </c>
      <c r="B1059" t="s">
        <v>30</v>
      </c>
      <c r="C1059" t="s">
        <v>1898</v>
      </c>
      <c r="D1059" t="s">
        <v>1980</v>
      </c>
      <c r="E1059" t="s">
        <v>1772</v>
      </c>
      <c r="F1059" t="s">
        <v>1862</v>
      </c>
      <c r="G1059" t="s">
        <v>1971</v>
      </c>
      <c r="H1059" t="s">
        <v>1973</v>
      </c>
      <c r="I1059" t="s">
        <v>1980</v>
      </c>
      <c r="J1059" t="s">
        <v>373</v>
      </c>
      <c r="K1059" t="s">
        <v>385</v>
      </c>
      <c r="L1059" t="s">
        <v>900</v>
      </c>
      <c r="M1059" t="s">
        <v>408</v>
      </c>
      <c r="P1059" t="str">
        <f>_xlfn.TEXTBEFORE(_xlfn.TEXTAFTER(Table26[[#This Row],[WBS CODE]], "-"), "-")</f>
        <v>30101030220</v>
      </c>
    </row>
    <row r="1060" spans="1:16" x14ac:dyDescent="0.3">
      <c r="A1060">
        <v>1059</v>
      </c>
      <c r="B1060" t="s">
        <v>30</v>
      </c>
      <c r="C1060" t="s">
        <v>411</v>
      </c>
      <c r="D1060" t="s">
        <v>1981</v>
      </c>
      <c r="E1060" t="s">
        <v>1772</v>
      </c>
      <c r="F1060" t="s">
        <v>1862</v>
      </c>
      <c r="G1060" t="s">
        <v>1971</v>
      </c>
      <c r="H1060" t="s">
        <v>1973</v>
      </c>
      <c r="I1060" t="s">
        <v>1981</v>
      </c>
      <c r="J1060" t="s">
        <v>373</v>
      </c>
      <c r="K1060" t="s">
        <v>385</v>
      </c>
      <c r="L1060" t="s">
        <v>900</v>
      </c>
      <c r="M1060" t="s">
        <v>411</v>
      </c>
      <c r="P1060" t="str">
        <f>_xlfn.TEXTBEFORE(_xlfn.TEXTAFTER(Table26[[#This Row],[WBS CODE]], "-"), "-")</f>
        <v>30101030217</v>
      </c>
    </row>
    <row r="1061" spans="1:16" x14ac:dyDescent="0.3">
      <c r="A1061">
        <v>1060</v>
      </c>
      <c r="B1061" t="s">
        <v>30</v>
      </c>
      <c r="C1061" t="s">
        <v>414</v>
      </c>
      <c r="D1061" t="s">
        <v>1982</v>
      </c>
      <c r="E1061" t="s">
        <v>1772</v>
      </c>
      <c r="F1061" t="s">
        <v>1862</v>
      </c>
      <c r="G1061" t="s">
        <v>1971</v>
      </c>
      <c r="H1061" t="s">
        <v>1973</v>
      </c>
      <c r="I1061" t="s">
        <v>1982</v>
      </c>
      <c r="J1061" t="s">
        <v>373</v>
      </c>
      <c r="K1061" t="s">
        <v>385</v>
      </c>
      <c r="L1061" t="s">
        <v>900</v>
      </c>
      <c r="M1061" t="s">
        <v>414</v>
      </c>
      <c r="P1061" t="str">
        <f>_xlfn.TEXTBEFORE(_xlfn.TEXTAFTER(Table26[[#This Row],[WBS CODE]], "-"), "-")</f>
        <v>30101030216</v>
      </c>
    </row>
    <row r="1062" spans="1:16" x14ac:dyDescent="0.3">
      <c r="A1062">
        <v>1061</v>
      </c>
      <c r="B1062" t="s">
        <v>30</v>
      </c>
      <c r="C1062" t="s">
        <v>417</v>
      </c>
      <c r="D1062" t="s">
        <v>1983</v>
      </c>
      <c r="E1062" t="s">
        <v>1772</v>
      </c>
      <c r="F1062" t="s">
        <v>1862</v>
      </c>
      <c r="G1062" t="s">
        <v>1971</v>
      </c>
      <c r="H1062" t="s">
        <v>1973</v>
      </c>
      <c r="I1062" t="s">
        <v>1983</v>
      </c>
      <c r="J1062" t="s">
        <v>373</v>
      </c>
      <c r="K1062" t="s">
        <v>385</v>
      </c>
      <c r="L1062" t="s">
        <v>900</v>
      </c>
      <c r="M1062" t="s">
        <v>417</v>
      </c>
      <c r="P1062" t="str">
        <f>_xlfn.TEXTBEFORE(_xlfn.TEXTAFTER(Table26[[#This Row],[WBS CODE]], "-"), "-")</f>
        <v>30101030215</v>
      </c>
    </row>
    <row r="1063" spans="1:16" x14ac:dyDescent="0.3">
      <c r="A1063">
        <v>1062</v>
      </c>
      <c r="B1063" t="s">
        <v>30</v>
      </c>
      <c r="C1063" t="s">
        <v>1903</v>
      </c>
      <c r="D1063" t="s">
        <v>1984</v>
      </c>
      <c r="E1063" t="s">
        <v>1772</v>
      </c>
      <c r="F1063" t="s">
        <v>1862</v>
      </c>
      <c r="G1063" t="s">
        <v>1971</v>
      </c>
      <c r="H1063" t="s">
        <v>1973</v>
      </c>
      <c r="I1063" t="s">
        <v>1984</v>
      </c>
      <c r="J1063" t="s">
        <v>373</v>
      </c>
      <c r="K1063" t="s">
        <v>385</v>
      </c>
      <c r="L1063" t="s">
        <v>900</v>
      </c>
      <c r="M1063" t="s">
        <v>420</v>
      </c>
      <c r="P1063" t="str">
        <f>_xlfn.TEXTBEFORE(_xlfn.TEXTAFTER(Table26[[#This Row],[WBS CODE]], "-"), "-")</f>
        <v>30101030214</v>
      </c>
    </row>
    <row r="1064" spans="1:16" x14ac:dyDescent="0.3">
      <c r="A1064">
        <v>1063</v>
      </c>
      <c r="B1064" t="s">
        <v>30</v>
      </c>
      <c r="C1064" t="s">
        <v>423</v>
      </c>
      <c r="D1064" t="s">
        <v>1985</v>
      </c>
      <c r="E1064" t="s">
        <v>1772</v>
      </c>
      <c r="F1064" t="s">
        <v>1862</v>
      </c>
      <c r="G1064" t="s">
        <v>1971</v>
      </c>
      <c r="H1064" t="s">
        <v>1973</v>
      </c>
      <c r="I1064" t="s">
        <v>1985</v>
      </c>
      <c r="J1064" t="s">
        <v>373</v>
      </c>
      <c r="K1064" t="s">
        <v>385</v>
      </c>
      <c r="L1064" t="s">
        <v>900</v>
      </c>
      <c r="M1064" t="s">
        <v>423</v>
      </c>
      <c r="P1064" t="str">
        <f>_xlfn.TEXTBEFORE(_xlfn.TEXTAFTER(Table26[[#This Row],[WBS CODE]], "-"), "-")</f>
        <v>30101030213</v>
      </c>
    </row>
    <row r="1065" spans="1:16" x14ac:dyDescent="0.3">
      <c r="A1065">
        <v>1064</v>
      </c>
      <c r="B1065" t="s">
        <v>30</v>
      </c>
      <c r="C1065" t="s">
        <v>426</v>
      </c>
      <c r="D1065" t="s">
        <v>1986</v>
      </c>
      <c r="E1065" t="s">
        <v>1772</v>
      </c>
      <c r="F1065" t="s">
        <v>1862</v>
      </c>
      <c r="G1065" t="s">
        <v>1971</v>
      </c>
      <c r="H1065" t="s">
        <v>1973</v>
      </c>
      <c r="I1065" t="s">
        <v>1986</v>
      </c>
      <c r="J1065" t="s">
        <v>373</v>
      </c>
      <c r="K1065" t="s">
        <v>385</v>
      </c>
      <c r="L1065" t="s">
        <v>900</v>
      </c>
      <c r="M1065" t="s">
        <v>426</v>
      </c>
      <c r="P1065" t="str">
        <f>_xlfn.TEXTBEFORE(_xlfn.TEXTAFTER(Table26[[#This Row],[WBS CODE]], "-"), "-")</f>
        <v>30101030247</v>
      </c>
    </row>
    <row r="1066" spans="1:16" x14ac:dyDescent="0.3">
      <c r="A1066">
        <v>1065</v>
      </c>
      <c r="B1066" t="s">
        <v>30</v>
      </c>
      <c r="C1066" t="s">
        <v>429</v>
      </c>
      <c r="D1066" t="s">
        <v>1987</v>
      </c>
      <c r="E1066" t="s">
        <v>1772</v>
      </c>
      <c r="F1066" t="s">
        <v>1862</v>
      </c>
      <c r="G1066" t="s">
        <v>1971</v>
      </c>
      <c r="H1066" t="s">
        <v>1973</v>
      </c>
      <c r="I1066" t="s">
        <v>1987</v>
      </c>
      <c r="J1066" t="s">
        <v>373</v>
      </c>
      <c r="K1066" t="s">
        <v>385</v>
      </c>
      <c r="L1066" t="s">
        <v>900</v>
      </c>
      <c r="M1066" t="s">
        <v>429</v>
      </c>
      <c r="P1066" t="str">
        <f>_xlfn.TEXTBEFORE(_xlfn.TEXTAFTER(Table26[[#This Row],[WBS CODE]], "-"), "-")</f>
        <v>30101030212</v>
      </c>
    </row>
    <row r="1067" spans="1:16" x14ac:dyDescent="0.3">
      <c r="A1067">
        <v>1066</v>
      </c>
      <c r="B1067" t="s">
        <v>30</v>
      </c>
      <c r="C1067" t="s">
        <v>432</v>
      </c>
      <c r="D1067" t="s">
        <v>1988</v>
      </c>
      <c r="E1067" t="s">
        <v>1772</v>
      </c>
      <c r="F1067" t="s">
        <v>1862</v>
      </c>
      <c r="G1067" t="s">
        <v>1971</v>
      </c>
      <c r="H1067" t="s">
        <v>1973</v>
      </c>
      <c r="I1067" t="s">
        <v>1988</v>
      </c>
      <c r="J1067" t="s">
        <v>373</v>
      </c>
      <c r="K1067" t="s">
        <v>385</v>
      </c>
      <c r="L1067" t="s">
        <v>900</v>
      </c>
      <c r="M1067" t="s">
        <v>432</v>
      </c>
      <c r="P1067" t="str">
        <f>_xlfn.TEXTBEFORE(_xlfn.TEXTAFTER(Table26[[#This Row],[WBS CODE]], "-"), "-")</f>
        <v>30101030211</v>
      </c>
    </row>
    <row r="1068" spans="1:16" x14ac:dyDescent="0.3">
      <c r="A1068">
        <v>1067</v>
      </c>
      <c r="B1068" t="s">
        <v>30</v>
      </c>
      <c r="C1068" t="s">
        <v>435</v>
      </c>
      <c r="D1068" t="s">
        <v>1989</v>
      </c>
      <c r="E1068" t="s">
        <v>1772</v>
      </c>
      <c r="F1068" t="s">
        <v>1862</v>
      </c>
      <c r="G1068" t="s">
        <v>1971</v>
      </c>
      <c r="H1068" t="s">
        <v>1973</v>
      </c>
      <c r="I1068" t="s">
        <v>1989</v>
      </c>
      <c r="J1068" t="s">
        <v>373</v>
      </c>
      <c r="K1068" t="s">
        <v>385</v>
      </c>
      <c r="L1068" t="s">
        <v>900</v>
      </c>
      <c r="M1068" t="s">
        <v>435</v>
      </c>
      <c r="P1068" t="str">
        <f>_xlfn.TEXTBEFORE(_xlfn.TEXTAFTER(Table26[[#This Row],[WBS CODE]], "-"), "-")</f>
        <v>30101030210</v>
      </c>
    </row>
    <row r="1069" spans="1:16" x14ac:dyDescent="0.3">
      <c r="A1069">
        <v>1068</v>
      </c>
      <c r="B1069" t="s">
        <v>30</v>
      </c>
      <c r="C1069" t="s">
        <v>438</v>
      </c>
      <c r="D1069" t="s">
        <v>1990</v>
      </c>
      <c r="E1069" t="s">
        <v>1772</v>
      </c>
      <c r="F1069" t="s">
        <v>1862</v>
      </c>
      <c r="G1069" t="s">
        <v>1971</v>
      </c>
      <c r="H1069" t="s">
        <v>1973</v>
      </c>
      <c r="I1069" t="s">
        <v>1990</v>
      </c>
      <c r="J1069" t="s">
        <v>373</v>
      </c>
      <c r="K1069" t="s">
        <v>385</v>
      </c>
      <c r="L1069" t="s">
        <v>900</v>
      </c>
      <c r="M1069" t="s">
        <v>438</v>
      </c>
      <c r="P1069" t="str">
        <f>_xlfn.TEXTBEFORE(_xlfn.TEXTAFTER(Table26[[#This Row],[WBS CODE]], "-"), "-")</f>
        <v>30101030209</v>
      </c>
    </row>
    <row r="1070" spans="1:16" x14ac:dyDescent="0.3">
      <c r="A1070">
        <v>1069</v>
      </c>
      <c r="B1070" t="s">
        <v>30</v>
      </c>
      <c r="C1070" t="s">
        <v>441</v>
      </c>
      <c r="D1070" t="s">
        <v>1991</v>
      </c>
      <c r="E1070" t="s">
        <v>1772</v>
      </c>
      <c r="F1070" t="s">
        <v>1862</v>
      </c>
      <c r="G1070" t="s">
        <v>1971</v>
      </c>
      <c r="H1070" t="s">
        <v>1973</v>
      </c>
      <c r="I1070" t="s">
        <v>1991</v>
      </c>
      <c r="J1070" t="s">
        <v>373</v>
      </c>
      <c r="K1070" t="s">
        <v>385</v>
      </c>
      <c r="L1070" t="s">
        <v>900</v>
      </c>
      <c r="M1070" t="s">
        <v>441</v>
      </c>
      <c r="P1070" t="str">
        <f>_xlfn.TEXTBEFORE(_xlfn.TEXTAFTER(Table26[[#This Row],[WBS CODE]], "-"), "-")</f>
        <v>30101030208</v>
      </c>
    </row>
    <row r="1071" spans="1:16" x14ac:dyDescent="0.3">
      <c r="A1071">
        <v>1070</v>
      </c>
      <c r="B1071" t="s">
        <v>30</v>
      </c>
      <c r="C1071" t="s">
        <v>1912</v>
      </c>
      <c r="D1071" t="s">
        <v>1992</v>
      </c>
      <c r="E1071" t="s">
        <v>1772</v>
      </c>
      <c r="F1071" t="s">
        <v>1862</v>
      </c>
      <c r="G1071" t="s">
        <v>1971</v>
      </c>
      <c r="H1071" t="s">
        <v>1973</v>
      </c>
      <c r="I1071" t="s">
        <v>1992</v>
      </c>
      <c r="J1071" t="s">
        <v>373</v>
      </c>
      <c r="K1071" t="s">
        <v>385</v>
      </c>
      <c r="L1071" t="s">
        <v>900</v>
      </c>
      <c r="M1071" t="s">
        <v>444</v>
      </c>
      <c r="P1071" t="str">
        <f>_xlfn.TEXTBEFORE(_xlfn.TEXTAFTER(Table26[[#This Row],[WBS CODE]], "-"), "-")</f>
        <v>30101030207</v>
      </c>
    </row>
    <row r="1072" spans="1:16" x14ac:dyDescent="0.3">
      <c r="A1072">
        <v>1071</v>
      </c>
      <c r="B1072" t="s">
        <v>30</v>
      </c>
      <c r="C1072" t="s">
        <v>447</v>
      </c>
      <c r="D1072" t="s">
        <v>1993</v>
      </c>
      <c r="E1072" t="s">
        <v>1772</v>
      </c>
      <c r="F1072" t="s">
        <v>1862</v>
      </c>
      <c r="G1072" t="s">
        <v>1971</v>
      </c>
      <c r="H1072" t="s">
        <v>1973</v>
      </c>
      <c r="I1072" t="s">
        <v>1993</v>
      </c>
      <c r="J1072" t="s">
        <v>373</v>
      </c>
      <c r="K1072" t="s">
        <v>385</v>
      </c>
      <c r="L1072" t="s">
        <v>900</v>
      </c>
      <c r="M1072" t="s">
        <v>447</v>
      </c>
      <c r="P1072" t="str">
        <f>_xlfn.TEXTBEFORE(_xlfn.TEXTAFTER(Table26[[#This Row],[WBS CODE]], "-"), "-")</f>
        <v>30101030205</v>
      </c>
    </row>
    <row r="1073" spans="1:16" x14ac:dyDescent="0.3">
      <c r="A1073">
        <v>1072</v>
      </c>
      <c r="B1073" t="s">
        <v>30</v>
      </c>
      <c r="C1073" t="s">
        <v>1915</v>
      </c>
      <c r="D1073" t="s">
        <v>1994</v>
      </c>
      <c r="E1073" t="s">
        <v>1772</v>
      </c>
      <c r="F1073" t="s">
        <v>1862</v>
      </c>
      <c r="G1073" t="s">
        <v>1971</v>
      </c>
      <c r="H1073" t="s">
        <v>1973</v>
      </c>
      <c r="I1073" t="s">
        <v>1994</v>
      </c>
      <c r="J1073" t="s">
        <v>373</v>
      </c>
      <c r="K1073" t="s">
        <v>385</v>
      </c>
      <c r="L1073" t="s">
        <v>900</v>
      </c>
      <c r="M1073" t="s">
        <v>450</v>
      </c>
      <c r="P1073" t="str">
        <f>_xlfn.TEXTBEFORE(_xlfn.TEXTAFTER(Table26[[#This Row],[WBS CODE]], "-"), "-")</f>
        <v>30101030204</v>
      </c>
    </row>
    <row r="1074" spans="1:16" x14ac:dyDescent="0.3">
      <c r="A1074">
        <v>1073</v>
      </c>
      <c r="B1074" t="s">
        <v>26</v>
      </c>
      <c r="C1074" t="s">
        <v>1995</v>
      </c>
      <c r="D1074" t="s">
        <v>1996</v>
      </c>
      <c r="E1074" t="s">
        <v>1772</v>
      </c>
      <c r="F1074" t="s">
        <v>1862</v>
      </c>
      <c r="G1074" t="s">
        <v>1971</v>
      </c>
      <c r="H1074" t="s">
        <v>1996</v>
      </c>
      <c r="J1074" t="s">
        <v>373</v>
      </c>
      <c r="K1074" t="s">
        <v>385</v>
      </c>
      <c r="L1074" t="s">
        <v>39</v>
      </c>
      <c r="N1074" t="s">
        <v>1799</v>
      </c>
      <c r="O1074" t="s">
        <v>219</v>
      </c>
      <c r="P1074" t="str">
        <f>_xlfn.TEXTBEFORE(_xlfn.TEXTAFTER(Table26[[#This Row],[WBS CODE]], "-"), "-")</f>
        <v>301010301</v>
      </c>
    </row>
    <row r="1075" spans="1:16" x14ac:dyDescent="0.3">
      <c r="A1075">
        <v>1074</v>
      </c>
      <c r="B1075" t="s">
        <v>30</v>
      </c>
      <c r="C1075" t="s">
        <v>1997</v>
      </c>
      <c r="D1075" t="s">
        <v>1998</v>
      </c>
      <c r="E1075" t="s">
        <v>1772</v>
      </c>
      <c r="F1075" t="s">
        <v>1862</v>
      </c>
      <c r="G1075" t="s">
        <v>1971</v>
      </c>
      <c r="H1075" t="s">
        <v>1996</v>
      </c>
      <c r="I1075" t="s">
        <v>1998</v>
      </c>
      <c r="J1075" t="s">
        <v>373</v>
      </c>
      <c r="K1075" t="s">
        <v>385</v>
      </c>
      <c r="L1075" t="s">
        <v>39</v>
      </c>
      <c r="M1075" t="s">
        <v>455</v>
      </c>
      <c r="N1075" t="s">
        <v>1799</v>
      </c>
      <c r="O1075" t="s">
        <v>219</v>
      </c>
      <c r="P1075" t="str">
        <f>_xlfn.TEXTBEFORE(_xlfn.TEXTAFTER(Table26[[#This Row],[WBS CODE]], "-"), "-")</f>
        <v>30101030160</v>
      </c>
    </row>
    <row r="1076" spans="1:16" x14ac:dyDescent="0.3">
      <c r="A1076">
        <v>1075</v>
      </c>
      <c r="B1076" t="s">
        <v>26</v>
      </c>
      <c r="C1076" t="s">
        <v>1999</v>
      </c>
      <c r="D1076" t="s">
        <v>2000</v>
      </c>
      <c r="E1076" t="s">
        <v>1772</v>
      </c>
      <c r="F1076" t="s">
        <v>1862</v>
      </c>
      <c r="G1076" t="s">
        <v>1971</v>
      </c>
      <c r="H1076" t="s">
        <v>2000</v>
      </c>
      <c r="J1076" t="s">
        <v>373</v>
      </c>
      <c r="K1076" t="s">
        <v>385</v>
      </c>
      <c r="L1076" t="s">
        <v>42</v>
      </c>
      <c r="N1076" t="s">
        <v>1799</v>
      </c>
      <c r="O1076" t="s">
        <v>219</v>
      </c>
      <c r="P1076" t="str">
        <f>_xlfn.TEXTBEFORE(_xlfn.TEXTAFTER(Table26[[#This Row],[WBS CODE]], "-"), "-")</f>
        <v>301010361</v>
      </c>
    </row>
    <row r="1077" spans="1:16" x14ac:dyDescent="0.3">
      <c r="A1077">
        <v>1076</v>
      </c>
      <c r="B1077" t="s">
        <v>30</v>
      </c>
      <c r="C1077" t="s">
        <v>2001</v>
      </c>
      <c r="D1077" t="s">
        <v>2002</v>
      </c>
      <c r="E1077" t="s">
        <v>1772</v>
      </c>
      <c r="F1077" t="s">
        <v>1862</v>
      </c>
      <c r="G1077" t="s">
        <v>1971</v>
      </c>
      <c r="H1077" t="s">
        <v>2000</v>
      </c>
      <c r="I1077" t="s">
        <v>2002</v>
      </c>
      <c r="J1077" t="s">
        <v>373</v>
      </c>
      <c r="K1077" t="s">
        <v>385</v>
      </c>
      <c r="L1077" t="s">
        <v>42</v>
      </c>
      <c r="M1077" t="s">
        <v>463</v>
      </c>
      <c r="N1077" t="s">
        <v>1799</v>
      </c>
      <c r="O1077" t="s">
        <v>219</v>
      </c>
      <c r="P1077" t="str">
        <f>_xlfn.TEXTBEFORE(_xlfn.TEXTAFTER(Table26[[#This Row],[WBS CODE]], "-"), "-")</f>
        <v>30101036193</v>
      </c>
    </row>
    <row r="1078" spans="1:16" x14ac:dyDescent="0.3">
      <c r="A1078">
        <v>1077</v>
      </c>
      <c r="B1078" t="s">
        <v>30</v>
      </c>
      <c r="C1078" t="s">
        <v>2003</v>
      </c>
      <c r="D1078" t="s">
        <v>2004</v>
      </c>
      <c r="E1078" t="s">
        <v>1772</v>
      </c>
      <c r="F1078" t="s">
        <v>1862</v>
      </c>
      <c r="G1078" t="s">
        <v>1971</v>
      </c>
      <c r="H1078" t="s">
        <v>2000</v>
      </c>
      <c r="I1078" t="s">
        <v>2004</v>
      </c>
      <c r="J1078" t="s">
        <v>373</v>
      </c>
      <c r="K1078" t="s">
        <v>385</v>
      </c>
      <c r="L1078" t="s">
        <v>42</v>
      </c>
      <c r="M1078" t="s">
        <v>466</v>
      </c>
      <c r="N1078" t="s">
        <v>1799</v>
      </c>
      <c r="O1078" t="s">
        <v>219</v>
      </c>
      <c r="P1078" t="str">
        <f>_xlfn.TEXTBEFORE(_xlfn.TEXTAFTER(Table26[[#This Row],[WBS CODE]], "-"), "-")</f>
        <v>30101036118</v>
      </c>
    </row>
    <row r="1079" spans="1:16" x14ac:dyDescent="0.3">
      <c r="A1079">
        <v>1078</v>
      </c>
      <c r="B1079" t="s">
        <v>30</v>
      </c>
      <c r="C1079" t="s">
        <v>2005</v>
      </c>
      <c r="D1079" t="s">
        <v>2006</v>
      </c>
      <c r="E1079" t="s">
        <v>1772</v>
      </c>
      <c r="F1079" t="s">
        <v>1862</v>
      </c>
      <c r="G1079" t="s">
        <v>1971</v>
      </c>
      <c r="H1079" t="s">
        <v>2000</v>
      </c>
      <c r="I1079" t="s">
        <v>2006</v>
      </c>
      <c r="J1079" t="s">
        <v>373</v>
      </c>
      <c r="K1079" t="s">
        <v>385</v>
      </c>
      <c r="L1079" t="s">
        <v>42</v>
      </c>
      <c r="M1079" t="s">
        <v>1156</v>
      </c>
      <c r="N1079" t="s">
        <v>1799</v>
      </c>
      <c r="O1079" t="s">
        <v>219</v>
      </c>
      <c r="P1079" t="str">
        <f>_xlfn.TEXTBEFORE(_xlfn.TEXTAFTER(Table26[[#This Row],[WBS CODE]], "-"), "-")</f>
        <v>30101036102</v>
      </c>
    </row>
    <row r="1080" spans="1:16" x14ac:dyDescent="0.3">
      <c r="A1080">
        <v>1079</v>
      </c>
      <c r="B1080" t="s">
        <v>30</v>
      </c>
      <c r="C1080" t="s">
        <v>2007</v>
      </c>
      <c r="D1080" t="s">
        <v>2008</v>
      </c>
      <c r="E1080" t="s">
        <v>1772</v>
      </c>
      <c r="F1080" t="s">
        <v>1862</v>
      </c>
      <c r="G1080" t="s">
        <v>1971</v>
      </c>
      <c r="H1080" t="s">
        <v>2000</v>
      </c>
      <c r="I1080" t="s">
        <v>2008</v>
      </c>
      <c r="J1080" t="s">
        <v>373</v>
      </c>
      <c r="K1080" t="s">
        <v>385</v>
      </c>
      <c r="L1080" t="s">
        <v>42</v>
      </c>
      <c r="M1080" t="s">
        <v>471</v>
      </c>
      <c r="N1080" t="s">
        <v>1799</v>
      </c>
      <c r="O1080" t="s">
        <v>219</v>
      </c>
      <c r="P1080" t="str">
        <f>_xlfn.TEXTBEFORE(_xlfn.TEXTAFTER(Table26[[#This Row],[WBS CODE]], "-"), "-")</f>
        <v>30101036101</v>
      </c>
    </row>
    <row r="1081" spans="1:16" x14ac:dyDescent="0.3">
      <c r="A1081">
        <v>1080</v>
      </c>
      <c r="B1081" t="s">
        <v>21</v>
      </c>
      <c r="C1081" t="s">
        <v>2009</v>
      </c>
      <c r="D1081" t="s">
        <v>2010</v>
      </c>
      <c r="E1081" t="s">
        <v>1772</v>
      </c>
      <c r="F1081" t="s">
        <v>1862</v>
      </c>
      <c r="G1081" t="s">
        <v>2010</v>
      </c>
      <c r="J1081" t="s">
        <v>373</v>
      </c>
      <c r="K1081" t="s">
        <v>385</v>
      </c>
      <c r="N1081" t="s">
        <v>1803</v>
      </c>
      <c r="O1081" t="s">
        <v>219</v>
      </c>
      <c r="P1081" t="str">
        <f>_xlfn.TEXTBEFORE(_xlfn.TEXTAFTER(Table26[[#This Row],[WBS CODE]], "-"), "-")</f>
        <v>3010102</v>
      </c>
    </row>
    <row r="1082" spans="1:16" x14ac:dyDescent="0.3">
      <c r="A1082">
        <v>1081</v>
      </c>
      <c r="B1082" t="s">
        <v>26</v>
      </c>
      <c r="C1082" t="s">
        <v>2011</v>
      </c>
      <c r="D1082" t="s">
        <v>2012</v>
      </c>
      <c r="E1082" t="s">
        <v>1772</v>
      </c>
      <c r="F1082" t="s">
        <v>1862</v>
      </c>
      <c r="G1082" t="s">
        <v>2010</v>
      </c>
      <c r="H1082" t="s">
        <v>2012</v>
      </c>
      <c r="J1082" t="s">
        <v>373</v>
      </c>
      <c r="K1082" t="s">
        <v>385</v>
      </c>
      <c r="L1082" t="s">
        <v>900</v>
      </c>
      <c r="N1082" t="s">
        <v>1803</v>
      </c>
      <c r="O1082" t="s">
        <v>219</v>
      </c>
      <c r="P1082" t="str">
        <f>_xlfn.TEXTBEFORE(_xlfn.TEXTAFTER(Table26[[#This Row],[WBS CODE]], "-"), "-")</f>
        <v>301010202</v>
      </c>
    </row>
    <row r="1083" spans="1:16" x14ac:dyDescent="0.3">
      <c r="A1083">
        <v>1082</v>
      </c>
      <c r="B1083" t="s">
        <v>30</v>
      </c>
      <c r="C1083" t="s">
        <v>390</v>
      </c>
      <c r="D1083" t="s">
        <v>2013</v>
      </c>
      <c r="E1083" t="s">
        <v>1772</v>
      </c>
      <c r="F1083" t="s">
        <v>1862</v>
      </c>
      <c r="G1083" t="s">
        <v>2010</v>
      </c>
      <c r="H1083" t="s">
        <v>2012</v>
      </c>
      <c r="I1083" t="s">
        <v>2013</v>
      </c>
      <c r="J1083" t="s">
        <v>373</v>
      </c>
      <c r="K1083" t="s">
        <v>385</v>
      </c>
      <c r="L1083" t="s">
        <v>900</v>
      </c>
      <c r="M1083" t="s">
        <v>390</v>
      </c>
      <c r="P1083" t="str">
        <f>_xlfn.TEXTBEFORE(_xlfn.TEXTAFTER(Table26[[#This Row],[WBS CODE]], "-"), "-")</f>
        <v>30101020224</v>
      </c>
    </row>
    <row r="1084" spans="1:16" x14ac:dyDescent="0.3">
      <c r="A1084">
        <v>1083</v>
      </c>
      <c r="B1084" t="s">
        <v>30</v>
      </c>
      <c r="C1084" t="s">
        <v>1891</v>
      </c>
      <c r="D1084" t="s">
        <v>2014</v>
      </c>
      <c r="E1084" t="s">
        <v>1772</v>
      </c>
      <c r="F1084" t="s">
        <v>1862</v>
      </c>
      <c r="G1084" t="s">
        <v>2010</v>
      </c>
      <c r="H1084" t="s">
        <v>2012</v>
      </c>
      <c r="I1084" t="s">
        <v>2014</v>
      </c>
      <c r="J1084" t="s">
        <v>373</v>
      </c>
      <c r="K1084" t="s">
        <v>385</v>
      </c>
      <c r="L1084" t="s">
        <v>900</v>
      </c>
      <c r="M1084" t="s">
        <v>393</v>
      </c>
      <c r="P1084" t="str">
        <f>_xlfn.TEXTBEFORE(_xlfn.TEXTAFTER(Table26[[#This Row],[WBS CODE]], "-"), "-")</f>
        <v>30101020298</v>
      </c>
    </row>
    <row r="1085" spans="1:16" x14ac:dyDescent="0.3">
      <c r="A1085">
        <v>1084</v>
      </c>
      <c r="B1085" t="s">
        <v>30</v>
      </c>
      <c r="C1085" t="s">
        <v>1893</v>
      </c>
      <c r="D1085" t="s">
        <v>2015</v>
      </c>
      <c r="E1085" t="s">
        <v>1772</v>
      </c>
      <c r="F1085" t="s">
        <v>1862</v>
      </c>
      <c r="G1085" t="s">
        <v>2010</v>
      </c>
      <c r="H1085" t="s">
        <v>2012</v>
      </c>
      <c r="I1085" t="s">
        <v>2015</v>
      </c>
      <c r="J1085" t="s">
        <v>373</v>
      </c>
      <c r="K1085" t="s">
        <v>385</v>
      </c>
      <c r="L1085" t="s">
        <v>900</v>
      </c>
      <c r="M1085" t="s">
        <v>396</v>
      </c>
      <c r="P1085" t="str">
        <f>_xlfn.TEXTBEFORE(_xlfn.TEXTAFTER(Table26[[#This Row],[WBS CODE]], "-"), "-")</f>
        <v>30101020297</v>
      </c>
    </row>
    <row r="1086" spans="1:16" x14ac:dyDescent="0.3">
      <c r="A1086">
        <v>1085</v>
      </c>
      <c r="B1086" t="s">
        <v>30</v>
      </c>
      <c r="C1086" t="s">
        <v>399</v>
      </c>
      <c r="D1086" t="s">
        <v>2016</v>
      </c>
      <c r="E1086" t="s">
        <v>1772</v>
      </c>
      <c r="F1086" t="s">
        <v>1862</v>
      </c>
      <c r="G1086" t="s">
        <v>2010</v>
      </c>
      <c r="H1086" t="s">
        <v>2012</v>
      </c>
      <c r="I1086" t="s">
        <v>2016</v>
      </c>
      <c r="J1086" t="s">
        <v>373</v>
      </c>
      <c r="K1086" t="s">
        <v>385</v>
      </c>
      <c r="L1086" t="s">
        <v>900</v>
      </c>
      <c r="M1086" t="s">
        <v>399</v>
      </c>
      <c r="P1086" t="str">
        <f>_xlfn.TEXTBEFORE(_xlfn.TEXTAFTER(Table26[[#This Row],[WBS CODE]], "-"), "-")</f>
        <v>30101020296</v>
      </c>
    </row>
    <row r="1087" spans="1:16" x14ac:dyDescent="0.3">
      <c r="A1087">
        <v>1086</v>
      </c>
      <c r="B1087" t="s">
        <v>30</v>
      </c>
      <c r="C1087" t="s">
        <v>402</v>
      </c>
      <c r="D1087" t="s">
        <v>2017</v>
      </c>
      <c r="E1087" t="s">
        <v>1772</v>
      </c>
      <c r="F1087" t="s">
        <v>1862</v>
      </c>
      <c r="G1087" t="s">
        <v>2010</v>
      </c>
      <c r="H1087" t="s">
        <v>2012</v>
      </c>
      <c r="I1087" t="s">
        <v>2017</v>
      </c>
      <c r="J1087" t="s">
        <v>373</v>
      </c>
      <c r="K1087" t="s">
        <v>385</v>
      </c>
      <c r="L1087" t="s">
        <v>900</v>
      </c>
      <c r="M1087" t="s">
        <v>402</v>
      </c>
      <c r="P1087" t="str">
        <f>_xlfn.TEXTBEFORE(_xlfn.TEXTAFTER(Table26[[#This Row],[WBS CODE]], "-"), "-")</f>
        <v>30101020295</v>
      </c>
    </row>
    <row r="1088" spans="1:16" x14ac:dyDescent="0.3">
      <c r="A1088">
        <v>1087</v>
      </c>
      <c r="B1088" t="s">
        <v>30</v>
      </c>
      <c r="C1088" t="s">
        <v>405</v>
      </c>
      <c r="D1088" t="s">
        <v>2018</v>
      </c>
      <c r="E1088" t="s">
        <v>1772</v>
      </c>
      <c r="F1088" t="s">
        <v>1862</v>
      </c>
      <c r="G1088" t="s">
        <v>2010</v>
      </c>
      <c r="H1088" t="s">
        <v>2012</v>
      </c>
      <c r="I1088" t="s">
        <v>2018</v>
      </c>
      <c r="J1088" t="s">
        <v>373</v>
      </c>
      <c r="K1088" t="s">
        <v>385</v>
      </c>
      <c r="L1088" t="s">
        <v>900</v>
      </c>
      <c r="M1088" t="s">
        <v>405</v>
      </c>
      <c r="P1088" t="str">
        <f>_xlfn.TEXTBEFORE(_xlfn.TEXTAFTER(Table26[[#This Row],[WBS CODE]], "-"), "-")</f>
        <v>30101020294</v>
      </c>
    </row>
    <row r="1089" spans="1:16" x14ac:dyDescent="0.3">
      <c r="A1089">
        <v>1088</v>
      </c>
      <c r="B1089" t="s">
        <v>30</v>
      </c>
      <c r="C1089" t="s">
        <v>1898</v>
      </c>
      <c r="D1089" t="s">
        <v>2019</v>
      </c>
      <c r="E1089" t="s">
        <v>1772</v>
      </c>
      <c r="F1089" t="s">
        <v>1862</v>
      </c>
      <c r="G1089" t="s">
        <v>2010</v>
      </c>
      <c r="H1089" t="s">
        <v>2012</v>
      </c>
      <c r="I1089" t="s">
        <v>2019</v>
      </c>
      <c r="J1089" t="s">
        <v>373</v>
      </c>
      <c r="K1089" t="s">
        <v>385</v>
      </c>
      <c r="L1089" t="s">
        <v>900</v>
      </c>
      <c r="M1089" t="s">
        <v>408</v>
      </c>
      <c r="P1089" t="str">
        <f>_xlfn.TEXTBEFORE(_xlfn.TEXTAFTER(Table26[[#This Row],[WBS CODE]], "-"), "-")</f>
        <v>30101020220</v>
      </c>
    </row>
    <row r="1090" spans="1:16" x14ac:dyDescent="0.3">
      <c r="A1090">
        <v>1089</v>
      </c>
      <c r="B1090" t="s">
        <v>30</v>
      </c>
      <c r="C1090" t="s">
        <v>411</v>
      </c>
      <c r="D1090" t="s">
        <v>2020</v>
      </c>
      <c r="E1090" t="s">
        <v>1772</v>
      </c>
      <c r="F1090" t="s">
        <v>1862</v>
      </c>
      <c r="G1090" t="s">
        <v>2010</v>
      </c>
      <c r="H1090" t="s">
        <v>2012</v>
      </c>
      <c r="I1090" t="s">
        <v>2020</v>
      </c>
      <c r="J1090" t="s">
        <v>373</v>
      </c>
      <c r="K1090" t="s">
        <v>385</v>
      </c>
      <c r="L1090" t="s">
        <v>900</v>
      </c>
      <c r="M1090" t="s">
        <v>411</v>
      </c>
      <c r="P1090" t="str">
        <f>_xlfn.TEXTBEFORE(_xlfn.TEXTAFTER(Table26[[#This Row],[WBS CODE]], "-"), "-")</f>
        <v>30101020217</v>
      </c>
    </row>
    <row r="1091" spans="1:16" x14ac:dyDescent="0.3">
      <c r="A1091">
        <v>1090</v>
      </c>
      <c r="B1091" t="s">
        <v>30</v>
      </c>
      <c r="C1091" t="s">
        <v>414</v>
      </c>
      <c r="D1091" t="s">
        <v>2021</v>
      </c>
      <c r="E1091" t="s">
        <v>1772</v>
      </c>
      <c r="F1091" t="s">
        <v>1862</v>
      </c>
      <c r="G1091" t="s">
        <v>2010</v>
      </c>
      <c r="H1091" t="s">
        <v>2012</v>
      </c>
      <c r="I1091" t="s">
        <v>2021</v>
      </c>
      <c r="J1091" t="s">
        <v>373</v>
      </c>
      <c r="K1091" t="s">
        <v>385</v>
      </c>
      <c r="L1091" t="s">
        <v>900</v>
      </c>
      <c r="M1091" t="s">
        <v>414</v>
      </c>
      <c r="P1091" t="str">
        <f>_xlfn.TEXTBEFORE(_xlfn.TEXTAFTER(Table26[[#This Row],[WBS CODE]], "-"), "-")</f>
        <v>30101020216</v>
      </c>
    </row>
    <row r="1092" spans="1:16" x14ac:dyDescent="0.3">
      <c r="A1092">
        <v>1091</v>
      </c>
      <c r="B1092" t="s">
        <v>30</v>
      </c>
      <c r="C1092" t="s">
        <v>417</v>
      </c>
      <c r="D1092" t="s">
        <v>2022</v>
      </c>
      <c r="E1092" t="s">
        <v>1772</v>
      </c>
      <c r="F1092" t="s">
        <v>1862</v>
      </c>
      <c r="G1092" t="s">
        <v>2010</v>
      </c>
      <c r="H1092" t="s">
        <v>2012</v>
      </c>
      <c r="I1092" t="s">
        <v>2022</v>
      </c>
      <c r="J1092" t="s">
        <v>373</v>
      </c>
      <c r="K1092" t="s">
        <v>385</v>
      </c>
      <c r="L1092" t="s">
        <v>900</v>
      </c>
      <c r="M1092" t="s">
        <v>417</v>
      </c>
      <c r="P1092" t="str">
        <f>_xlfn.TEXTBEFORE(_xlfn.TEXTAFTER(Table26[[#This Row],[WBS CODE]], "-"), "-")</f>
        <v>30101020215</v>
      </c>
    </row>
    <row r="1093" spans="1:16" x14ac:dyDescent="0.3">
      <c r="A1093">
        <v>1092</v>
      </c>
      <c r="B1093" t="s">
        <v>30</v>
      </c>
      <c r="C1093" t="s">
        <v>1903</v>
      </c>
      <c r="D1093" t="s">
        <v>2023</v>
      </c>
      <c r="E1093" t="s">
        <v>1772</v>
      </c>
      <c r="F1093" t="s">
        <v>1862</v>
      </c>
      <c r="G1093" t="s">
        <v>2010</v>
      </c>
      <c r="H1093" t="s">
        <v>2012</v>
      </c>
      <c r="I1093" t="s">
        <v>2023</v>
      </c>
      <c r="J1093" t="s">
        <v>373</v>
      </c>
      <c r="K1093" t="s">
        <v>385</v>
      </c>
      <c r="L1093" t="s">
        <v>900</v>
      </c>
      <c r="M1093" t="s">
        <v>420</v>
      </c>
      <c r="P1093" t="str">
        <f>_xlfn.TEXTBEFORE(_xlfn.TEXTAFTER(Table26[[#This Row],[WBS CODE]], "-"), "-")</f>
        <v>30101020214</v>
      </c>
    </row>
    <row r="1094" spans="1:16" x14ac:dyDescent="0.3">
      <c r="A1094">
        <v>1093</v>
      </c>
      <c r="B1094" t="s">
        <v>30</v>
      </c>
      <c r="C1094" t="s">
        <v>423</v>
      </c>
      <c r="D1094" t="s">
        <v>2024</v>
      </c>
      <c r="E1094" t="s">
        <v>1772</v>
      </c>
      <c r="F1094" t="s">
        <v>1862</v>
      </c>
      <c r="G1094" t="s">
        <v>2010</v>
      </c>
      <c r="H1094" t="s">
        <v>2012</v>
      </c>
      <c r="I1094" t="s">
        <v>2024</v>
      </c>
      <c r="J1094" t="s">
        <v>373</v>
      </c>
      <c r="K1094" t="s">
        <v>385</v>
      </c>
      <c r="L1094" t="s">
        <v>900</v>
      </c>
      <c r="M1094" t="s">
        <v>423</v>
      </c>
      <c r="P1094" t="str">
        <f>_xlfn.TEXTBEFORE(_xlfn.TEXTAFTER(Table26[[#This Row],[WBS CODE]], "-"), "-")</f>
        <v>30101020213</v>
      </c>
    </row>
    <row r="1095" spans="1:16" x14ac:dyDescent="0.3">
      <c r="A1095">
        <v>1094</v>
      </c>
      <c r="B1095" t="s">
        <v>30</v>
      </c>
      <c r="C1095" t="s">
        <v>426</v>
      </c>
      <c r="D1095" t="s">
        <v>2025</v>
      </c>
      <c r="E1095" t="s">
        <v>1772</v>
      </c>
      <c r="F1095" t="s">
        <v>1862</v>
      </c>
      <c r="G1095" t="s">
        <v>2010</v>
      </c>
      <c r="H1095" t="s">
        <v>2012</v>
      </c>
      <c r="I1095" t="s">
        <v>2025</v>
      </c>
      <c r="J1095" t="s">
        <v>373</v>
      </c>
      <c r="K1095" t="s">
        <v>385</v>
      </c>
      <c r="L1095" t="s">
        <v>900</v>
      </c>
      <c r="M1095" t="s">
        <v>426</v>
      </c>
      <c r="P1095" t="str">
        <f>_xlfn.TEXTBEFORE(_xlfn.TEXTAFTER(Table26[[#This Row],[WBS CODE]], "-"), "-")</f>
        <v>30101020247</v>
      </c>
    </row>
    <row r="1096" spans="1:16" x14ac:dyDescent="0.3">
      <c r="A1096">
        <v>1095</v>
      </c>
      <c r="B1096" t="s">
        <v>30</v>
      </c>
      <c r="C1096" t="s">
        <v>429</v>
      </c>
      <c r="D1096" t="s">
        <v>2026</v>
      </c>
      <c r="E1096" t="s">
        <v>1772</v>
      </c>
      <c r="F1096" t="s">
        <v>1862</v>
      </c>
      <c r="G1096" t="s">
        <v>2010</v>
      </c>
      <c r="H1096" t="s">
        <v>2012</v>
      </c>
      <c r="I1096" t="s">
        <v>2026</v>
      </c>
      <c r="J1096" t="s">
        <v>373</v>
      </c>
      <c r="K1096" t="s">
        <v>385</v>
      </c>
      <c r="L1096" t="s">
        <v>900</v>
      </c>
      <c r="M1096" t="s">
        <v>429</v>
      </c>
      <c r="P1096" t="str">
        <f>_xlfn.TEXTBEFORE(_xlfn.TEXTAFTER(Table26[[#This Row],[WBS CODE]], "-"), "-")</f>
        <v>30101020212</v>
      </c>
    </row>
    <row r="1097" spans="1:16" x14ac:dyDescent="0.3">
      <c r="A1097">
        <v>1096</v>
      </c>
      <c r="B1097" t="s">
        <v>30</v>
      </c>
      <c r="C1097" t="s">
        <v>432</v>
      </c>
      <c r="D1097" t="s">
        <v>2027</v>
      </c>
      <c r="E1097" t="s">
        <v>1772</v>
      </c>
      <c r="F1097" t="s">
        <v>1862</v>
      </c>
      <c r="G1097" t="s">
        <v>2010</v>
      </c>
      <c r="H1097" t="s">
        <v>2012</v>
      </c>
      <c r="I1097" t="s">
        <v>2027</v>
      </c>
      <c r="J1097" t="s">
        <v>373</v>
      </c>
      <c r="K1097" t="s">
        <v>385</v>
      </c>
      <c r="L1097" t="s">
        <v>900</v>
      </c>
      <c r="M1097" t="s">
        <v>432</v>
      </c>
      <c r="P1097" t="str">
        <f>_xlfn.TEXTBEFORE(_xlfn.TEXTAFTER(Table26[[#This Row],[WBS CODE]], "-"), "-")</f>
        <v>30101020211</v>
      </c>
    </row>
    <row r="1098" spans="1:16" x14ac:dyDescent="0.3">
      <c r="A1098">
        <v>1097</v>
      </c>
      <c r="B1098" t="s">
        <v>30</v>
      </c>
      <c r="C1098" t="s">
        <v>435</v>
      </c>
      <c r="D1098" t="s">
        <v>2028</v>
      </c>
      <c r="E1098" t="s">
        <v>1772</v>
      </c>
      <c r="F1098" t="s">
        <v>1862</v>
      </c>
      <c r="G1098" t="s">
        <v>2010</v>
      </c>
      <c r="H1098" t="s">
        <v>2012</v>
      </c>
      <c r="I1098" t="s">
        <v>2028</v>
      </c>
      <c r="J1098" t="s">
        <v>373</v>
      </c>
      <c r="K1098" t="s">
        <v>385</v>
      </c>
      <c r="L1098" t="s">
        <v>900</v>
      </c>
      <c r="M1098" t="s">
        <v>435</v>
      </c>
      <c r="P1098" t="str">
        <f>_xlfn.TEXTBEFORE(_xlfn.TEXTAFTER(Table26[[#This Row],[WBS CODE]], "-"), "-")</f>
        <v>30101020210</v>
      </c>
    </row>
    <row r="1099" spans="1:16" x14ac:dyDescent="0.3">
      <c r="A1099">
        <v>1098</v>
      </c>
      <c r="B1099" t="s">
        <v>30</v>
      </c>
      <c r="C1099" t="s">
        <v>438</v>
      </c>
      <c r="D1099" t="s">
        <v>2029</v>
      </c>
      <c r="E1099" t="s">
        <v>1772</v>
      </c>
      <c r="F1099" t="s">
        <v>1862</v>
      </c>
      <c r="G1099" t="s">
        <v>2010</v>
      </c>
      <c r="H1099" t="s">
        <v>2012</v>
      </c>
      <c r="I1099" t="s">
        <v>2029</v>
      </c>
      <c r="J1099" t="s">
        <v>373</v>
      </c>
      <c r="K1099" t="s">
        <v>385</v>
      </c>
      <c r="L1099" t="s">
        <v>900</v>
      </c>
      <c r="M1099" t="s">
        <v>438</v>
      </c>
      <c r="P1099" t="str">
        <f>_xlfn.TEXTBEFORE(_xlfn.TEXTAFTER(Table26[[#This Row],[WBS CODE]], "-"), "-")</f>
        <v>30101020209</v>
      </c>
    </row>
    <row r="1100" spans="1:16" x14ac:dyDescent="0.3">
      <c r="A1100">
        <v>1099</v>
      </c>
      <c r="B1100" t="s">
        <v>30</v>
      </c>
      <c r="C1100" t="s">
        <v>441</v>
      </c>
      <c r="D1100" t="s">
        <v>2030</v>
      </c>
      <c r="E1100" t="s">
        <v>1772</v>
      </c>
      <c r="F1100" t="s">
        <v>1862</v>
      </c>
      <c r="G1100" t="s">
        <v>2010</v>
      </c>
      <c r="H1100" t="s">
        <v>2012</v>
      </c>
      <c r="I1100" t="s">
        <v>2030</v>
      </c>
      <c r="J1100" t="s">
        <v>373</v>
      </c>
      <c r="K1100" t="s">
        <v>385</v>
      </c>
      <c r="L1100" t="s">
        <v>900</v>
      </c>
      <c r="M1100" t="s">
        <v>441</v>
      </c>
      <c r="P1100" t="str">
        <f>_xlfn.TEXTBEFORE(_xlfn.TEXTAFTER(Table26[[#This Row],[WBS CODE]], "-"), "-")</f>
        <v>30101020208</v>
      </c>
    </row>
    <row r="1101" spans="1:16" x14ac:dyDescent="0.3">
      <c r="A1101">
        <v>1100</v>
      </c>
      <c r="B1101" t="s">
        <v>30</v>
      </c>
      <c r="C1101" t="s">
        <v>1912</v>
      </c>
      <c r="D1101" t="s">
        <v>2031</v>
      </c>
      <c r="E1101" t="s">
        <v>1772</v>
      </c>
      <c r="F1101" t="s">
        <v>1862</v>
      </c>
      <c r="G1101" t="s">
        <v>2010</v>
      </c>
      <c r="H1101" t="s">
        <v>2012</v>
      </c>
      <c r="I1101" t="s">
        <v>2031</v>
      </c>
      <c r="J1101" t="s">
        <v>373</v>
      </c>
      <c r="K1101" t="s">
        <v>385</v>
      </c>
      <c r="L1101" t="s">
        <v>900</v>
      </c>
      <c r="M1101" t="s">
        <v>444</v>
      </c>
      <c r="P1101" t="str">
        <f>_xlfn.TEXTBEFORE(_xlfn.TEXTAFTER(Table26[[#This Row],[WBS CODE]], "-"), "-")</f>
        <v>30101020207</v>
      </c>
    </row>
    <row r="1102" spans="1:16" x14ac:dyDescent="0.3">
      <c r="A1102">
        <v>1101</v>
      </c>
      <c r="B1102" t="s">
        <v>30</v>
      </c>
      <c r="C1102" t="s">
        <v>447</v>
      </c>
      <c r="D1102" t="s">
        <v>2032</v>
      </c>
      <c r="E1102" t="s">
        <v>1772</v>
      </c>
      <c r="F1102" t="s">
        <v>1862</v>
      </c>
      <c r="G1102" t="s">
        <v>2010</v>
      </c>
      <c r="H1102" t="s">
        <v>2012</v>
      </c>
      <c r="I1102" t="s">
        <v>2032</v>
      </c>
      <c r="J1102" t="s">
        <v>373</v>
      </c>
      <c r="K1102" t="s">
        <v>385</v>
      </c>
      <c r="L1102" t="s">
        <v>900</v>
      </c>
      <c r="M1102" t="s">
        <v>447</v>
      </c>
      <c r="P1102" t="str">
        <f>_xlfn.TEXTBEFORE(_xlfn.TEXTAFTER(Table26[[#This Row],[WBS CODE]], "-"), "-")</f>
        <v>30101020205</v>
      </c>
    </row>
    <row r="1103" spans="1:16" x14ac:dyDescent="0.3">
      <c r="A1103">
        <v>1102</v>
      </c>
      <c r="B1103" t="s">
        <v>30</v>
      </c>
      <c r="C1103" t="s">
        <v>1915</v>
      </c>
      <c r="D1103" t="s">
        <v>2033</v>
      </c>
      <c r="E1103" t="s">
        <v>1772</v>
      </c>
      <c r="F1103" t="s">
        <v>1862</v>
      </c>
      <c r="G1103" t="s">
        <v>2010</v>
      </c>
      <c r="H1103" t="s">
        <v>2012</v>
      </c>
      <c r="I1103" t="s">
        <v>2033</v>
      </c>
      <c r="J1103" t="s">
        <v>373</v>
      </c>
      <c r="K1103" t="s">
        <v>385</v>
      </c>
      <c r="L1103" t="s">
        <v>900</v>
      </c>
      <c r="M1103" t="s">
        <v>450</v>
      </c>
      <c r="P1103" t="str">
        <f>_xlfn.TEXTBEFORE(_xlfn.TEXTAFTER(Table26[[#This Row],[WBS CODE]], "-"), "-")</f>
        <v>30101020204</v>
      </c>
    </row>
    <row r="1104" spans="1:16" x14ac:dyDescent="0.3">
      <c r="A1104">
        <v>1103</v>
      </c>
      <c r="B1104" t="s">
        <v>26</v>
      </c>
      <c r="C1104" t="s">
        <v>2034</v>
      </c>
      <c r="D1104" t="s">
        <v>2035</v>
      </c>
      <c r="E1104" t="s">
        <v>1772</v>
      </c>
      <c r="F1104" t="s">
        <v>1862</v>
      </c>
      <c r="G1104" t="s">
        <v>2010</v>
      </c>
      <c r="H1104" t="s">
        <v>2035</v>
      </c>
      <c r="J1104" t="s">
        <v>373</v>
      </c>
      <c r="K1104" t="s">
        <v>385</v>
      </c>
      <c r="L1104" t="s">
        <v>39</v>
      </c>
      <c r="N1104" t="s">
        <v>1803</v>
      </c>
      <c r="O1104" t="s">
        <v>219</v>
      </c>
      <c r="P1104" t="str">
        <f>_xlfn.TEXTBEFORE(_xlfn.TEXTAFTER(Table26[[#This Row],[WBS CODE]], "-"), "-")</f>
        <v>301010201</v>
      </c>
    </row>
    <row r="1105" spans="1:16" x14ac:dyDescent="0.3">
      <c r="A1105">
        <v>1104</v>
      </c>
      <c r="B1105" t="s">
        <v>30</v>
      </c>
      <c r="C1105" t="s">
        <v>2036</v>
      </c>
      <c r="D1105" t="s">
        <v>2037</v>
      </c>
      <c r="E1105" t="s">
        <v>1772</v>
      </c>
      <c r="F1105" t="s">
        <v>1862</v>
      </c>
      <c r="G1105" t="s">
        <v>2010</v>
      </c>
      <c r="H1105" t="s">
        <v>2035</v>
      </c>
      <c r="I1105" t="s">
        <v>2037</v>
      </c>
      <c r="J1105" t="s">
        <v>373</v>
      </c>
      <c r="K1105" t="s">
        <v>385</v>
      </c>
      <c r="L1105" t="s">
        <v>39</v>
      </c>
      <c r="M1105" t="s">
        <v>455</v>
      </c>
      <c r="N1105" t="s">
        <v>1803</v>
      </c>
      <c r="O1105" t="s">
        <v>219</v>
      </c>
      <c r="P1105" t="str">
        <f>_xlfn.TEXTBEFORE(_xlfn.TEXTAFTER(Table26[[#This Row],[WBS CODE]], "-"), "-")</f>
        <v>30101020160</v>
      </c>
    </row>
    <row r="1106" spans="1:16" x14ac:dyDescent="0.3">
      <c r="A1106">
        <v>1105</v>
      </c>
      <c r="B1106" t="s">
        <v>26</v>
      </c>
      <c r="C1106" t="s">
        <v>2038</v>
      </c>
      <c r="D1106" t="s">
        <v>2039</v>
      </c>
      <c r="E1106" t="s">
        <v>1772</v>
      </c>
      <c r="F1106" t="s">
        <v>1862</v>
      </c>
      <c r="G1106" t="s">
        <v>2010</v>
      </c>
      <c r="H1106" t="s">
        <v>2039</v>
      </c>
      <c r="J1106" t="s">
        <v>373</v>
      </c>
      <c r="K1106" t="s">
        <v>385</v>
      </c>
      <c r="L1106" t="s">
        <v>42</v>
      </c>
      <c r="N1106" t="s">
        <v>1803</v>
      </c>
      <c r="O1106" t="s">
        <v>219</v>
      </c>
      <c r="P1106" t="str">
        <f>_xlfn.TEXTBEFORE(_xlfn.TEXTAFTER(Table26[[#This Row],[WBS CODE]], "-"), "-")</f>
        <v>301010261</v>
      </c>
    </row>
    <row r="1107" spans="1:16" x14ac:dyDescent="0.3">
      <c r="A1107">
        <v>1106</v>
      </c>
      <c r="B1107" t="s">
        <v>30</v>
      </c>
      <c r="C1107" t="s">
        <v>2040</v>
      </c>
      <c r="D1107" t="s">
        <v>2041</v>
      </c>
      <c r="E1107" t="s">
        <v>1772</v>
      </c>
      <c r="F1107" t="s">
        <v>1862</v>
      </c>
      <c r="G1107" t="s">
        <v>2010</v>
      </c>
      <c r="H1107" t="s">
        <v>2039</v>
      </c>
      <c r="I1107" t="s">
        <v>2041</v>
      </c>
      <c r="J1107" t="s">
        <v>373</v>
      </c>
      <c r="K1107" t="s">
        <v>385</v>
      </c>
      <c r="L1107" t="s">
        <v>42</v>
      </c>
      <c r="M1107" t="s">
        <v>463</v>
      </c>
      <c r="N1107" t="s">
        <v>1803</v>
      </c>
      <c r="O1107" t="s">
        <v>219</v>
      </c>
      <c r="P1107" t="str">
        <f>_xlfn.TEXTBEFORE(_xlfn.TEXTAFTER(Table26[[#This Row],[WBS CODE]], "-"), "-")</f>
        <v>30101026193</v>
      </c>
    </row>
    <row r="1108" spans="1:16" x14ac:dyDescent="0.3">
      <c r="A1108">
        <v>1107</v>
      </c>
      <c r="B1108" t="s">
        <v>30</v>
      </c>
      <c r="C1108" t="s">
        <v>2042</v>
      </c>
      <c r="D1108" t="s">
        <v>2043</v>
      </c>
      <c r="E1108" t="s">
        <v>1772</v>
      </c>
      <c r="F1108" t="s">
        <v>1862</v>
      </c>
      <c r="G1108" t="s">
        <v>2010</v>
      </c>
      <c r="H1108" t="s">
        <v>2039</v>
      </c>
      <c r="I1108" t="s">
        <v>2043</v>
      </c>
      <c r="J1108" t="s">
        <v>373</v>
      </c>
      <c r="K1108" t="s">
        <v>385</v>
      </c>
      <c r="L1108" t="s">
        <v>42</v>
      </c>
      <c r="M1108" t="s">
        <v>466</v>
      </c>
      <c r="N1108" t="s">
        <v>1803</v>
      </c>
      <c r="O1108" t="s">
        <v>219</v>
      </c>
      <c r="P1108" t="str">
        <f>_xlfn.TEXTBEFORE(_xlfn.TEXTAFTER(Table26[[#This Row],[WBS CODE]], "-"), "-")</f>
        <v>30101026118</v>
      </c>
    </row>
    <row r="1109" spans="1:16" x14ac:dyDescent="0.3">
      <c r="A1109">
        <v>1108</v>
      </c>
      <c r="B1109" t="s">
        <v>30</v>
      </c>
      <c r="C1109" t="s">
        <v>2044</v>
      </c>
      <c r="D1109" t="s">
        <v>2045</v>
      </c>
      <c r="E1109" t="s">
        <v>1772</v>
      </c>
      <c r="F1109" t="s">
        <v>1862</v>
      </c>
      <c r="G1109" t="s">
        <v>2010</v>
      </c>
      <c r="H1109" t="s">
        <v>2039</v>
      </c>
      <c r="I1109" t="s">
        <v>2045</v>
      </c>
      <c r="J1109" t="s">
        <v>373</v>
      </c>
      <c r="K1109" t="s">
        <v>385</v>
      </c>
      <c r="L1109" t="s">
        <v>42</v>
      </c>
      <c r="M1109" t="s">
        <v>1156</v>
      </c>
      <c r="N1109" t="s">
        <v>1803</v>
      </c>
      <c r="O1109" t="s">
        <v>219</v>
      </c>
      <c r="P1109" t="str">
        <f>_xlfn.TEXTBEFORE(_xlfn.TEXTAFTER(Table26[[#This Row],[WBS CODE]], "-"), "-")</f>
        <v>30101026102</v>
      </c>
    </row>
    <row r="1110" spans="1:16" x14ac:dyDescent="0.3">
      <c r="A1110">
        <v>1109</v>
      </c>
      <c r="B1110" t="s">
        <v>30</v>
      </c>
      <c r="C1110" t="s">
        <v>2046</v>
      </c>
      <c r="D1110" t="s">
        <v>2047</v>
      </c>
      <c r="E1110" t="s">
        <v>1772</v>
      </c>
      <c r="F1110" t="s">
        <v>1862</v>
      </c>
      <c r="G1110" t="s">
        <v>2010</v>
      </c>
      <c r="H1110" t="s">
        <v>2039</v>
      </c>
      <c r="I1110" t="s">
        <v>2047</v>
      </c>
      <c r="J1110" t="s">
        <v>373</v>
      </c>
      <c r="K1110" t="s">
        <v>385</v>
      </c>
      <c r="L1110" t="s">
        <v>42</v>
      </c>
      <c r="M1110" t="s">
        <v>471</v>
      </c>
      <c r="N1110" t="s">
        <v>1803</v>
      </c>
      <c r="O1110" t="s">
        <v>219</v>
      </c>
      <c r="P1110" t="str">
        <f>_xlfn.TEXTBEFORE(_xlfn.TEXTAFTER(Table26[[#This Row],[WBS CODE]], "-"), "-")</f>
        <v>30101026101</v>
      </c>
    </row>
    <row r="1111" spans="1:16" x14ac:dyDescent="0.3">
      <c r="A1111">
        <v>1110</v>
      </c>
      <c r="B1111" t="s">
        <v>21</v>
      </c>
      <c r="C1111" t="s">
        <v>2048</v>
      </c>
      <c r="D1111" t="s">
        <v>2049</v>
      </c>
      <c r="E1111" t="s">
        <v>1772</v>
      </c>
      <c r="F1111" t="s">
        <v>1862</v>
      </c>
      <c r="G1111" t="s">
        <v>2049</v>
      </c>
      <c r="J1111" t="s">
        <v>373</v>
      </c>
      <c r="K1111" t="s">
        <v>385</v>
      </c>
      <c r="N1111" t="s">
        <v>1807</v>
      </c>
      <c r="O1111" t="s">
        <v>219</v>
      </c>
      <c r="P1111" t="str">
        <f>_xlfn.TEXTBEFORE(_xlfn.TEXTAFTER(Table26[[#This Row],[WBS CODE]], "-"), "-")</f>
        <v>3010101</v>
      </c>
    </row>
    <row r="1112" spans="1:16" x14ac:dyDescent="0.3">
      <c r="A1112">
        <v>1111</v>
      </c>
      <c r="B1112" t="s">
        <v>26</v>
      </c>
      <c r="C1112" t="s">
        <v>2050</v>
      </c>
      <c r="D1112" t="s">
        <v>2051</v>
      </c>
      <c r="E1112" t="s">
        <v>1772</v>
      </c>
      <c r="F1112" t="s">
        <v>1862</v>
      </c>
      <c r="G1112" t="s">
        <v>2049</v>
      </c>
      <c r="H1112" t="s">
        <v>2051</v>
      </c>
      <c r="J1112" t="s">
        <v>373</v>
      </c>
      <c r="K1112" t="s">
        <v>385</v>
      </c>
      <c r="L1112" t="s">
        <v>900</v>
      </c>
      <c r="N1112" t="s">
        <v>1807</v>
      </c>
      <c r="O1112" t="s">
        <v>219</v>
      </c>
      <c r="P1112" t="str">
        <f>_xlfn.TEXTBEFORE(_xlfn.TEXTAFTER(Table26[[#This Row],[WBS CODE]], "-"), "-")</f>
        <v>301010102</v>
      </c>
    </row>
    <row r="1113" spans="1:16" x14ac:dyDescent="0.3">
      <c r="A1113">
        <v>1112</v>
      </c>
      <c r="B1113" t="s">
        <v>30</v>
      </c>
      <c r="C1113" t="s">
        <v>390</v>
      </c>
      <c r="D1113" t="s">
        <v>2052</v>
      </c>
      <c r="E1113" t="s">
        <v>1772</v>
      </c>
      <c r="F1113" t="s">
        <v>1862</v>
      </c>
      <c r="G1113" t="s">
        <v>2049</v>
      </c>
      <c r="H1113" t="s">
        <v>2051</v>
      </c>
      <c r="I1113" t="s">
        <v>2052</v>
      </c>
      <c r="J1113" t="s">
        <v>373</v>
      </c>
      <c r="K1113" t="s">
        <v>385</v>
      </c>
      <c r="L1113" t="s">
        <v>900</v>
      </c>
      <c r="M1113" t="s">
        <v>390</v>
      </c>
      <c r="P1113" t="str">
        <f>_xlfn.TEXTBEFORE(_xlfn.TEXTAFTER(Table26[[#This Row],[WBS CODE]], "-"), "-")</f>
        <v>30101010224</v>
      </c>
    </row>
    <row r="1114" spans="1:16" x14ac:dyDescent="0.3">
      <c r="A1114">
        <v>1113</v>
      </c>
      <c r="B1114" t="s">
        <v>30</v>
      </c>
      <c r="C1114" t="s">
        <v>1891</v>
      </c>
      <c r="D1114" t="s">
        <v>2053</v>
      </c>
      <c r="E1114" t="s">
        <v>1772</v>
      </c>
      <c r="F1114" t="s">
        <v>1862</v>
      </c>
      <c r="G1114" t="s">
        <v>2049</v>
      </c>
      <c r="H1114" t="s">
        <v>2051</v>
      </c>
      <c r="I1114" t="s">
        <v>2053</v>
      </c>
      <c r="J1114" t="s">
        <v>373</v>
      </c>
      <c r="K1114" t="s">
        <v>385</v>
      </c>
      <c r="L1114" t="s">
        <v>900</v>
      </c>
      <c r="M1114" t="s">
        <v>393</v>
      </c>
      <c r="P1114" t="str">
        <f>_xlfn.TEXTBEFORE(_xlfn.TEXTAFTER(Table26[[#This Row],[WBS CODE]], "-"), "-")</f>
        <v>30101010298</v>
      </c>
    </row>
    <row r="1115" spans="1:16" x14ac:dyDescent="0.3">
      <c r="A1115">
        <v>1114</v>
      </c>
      <c r="B1115" t="s">
        <v>30</v>
      </c>
      <c r="C1115" t="s">
        <v>1893</v>
      </c>
      <c r="D1115" t="s">
        <v>2054</v>
      </c>
      <c r="E1115" t="s">
        <v>1772</v>
      </c>
      <c r="F1115" t="s">
        <v>1862</v>
      </c>
      <c r="G1115" t="s">
        <v>2049</v>
      </c>
      <c r="H1115" t="s">
        <v>2051</v>
      </c>
      <c r="I1115" t="s">
        <v>2054</v>
      </c>
      <c r="J1115" t="s">
        <v>373</v>
      </c>
      <c r="K1115" t="s">
        <v>385</v>
      </c>
      <c r="L1115" t="s">
        <v>900</v>
      </c>
      <c r="M1115" t="s">
        <v>396</v>
      </c>
      <c r="P1115" t="str">
        <f>_xlfn.TEXTBEFORE(_xlfn.TEXTAFTER(Table26[[#This Row],[WBS CODE]], "-"), "-")</f>
        <v>30101010297</v>
      </c>
    </row>
    <row r="1116" spans="1:16" x14ac:dyDescent="0.3">
      <c r="A1116">
        <v>1115</v>
      </c>
      <c r="B1116" t="s">
        <v>30</v>
      </c>
      <c r="C1116" t="s">
        <v>399</v>
      </c>
      <c r="D1116" t="s">
        <v>2055</v>
      </c>
      <c r="E1116" t="s">
        <v>1772</v>
      </c>
      <c r="F1116" t="s">
        <v>1862</v>
      </c>
      <c r="G1116" t="s">
        <v>2049</v>
      </c>
      <c r="H1116" t="s">
        <v>2051</v>
      </c>
      <c r="I1116" t="s">
        <v>2055</v>
      </c>
      <c r="J1116" t="s">
        <v>373</v>
      </c>
      <c r="K1116" t="s">
        <v>385</v>
      </c>
      <c r="L1116" t="s">
        <v>900</v>
      </c>
      <c r="M1116" t="s">
        <v>399</v>
      </c>
      <c r="P1116" t="str">
        <f>_xlfn.TEXTBEFORE(_xlfn.TEXTAFTER(Table26[[#This Row],[WBS CODE]], "-"), "-")</f>
        <v>30101010296</v>
      </c>
    </row>
    <row r="1117" spans="1:16" x14ac:dyDescent="0.3">
      <c r="A1117">
        <v>1116</v>
      </c>
      <c r="B1117" t="s">
        <v>30</v>
      </c>
      <c r="C1117" t="s">
        <v>402</v>
      </c>
      <c r="D1117" t="s">
        <v>2056</v>
      </c>
      <c r="E1117" t="s">
        <v>1772</v>
      </c>
      <c r="F1117" t="s">
        <v>1862</v>
      </c>
      <c r="G1117" t="s">
        <v>2049</v>
      </c>
      <c r="H1117" t="s">
        <v>2051</v>
      </c>
      <c r="I1117" t="s">
        <v>2056</v>
      </c>
      <c r="J1117" t="s">
        <v>373</v>
      </c>
      <c r="K1117" t="s">
        <v>385</v>
      </c>
      <c r="L1117" t="s">
        <v>900</v>
      </c>
      <c r="M1117" t="s">
        <v>402</v>
      </c>
      <c r="P1117" t="str">
        <f>_xlfn.TEXTBEFORE(_xlfn.TEXTAFTER(Table26[[#This Row],[WBS CODE]], "-"), "-")</f>
        <v>30101010295</v>
      </c>
    </row>
    <row r="1118" spans="1:16" x14ac:dyDescent="0.3">
      <c r="A1118">
        <v>1117</v>
      </c>
      <c r="B1118" t="s">
        <v>30</v>
      </c>
      <c r="C1118" t="s">
        <v>405</v>
      </c>
      <c r="D1118" t="s">
        <v>2057</v>
      </c>
      <c r="E1118" t="s">
        <v>1772</v>
      </c>
      <c r="F1118" t="s">
        <v>1862</v>
      </c>
      <c r="G1118" t="s">
        <v>2049</v>
      </c>
      <c r="H1118" t="s">
        <v>2051</v>
      </c>
      <c r="I1118" t="s">
        <v>2057</v>
      </c>
      <c r="J1118" t="s">
        <v>373</v>
      </c>
      <c r="K1118" t="s">
        <v>385</v>
      </c>
      <c r="L1118" t="s">
        <v>900</v>
      </c>
      <c r="M1118" t="s">
        <v>405</v>
      </c>
      <c r="P1118" t="str">
        <f>_xlfn.TEXTBEFORE(_xlfn.TEXTAFTER(Table26[[#This Row],[WBS CODE]], "-"), "-")</f>
        <v>30101010294</v>
      </c>
    </row>
    <row r="1119" spans="1:16" x14ac:dyDescent="0.3">
      <c r="A1119">
        <v>1118</v>
      </c>
      <c r="B1119" t="s">
        <v>30</v>
      </c>
      <c r="C1119" t="s">
        <v>1898</v>
      </c>
      <c r="D1119" t="s">
        <v>2058</v>
      </c>
      <c r="E1119" t="s">
        <v>1772</v>
      </c>
      <c r="F1119" t="s">
        <v>1862</v>
      </c>
      <c r="G1119" t="s">
        <v>2049</v>
      </c>
      <c r="H1119" t="s">
        <v>2051</v>
      </c>
      <c r="I1119" t="s">
        <v>2058</v>
      </c>
      <c r="J1119" t="s">
        <v>373</v>
      </c>
      <c r="K1119" t="s">
        <v>385</v>
      </c>
      <c r="L1119" t="s">
        <v>900</v>
      </c>
      <c r="M1119" t="s">
        <v>408</v>
      </c>
      <c r="P1119" t="str">
        <f>_xlfn.TEXTBEFORE(_xlfn.TEXTAFTER(Table26[[#This Row],[WBS CODE]], "-"), "-")</f>
        <v>30101010220</v>
      </c>
    </row>
    <row r="1120" spans="1:16" x14ac:dyDescent="0.3">
      <c r="A1120">
        <v>1119</v>
      </c>
      <c r="B1120" t="s">
        <v>30</v>
      </c>
      <c r="C1120" t="s">
        <v>411</v>
      </c>
      <c r="D1120" t="s">
        <v>2059</v>
      </c>
      <c r="E1120" t="s">
        <v>1772</v>
      </c>
      <c r="F1120" t="s">
        <v>1862</v>
      </c>
      <c r="G1120" t="s">
        <v>2049</v>
      </c>
      <c r="H1120" t="s">
        <v>2051</v>
      </c>
      <c r="I1120" t="s">
        <v>2059</v>
      </c>
      <c r="J1120" t="s">
        <v>373</v>
      </c>
      <c r="K1120" t="s">
        <v>385</v>
      </c>
      <c r="L1120" t="s">
        <v>900</v>
      </c>
      <c r="M1120" t="s">
        <v>411</v>
      </c>
      <c r="P1120" t="str">
        <f>_xlfn.TEXTBEFORE(_xlfn.TEXTAFTER(Table26[[#This Row],[WBS CODE]], "-"), "-")</f>
        <v>30101010217</v>
      </c>
    </row>
    <row r="1121" spans="1:16" x14ac:dyDescent="0.3">
      <c r="A1121">
        <v>1120</v>
      </c>
      <c r="B1121" t="s">
        <v>30</v>
      </c>
      <c r="C1121" t="s">
        <v>414</v>
      </c>
      <c r="D1121" t="s">
        <v>2060</v>
      </c>
      <c r="E1121" t="s">
        <v>1772</v>
      </c>
      <c r="F1121" t="s">
        <v>1862</v>
      </c>
      <c r="G1121" t="s">
        <v>2049</v>
      </c>
      <c r="H1121" t="s">
        <v>2051</v>
      </c>
      <c r="I1121" t="s">
        <v>2060</v>
      </c>
      <c r="J1121" t="s">
        <v>373</v>
      </c>
      <c r="K1121" t="s">
        <v>385</v>
      </c>
      <c r="L1121" t="s">
        <v>900</v>
      </c>
      <c r="M1121" t="s">
        <v>414</v>
      </c>
      <c r="P1121" t="str">
        <f>_xlfn.TEXTBEFORE(_xlfn.TEXTAFTER(Table26[[#This Row],[WBS CODE]], "-"), "-")</f>
        <v>30101010216</v>
      </c>
    </row>
    <row r="1122" spans="1:16" x14ac:dyDescent="0.3">
      <c r="A1122">
        <v>1121</v>
      </c>
      <c r="B1122" t="s">
        <v>30</v>
      </c>
      <c r="C1122" t="s">
        <v>417</v>
      </c>
      <c r="D1122" t="s">
        <v>2061</v>
      </c>
      <c r="E1122" t="s">
        <v>1772</v>
      </c>
      <c r="F1122" t="s">
        <v>1862</v>
      </c>
      <c r="G1122" t="s">
        <v>2049</v>
      </c>
      <c r="H1122" t="s">
        <v>2051</v>
      </c>
      <c r="I1122" t="s">
        <v>2061</v>
      </c>
      <c r="J1122" t="s">
        <v>373</v>
      </c>
      <c r="K1122" t="s">
        <v>385</v>
      </c>
      <c r="L1122" t="s">
        <v>900</v>
      </c>
      <c r="M1122" t="s">
        <v>417</v>
      </c>
      <c r="P1122" t="str">
        <f>_xlfn.TEXTBEFORE(_xlfn.TEXTAFTER(Table26[[#This Row],[WBS CODE]], "-"), "-")</f>
        <v>30101010215</v>
      </c>
    </row>
    <row r="1123" spans="1:16" x14ac:dyDescent="0.3">
      <c r="A1123">
        <v>1122</v>
      </c>
      <c r="B1123" t="s">
        <v>30</v>
      </c>
      <c r="C1123" t="s">
        <v>1903</v>
      </c>
      <c r="D1123" t="s">
        <v>2062</v>
      </c>
      <c r="E1123" t="s">
        <v>1772</v>
      </c>
      <c r="F1123" t="s">
        <v>1862</v>
      </c>
      <c r="G1123" t="s">
        <v>2049</v>
      </c>
      <c r="H1123" t="s">
        <v>2051</v>
      </c>
      <c r="I1123" t="s">
        <v>2062</v>
      </c>
      <c r="J1123" t="s">
        <v>373</v>
      </c>
      <c r="K1123" t="s">
        <v>385</v>
      </c>
      <c r="L1123" t="s">
        <v>900</v>
      </c>
      <c r="M1123" t="s">
        <v>420</v>
      </c>
      <c r="P1123" t="str">
        <f>_xlfn.TEXTBEFORE(_xlfn.TEXTAFTER(Table26[[#This Row],[WBS CODE]], "-"), "-")</f>
        <v>30101010214</v>
      </c>
    </row>
    <row r="1124" spans="1:16" x14ac:dyDescent="0.3">
      <c r="A1124">
        <v>1123</v>
      </c>
      <c r="B1124" t="s">
        <v>30</v>
      </c>
      <c r="C1124" t="s">
        <v>423</v>
      </c>
      <c r="D1124" t="s">
        <v>2063</v>
      </c>
      <c r="E1124" t="s">
        <v>1772</v>
      </c>
      <c r="F1124" t="s">
        <v>1862</v>
      </c>
      <c r="G1124" t="s">
        <v>2049</v>
      </c>
      <c r="H1124" t="s">
        <v>2051</v>
      </c>
      <c r="I1124" t="s">
        <v>2063</v>
      </c>
      <c r="J1124" t="s">
        <v>373</v>
      </c>
      <c r="K1124" t="s">
        <v>385</v>
      </c>
      <c r="L1124" t="s">
        <v>900</v>
      </c>
      <c r="M1124" t="s">
        <v>423</v>
      </c>
      <c r="P1124" t="str">
        <f>_xlfn.TEXTBEFORE(_xlfn.TEXTAFTER(Table26[[#This Row],[WBS CODE]], "-"), "-")</f>
        <v>30101010213</v>
      </c>
    </row>
    <row r="1125" spans="1:16" x14ac:dyDescent="0.3">
      <c r="A1125">
        <v>1124</v>
      </c>
      <c r="B1125" t="s">
        <v>30</v>
      </c>
      <c r="C1125" t="s">
        <v>426</v>
      </c>
      <c r="D1125" t="s">
        <v>2064</v>
      </c>
      <c r="E1125" t="s">
        <v>1772</v>
      </c>
      <c r="F1125" t="s">
        <v>1862</v>
      </c>
      <c r="G1125" t="s">
        <v>2049</v>
      </c>
      <c r="H1125" t="s">
        <v>2051</v>
      </c>
      <c r="I1125" t="s">
        <v>2064</v>
      </c>
      <c r="J1125" t="s">
        <v>373</v>
      </c>
      <c r="K1125" t="s">
        <v>385</v>
      </c>
      <c r="L1125" t="s">
        <v>900</v>
      </c>
      <c r="M1125" t="s">
        <v>426</v>
      </c>
      <c r="P1125" t="str">
        <f>_xlfn.TEXTBEFORE(_xlfn.TEXTAFTER(Table26[[#This Row],[WBS CODE]], "-"), "-")</f>
        <v>30101010247</v>
      </c>
    </row>
    <row r="1126" spans="1:16" x14ac:dyDescent="0.3">
      <c r="A1126">
        <v>1125</v>
      </c>
      <c r="B1126" t="s">
        <v>30</v>
      </c>
      <c r="C1126" t="s">
        <v>429</v>
      </c>
      <c r="D1126" t="s">
        <v>2065</v>
      </c>
      <c r="E1126" t="s">
        <v>1772</v>
      </c>
      <c r="F1126" t="s">
        <v>1862</v>
      </c>
      <c r="G1126" t="s">
        <v>2049</v>
      </c>
      <c r="H1126" t="s">
        <v>2051</v>
      </c>
      <c r="I1126" t="s">
        <v>2065</v>
      </c>
      <c r="J1126" t="s">
        <v>373</v>
      </c>
      <c r="K1126" t="s">
        <v>385</v>
      </c>
      <c r="L1126" t="s">
        <v>900</v>
      </c>
      <c r="M1126" t="s">
        <v>429</v>
      </c>
      <c r="P1126" t="str">
        <f>_xlfn.TEXTBEFORE(_xlfn.TEXTAFTER(Table26[[#This Row],[WBS CODE]], "-"), "-")</f>
        <v>30101010212</v>
      </c>
    </row>
    <row r="1127" spans="1:16" x14ac:dyDescent="0.3">
      <c r="A1127">
        <v>1126</v>
      </c>
      <c r="B1127" t="s">
        <v>30</v>
      </c>
      <c r="C1127" t="s">
        <v>432</v>
      </c>
      <c r="D1127" t="s">
        <v>2066</v>
      </c>
      <c r="E1127" t="s">
        <v>1772</v>
      </c>
      <c r="F1127" t="s">
        <v>1862</v>
      </c>
      <c r="G1127" t="s">
        <v>2049</v>
      </c>
      <c r="H1127" t="s">
        <v>2051</v>
      </c>
      <c r="I1127" t="s">
        <v>2066</v>
      </c>
      <c r="J1127" t="s">
        <v>373</v>
      </c>
      <c r="K1127" t="s">
        <v>385</v>
      </c>
      <c r="L1127" t="s">
        <v>900</v>
      </c>
      <c r="M1127" t="s">
        <v>432</v>
      </c>
      <c r="P1127" t="str">
        <f>_xlfn.TEXTBEFORE(_xlfn.TEXTAFTER(Table26[[#This Row],[WBS CODE]], "-"), "-")</f>
        <v>30101010211</v>
      </c>
    </row>
    <row r="1128" spans="1:16" x14ac:dyDescent="0.3">
      <c r="A1128">
        <v>1127</v>
      </c>
      <c r="B1128" t="s">
        <v>30</v>
      </c>
      <c r="C1128" t="s">
        <v>435</v>
      </c>
      <c r="D1128" t="s">
        <v>2067</v>
      </c>
      <c r="E1128" t="s">
        <v>1772</v>
      </c>
      <c r="F1128" t="s">
        <v>1862</v>
      </c>
      <c r="G1128" t="s">
        <v>2049</v>
      </c>
      <c r="H1128" t="s">
        <v>2051</v>
      </c>
      <c r="I1128" t="s">
        <v>2067</v>
      </c>
      <c r="J1128" t="s">
        <v>373</v>
      </c>
      <c r="K1128" t="s">
        <v>385</v>
      </c>
      <c r="L1128" t="s">
        <v>900</v>
      </c>
      <c r="M1128" t="s">
        <v>435</v>
      </c>
      <c r="P1128" t="str">
        <f>_xlfn.TEXTBEFORE(_xlfn.TEXTAFTER(Table26[[#This Row],[WBS CODE]], "-"), "-")</f>
        <v>30101010210</v>
      </c>
    </row>
    <row r="1129" spans="1:16" x14ac:dyDescent="0.3">
      <c r="A1129">
        <v>1128</v>
      </c>
      <c r="B1129" t="s">
        <v>30</v>
      </c>
      <c r="C1129" t="s">
        <v>438</v>
      </c>
      <c r="D1129" t="s">
        <v>2068</v>
      </c>
      <c r="E1129" t="s">
        <v>1772</v>
      </c>
      <c r="F1129" t="s">
        <v>1862</v>
      </c>
      <c r="G1129" t="s">
        <v>2049</v>
      </c>
      <c r="H1129" t="s">
        <v>2051</v>
      </c>
      <c r="I1129" t="s">
        <v>2068</v>
      </c>
      <c r="J1129" t="s">
        <v>373</v>
      </c>
      <c r="K1129" t="s">
        <v>385</v>
      </c>
      <c r="L1129" t="s">
        <v>900</v>
      </c>
      <c r="M1129" t="s">
        <v>438</v>
      </c>
      <c r="P1129" t="str">
        <f>_xlfn.TEXTBEFORE(_xlfn.TEXTAFTER(Table26[[#This Row],[WBS CODE]], "-"), "-")</f>
        <v>30101010209</v>
      </c>
    </row>
    <row r="1130" spans="1:16" x14ac:dyDescent="0.3">
      <c r="A1130">
        <v>1129</v>
      </c>
      <c r="B1130" t="s">
        <v>30</v>
      </c>
      <c r="C1130" t="s">
        <v>441</v>
      </c>
      <c r="D1130" t="s">
        <v>2069</v>
      </c>
      <c r="E1130" t="s">
        <v>1772</v>
      </c>
      <c r="F1130" t="s">
        <v>1862</v>
      </c>
      <c r="G1130" t="s">
        <v>2049</v>
      </c>
      <c r="H1130" t="s">
        <v>2051</v>
      </c>
      <c r="I1130" t="s">
        <v>2069</v>
      </c>
      <c r="J1130" t="s">
        <v>373</v>
      </c>
      <c r="K1130" t="s">
        <v>385</v>
      </c>
      <c r="L1130" t="s">
        <v>900</v>
      </c>
      <c r="M1130" t="s">
        <v>441</v>
      </c>
      <c r="P1130" t="str">
        <f>_xlfn.TEXTBEFORE(_xlfn.TEXTAFTER(Table26[[#This Row],[WBS CODE]], "-"), "-")</f>
        <v>30101010208</v>
      </c>
    </row>
    <row r="1131" spans="1:16" x14ac:dyDescent="0.3">
      <c r="A1131">
        <v>1130</v>
      </c>
      <c r="B1131" t="s">
        <v>30</v>
      </c>
      <c r="C1131" t="s">
        <v>1912</v>
      </c>
      <c r="D1131" t="s">
        <v>2070</v>
      </c>
      <c r="E1131" t="s">
        <v>1772</v>
      </c>
      <c r="F1131" t="s">
        <v>1862</v>
      </c>
      <c r="G1131" t="s">
        <v>2049</v>
      </c>
      <c r="H1131" t="s">
        <v>2051</v>
      </c>
      <c r="I1131" t="s">
        <v>2070</v>
      </c>
      <c r="J1131" t="s">
        <v>373</v>
      </c>
      <c r="K1131" t="s">
        <v>385</v>
      </c>
      <c r="L1131" t="s">
        <v>900</v>
      </c>
      <c r="M1131" t="s">
        <v>444</v>
      </c>
      <c r="P1131" t="str">
        <f>_xlfn.TEXTBEFORE(_xlfn.TEXTAFTER(Table26[[#This Row],[WBS CODE]], "-"), "-")</f>
        <v>30101010207</v>
      </c>
    </row>
    <row r="1132" spans="1:16" x14ac:dyDescent="0.3">
      <c r="A1132">
        <v>1131</v>
      </c>
      <c r="B1132" t="s">
        <v>30</v>
      </c>
      <c r="C1132" t="s">
        <v>447</v>
      </c>
      <c r="D1132" t="s">
        <v>2071</v>
      </c>
      <c r="E1132" t="s">
        <v>1772</v>
      </c>
      <c r="F1132" t="s">
        <v>1862</v>
      </c>
      <c r="G1132" t="s">
        <v>2049</v>
      </c>
      <c r="H1132" t="s">
        <v>2051</v>
      </c>
      <c r="I1132" t="s">
        <v>2071</v>
      </c>
      <c r="J1132" t="s">
        <v>373</v>
      </c>
      <c r="K1132" t="s">
        <v>385</v>
      </c>
      <c r="L1132" t="s">
        <v>900</v>
      </c>
      <c r="M1132" t="s">
        <v>447</v>
      </c>
      <c r="P1132" t="str">
        <f>_xlfn.TEXTBEFORE(_xlfn.TEXTAFTER(Table26[[#This Row],[WBS CODE]], "-"), "-")</f>
        <v>30101010205</v>
      </c>
    </row>
    <row r="1133" spans="1:16" x14ac:dyDescent="0.3">
      <c r="A1133">
        <v>1132</v>
      </c>
      <c r="B1133" t="s">
        <v>30</v>
      </c>
      <c r="C1133" t="s">
        <v>1915</v>
      </c>
      <c r="D1133" t="s">
        <v>2072</v>
      </c>
      <c r="E1133" t="s">
        <v>1772</v>
      </c>
      <c r="F1133" t="s">
        <v>1862</v>
      </c>
      <c r="G1133" t="s">
        <v>2049</v>
      </c>
      <c r="H1133" t="s">
        <v>2051</v>
      </c>
      <c r="I1133" t="s">
        <v>2072</v>
      </c>
      <c r="J1133" t="s">
        <v>373</v>
      </c>
      <c r="K1133" t="s">
        <v>385</v>
      </c>
      <c r="L1133" t="s">
        <v>900</v>
      </c>
      <c r="M1133" t="s">
        <v>450</v>
      </c>
      <c r="P1133" t="str">
        <f>_xlfn.TEXTBEFORE(_xlfn.TEXTAFTER(Table26[[#This Row],[WBS CODE]], "-"), "-")</f>
        <v>30101010204</v>
      </c>
    </row>
    <row r="1134" spans="1:16" x14ac:dyDescent="0.3">
      <c r="A1134">
        <v>1133</v>
      </c>
      <c r="B1134" t="s">
        <v>26</v>
      </c>
      <c r="C1134" t="s">
        <v>2073</v>
      </c>
      <c r="D1134" t="s">
        <v>2074</v>
      </c>
      <c r="E1134" t="s">
        <v>1772</v>
      </c>
      <c r="F1134" t="s">
        <v>1862</v>
      </c>
      <c r="G1134" t="s">
        <v>2049</v>
      </c>
      <c r="H1134" t="s">
        <v>2074</v>
      </c>
      <c r="J1134" t="s">
        <v>373</v>
      </c>
      <c r="K1134" t="s">
        <v>385</v>
      </c>
      <c r="L1134" t="s">
        <v>39</v>
      </c>
      <c r="N1134" t="s">
        <v>1807</v>
      </c>
      <c r="O1134" t="s">
        <v>219</v>
      </c>
      <c r="P1134" t="str">
        <f>_xlfn.TEXTBEFORE(_xlfn.TEXTAFTER(Table26[[#This Row],[WBS CODE]], "-"), "-")</f>
        <v>301010101</v>
      </c>
    </row>
    <row r="1135" spans="1:16" x14ac:dyDescent="0.3">
      <c r="A1135">
        <v>1134</v>
      </c>
      <c r="B1135" t="s">
        <v>30</v>
      </c>
      <c r="C1135" t="s">
        <v>2075</v>
      </c>
      <c r="D1135" t="s">
        <v>2076</v>
      </c>
      <c r="E1135" t="s">
        <v>1772</v>
      </c>
      <c r="F1135" t="s">
        <v>1862</v>
      </c>
      <c r="G1135" t="s">
        <v>2049</v>
      </c>
      <c r="H1135" t="s">
        <v>2074</v>
      </c>
      <c r="I1135" t="s">
        <v>2076</v>
      </c>
      <c r="J1135" t="s">
        <v>373</v>
      </c>
      <c r="K1135" t="s">
        <v>385</v>
      </c>
      <c r="L1135" t="s">
        <v>39</v>
      </c>
      <c r="M1135" t="s">
        <v>455</v>
      </c>
      <c r="N1135" t="s">
        <v>1807</v>
      </c>
      <c r="O1135" t="s">
        <v>219</v>
      </c>
      <c r="P1135" t="str">
        <f>_xlfn.TEXTBEFORE(_xlfn.TEXTAFTER(Table26[[#This Row],[WBS CODE]], "-"), "-")</f>
        <v>30101010160</v>
      </c>
    </row>
    <row r="1136" spans="1:16" x14ac:dyDescent="0.3">
      <c r="A1136">
        <v>1135</v>
      </c>
      <c r="B1136" t="s">
        <v>26</v>
      </c>
      <c r="C1136" t="s">
        <v>2077</v>
      </c>
      <c r="D1136" t="s">
        <v>2078</v>
      </c>
      <c r="E1136" t="s">
        <v>1772</v>
      </c>
      <c r="F1136" t="s">
        <v>1862</v>
      </c>
      <c r="G1136" t="s">
        <v>2049</v>
      </c>
      <c r="H1136" t="s">
        <v>2078</v>
      </c>
      <c r="J1136" t="s">
        <v>373</v>
      </c>
      <c r="K1136" t="s">
        <v>385</v>
      </c>
      <c r="L1136" t="s">
        <v>42</v>
      </c>
      <c r="N1136" t="s">
        <v>1807</v>
      </c>
      <c r="O1136" t="s">
        <v>219</v>
      </c>
      <c r="P1136" t="str">
        <f>_xlfn.TEXTBEFORE(_xlfn.TEXTAFTER(Table26[[#This Row],[WBS CODE]], "-"), "-")</f>
        <v>301010161</v>
      </c>
    </row>
    <row r="1137" spans="1:16" x14ac:dyDescent="0.3">
      <c r="A1137">
        <v>1136</v>
      </c>
      <c r="B1137" t="s">
        <v>30</v>
      </c>
      <c r="C1137" t="s">
        <v>2079</v>
      </c>
      <c r="D1137" t="s">
        <v>2080</v>
      </c>
      <c r="E1137" t="s">
        <v>1772</v>
      </c>
      <c r="F1137" t="s">
        <v>1862</v>
      </c>
      <c r="G1137" t="s">
        <v>2049</v>
      </c>
      <c r="H1137" t="s">
        <v>2078</v>
      </c>
      <c r="I1137" t="s">
        <v>2080</v>
      </c>
      <c r="J1137" t="s">
        <v>373</v>
      </c>
      <c r="K1137" t="s">
        <v>385</v>
      </c>
      <c r="L1137" t="s">
        <v>42</v>
      </c>
      <c r="M1137" t="s">
        <v>463</v>
      </c>
      <c r="N1137" t="s">
        <v>1807</v>
      </c>
      <c r="O1137" t="s">
        <v>219</v>
      </c>
      <c r="P1137" t="str">
        <f>_xlfn.TEXTBEFORE(_xlfn.TEXTAFTER(Table26[[#This Row],[WBS CODE]], "-"), "-")</f>
        <v>30101016193</v>
      </c>
    </row>
    <row r="1138" spans="1:16" x14ac:dyDescent="0.3">
      <c r="A1138">
        <v>1137</v>
      </c>
      <c r="B1138" t="s">
        <v>30</v>
      </c>
      <c r="C1138" t="s">
        <v>2081</v>
      </c>
      <c r="D1138" t="s">
        <v>2082</v>
      </c>
      <c r="E1138" t="s">
        <v>1772</v>
      </c>
      <c r="F1138" t="s">
        <v>1862</v>
      </c>
      <c r="G1138" t="s">
        <v>2049</v>
      </c>
      <c r="H1138" t="s">
        <v>2078</v>
      </c>
      <c r="I1138" t="s">
        <v>2082</v>
      </c>
      <c r="J1138" t="s">
        <v>373</v>
      </c>
      <c r="K1138" t="s">
        <v>385</v>
      </c>
      <c r="L1138" t="s">
        <v>42</v>
      </c>
      <c r="M1138" t="s">
        <v>466</v>
      </c>
      <c r="N1138" t="s">
        <v>1807</v>
      </c>
      <c r="O1138" t="s">
        <v>219</v>
      </c>
      <c r="P1138" t="str">
        <f>_xlfn.TEXTBEFORE(_xlfn.TEXTAFTER(Table26[[#This Row],[WBS CODE]], "-"), "-")</f>
        <v>30101016118</v>
      </c>
    </row>
    <row r="1139" spans="1:16" x14ac:dyDescent="0.3">
      <c r="A1139">
        <v>1138</v>
      </c>
      <c r="B1139" t="s">
        <v>30</v>
      </c>
      <c r="C1139" t="s">
        <v>2083</v>
      </c>
      <c r="D1139" t="s">
        <v>2084</v>
      </c>
      <c r="E1139" t="s">
        <v>1772</v>
      </c>
      <c r="F1139" t="s">
        <v>1862</v>
      </c>
      <c r="G1139" t="s">
        <v>2049</v>
      </c>
      <c r="H1139" t="s">
        <v>2078</v>
      </c>
      <c r="I1139" t="s">
        <v>2084</v>
      </c>
      <c r="J1139" t="s">
        <v>373</v>
      </c>
      <c r="K1139" t="s">
        <v>385</v>
      </c>
      <c r="L1139" t="s">
        <v>42</v>
      </c>
      <c r="M1139" t="s">
        <v>1156</v>
      </c>
      <c r="N1139" t="s">
        <v>1807</v>
      </c>
      <c r="O1139" t="s">
        <v>219</v>
      </c>
      <c r="P1139" t="str">
        <f>_xlfn.TEXTBEFORE(_xlfn.TEXTAFTER(Table26[[#This Row],[WBS CODE]], "-"), "-")</f>
        <v>30101016102</v>
      </c>
    </row>
    <row r="1140" spans="1:16" x14ac:dyDescent="0.3">
      <c r="A1140">
        <v>1139</v>
      </c>
      <c r="B1140" t="s">
        <v>30</v>
      </c>
      <c r="C1140" t="s">
        <v>2085</v>
      </c>
      <c r="D1140" t="s">
        <v>2086</v>
      </c>
      <c r="E1140" t="s">
        <v>1772</v>
      </c>
      <c r="F1140" t="s">
        <v>1862</v>
      </c>
      <c r="G1140" t="s">
        <v>2049</v>
      </c>
      <c r="H1140" t="s">
        <v>2078</v>
      </c>
      <c r="I1140" t="s">
        <v>2086</v>
      </c>
      <c r="J1140" t="s">
        <v>373</v>
      </c>
      <c r="K1140" t="s">
        <v>385</v>
      </c>
      <c r="L1140" t="s">
        <v>42</v>
      </c>
      <c r="M1140" t="s">
        <v>471</v>
      </c>
      <c r="N1140" t="s">
        <v>1807</v>
      </c>
      <c r="O1140" t="s">
        <v>219</v>
      </c>
      <c r="P1140" t="str">
        <f>_xlfn.TEXTBEFORE(_xlfn.TEXTAFTER(Table26[[#This Row],[WBS CODE]], "-"), "-")</f>
        <v>30101016101</v>
      </c>
    </row>
    <row r="1141" spans="1:16" x14ac:dyDescent="0.3">
      <c r="A1141">
        <v>1140</v>
      </c>
      <c r="B1141" t="s">
        <v>18</v>
      </c>
      <c r="C1141" t="s">
        <v>19</v>
      </c>
      <c r="D1141" t="s">
        <v>2087</v>
      </c>
      <c r="E1141" t="s">
        <v>1772</v>
      </c>
      <c r="F1141" t="s">
        <v>2087</v>
      </c>
      <c r="J1141" t="s">
        <v>19</v>
      </c>
      <c r="P1141" t="str">
        <f>_xlfn.TEXTBEFORE(_xlfn.TEXTAFTER(Table26[[#This Row],[WBS CODE]], "-"), "-")</f>
        <v>30203</v>
      </c>
    </row>
    <row r="1142" spans="1:16" x14ac:dyDescent="0.3">
      <c r="A1142">
        <v>1141</v>
      </c>
      <c r="B1142" t="s">
        <v>21</v>
      </c>
      <c r="C1142" t="s">
        <v>2088</v>
      </c>
      <c r="D1142" t="s">
        <v>2089</v>
      </c>
      <c r="E1142" t="s">
        <v>1772</v>
      </c>
      <c r="F1142" t="s">
        <v>2087</v>
      </c>
      <c r="G1142" t="s">
        <v>2089</v>
      </c>
      <c r="J1142" t="s">
        <v>19</v>
      </c>
      <c r="K1142" t="s">
        <v>881</v>
      </c>
      <c r="N1142" t="s">
        <v>2090</v>
      </c>
      <c r="O1142" t="s">
        <v>25</v>
      </c>
      <c r="P1142" t="str">
        <f>_xlfn.TEXTBEFORE(_xlfn.TEXTAFTER(Table26[[#This Row],[WBS CODE]], "-"), "-")</f>
        <v>3020389</v>
      </c>
    </row>
    <row r="1143" spans="1:16" x14ac:dyDescent="0.3">
      <c r="A1143">
        <v>1142</v>
      </c>
      <c r="B1143" t="s">
        <v>26</v>
      </c>
      <c r="C1143" t="s">
        <v>2091</v>
      </c>
      <c r="D1143" t="s">
        <v>2092</v>
      </c>
      <c r="E1143" t="s">
        <v>1772</v>
      </c>
      <c r="F1143" t="s">
        <v>2087</v>
      </c>
      <c r="G1143" t="s">
        <v>2089</v>
      </c>
      <c r="H1143" t="s">
        <v>2092</v>
      </c>
      <c r="J1143" t="s">
        <v>19</v>
      </c>
      <c r="K1143" t="s">
        <v>881</v>
      </c>
      <c r="L1143" t="s">
        <v>29</v>
      </c>
      <c r="N1143" t="s">
        <v>2090</v>
      </c>
      <c r="O1143" t="s">
        <v>25</v>
      </c>
      <c r="P1143" t="str">
        <f>_xlfn.TEXTBEFORE(_xlfn.TEXTAFTER(Table26[[#This Row],[WBS CODE]], "-"), "-")</f>
        <v>302038909</v>
      </c>
    </row>
    <row r="1144" spans="1:16" x14ac:dyDescent="0.3">
      <c r="A1144">
        <v>1143</v>
      </c>
      <c r="B1144" t="s">
        <v>30</v>
      </c>
      <c r="C1144" t="s">
        <v>2093</v>
      </c>
      <c r="D1144" t="s">
        <v>2094</v>
      </c>
      <c r="E1144" t="s">
        <v>1772</v>
      </c>
      <c r="F1144" t="s">
        <v>2087</v>
      </c>
      <c r="G1144" t="s">
        <v>2089</v>
      </c>
      <c r="H1144" t="s">
        <v>2092</v>
      </c>
      <c r="I1144" t="s">
        <v>2094</v>
      </c>
      <c r="J1144" t="s">
        <v>19</v>
      </c>
      <c r="K1144" t="s">
        <v>881</v>
      </c>
      <c r="L1144" t="s">
        <v>29</v>
      </c>
      <c r="M1144" t="s">
        <v>33</v>
      </c>
      <c r="N1144" t="s">
        <v>1791</v>
      </c>
      <c r="O1144" t="s">
        <v>219</v>
      </c>
      <c r="P1144" t="str">
        <f>_xlfn.TEXTBEFORE(_xlfn.TEXTAFTER(Table26[[#This Row],[WBS CODE]], "-"), "-")</f>
        <v>30203890905</v>
      </c>
    </row>
    <row r="1145" spans="1:16" x14ac:dyDescent="0.3">
      <c r="A1145">
        <v>1144</v>
      </c>
      <c r="B1145" t="s">
        <v>30</v>
      </c>
      <c r="C1145" t="s">
        <v>2095</v>
      </c>
      <c r="D1145" t="s">
        <v>2096</v>
      </c>
      <c r="E1145" t="s">
        <v>1772</v>
      </c>
      <c r="F1145" t="s">
        <v>2087</v>
      </c>
      <c r="G1145" t="s">
        <v>2089</v>
      </c>
      <c r="H1145" t="s">
        <v>2092</v>
      </c>
      <c r="I1145" t="s">
        <v>2096</v>
      </c>
      <c r="J1145" t="s">
        <v>19</v>
      </c>
      <c r="K1145" t="s">
        <v>881</v>
      </c>
      <c r="L1145" t="s">
        <v>29</v>
      </c>
      <c r="M1145" t="s">
        <v>33</v>
      </c>
      <c r="N1145" t="s">
        <v>1795</v>
      </c>
      <c r="O1145" t="s">
        <v>219</v>
      </c>
      <c r="P1145" t="str">
        <f>_xlfn.TEXTBEFORE(_xlfn.TEXTAFTER(Table26[[#This Row],[WBS CODE]], "-"), "-")</f>
        <v>30203890904</v>
      </c>
    </row>
    <row r="1146" spans="1:16" x14ac:dyDescent="0.3">
      <c r="A1146">
        <v>1145</v>
      </c>
      <c r="B1146" t="s">
        <v>26</v>
      </c>
      <c r="C1146" t="s">
        <v>2097</v>
      </c>
      <c r="D1146" t="s">
        <v>2098</v>
      </c>
      <c r="E1146" t="s">
        <v>1772</v>
      </c>
      <c r="F1146" t="s">
        <v>2087</v>
      </c>
      <c r="G1146" t="s">
        <v>2089</v>
      </c>
      <c r="H1146" t="s">
        <v>2098</v>
      </c>
      <c r="J1146" t="s">
        <v>19</v>
      </c>
      <c r="K1146" t="s">
        <v>881</v>
      </c>
      <c r="L1146" t="s">
        <v>36</v>
      </c>
      <c r="N1146" t="s">
        <v>2090</v>
      </c>
      <c r="O1146" t="s">
        <v>25</v>
      </c>
      <c r="P1146" t="str">
        <f>_xlfn.TEXTBEFORE(_xlfn.TEXTAFTER(Table26[[#This Row],[WBS CODE]], "-"), "-")</f>
        <v>302038908</v>
      </c>
    </row>
    <row r="1147" spans="1:16" x14ac:dyDescent="0.3">
      <c r="A1147">
        <v>1146</v>
      </c>
      <c r="B1147" t="s">
        <v>30</v>
      </c>
      <c r="C1147" t="s">
        <v>2099</v>
      </c>
      <c r="D1147" t="s">
        <v>2100</v>
      </c>
      <c r="E1147" t="s">
        <v>1772</v>
      </c>
      <c r="F1147" t="s">
        <v>2087</v>
      </c>
      <c r="G1147" t="s">
        <v>2089</v>
      </c>
      <c r="H1147" t="s">
        <v>2098</v>
      </c>
      <c r="I1147" t="s">
        <v>2100</v>
      </c>
      <c r="J1147" t="s">
        <v>19</v>
      </c>
      <c r="K1147" t="s">
        <v>881</v>
      </c>
      <c r="L1147" t="s">
        <v>36</v>
      </c>
      <c r="M1147" t="s">
        <v>39</v>
      </c>
      <c r="N1147" t="s">
        <v>2090</v>
      </c>
      <c r="O1147" t="s">
        <v>25</v>
      </c>
      <c r="P1147" t="str">
        <f>_xlfn.TEXTBEFORE(_xlfn.TEXTAFTER(Table26[[#This Row],[WBS CODE]], "-"), "-")</f>
        <v>30203890821</v>
      </c>
    </row>
    <row r="1148" spans="1:16" x14ac:dyDescent="0.3">
      <c r="A1148">
        <v>1147</v>
      </c>
      <c r="B1148" t="s">
        <v>30</v>
      </c>
      <c r="C1148" t="s">
        <v>2101</v>
      </c>
      <c r="D1148" t="s">
        <v>2102</v>
      </c>
      <c r="E1148" t="s">
        <v>1772</v>
      </c>
      <c r="F1148" t="s">
        <v>2087</v>
      </c>
      <c r="G1148" t="s">
        <v>2089</v>
      </c>
      <c r="H1148" t="s">
        <v>2098</v>
      </c>
      <c r="I1148" t="s">
        <v>2102</v>
      </c>
      <c r="J1148" t="s">
        <v>19</v>
      </c>
      <c r="K1148" t="s">
        <v>881</v>
      </c>
      <c r="L1148" t="s">
        <v>36</v>
      </c>
      <c r="M1148" t="s">
        <v>42</v>
      </c>
      <c r="N1148" t="s">
        <v>2090</v>
      </c>
      <c r="O1148" t="s">
        <v>25</v>
      </c>
      <c r="P1148" t="str">
        <f>_xlfn.TEXTBEFORE(_xlfn.TEXTAFTER(Table26[[#This Row],[WBS CODE]], "-"), "-")</f>
        <v>30203890860</v>
      </c>
    </row>
    <row r="1149" spans="1:16" x14ac:dyDescent="0.3">
      <c r="A1149">
        <v>1148</v>
      </c>
      <c r="B1149" t="s">
        <v>26</v>
      </c>
      <c r="C1149" t="s">
        <v>2103</v>
      </c>
      <c r="D1149" t="s">
        <v>2104</v>
      </c>
      <c r="E1149" t="s">
        <v>1772</v>
      </c>
      <c r="F1149" t="s">
        <v>2087</v>
      </c>
      <c r="G1149" t="s">
        <v>2089</v>
      </c>
      <c r="H1149" t="s">
        <v>2104</v>
      </c>
      <c r="J1149" t="s">
        <v>19</v>
      </c>
      <c r="K1149" t="s">
        <v>881</v>
      </c>
      <c r="L1149" t="s">
        <v>45</v>
      </c>
      <c r="N1149" t="s">
        <v>2090</v>
      </c>
      <c r="O1149" t="s">
        <v>25</v>
      </c>
      <c r="P1149" t="str">
        <f>_xlfn.TEXTBEFORE(_xlfn.TEXTAFTER(Table26[[#This Row],[WBS CODE]], "-"), "-")</f>
        <v>302038907</v>
      </c>
    </row>
    <row r="1150" spans="1:16" x14ac:dyDescent="0.3">
      <c r="A1150">
        <v>1149</v>
      </c>
      <c r="B1150" t="s">
        <v>30</v>
      </c>
      <c r="C1150" t="s">
        <v>2103</v>
      </c>
      <c r="D1150" t="s">
        <v>2105</v>
      </c>
      <c r="E1150" t="s">
        <v>1772</v>
      </c>
      <c r="F1150" t="s">
        <v>2087</v>
      </c>
      <c r="G1150" t="s">
        <v>2089</v>
      </c>
      <c r="H1150" t="s">
        <v>2104</v>
      </c>
      <c r="I1150" t="s">
        <v>2105</v>
      </c>
      <c r="J1150" t="s">
        <v>19</v>
      </c>
      <c r="K1150" t="s">
        <v>881</v>
      </c>
      <c r="L1150" t="s">
        <v>45</v>
      </c>
      <c r="M1150" t="s">
        <v>45</v>
      </c>
      <c r="N1150" t="s">
        <v>2090</v>
      </c>
      <c r="O1150" t="s">
        <v>25</v>
      </c>
      <c r="P1150" t="str">
        <f>_xlfn.TEXTBEFORE(_xlfn.TEXTAFTER(Table26[[#This Row],[WBS CODE]], "-"), "-")</f>
        <v>30203890759</v>
      </c>
    </row>
    <row r="1151" spans="1:16" x14ac:dyDescent="0.3">
      <c r="A1151">
        <v>1150</v>
      </c>
      <c r="B1151" t="s">
        <v>21</v>
      </c>
      <c r="C1151" t="s">
        <v>22</v>
      </c>
      <c r="D1151" t="s">
        <v>2106</v>
      </c>
      <c r="E1151" t="s">
        <v>1772</v>
      </c>
      <c r="F1151" t="s">
        <v>2087</v>
      </c>
      <c r="G1151" t="s">
        <v>2106</v>
      </c>
      <c r="J1151" t="s">
        <v>19</v>
      </c>
      <c r="K1151" t="s">
        <v>881</v>
      </c>
      <c r="N1151" t="s">
        <v>24</v>
      </c>
      <c r="O1151" t="s">
        <v>25</v>
      </c>
      <c r="P1151" t="str">
        <f>_xlfn.TEXTBEFORE(_xlfn.TEXTAFTER(Table26[[#This Row],[WBS CODE]], "-"), "-")</f>
        <v>3020388</v>
      </c>
    </row>
    <row r="1152" spans="1:16" x14ac:dyDescent="0.3">
      <c r="A1152">
        <v>1151</v>
      </c>
      <c r="B1152" t="s">
        <v>26</v>
      </c>
      <c r="C1152" t="s">
        <v>2107</v>
      </c>
      <c r="D1152" t="s">
        <v>2108</v>
      </c>
      <c r="E1152" t="s">
        <v>1772</v>
      </c>
      <c r="F1152" t="s">
        <v>2087</v>
      </c>
      <c r="G1152" t="s">
        <v>2106</v>
      </c>
      <c r="H1152" t="s">
        <v>2108</v>
      </c>
      <c r="J1152" t="s">
        <v>19</v>
      </c>
      <c r="K1152" t="s">
        <v>881</v>
      </c>
      <c r="L1152" t="s">
        <v>29</v>
      </c>
      <c r="N1152" t="s">
        <v>24</v>
      </c>
      <c r="O1152" t="s">
        <v>25</v>
      </c>
      <c r="P1152" t="str">
        <f>_xlfn.TEXTBEFORE(_xlfn.TEXTAFTER(Table26[[#This Row],[WBS CODE]], "-"), "-")</f>
        <v>302038809</v>
      </c>
    </row>
    <row r="1153" spans="1:16" x14ac:dyDescent="0.3">
      <c r="A1153">
        <v>1152</v>
      </c>
      <c r="B1153" t="s">
        <v>30</v>
      </c>
      <c r="C1153" t="s">
        <v>2109</v>
      </c>
      <c r="D1153" t="s">
        <v>2110</v>
      </c>
      <c r="E1153" t="s">
        <v>1772</v>
      </c>
      <c r="F1153" t="s">
        <v>2087</v>
      </c>
      <c r="G1153" t="s">
        <v>2106</v>
      </c>
      <c r="H1153" t="s">
        <v>2108</v>
      </c>
      <c r="I1153" t="s">
        <v>2110</v>
      </c>
      <c r="J1153" t="s">
        <v>19</v>
      </c>
      <c r="K1153" t="s">
        <v>881</v>
      </c>
      <c r="L1153" t="s">
        <v>29</v>
      </c>
      <c r="M1153" t="s">
        <v>33</v>
      </c>
      <c r="N1153" t="s">
        <v>1799</v>
      </c>
      <c r="O1153" t="s">
        <v>219</v>
      </c>
      <c r="P1153" t="str">
        <f>_xlfn.TEXTBEFORE(_xlfn.TEXTAFTER(Table26[[#This Row],[WBS CODE]], "-"), "-")</f>
        <v>30203880903</v>
      </c>
    </row>
    <row r="1154" spans="1:16" x14ac:dyDescent="0.3">
      <c r="A1154">
        <v>1153</v>
      </c>
      <c r="B1154" t="s">
        <v>26</v>
      </c>
      <c r="C1154" t="s">
        <v>2111</v>
      </c>
      <c r="D1154" t="s">
        <v>2112</v>
      </c>
      <c r="E1154" t="s">
        <v>1772</v>
      </c>
      <c r="F1154" t="s">
        <v>2087</v>
      </c>
      <c r="G1154" t="s">
        <v>2106</v>
      </c>
      <c r="H1154" t="s">
        <v>2112</v>
      </c>
      <c r="J1154" t="s">
        <v>19</v>
      </c>
      <c r="K1154" t="s">
        <v>881</v>
      </c>
      <c r="L1154" t="s">
        <v>36</v>
      </c>
      <c r="N1154" t="s">
        <v>24</v>
      </c>
      <c r="O1154" t="s">
        <v>25</v>
      </c>
      <c r="P1154" t="str">
        <f>_xlfn.TEXTBEFORE(_xlfn.TEXTAFTER(Table26[[#This Row],[WBS CODE]], "-"), "-")</f>
        <v>302038808</v>
      </c>
    </row>
    <row r="1155" spans="1:16" x14ac:dyDescent="0.3">
      <c r="A1155">
        <v>1154</v>
      </c>
      <c r="B1155" t="s">
        <v>30</v>
      </c>
      <c r="C1155" t="s">
        <v>2113</v>
      </c>
      <c r="D1155" t="s">
        <v>2114</v>
      </c>
      <c r="E1155" t="s">
        <v>1772</v>
      </c>
      <c r="F1155" t="s">
        <v>2087</v>
      </c>
      <c r="G1155" t="s">
        <v>2106</v>
      </c>
      <c r="H1155" t="s">
        <v>2112</v>
      </c>
      <c r="I1155" t="s">
        <v>2114</v>
      </c>
      <c r="J1155" t="s">
        <v>19</v>
      </c>
      <c r="K1155" t="s">
        <v>881</v>
      </c>
      <c r="L1155" t="s">
        <v>36</v>
      </c>
      <c r="M1155" t="s">
        <v>39</v>
      </c>
      <c r="N1155" t="s">
        <v>24</v>
      </c>
      <c r="O1155" t="s">
        <v>25</v>
      </c>
      <c r="P1155" t="str">
        <f>_xlfn.TEXTBEFORE(_xlfn.TEXTAFTER(Table26[[#This Row],[WBS CODE]], "-"), "-")</f>
        <v>30203880821</v>
      </c>
    </row>
    <row r="1156" spans="1:16" x14ac:dyDescent="0.3">
      <c r="A1156">
        <v>1155</v>
      </c>
      <c r="B1156" t="s">
        <v>30</v>
      </c>
      <c r="C1156" t="s">
        <v>2115</v>
      </c>
      <c r="D1156" t="s">
        <v>2116</v>
      </c>
      <c r="E1156" t="s">
        <v>1772</v>
      </c>
      <c r="F1156" t="s">
        <v>2087</v>
      </c>
      <c r="G1156" t="s">
        <v>2106</v>
      </c>
      <c r="H1156" t="s">
        <v>2112</v>
      </c>
      <c r="I1156" t="s">
        <v>2116</v>
      </c>
      <c r="J1156" t="s">
        <v>19</v>
      </c>
      <c r="K1156" t="s">
        <v>881</v>
      </c>
      <c r="L1156" t="s">
        <v>36</v>
      </c>
      <c r="M1156" t="s">
        <v>42</v>
      </c>
      <c r="N1156" t="s">
        <v>24</v>
      </c>
      <c r="O1156" t="s">
        <v>25</v>
      </c>
      <c r="P1156" t="str">
        <f>_xlfn.TEXTBEFORE(_xlfn.TEXTAFTER(Table26[[#This Row],[WBS CODE]], "-"), "-")</f>
        <v>30203880860</v>
      </c>
    </row>
    <row r="1157" spans="1:16" x14ac:dyDescent="0.3">
      <c r="A1157">
        <v>1156</v>
      </c>
      <c r="B1157" t="s">
        <v>26</v>
      </c>
      <c r="C1157" t="s">
        <v>2117</v>
      </c>
      <c r="D1157" t="s">
        <v>2118</v>
      </c>
      <c r="E1157" t="s">
        <v>1772</v>
      </c>
      <c r="F1157" t="s">
        <v>2087</v>
      </c>
      <c r="G1157" t="s">
        <v>2106</v>
      </c>
      <c r="H1157" t="s">
        <v>2118</v>
      </c>
      <c r="J1157" t="s">
        <v>19</v>
      </c>
      <c r="K1157" t="s">
        <v>881</v>
      </c>
      <c r="L1157" t="s">
        <v>45</v>
      </c>
      <c r="N1157" t="s">
        <v>24</v>
      </c>
      <c r="O1157" t="s">
        <v>25</v>
      </c>
      <c r="P1157" t="str">
        <f>_xlfn.TEXTBEFORE(_xlfn.TEXTAFTER(Table26[[#This Row],[WBS CODE]], "-"), "-")</f>
        <v>302038807</v>
      </c>
    </row>
    <row r="1158" spans="1:16" x14ac:dyDescent="0.3">
      <c r="A1158">
        <v>1157</v>
      </c>
      <c r="B1158" t="s">
        <v>30</v>
      </c>
      <c r="C1158" t="s">
        <v>2117</v>
      </c>
      <c r="D1158" t="s">
        <v>2119</v>
      </c>
      <c r="E1158" t="s">
        <v>1772</v>
      </c>
      <c r="F1158" t="s">
        <v>2087</v>
      </c>
      <c r="G1158" t="s">
        <v>2106</v>
      </c>
      <c r="H1158" t="s">
        <v>2118</v>
      </c>
      <c r="I1158" t="s">
        <v>2119</v>
      </c>
      <c r="J1158" t="s">
        <v>19</v>
      </c>
      <c r="K1158" t="s">
        <v>881</v>
      </c>
      <c r="L1158" t="s">
        <v>45</v>
      </c>
      <c r="M1158" t="s">
        <v>45</v>
      </c>
      <c r="N1158" t="s">
        <v>24</v>
      </c>
      <c r="O1158" t="s">
        <v>25</v>
      </c>
      <c r="P1158" t="str">
        <f>_xlfn.TEXTBEFORE(_xlfn.TEXTAFTER(Table26[[#This Row],[WBS CODE]], "-"), "-")</f>
        <v>30203880759</v>
      </c>
    </row>
    <row r="1159" spans="1:16" x14ac:dyDescent="0.3">
      <c r="A1159">
        <v>1158</v>
      </c>
      <c r="B1159" t="s">
        <v>21</v>
      </c>
      <c r="C1159" t="s">
        <v>48</v>
      </c>
      <c r="D1159" t="s">
        <v>2120</v>
      </c>
      <c r="E1159" t="s">
        <v>1772</v>
      </c>
      <c r="F1159" t="s">
        <v>2087</v>
      </c>
      <c r="G1159" t="s">
        <v>2120</v>
      </c>
      <c r="J1159" t="s">
        <v>19</v>
      </c>
      <c r="K1159" t="s">
        <v>881</v>
      </c>
      <c r="N1159" t="s">
        <v>50</v>
      </c>
      <c r="O1159" t="s">
        <v>25</v>
      </c>
      <c r="P1159" t="str">
        <f>_xlfn.TEXTBEFORE(_xlfn.TEXTAFTER(Table26[[#This Row],[WBS CODE]], "-"), "-")</f>
        <v>3020387</v>
      </c>
    </row>
    <row r="1160" spans="1:16" x14ac:dyDescent="0.3">
      <c r="A1160">
        <v>1159</v>
      </c>
      <c r="B1160" t="s">
        <v>26</v>
      </c>
      <c r="C1160" t="s">
        <v>2121</v>
      </c>
      <c r="D1160" t="s">
        <v>2122</v>
      </c>
      <c r="E1160" t="s">
        <v>1772</v>
      </c>
      <c r="F1160" t="s">
        <v>2087</v>
      </c>
      <c r="G1160" t="s">
        <v>2120</v>
      </c>
      <c r="H1160" t="s">
        <v>2122</v>
      </c>
      <c r="J1160" t="s">
        <v>19</v>
      </c>
      <c r="K1160" t="s">
        <v>881</v>
      </c>
      <c r="L1160" t="s">
        <v>29</v>
      </c>
      <c r="N1160" t="s">
        <v>50</v>
      </c>
      <c r="O1160" t="s">
        <v>25</v>
      </c>
      <c r="P1160" t="str">
        <f>_xlfn.TEXTBEFORE(_xlfn.TEXTAFTER(Table26[[#This Row],[WBS CODE]], "-"), "-")</f>
        <v>302038709</v>
      </c>
    </row>
    <row r="1161" spans="1:16" x14ac:dyDescent="0.3">
      <c r="A1161">
        <v>1160</v>
      </c>
      <c r="B1161" t="s">
        <v>30</v>
      </c>
      <c r="C1161" t="s">
        <v>2123</v>
      </c>
      <c r="D1161" t="s">
        <v>2124</v>
      </c>
      <c r="E1161" t="s">
        <v>1772</v>
      </c>
      <c r="F1161" t="s">
        <v>2087</v>
      </c>
      <c r="G1161" t="s">
        <v>2120</v>
      </c>
      <c r="H1161" t="s">
        <v>2122</v>
      </c>
      <c r="I1161" t="s">
        <v>2124</v>
      </c>
      <c r="J1161" t="s">
        <v>19</v>
      </c>
      <c r="K1161" t="s">
        <v>881</v>
      </c>
      <c r="L1161" t="s">
        <v>29</v>
      </c>
      <c r="M1161" t="s">
        <v>33</v>
      </c>
      <c r="N1161" t="s">
        <v>1803</v>
      </c>
      <c r="O1161" t="s">
        <v>219</v>
      </c>
      <c r="P1161" t="str">
        <f>_xlfn.TEXTBEFORE(_xlfn.TEXTAFTER(Table26[[#This Row],[WBS CODE]], "-"), "-")</f>
        <v>30203870902</v>
      </c>
    </row>
    <row r="1162" spans="1:16" x14ac:dyDescent="0.3">
      <c r="A1162">
        <v>1161</v>
      </c>
      <c r="B1162" t="s">
        <v>30</v>
      </c>
      <c r="C1162" t="s">
        <v>2125</v>
      </c>
      <c r="D1162" t="s">
        <v>2126</v>
      </c>
      <c r="E1162" t="s">
        <v>1772</v>
      </c>
      <c r="F1162" t="s">
        <v>2087</v>
      </c>
      <c r="G1162" t="s">
        <v>2120</v>
      </c>
      <c r="H1162" t="s">
        <v>2122</v>
      </c>
      <c r="I1162" t="s">
        <v>2126</v>
      </c>
      <c r="J1162" t="s">
        <v>19</v>
      </c>
      <c r="K1162" t="s">
        <v>881</v>
      </c>
      <c r="L1162" t="s">
        <v>29</v>
      </c>
      <c r="M1162" t="s">
        <v>33</v>
      </c>
      <c r="N1162" t="s">
        <v>1807</v>
      </c>
      <c r="O1162" t="s">
        <v>219</v>
      </c>
      <c r="P1162" t="str">
        <f>_xlfn.TEXTBEFORE(_xlfn.TEXTAFTER(Table26[[#This Row],[WBS CODE]], "-"), "-")</f>
        <v>30203870901</v>
      </c>
    </row>
    <row r="1163" spans="1:16" x14ac:dyDescent="0.3">
      <c r="A1163">
        <v>1162</v>
      </c>
      <c r="B1163" t="s">
        <v>26</v>
      </c>
      <c r="C1163" t="s">
        <v>2127</v>
      </c>
      <c r="D1163" t="s">
        <v>2128</v>
      </c>
      <c r="E1163" t="s">
        <v>1772</v>
      </c>
      <c r="F1163" t="s">
        <v>2087</v>
      </c>
      <c r="G1163" t="s">
        <v>2120</v>
      </c>
      <c r="H1163" t="s">
        <v>2128</v>
      </c>
      <c r="J1163" t="s">
        <v>19</v>
      </c>
      <c r="K1163" t="s">
        <v>881</v>
      </c>
      <c r="L1163" t="s">
        <v>36</v>
      </c>
      <c r="N1163" t="s">
        <v>50</v>
      </c>
      <c r="O1163" t="s">
        <v>25</v>
      </c>
      <c r="P1163" t="str">
        <f>_xlfn.TEXTBEFORE(_xlfn.TEXTAFTER(Table26[[#This Row],[WBS CODE]], "-"), "-")</f>
        <v>302038708</v>
      </c>
    </row>
    <row r="1164" spans="1:16" x14ac:dyDescent="0.3">
      <c r="A1164">
        <v>1163</v>
      </c>
      <c r="B1164" t="s">
        <v>30</v>
      </c>
      <c r="C1164" t="s">
        <v>2129</v>
      </c>
      <c r="D1164" t="s">
        <v>2130</v>
      </c>
      <c r="E1164" t="s">
        <v>1772</v>
      </c>
      <c r="F1164" t="s">
        <v>2087</v>
      </c>
      <c r="G1164" t="s">
        <v>2120</v>
      </c>
      <c r="H1164" t="s">
        <v>2128</v>
      </c>
      <c r="I1164" t="s">
        <v>2130</v>
      </c>
      <c r="J1164" t="s">
        <v>19</v>
      </c>
      <c r="K1164" t="s">
        <v>881</v>
      </c>
      <c r="L1164" t="s">
        <v>36</v>
      </c>
      <c r="M1164" t="s">
        <v>39</v>
      </c>
      <c r="N1164" t="s">
        <v>50</v>
      </c>
      <c r="O1164" t="s">
        <v>25</v>
      </c>
      <c r="P1164" t="str">
        <f>_xlfn.TEXTBEFORE(_xlfn.TEXTAFTER(Table26[[#This Row],[WBS CODE]], "-"), "-")</f>
        <v>30203870821</v>
      </c>
    </row>
    <row r="1165" spans="1:16" x14ac:dyDescent="0.3">
      <c r="A1165">
        <v>1164</v>
      </c>
      <c r="B1165" t="s">
        <v>30</v>
      </c>
      <c r="C1165" t="s">
        <v>2131</v>
      </c>
      <c r="D1165" t="s">
        <v>2132</v>
      </c>
      <c r="E1165" t="s">
        <v>1772</v>
      </c>
      <c r="F1165" t="s">
        <v>2087</v>
      </c>
      <c r="G1165" t="s">
        <v>2120</v>
      </c>
      <c r="H1165" t="s">
        <v>2128</v>
      </c>
      <c r="I1165" t="s">
        <v>2132</v>
      </c>
      <c r="J1165" t="s">
        <v>19</v>
      </c>
      <c r="K1165" t="s">
        <v>881</v>
      </c>
      <c r="L1165" t="s">
        <v>36</v>
      </c>
      <c r="M1165" t="s">
        <v>42</v>
      </c>
      <c r="N1165" t="s">
        <v>50</v>
      </c>
      <c r="O1165" t="s">
        <v>25</v>
      </c>
      <c r="P1165" t="str">
        <f>_xlfn.TEXTBEFORE(_xlfn.TEXTAFTER(Table26[[#This Row],[WBS CODE]], "-"), "-")</f>
        <v>30203870860</v>
      </c>
    </row>
    <row r="1166" spans="1:16" x14ac:dyDescent="0.3">
      <c r="A1166">
        <v>1165</v>
      </c>
      <c r="B1166" t="s">
        <v>26</v>
      </c>
      <c r="C1166" t="s">
        <v>2133</v>
      </c>
      <c r="D1166" t="s">
        <v>2134</v>
      </c>
      <c r="E1166" t="s">
        <v>1772</v>
      </c>
      <c r="F1166" t="s">
        <v>2087</v>
      </c>
      <c r="G1166" t="s">
        <v>2120</v>
      </c>
      <c r="H1166" t="s">
        <v>2134</v>
      </c>
      <c r="J1166" t="s">
        <v>19</v>
      </c>
      <c r="K1166" t="s">
        <v>881</v>
      </c>
      <c r="L1166" t="s">
        <v>45</v>
      </c>
      <c r="N1166" t="s">
        <v>50</v>
      </c>
      <c r="O1166" t="s">
        <v>25</v>
      </c>
      <c r="P1166" t="str">
        <f>_xlfn.TEXTBEFORE(_xlfn.TEXTAFTER(Table26[[#This Row],[WBS CODE]], "-"), "-")</f>
        <v>302038707</v>
      </c>
    </row>
    <row r="1167" spans="1:16" x14ac:dyDescent="0.3">
      <c r="A1167">
        <v>1166</v>
      </c>
      <c r="B1167" t="s">
        <v>30</v>
      </c>
      <c r="C1167" t="s">
        <v>2133</v>
      </c>
      <c r="D1167" t="s">
        <v>2135</v>
      </c>
      <c r="E1167" t="s">
        <v>1772</v>
      </c>
      <c r="F1167" t="s">
        <v>2087</v>
      </c>
      <c r="G1167" t="s">
        <v>2120</v>
      </c>
      <c r="H1167" t="s">
        <v>2134</v>
      </c>
      <c r="I1167" t="s">
        <v>2135</v>
      </c>
      <c r="J1167" t="s">
        <v>19</v>
      </c>
      <c r="K1167" t="s">
        <v>881</v>
      </c>
      <c r="L1167" t="s">
        <v>45</v>
      </c>
      <c r="M1167" t="s">
        <v>45</v>
      </c>
      <c r="N1167" t="s">
        <v>50</v>
      </c>
      <c r="O1167" t="s">
        <v>25</v>
      </c>
      <c r="P1167" t="str">
        <f>_xlfn.TEXTBEFORE(_xlfn.TEXTAFTER(Table26[[#This Row],[WBS CODE]], "-"), "-")</f>
        <v>30203870759</v>
      </c>
    </row>
    <row r="1168" spans="1:16" x14ac:dyDescent="0.3">
      <c r="A1168">
        <v>1167</v>
      </c>
      <c r="B1168" t="s">
        <v>21</v>
      </c>
      <c r="C1168" t="s">
        <v>2136</v>
      </c>
      <c r="D1168" t="s">
        <v>2137</v>
      </c>
      <c r="E1168" t="s">
        <v>1772</v>
      </c>
      <c r="F1168" t="s">
        <v>2087</v>
      </c>
      <c r="G1168" t="s">
        <v>2137</v>
      </c>
      <c r="J1168" t="s">
        <v>19</v>
      </c>
      <c r="K1168" t="s">
        <v>101</v>
      </c>
      <c r="N1168" t="s">
        <v>50</v>
      </c>
      <c r="O1168" t="s">
        <v>25</v>
      </c>
      <c r="P1168" t="str">
        <f>_xlfn.TEXTBEFORE(_xlfn.TEXTAFTER(Table26[[#This Row],[WBS CODE]], "-"), "-")</f>
        <v>3020386</v>
      </c>
    </row>
    <row r="1169" spans="1:16" x14ac:dyDescent="0.3">
      <c r="A1169">
        <v>1168</v>
      </c>
      <c r="B1169" t="s">
        <v>26</v>
      </c>
      <c r="C1169" t="s">
        <v>2138</v>
      </c>
      <c r="D1169" t="s">
        <v>2139</v>
      </c>
      <c r="E1169" t="s">
        <v>1772</v>
      </c>
      <c r="F1169" t="s">
        <v>2087</v>
      </c>
      <c r="G1169" t="s">
        <v>2137</v>
      </c>
      <c r="H1169" t="s">
        <v>2139</v>
      </c>
      <c r="J1169" t="s">
        <v>19</v>
      </c>
      <c r="K1169" t="s">
        <v>101</v>
      </c>
      <c r="L1169" t="s">
        <v>29</v>
      </c>
      <c r="N1169" t="s">
        <v>50</v>
      </c>
      <c r="O1169" t="s">
        <v>25</v>
      </c>
      <c r="P1169" t="str">
        <f>_xlfn.TEXTBEFORE(_xlfn.TEXTAFTER(Table26[[#This Row],[WBS CODE]], "-"), "-")</f>
        <v>302038609</v>
      </c>
    </row>
    <row r="1170" spans="1:16" x14ac:dyDescent="0.3">
      <c r="A1170">
        <v>1169</v>
      </c>
      <c r="B1170" t="s">
        <v>30</v>
      </c>
      <c r="C1170" t="s">
        <v>2138</v>
      </c>
      <c r="D1170" t="s">
        <v>2140</v>
      </c>
      <c r="E1170" t="s">
        <v>1772</v>
      </c>
      <c r="F1170" t="s">
        <v>2087</v>
      </c>
      <c r="G1170" t="s">
        <v>2137</v>
      </c>
      <c r="H1170" t="s">
        <v>2139</v>
      </c>
      <c r="I1170" t="s">
        <v>2140</v>
      </c>
      <c r="J1170" t="s">
        <v>19</v>
      </c>
      <c r="K1170" t="s">
        <v>101</v>
      </c>
      <c r="L1170" t="s">
        <v>29</v>
      </c>
      <c r="M1170" t="s">
        <v>29</v>
      </c>
      <c r="N1170" t="s">
        <v>50</v>
      </c>
      <c r="O1170" t="s">
        <v>25</v>
      </c>
      <c r="P1170" t="str">
        <f>_xlfn.TEXTBEFORE(_xlfn.TEXTAFTER(Table26[[#This Row],[WBS CODE]], "-"), "-")</f>
        <v>30203860962</v>
      </c>
    </row>
    <row r="1171" spans="1:16" x14ac:dyDescent="0.3">
      <c r="A1171">
        <v>1170</v>
      </c>
      <c r="B1171" t="s">
        <v>26</v>
      </c>
      <c r="C1171" t="s">
        <v>2141</v>
      </c>
      <c r="D1171" t="s">
        <v>2142</v>
      </c>
      <c r="E1171" t="s">
        <v>1772</v>
      </c>
      <c r="F1171" t="s">
        <v>2087</v>
      </c>
      <c r="G1171" t="s">
        <v>2137</v>
      </c>
      <c r="H1171" t="s">
        <v>2142</v>
      </c>
      <c r="J1171" t="s">
        <v>19</v>
      </c>
      <c r="K1171" t="s">
        <v>101</v>
      </c>
      <c r="L1171" t="s">
        <v>36</v>
      </c>
      <c r="N1171" t="s">
        <v>50</v>
      </c>
      <c r="O1171" t="s">
        <v>25</v>
      </c>
      <c r="P1171" t="str">
        <f>_xlfn.TEXTBEFORE(_xlfn.TEXTAFTER(Table26[[#This Row],[WBS CODE]], "-"), "-")</f>
        <v>302038608</v>
      </c>
    </row>
    <row r="1172" spans="1:16" x14ac:dyDescent="0.3">
      <c r="A1172">
        <v>1171</v>
      </c>
      <c r="B1172" t="s">
        <v>30</v>
      </c>
      <c r="C1172" t="s">
        <v>2143</v>
      </c>
      <c r="D1172" t="s">
        <v>2144</v>
      </c>
      <c r="E1172" t="s">
        <v>1772</v>
      </c>
      <c r="F1172" t="s">
        <v>2087</v>
      </c>
      <c r="G1172" t="s">
        <v>2137</v>
      </c>
      <c r="H1172" t="s">
        <v>2142</v>
      </c>
      <c r="I1172" t="s">
        <v>2144</v>
      </c>
      <c r="J1172" t="s">
        <v>19</v>
      </c>
      <c r="K1172" t="s">
        <v>101</v>
      </c>
      <c r="L1172" t="s">
        <v>36</v>
      </c>
      <c r="M1172" t="s">
        <v>39</v>
      </c>
      <c r="N1172" t="s">
        <v>50</v>
      </c>
      <c r="O1172" t="s">
        <v>25</v>
      </c>
      <c r="P1172" t="str">
        <f>_xlfn.TEXTBEFORE(_xlfn.TEXTAFTER(Table26[[#This Row],[WBS CODE]], "-"), "-")</f>
        <v>30203860821</v>
      </c>
    </row>
    <row r="1173" spans="1:16" x14ac:dyDescent="0.3">
      <c r="A1173">
        <v>1172</v>
      </c>
      <c r="B1173" t="s">
        <v>30</v>
      </c>
      <c r="C1173" t="s">
        <v>2145</v>
      </c>
      <c r="D1173" t="s">
        <v>2146</v>
      </c>
      <c r="E1173" t="s">
        <v>1772</v>
      </c>
      <c r="F1173" t="s">
        <v>2087</v>
      </c>
      <c r="G1173" t="s">
        <v>2137</v>
      </c>
      <c r="H1173" t="s">
        <v>2142</v>
      </c>
      <c r="I1173" t="s">
        <v>2146</v>
      </c>
      <c r="J1173" t="s">
        <v>19</v>
      </c>
      <c r="K1173" t="s">
        <v>101</v>
      </c>
      <c r="L1173" t="s">
        <v>36</v>
      </c>
      <c r="M1173" t="s">
        <v>42</v>
      </c>
      <c r="N1173" t="s">
        <v>50</v>
      </c>
      <c r="O1173" t="s">
        <v>25</v>
      </c>
      <c r="P1173" t="str">
        <f>_xlfn.TEXTBEFORE(_xlfn.TEXTAFTER(Table26[[#This Row],[WBS CODE]], "-"), "-")</f>
        <v>30203860860</v>
      </c>
    </row>
    <row r="1174" spans="1:16" x14ac:dyDescent="0.3">
      <c r="A1174">
        <v>1173</v>
      </c>
      <c r="B1174" t="s">
        <v>26</v>
      </c>
      <c r="C1174" t="s">
        <v>2147</v>
      </c>
      <c r="D1174" t="s">
        <v>2148</v>
      </c>
      <c r="E1174" t="s">
        <v>1772</v>
      </c>
      <c r="F1174" t="s">
        <v>2087</v>
      </c>
      <c r="G1174" t="s">
        <v>2137</v>
      </c>
      <c r="H1174" t="s">
        <v>2148</v>
      </c>
      <c r="J1174" t="s">
        <v>19</v>
      </c>
      <c r="K1174" t="s">
        <v>101</v>
      </c>
      <c r="L1174" t="s">
        <v>45</v>
      </c>
      <c r="N1174" t="s">
        <v>50</v>
      </c>
      <c r="O1174" t="s">
        <v>25</v>
      </c>
      <c r="P1174" t="str">
        <f>_xlfn.TEXTBEFORE(_xlfn.TEXTAFTER(Table26[[#This Row],[WBS CODE]], "-"), "-")</f>
        <v>302038607</v>
      </c>
    </row>
    <row r="1175" spans="1:16" x14ac:dyDescent="0.3">
      <c r="A1175">
        <v>1174</v>
      </c>
      <c r="B1175" t="s">
        <v>30</v>
      </c>
      <c r="C1175" t="s">
        <v>2147</v>
      </c>
      <c r="D1175" t="s">
        <v>2149</v>
      </c>
      <c r="E1175" t="s">
        <v>1772</v>
      </c>
      <c r="F1175" t="s">
        <v>2087</v>
      </c>
      <c r="G1175" t="s">
        <v>2137</v>
      </c>
      <c r="H1175" t="s">
        <v>2148</v>
      </c>
      <c r="I1175" t="s">
        <v>2149</v>
      </c>
      <c r="J1175" t="s">
        <v>19</v>
      </c>
      <c r="K1175" t="s">
        <v>101</v>
      </c>
      <c r="L1175" t="s">
        <v>45</v>
      </c>
      <c r="M1175" t="s">
        <v>45</v>
      </c>
      <c r="N1175" t="s">
        <v>50</v>
      </c>
      <c r="O1175" t="s">
        <v>25</v>
      </c>
      <c r="P1175" t="str">
        <f>_xlfn.TEXTBEFORE(_xlfn.TEXTAFTER(Table26[[#This Row],[WBS CODE]], "-"), "-")</f>
        <v>30203860759</v>
      </c>
    </row>
    <row r="1176" spans="1:16" x14ac:dyDescent="0.3">
      <c r="A1176">
        <v>1175</v>
      </c>
      <c r="B1176" t="s">
        <v>21</v>
      </c>
      <c r="C1176" t="s">
        <v>2150</v>
      </c>
      <c r="D1176" t="s">
        <v>2151</v>
      </c>
      <c r="E1176" t="s">
        <v>1772</v>
      </c>
      <c r="F1176" t="s">
        <v>2087</v>
      </c>
      <c r="G1176" t="s">
        <v>2151</v>
      </c>
      <c r="J1176" t="s">
        <v>19</v>
      </c>
      <c r="K1176" t="s">
        <v>150</v>
      </c>
      <c r="N1176" t="s">
        <v>2090</v>
      </c>
      <c r="O1176" t="s">
        <v>25</v>
      </c>
      <c r="P1176" t="str">
        <f>_xlfn.TEXTBEFORE(_xlfn.TEXTAFTER(Table26[[#This Row],[WBS CODE]], "-"), "-")</f>
        <v>3020385</v>
      </c>
    </row>
    <row r="1177" spans="1:16" x14ac:dyDescent="0.3">
      <c r="A1177">
        <v>1176</v>
      </c>
      <c r="B1177" t="s">
        <v>26</v>
      </c>
      <c r="C1177" t="s">
        <v>2152</v>
      </c>
      <c r="D1177" t="s">
        <v>2153</v>
      </c>
      <c r="E1177" t="s">
        <v>1772</v>
      </c>
      <c r="F1177" t="s">
        <v>2087</v>
      </c>
      <c r="G1177" t="s">
        <v>2151</v>
      </c>
      <c r="H1177" t="s">
        <v>2153</v>
      </c>
      <c r="J1177" t="s">
        <v>19</v>
      </c>
      <c r="K1177" t="s">
        <v>150</v>
      </c>
      <c r="L1177" t="s">
        <v>29</v>
      </c>
      <c r="N1177" t="s">
        <v>2090</v>
      </c>
      <c r="O1177" t="s">
        <v>25</v>
      </c>
      <c r="P1177" t="str">
        <f>_xlfn.TEXTBEFORE(_xlfn.TEXTAFTER(Table26[[#This Row],[WBS CODE]], "-"), "-")</f>
        <v>302038509</v>
      </c>
    </row>
    <row r="1178" spans="1:16" x14ac:dyDescent="0.3">
      <c r="A1178">
        <v>1177</v>
      </c>
      <c r="B1178" t="s">
        <v>30</v>
      </c>
      <c r="C1178" t="s">
        <v>2152</v>
      </c>
      <c r="D1178" t="s">
        <v>2154</v>
      </c>
      <c r="E1178" t="s">
        <v>1772</v>
      </c>
      <c r="F1178" t="s">
        <v>2087</v>
      </c>
      <c r="G1178" t="s">
        <v>2151</v>
      </c>
      <c r="H1178" t="s">
        <v>2153</v>
      </c>
      <c r="I1178" t="s">
        <v>2154</v>
      </c>
      <c r="J1178" t="s">
        <v>19</v>
      </c>
      <c r="K1178" t="s">
        <v>150</v>
      </c>
      <c r="L1178" t="s">
        <v>29</v>
      </c>
      <c r="M1178" t="s">
        <v>29</v>
      </c>
      <c r="N1178" t="s">
        <v>2090</v>
      </c>
      <c r="O1178" t="s">
        <v>25</v>
      </c>
      <c r="P1178" t="str">
        <f>_xlfn.TEXTBEFORE(_xlfn.TEXTAFTER(Table26[[#This Row],[WBS CODE]], "-"), "-")</f>
        <v>30203850962</v>
      </c>
    </row>
    <row r="1179" spans="1:16" x14ac:dyDescent="0.3">
      <c r="A1179">
        <v>1178</v>
      </c>
      <c r="B1179" t="s">
        <v>26</v>
      </c>
      <c r="C1179" t="s">
        <v>2155</v>
      </c>
      <c r="D1179" t="s">
        <v>2156</v>
      </c>
      <c r="E1179" t="s">
        <v>1772</v>
      </c>
      <c r="F1179" t="s">
        <v>2087</v>
      </c>
      <c r="G1179" t="s">
        <v>2151</v>
      </c>
      <c r="H1179" t="s">
        <v>2156</v>
      </c>
      <c r="J1179" t="s">
        <v>19</v>
      </c>
      <c r="K1179" t="s">
        <v>150</v>
      </c>
      <c r="L1179" t="s">
        <v>36</v>
      </c>
      <c r="N1179" t="s">
        <v>2090</v>
      </c>
      <c r="O1179" t="s">
        <v>25</v>
      </c>
      <c r="P1179" t="str">
        <f>_xlfn.TEXTBEFORE(_xlfn.TEXTAFTER(Table26[[#This Row],[WBS CODE]], "-"), "-")</f>
        <v>302038508</v>
      </c>
    </row>
    <row r="1180" spans="1:16" x14ac:dyDescent="0.3">
      <c r="A1180">
        <v>1179</v>
      </c>
      <c r="B1180" t="s">
        <v>30</v>
      </c>
      <c r="C1180" t="s">
        <v>2157</v>
      </c>
      <c r="D1180" t="s">
        <v>2158</v>
      </c>
      <c r="E1180" t="s">
        <v>1772</v>
      </c>
      <c r="F1180" t="s">
        <v>2087</v>
      </c>
      <c r="G1180" t="s">
        <v>2151</v>
      </c>
      <c r="H1180" t="s">
        <v>2156</v>
      </c>
      <c r="I1180" t="s">
        <v>2158</v>
      </c>
      <c r="J1180" t="s">
        <v>19</v>
      </c>
      <c r="K1180" t="s">
        <v>150</v>
      </c>
      <c r="L1180" t="s">
        <v>36</v>
      </c>
      <c r="M1180" t="s">
        <v>39</v>
      </c>
      <c r="N1180" t="s">
        <v>2090</v>
      </c>
      <c r="O1180" t="s">
        <v>25</v>
      </c>
      <c r="P1180" t="str">
        <f>_xlfn.TEXTBEFORE(_xlfn.TEXTAFTER(Table26[[#This Row],[WBS CODE]], "-"), "-")</f>
        <v>30203850821</v>
      </c>
    </row>
    <row r="1181" spans="1:16" x14ac:dyDescent="0.3">
      <c r="A1181">
        <v>1180</v>
      </c>
      <c r="B1181" t="s">
        <v>30</v>
      </c>
      <c r="C1181" t="s">
        <v>2159</v>
      </c>
      <c r="D1181" t="s">
        <v>2160</v>
      </c>
      <c r="E1181" t="s">
        <v>1772</v>
      </c>
      <c r="F1181" t="s">
        <v>2087</v>
      </c>
      <c r="G1181" t="s">
        <v>2151</v>
      </c>
      <c r="H1181" t="s">
        <v>2156</v>
      </c>
      <c r="I1181" t="s">
        <v>2160</v>
      </c>
      <c r="J1181" t="s">
        <v>19</v>
      </c>
      <c r="K1181" t="s">
        <v>150</v>
      </c>
      <c r="L1181" t="s">
        <v>36</v>
      </c>
      <c r="M1181" t="s">
        <v>42</v>
      </c>
      <c r="N1181" t="s">
        <v>2090</v>
      </c>
      <c r="O1181" t="s">
        <v>25</v>
      </c>
      <c r="P1181" t="str">
        <f>_xlfn.TEXTBEFORE(_xlfn.TEXTAFTER(Table26[[#This Row],[WBS CODE]], "-"), "-")</f>
        <v>30203850860</v>
      </c>
    </row>
    <row r="1182" spans="1:16" x14ac:dyDescent="0.3">
      <c r="A1182">
        <v>1181</v>
      </c>
      <c r="B1182" t="s">
        <v>26</v>
      </c>
      <c r="C1182" t="s">
        <v>2161</v>
      </c>
      <c r="D1182" t="s">
        <v>2162</v>
      </c>
      <c r="E1182" t="s">
        <v>1772</v>
      </c>
      <c r="F1182" t="s">
        <v>2087</v>
      </c>
      <c r="G1182" t="s">
        <v>2151</v>
      </c>
      <c r="H1182" t="s">
        <v>2162</v>
      </c>
      <c r="J1182" t="s">
        <v>19</v>
      </c>
      <c r="K1182" t="s">
        <v>150</v>
      </c>
      <c r="L1182" t="s">
        <v>45</v>
      </c>
      <c r="N1182" t="s">
        <v>2090</v>
      </c>
      <c r="O1182" t="s">
        <v>25</v>
      </c>
      <c r="P1182" t="str">
        <f>_xlfn.TEXTBEFORE(_xlfn.TEXTAFTER(Table26[[#This Row],[WBS CODE]], "-"), "-")</f>
        <v>302038507</v>
      </c>
    </row>
    <row r="1183" spans="1:16" x14ac:dyDescent="0.3">
      <c r="A1183">
        <v>1182</v>
      </c>
      <c r="B1183" t="s">
        <v>30</v>
      </c>
      <c r="C1183" t="s">
        <v>2161</v>
      </c>
      <c r="D1183" t="s">
        <v>2163</v>
      </c>
      <c r="E1183" t="s">
        <v>1772</v>
      </c>
      <c r="F1183" t="s">
        <v>2087</v>
      </c>
      <c r="G1183" t="s">
        <v>2151</v>
      </c>
      <c r="H1183" t="s">
        <v>2162</v>
      </c>
      <c r="I1183" t="s">
        <v>2163</v>
      </c>
      <c r="J1183" t="s">
        <v>19</v>
      </c>
      <c r="K1183" t="s">
        <v>150</v>
      </c>
      <c r="L1183" t="s">
        <v>45</v>
      </c>
      <c r="M1183" t="s">
        <v>45</v>
      </c>
      <c r="N1183" t="s">
        <v>2090</v>
      </c>
      <c r="O1183" t="s">
        <v>25</v>
      </c>
      <c r="P1183" t="str">
        <f>_xlfn.TEXTBEFORE(_xlfn.TEXTAFTER(Table26[[#This Row],[WBS CODE]], "-"), "-")</f>
        <v>30203850759</v>
      </c>
    </row>
    <row r="1184" spans="1:16" x14ac:dyDescent="0.3">
      <c r="A1184">
        <v>1183</v>
      </c>
      <c r="B1184" t="s">
        <v>21</v>
      </c>
      <c r="C1184" t="s">
        <v>2164</v>
      </c>
      <c r="D1184" t="s">
        <v>2165</v>
      </c>
      <c r="E1184" t="s">
        <v>1772</v>
      </c>
      <c r="F1184" t="s">
        <v>2087</v>
      </c>
      <c r="G1184" t="s">
        <v>2165</v>
      </c>
      <c r="J1184" t="s">
        <v>19</v>
      </c>
      <c r="K1184" t="s">
        <v>150</v>
      </c>
      <c r="N1184" t="s">
        <v>24</v>
      </c>
      <c r="O1184" t="s">
        <v>25</v>
      </c>
      <c r="P1184" t="str">
        <f>_xlfn.TEXTBEFORE(_xlfn.TEXTAFTER(Table26[[#This Row],[WBS CODE]], "-"), "-")</f>
        <v>3020384</v>
      </c>
    </row>
    <row r="1185" spans="1:16" x14ac:dyDescent="0.3">
      <c r="A1185">
        <v>1184</v>
      </c>
      <c r="B1185" t="s">
        <v>26</v>
      </c>
      <c r="C1185" t="s">
        <v>2166</v>
      </c>
      <c r="D1185" t="s">
        <v>2167</v>
      </c>
      <c r="E1185" t="s">
        <v>1772</v>
      </c>
      <c r="F1185" t="s">
        <v>2087</v>
      </c>
      <c r="G1185" t="s">
        <v>2165</v>
      </c>
      <c r="H1185" t="s">
        <v>2167</v>
      </c>
      <c r="J1185" t="s">
        <v>19</v>
      </c>
      <c r="K1185" t="s">
        <v>150</v>
      </c>
      <c r="L1185" t="s">
        <v>29</v>
      </c>
      <c r="N1185" t="s">
        <v>24</v>
      </c>
      <c r="O1185" t="s">
        <v>25</v>
      </c>
      <c r="P1185" t="str">
        <f>_xlfn.TEXTBEFORE(_xlfn.TEXTAFTER(Table26[[#This Row],[WBS CODE]], "-"), "-")</f>
        <v>302038409</v>
      </c>
    </row>
    <row r="1186" spans="1:16" x14ac:dyDescent="0.3">
      <c r="A1186">
        <v>1185</v>
      </c>
      <c r="B1186" t="s">
        <v>30</v>
      </c>
      <c r="C1186" t="s">
        <v>2166</v>
      </c>
      <c r="D1186" t="s">
        <v>2168</v>
      </c>
      <c r="E1186" t="s">
        <v>1772</v>
      </c>
      <c r="F1186" t="s">
        <v>2087</v>
      </c>
      <c r="G1186" t="s">
        <v>2165</v>
      </c>
      <c r="H1186" t="s">
        <v>2167</v>
      </c>
      <c r="I1186" t="s">
        <v>2168</v>
      </c>
      <c r="J1186" t="s">
        <v>19</v>
      </c>
      <c r="K1186" t="s">
        <v>150</v>
      </c>
      <c r="L1186" t="s">
        <v>29</v>
      </c>
      <c r="M1186" t="s">
        <v>29</v>
      </c>
      <c r="N1186" t="s">
        <v>24</v>
      </c>
      <c r="O1186" t="s">
        <v>25</v>
      </c>
      <c r="P1186" t="str">
        <f>_xlfn.TEXTBEFORE(_xlfn.TEXTAFTER(Table26[[#This Row],[WBS CODE]], "-"), "-")</f>
        <v>30203840962</v>
      </c>
    </row>
    <row r="1187" spans="1:16" x14ac:dyDescent="0.3">
      <c r="A1187">
        <v>1186</v>
      </c>
      <c r="B1187" t="s">
        <v>26</v>
      </c>
      <c r="C1187" t="s">
        <v>2169</v>
      </c>
      <c r="D1187" t="s">
        <v>2170</v>
      </c>
      <c r="E1187" t="s">
        <v>1772</v>
      </c>
      <c r="F1187" t="s">
        <v>2087</v>
      </c>
      <c r="G1187" t="s">
        <v>2165</v>
      </c>
      <c r="H1187" t="s">
        <v>2170</v>
      </c>
      <c r="J1187" t="s">
        <v>19</v>
      </c>
      <c r="K1187" t="s">
        <v>150</v>
      </c>
      <c r="L1187" t="s">
        <v>36</v>
      </c>
      <c r="N1187" t="s">
        <v>24</v>
      </c>
      <c r="O1187" t="s">
        <v>25</v>
      </c>
      <c r="P1187" t="str">
        <f>_xlfn.TEXTBEFORE(_xlfn.TEXTAFTER(Table26[[#This Row],[WBS CODE]], "-"), "-")</f>
        <v>302038408</v>
      </c>
    </row>
    <row r="1188" spans="1:16" x14ac:dyDescent="0.3">
      <c r="A1188">
        <v>1187</v>
      </c>
      <c r="B1188" t="s">
        <v>30</v>
      </c>
      <c r="C1188" t="s">
        <v>2171</v>
      </c>
      <c r="D1188" t="s">
        <v>2172</v>
      </c>
      <c r="E1188" t="s">
        <v>1772</v>
      </c>
      <c r="F1188" t="s">
        <v>2087</v>
      </c>
      <c r="G1188" t="s">
        <v>2165</v>
      </c>
      <c r="H1188" t="s">
        <v>2170</v>
      </c>
      <c r="I1188" t="s">
        <v>2172</v>
      </c>
      <c r="J1188" t="s">
        <v>19</v>
      </c>
      <c r="K1188" t="s">
        <v>150</v>
      </c>
      <c r="L1188" t="s">
        <v>36</v>
      </c>
      <c r="M1188" t="s">
        <v>39</v>
      </c>
      <c r="N1188" t="s">
        <v>24</v>
      </c>
      <c r="O1188" t="s">
        <v>25</v>
      </c>
      <c r="P1188" t="str">
        <f>_xlfn.TEXTBEFORE(_xlfn.TEXTAFTER(Table26[[#This Row],[WBS CODE]], "-"), "-")</f>
        <v>30203840821</v>
      </c>
    </row>
    <row r="1189" spans="1:16" x14ac:dyDescent="0.3">
      <c r="A1189">
        <v>1188</v>
      </c>
      <c r="B1189" t="s">
        <v>30</v>
      </c>
      <c r="C1189" t="s">
        <v>2173</v>
      </c>
      <c r="D1189" t="s">
        <v>2174</v>
      </c>
      <c r="E1189" t="s">
        <v>1772</v>
      </c>
      <c r="F1189" t="s">
        <v>2087</v>
      </c>
      <c r="G1189" t="s">
        <v>2165</v>
      </c>
      <c r="H1189" t="s">
        <v>2170</v>
      </c>
      <c r="I1189" t="s">
        <v>2174</v>
      </c>
      <c r="J1189" t="s">
        <v>19</v>
      </c>
      <c r="K1189" t="s">
        <v>150</v>
      </c>
      <c r="L1189" t="s">
        <v>36</v>
      </c>
      <c r="M1189" t="s">
        <v>42</v>
      </c>
      <c r="N1189" t="s">
        <v>24</v>
      </c>
      <c r="O1189" t="s">
        <v>25</v>
      </c>
      <c r="P1189" t="str">
        <f>_xlfn.TEXTBEFORE(_xlfn.TEXTAFTER(Table26[[#This Row],[WBS CODE]], "-"), "-")</f>
        <v>30203840860</v>
      </c>
    </row>
    <row r="1190" spans="1:16" x14ac:dyDescent="0.3">
      <c r="A1190">
        <v>1189</v>
      </c>
      <c r="B1190" t="s">
        <v>26</v>
      </c>
      <c r="C1190" t="s">
        <v>2175</v>
      </c>
      <c r="D1190" t="s">
        <v>2176</v>
      </c>
      <c r="E1190" t="s">
        <v>1772</v>
      </c>
      <c r="F1190" t="s">
        <v>2087</v>
      </c>
      <c r="G1190" t="s">
        <v>2165</v>
      </c>
      <c r="H1190" t="s">
        <v>2176</v>
      </c>
      <c r="J1190" t="s">
        <v>19</v>
      </c>
      <c r="K1190" t="s">
        <v>150</v>
      </c>
      <c r="L1190" t="s">
        <v>45</v>
      </c>
      <c r="N1190" t="s">
        <v>24</v>
      </c>
      <c r="O1190" t="s">
        <v>25</v>
      </c>
      <c r="P1190" t="str">
        <f>_xlfn.TEXTBEFORE(_xlfn.TEXTAFTER(Table26[[#This Row],[WBS CODE]], "-"), "-")</f>
        <v>302038407</v>
      </c>
    </row>
    <row r="1191" spans="1:16" x14ac:dyDescent="0.3">
      <c r="A1191">
        <v>1190</v>
      </c>
      <c r="B1191" t="s">
        <v>30</v>
      </c>
      <c r="C1191" t="s">
        <v>2175</v>
      </c>
      <c r="D1191" t="s">
        <v>2177</v>
      </c>
      <c r="E1191" t="s">
        <v>1772</v>
      </c>
      <c r="F1191" t="s">
        <v>2087</v>
      </c>
      <c r="G1191" t="s">
        <v>2165</v>
      </c>
      <c r="H1191" t="s">
        <v>2176</v>
      </c>
      <c r="I1191" t="s">
        <v>2177</v>
      </c>
      <c r="J1191" t="s">
        <v>19</v>
      </c>
      <c r="K1191" t="s">
        <v>150</v>
      </c>
      <c r="L1191" t="s">
        <v>45</v>
      </c>
      <c r="M1191" t="s">
        <v>45</v>
      </c>
      <c r="N1191" t="s">
        <v>24</v>
      </c>
      <c r="O1191" t="s">
        <v>25</v>
      </c>
      <c r="P1191" t="str">
        <f>_xlfn.TEXTBEFORE(_xlfn.TEXTAFTER(Table26[[#This Row],[WBS CODE]], "-"), "-")</f>
        <v>30203840759</v>
      </c>
    </row>
    <row r="1192" spans="1:16" x14ac:dyDescent="0.3">
      <c r="A1192">
        <v>1191</v>
      </c>
      <c r="B1192" t="s">
        <v>21</v>
      </c>
      <c r="C1192" t="s">
        <v>2178</v>
      </c>
      <c r="D1192" t="s">
        <v>2179</v>
      </c>
      <c r="E1192" t="s">
        <v>1772</v>
      </c>
      <c r="F1192" t="s">
        <v>2087</v>
      </c>
      <c r="G1192" t="s">
        <v>2179</v>
      </c>
      <c r="J1192" t="s">
        <v>19</v>
      </c>
      <c r="K1192" t="s">
        <v>150</v>
      </c>
      <c r="N1192" t="s">
        <v>50</v>
      </c>
      <c r="O1192" t="s">
        <v>25</v>
      </c>
      <c r="P1192" t="str">
        <f>_xlfn.TEXTBEFORE(_xlfn.TEXTAFTER(Table26[[#This Row],[WBS CODE]], "-"), "-")</f>
        <v>3020383</v>
      </c>
    </row>
    <row r="1193" spans="1:16" x14ac:dyDescent="0.3">
      <c r="A1193">
        <v>1192</v>
      </c>
      <c r="B1193" t="s">
        <v>26</v>
      </c>
      <c r="C1193" t="s">
        <v>2180</v>
      </c>
      <c r="D1193" t="s">
        <v>2181</v>
      </c>
      <c r="E1193" t="s">
        <v>1772</v>
      </c>
      <c r="F1193" t="s">
        <v>2087</v>
      </c>
      <c r="G1193" t="s">
        <v>2179</v>
      </c>
      <c r="H1193" t="s">
        <v>2181</v>
      </c>
      <c r="J1193" t="s">
        <v>19</v>
      </c>
      <c r="K1193" t="s">
        <v>150</v>
      </c>
      <c r="L1193" t="s">
        <v>29</v>
      </c>
      <c r="N1193" t="s">
        <v>50</v>
      </c>
      <c r="O1193" t="s">
        <v>25</v>
      </c>
      <c r="P1193" t="str">
        <f>_xlfn.TEXTBEFORE(_xlfn.TEXTAFTER(Table26[[#This Row],[WBS CODE]], "-"), "-")</f>
        <v>302038309</v>
      </c>
    </row>
    <row r="1194" spans="1:16" x14ac:dyDescent="0.3">
      <c r="A1194">
        <v>1193</v>
      </c>
      <c r="B1194" t="s">
        <v>30</v>
      </c>
      <c r="C1194" t="s">
        <v>2180</v>
      </c>
      <c r="D1194" t="s">
        <v>2182</v>
      </c>
      <c r="E1194" t="s">
        <v>1772</v>
      </c>
      <c r="F1194" t="s">
        <v>2087</v>
      </c>
      <c r="G1194" t="s">
        <v>2179</v>
      </c>
      <c r="H1194" t="s">
        <v>2181</v>
      </c>
      <c r="I1194" t="s">
        <v>2182</v>
      </c>
      <c r="J1194" t="s">
        <v>19</v>
      </c>
      <c r="K1194" t="s">
        <v>150</v>
      </c>
      <c r="L1194" t="s">
        <v>29</v>
      </c>
      <c r="M1194" t="s">
        <v>29</v>
      </c>
      <c r="N1194" t="s">
        <v>50</v>
      </c>
      <c r="O1194" t="s">
        <v>25</v>
      </c>
      <c r="P1194" t="str">
        <f>_xlfn.TEXTBEFORE(_xlfn.TEXTAFTER(Table26[[#This Row],[WBS CODE]], "-"), "-")</f>
        <v>30203830962</v>
      </c>
    </row>
    <row r="1195" spans="1:16" x14ac:dyDescent="0.3">
      <c r="A1195">
        <v>1194</v>
      </c>
      <c r="B1195" t="s">
        <v>26</v>
      </c>
      <c r="C1195" t="s">
        <v>2183</v>
      </c>
      <c r="D1195" t="s">
        <v>2184</v>
      </c>
      <c r="E1195" t="s">
        <v>1772</v>
      </c>
      <c r="F1195" t="s">
        <v>2087</v>
      </c>
      <c r="G1195" t="s">
        <v>2179</v>
      </c>
      <c r="H1195" t="s">
        <v>2184</v>
      </c>
      <c r="J1195" t="s">
        <v>19</v>
      </c>
      <c r="K1195" t="s">
        <v>150</v>
      </c>
      <c r="L1195" t="s">
        <v>36</v>
      </c>
      <c r="N1195" t="s">
        <v>50</v>
      </c>
      <c r="O1195" t="s">
        <v>25</v>
      </c>
      <c r="P1195" t="str">
        <f>_xlfn.TEXTBEFORE(_xlfn.TEXTAFTER(Table26[[#This Row],[WBS CODE]], "-"), "-")</f>
        <v>302038308</v>
      </c>
    </row>
    <row r="1196" spans="1:16" x14ac:dyDescent="0.3">
      <c r="A1196">
        <v>1195</v>
      </c>
      <c r="B1196" t="s">
        <v>30</v>
      </c>
      <c r="C1196" t="s">
        <v>2185</v>
      </c>
      <c r="D1196" t="s">
        <v>2186</v>
      </c>
      <c r="E1196" t="s">
        <v>1772</v>
      </c>
      <c r="F1196" t="s">
        <v>2087</v>
      </c>
      <c r="G1196" t="s">
        <v>2179</v>
      </c>
      <c r="H1196" t="s">
        <v>2184</v>
      </c>
      <c r="I1196" t="s">
        <v>2186</v>
      </c>
      <c r="J1196" t="s">
        <v>19</v>
      </c>
      <c r="K1196" t="s">
        <v>150</v>
      </c>
      <c r="L1196" t="s">
        <v>36</v>
      </c>
      <c r="M1196" t="s">
        <v>39</v>
      </c>
      <c r="N1196" t="s">
        <v>50</v>
      </c>
      <c r="O1196" t="s">
        <v>25</v>
      </c>
      <c r="P1196" t="str">
        <f>_xlfn.TEXTBEFORE(_xlfn.TEXTAFTER(Table26[[#This Row],[WBS CODE]], "-"), "-")</f>
        <v>30203830821</v>
      </c>
    </row>
    <row r="1197" spans="1:16" x14ac:dyDescent="0.3">
      <c r="A1197">
        <v>1196</v>
      </c>
      <c r="B1197" t="s">
        <v>30</v>
      </c>
      <c r="C1197" t="s">
        <v>2187</v>
      </c>
      <c r="D1197" t="s">
        <v>2188</v>
      </c>
      <c r="E1197" t="s">
        <v>1772</v>
      </c>
      <c r="F1197" t="s">
        <v>2087</v>
      </c>
      <c r="G1197" t="s">
        <v>2179</v>
      </c>
      <c r="H1197" t="s">
        <v>2184</v>
      </c>
      <c r="I1197" t="s">
        <v>2188</v>
      </c>
      <c r="J1197" t="s">
        <v>19</v>
      </c>
      <c r="K1197" t="s">
        <v>150</v>
      </c>
      <c r="L1197" t="s">
        <v>36</v>
      </c>
      <c r="M1197" t="s">
        <v>42</v>
      </c>
      <c r="N1197" t="s">
        <v>50</v>
      </c>
      <c r="O1197" t="s">
        <v>25</v>
      </c>
      <c r="P1197" t="str">
        <f>_xlfn.TEXTBEFORE(_xlfn.TEXTAFTER(Table26[[#This Row],[WBS CODE]], "-"), "-")</f>
        <v>30203830860</v>
      </c>
    </row>
    <row r="1198" spans="1:16" x14ac:dyDescent="0.3">
      <c r="A1198">
        <v>1197</v>
      </c>
      <c r="B1198" t="s">
        <v>26</v>
      </c>
      <c r="C1198" t="s">
        <v>2189</v>
      </c>
      <c r="D1198" t="s">
        <v>2190</v>
      </c>
      <c r="E1198" t="s">
        <v>1772</v>
      </c>
      <c r="F1198" t="s">
        <v>2087</v>
      </c>
      <c r="G1198" t="s">
        <v>2179</v>
      </c>
      <c r="H1198" t="s">
        <v>2190</v>
      </c>
      <c r="J1198" t="s">
        <v>19</v>
      </c>
      <c r="K1198" t="s">
        <v>150</v>
      </c>
      <c r="L1198" t="s">
        <v>45</v>
      </c>
      <c r="N1198" t="s">
        <v>50</v>
      </c>
      <c r="O1198" t="s">
        <v>25</v>
      </c>
      <c r="P1198" t="str">
        <f>_xlfn.TEXTBEFORE(_xlfn.TEXTAFTER(Table26[[#This Row],[WBS CODE]], "-"), "-")</f>
        <v>302038307</v>
      </c>
    </row>
    <row r="1199" spans="1:16" x14ac:dyDescent="0.3">
      <c r="A1199">
        <v>1198</v>
      </c>
      <c r="B1199" t="s">
        <v>30</v>
      </c>
      <c r="C1199" t="s">
        <v>2189</v>
      </c>
      <c r="D1199" t="s">
        <v>2191</v>
      </c>
      <c r="E1199" t="s">
        <v>1772</v>
      </c>
      <c r="F1199" t="s">
        <v>2087</v>
      </c>
      <c r="G1199" t="s">
        <v>2179</v>
      </c>
      <c r="H1199" t="s">
        <v>2190</v>
      </c>
      <c r="I1199" t="s">
        <v>2191</v>
      </c>
      <c r="J1199" t="s">
        <v>19</v>
      </c>
      <c r="K1199" t="s">
        <v>150</v>
      </c>
      <c r="L1199" t="s">
        <v>45</v>
      </c>
      <c r="M1199" t="s">
        <v>45</v>
      </c>
      <c r="N1199" t="s">
        <v>50</v>
      </c>
      <c r="O1199" t="s">
        <v>25</v>
      </c>
      <c r="P1199" t="str">
        <f>_xlfn.TEXTBEFORE(_xlfn.TEXTAFTER(Table26[[#This Row],[WBS CODE]], "-"), "-")</f>
        <v>30203830759</v>
      </c>
    </row>
    <row r="1200" spans="1:16" x14ac:dyDescent="0.3">
      <c r="A1200">
        <v>1199</v>
      </c>
      <c r="B1200" t="s">
        <v>21</v>
      </c>
      <c r="C1200" t="s">
        <v>865</v>
      </c>
      <c r="D1200" t="s">
        <v>2192</v>
      </c>
      <c r="E1200" t="s">
        <v>1772</v>
      </c>
      <c r="F1200" t="s">
        <v>2087</v>
      </c>
      <c r="G1200" t="s">
        <v>2192</v>
      </c>
      <c r="J1200" t="s">
        <v>19</v>
      </c>
      <c r="K1200" t="s">
        <v>215</v>
      </c>
      <c r="P1200" t="str">
        <f>_xlfn.TEXTBEFORE(_xlfn.TEXTAFTER(Table26[[#This Row],[WBS CODE]], "-"), "-")</f>
        <v>3020374</v>
      </c>
    </row>
    <row r="1201" spans="1:16" x14ac:dyDescent="0.3">
      <c r="A1201">
        <v>1200</v>
      </c>
      <c r="B1201" t="s">
        <v>26</v>
      </c>
      <c r="C1201" t="s">
        <v>2193</v>
      </c>
      <c r="D1201" t="s">
        <v>2194</v>
      </c>
      <c r="E1201" t="s">
        <v>1772</v>
      </c>
      <c r="F1201" t="s">
        <v>2087</v>
      </c>
      <c r="G1201" t="s">
        <v>2192</v>
      </c>
      <c r="H1201" t="s">
        <v>2194</v>
      </c>
      <c r="J1201" t="s">
        <v>19</v>
      </c>
      <c r="K1201" t="s">
        <v>215</v>
      </c>
      <c r="N1201" t="s">
        <v>1795</v>
      </c>
      <c r="O1201" t="s">
        <v>219</v>
      </c>
      <c r="P1201" t="str">
        <f>_xlfn.TEXTBEFORE(_xlfn.TEXTAFTER(Table26[[#This Row],[WBS CODE]], "-"), "-")</f>
        <v>302037404</v>
      </c>
    </row>
    <row r="1202" spans="1:16" x14ac:dyDescent="0.3">
      <c r="A1202">
        <v>1201</v>
      </c>
      <c r="B1202" t="s">
        <v>30</v>
      </c>
      <c r="C1202" t="s">
        <v>2195</v>
      </c>
      <c r="D1202" t="s">
        <v>2196</v>
      </c>
      <c r="E1202" t="s">
        <v>1772</v>
      </c>
      <c r="F1202" t="s">
        <v>2087</v>
      </c>
      <c r="G1202" t="s">
        <v>2192</v>
      </c>
      <c r="H1202" t="s">
        <v>2194</v>
      </c>
      <c r="I1202" t="s">
        <v>2196</v>
      </c>
      <c r="J1202" t="s">
        <v>19</v>
      </c>
      <c r="K1202" t="s">
        <v>215</v>
      </c>
      <c r="L1202" t="s">
        <v>222</v>
      </c>
      <c r="M1202" t="s">
        <v>222</v>
      </c>
      <c r="N1202" t="s">
        <v>1795</v>
      </c>
      <c r="O1202" t="s">
        <v>219</v>
      </c>
      <c r="P1202" t="str">
        <f>_xlfn.TEXTBEFORE(_xlfn.TEXTAFTER(Table26[[#This Row],[WBS CODE]], "-"), "-")</f>
        <v>30203740460</v>
      </c>
    </row>
    <row r="1203" spans="1:16" x14ac:dyDescent="0.3">
      <c r="A1203">
        <v>1202</v>
      </c>
      <c r="B1203" t="s">
        <v>30</v>
      </c>
      <c r="C1203" t="s">
        <v>2197</v>
      </c>
      <c r="D1203" t="s">
        <v>2198</v>
      </c>
      <c r="E1203" t="s">
        <v>1772</v>
      </c>
      <c r="F1203" t="s">
        <v>2087</v>
      </c>
      <c r="G1203" t="s">
        <v>2192</v>
      </c>
      <c r="H1203" t="s">
        <v>2194</v>
      </c>
      <c r="I1203" t="s">
        <v>2198</v>
      </c>
      <c r="J1203" t="s">
        <v>19</v>
      </c>
      <c r="K1203" t="s">
        <v>215</v>
      </c>
      <c r="L1203" t="s">
        <v>900</v>
      </c>
      <c r="M1203" t="s">
        <v>225</v>
      </c>
      <c r="N1203" t="s">
        <v>1795</v>
      </c>
      <c r="O1203" t="s">
        <v>219</v>
      </c>
      <c r="P1203" t="str">
        <f>_xlfn.TEXTBEFORE(_xlfn.TEXTAFTER(Table26[[#This Row],[WBS CODE]], "-"), "-")</f>
        <v>30203740403</v>
      </c>
    </row>
    <row r="1204" spans="1:16" x14ac:dyDescent="0.3">
      <c r="A1204">
        <v>1203</v>
      </c>
      <c r="B1204" t="s">
        <v>26</v>
      </c>
      <c r="C1204" t="s">
        <v>2199</v>
      </c>
      <c r="D1204" t="s">
        <v>2200</v>
      </c>
      <c r="E1204" t="s">
        <v>1772</v>
      </c>
      <c r="F1204" t="s">
        <v>2087</v>
      </c>
      <c r="G1204" t="s">
        <v>2192</v>
      </c>
      <c r="H1204" t="s">
        <v>2200</v>
      </c>
      <c r="J1204" t="s">
        <v>19</v>
      </c>
      <c r="K1204" t="s">
        <v>215</v>
      </c>
      <c r="N1204" t="s">
        <v>1799</v>
      </c>
      <c r="O1204" t="s">
        <v>219</v>
      </c>
      <c r="P1204" t="str">
        <f>_xlfn.TEXTBEFORE(_xlfn.TEXTAFTER(Table26[[#This Row],[WBS CODE]], "-"), "-")</f>
        <v>302037403</v>
      </c>
    </row>
    <row r="1205" spans="1:16" x14ac:dyDescent="0.3">
      <c r="A1205">
        <v>1204</v>
      </c>
      <c r="B1205" t="s">
        <v>30</v>
      </c>
      <c r="C1205" t="s">
        <v>2201</v>
      </c>
      <c r="D1205" t="s">
        <v>2202</v>
      </c>
      <c r="E1205" t="s">
        <v>1772</v>
      </c>
      <c r="F1205" t="s">
        <v>2087</v>
      </c>
      <c r="G1205" t="s">
        <v>2192</v>
      </c>
      <c r="H1205" t="s">
        <v>2200</v>
      </c>
      <c r="I1205" t="s">
        <v>2202</v>
      </c>
      <c r="J1205" t="s">
        <v>19</v>
      </c>
      <c r="K1205" t="s">
        <v>215</v>
      </c>
      <c r="L1205" t="s">
        <v>222</v>
      </c>
      <c r="M1205" t="s">
        <v>222</v>
      </c>
      <c r="N1205" t="s">
        <v>1799</v>
      </c>
      <c r="O1205" t="s">
        <v>219</v>
      </c>
      <c r="P1205" t="str">
        <f>_xlfn.TEXTBEFORE(_xlfn.TEXTAFTER(Table26[[#This Row],[WBS CODE]], "-"), "-")</f>
        <v>30203740360</v>
      </c>
    </row>
    <row r="1206" spans="1:16" x14ac:dyDescent="0.3">
      <c r="A1206">
        <v>1205</v>
      </c>
      <c r="B1206" t="s">
        <v>30</v>
      </c>
      <c r="C1206" t="s">
        <v>2203</v>
      </c>
      <c r="D1206" t="s">
        <v>2204</v>
      </c>
      <c r="E1206" t="s">
        <v>1772</v>
      </c>
      <c r="F1206" t="s">
        <v>2087</v>
      </c>
      <c r="G1206" t="s">
        <v>2192</v>
      </c>
      <c r="H1206" t="s">
        <v>2200</v>
      </c>
      <c r="I1206" t="s">
        <v>2204</v>
      </c>
      <c r="J1206" t="s">
        <v>19</v>
      </c>
      <c r="K1206" t="s">
        <v>215</v>
      </c>
      <c r="L1206" t="s">
        <v>900</v>
      </c>
      <c r="M1206" t="s">
        <v>225</v>
      </c>
      <c r="N1206" t="s">
        <v>1799</v>
      </c>
      <c r="O1206" t="s">
        <v>219</v>
      </c>
      <c r="P1206" t="str">
        <f>_xlfn.TEXTBEFORE(_xlfn.TEXTAFTER(Table26[[#This Row],[WBS CODE]], "-"), "-")</f>
        <v>30203740303</v>
      </c>
    </row>
    <row r="1207" spans="1:16" x14ac:dyDescent="0.3">
      <c r="A1207">
        <v>1206</v>
      </c>
      <c r="B1207" t="s">
        <v>26</v>
      </c>
      <c r="C1207" t="s">
        <v>2205</v>
      </c>
      <c r="D1207" t="s">
        <v>2206</v>
      </c>
      <c r="E1207" t="s">
        <v>1772</v>
      </c>
      <c r="F1207" t="s">
        <v>2087</v>
      </c>
      <c r="G1207" t="s">
        <v>2192</v>
      </c>
      <c r="H1207" t="s">
        <v>2206</v>
      </c>
      <c r="J1207" t="s">
        <v>19</v>
      </c>
      <c r="K1207" t="s">
        <v>215</v>
      </c>
      <c r="N1207" t="s">
        <v>1803</v>
      </c>
      <c r="O1207" t="s">
        <v>219</v>
      </c>
      <c r="P1207" t="str">
        <f>_xlfn.TEXTBEFORE(_xlfn.TEXTAFTER(Table26[[#This Row],[WBS CODE]], "-"), "-")</f>
        <v>302037402</v>
      </c>
    </row>
    <row r="1208" spans="1:16" x14ac:dyDescent="0.3">
      <c r="A1208">
        <v>1207</v>
      </c>
      <c r="B1208" t="s">
        <v>30</v>
      </c>
      <c r="C1208" t="s">
        <v>2207</v>
      </c>
      <c r="D1208" t="s">
        <v>2208</v>
      </c>
      <c r="E1208" t="s">
        <v>1772</v>
      </c>
      <c r="F1208" t="s">
        <v>2087</v>
      </c>
      <c r="G1208" t="s">
        <v>2192</v>
      </c>
      <c r="H1208" t="s">
        <v>2206</v>
      </c>
      <c r="I1208" t="s">
        <v>2208</v>
      </c>
      <c r="J1208" t="s">
        <v>19</v>
      </c>
      <c r="K1208" t="s">
        <v>215</v>
      </c>
      <c r="L1208" t="s">
        <v>222</v>
      </c>
      <c r="M1208" t="s">
        <v>222</v>
      </c>
      <c r="N1208" t="s">
        <v>1803</v>
      </c>
      <c r="O1208" t="s">
        <v>219</v>
      </c>
      <c r="P1208" t="str">
        <f>_xlfn.TEXTBEFORE(_xlfn.TEXTAFTER(Table26[[#This Row],[WBS CODE]], "-"), "-")</f>
        <v>30203740260</v>
      </c>
    </row>
    <row r="1209" spans="1:16" x14ac:dyDescent="0.3">
      <c r="A1209">
        <v>1208</v>
      </c>
      <c r="B1209" t="s">
        <v>30</v>
      </c>
      <c r="C1209" t="s">
        <v>2209</v>
      </c>
      <c r="D1209" t="s">
        <v>2210</v>
      </c>
      <c r="E1209" t="s">
        <v>1772</v>
      </c>
      <c r="F1209" t="s">
        <v>2087</v>
      </c>
      <c r="G1209" t="s">
        <v>2192</v>
      </c>
      <c r="H1209" t="s">
        <v>2206</v>
      </c>
      <c r="I1209" t="s">
        <v>2210</v>
      </c>
      <c r="J1209" t="s">
        <v>19</v>
      </c>
      <c r="K1209" t="s">
        <v>215</v>
      </c>
      <c r="L1209" t="s">
        <v>900</v>
      </c>
      <c r="M1209" t="s">
        <v>225</v>
      </c>
      <c r="N1209" t="s">
        <v>1803</v>
      </c>
      <c r="O1209" t="s">
        <v>219</v>
      </c>
      <c r="P1209" t="str">
        <f>_xlfn.TEXTBEFORE(_xlfn.TEXTAFTER(Table26[[#This Row],[WBS CODE]], "-"), "-")</f>
        <v>30203740203</v>
      </c>
    </row>
    <row r="1210" spans="1:16" x14ac:dyDescent="0.3">
      <c r="A1210">
        <v>1209</v>
      </c>
      <c r="B1210" t="s">
        <v>26</v>
      </c>
      <c r="C1210" t="s">
        <v>2211</v>
      </c>
      <c r="D1210" t="s">
        <v>2212</v>
      </c>
      <c r="E1210" t="s">
        <v>1772</v>
      </c>
      <c r="F1210" t="s">
        <v>2087</v>
      </c>
      <c r="G1210" t="s">
        <v>2192</v>
      </c>
      <c r="H1210" t="s">
        <v>2212</v>
      </c>
      <c r="J1210" t="s">
        <v>19</v>
      </c>
      <c r="K1210" t="s">
        <v>215</v>
      </c>
      <c r="N1210" t="s">
        <v>1807</v>
      </c>
      <c r="O1210" t="s">
        <v>219</v>
      </c>
      <c r="P1210" t="str">
        <f>_xlfn.TEXTBEFORE(_xlfn.TEXTAFTER(Table26[[#This Row],[WBS CODE]], "-"), "-")</f>
        <v>302037401</v>
      </c>
    </row>
    <row r="1211" spans="1:16" x14ac:dyDescent="0.3">
      <c r="A1211">
        <v>1210</v>
      </c>
      <c r="B1211" t="s">
        <v>30</v>
      </c>
      <c r="C1211" t="s">
        <v>2213</v>
      </c>
      <c r="D1211" t="s">
        <v>2214</v>
      </c>
      <c r="E1211" t="s">
        <v>1772</v>
      </c>
      <c r="F1211" t="s">
        <v>2087</v>
      </c>
      <c r="G1211" t="s">
        <v>2192</v>
      </c>
      <c r="H1211" t="s">
        <v>2212</v>
      </c>
      <c r="I1211" t="s">
        <v>2214</v>
      </c>
      <c r="J1211" t="s">
        <v>19</v>
      </c>
      <c r="K1211" t="s">
        <v>215</v>
      </c>
      <c r="L1211" t="s">
        <v>900</v>
      </c>
      <c r="M1211" t="s">
        <v>225</v>
      </c>
      <c r="N1211" t="s">
        <v>1807</v>
      </c>
      <c r="O1211" t="s">
        <v>219</v>
      </c>
      <c r="P1211" t="str">
        <f>_xlfn.TEXTBEFORE(_xlfn.TEXTAFTER(Table26[[#This Row],[WBS CODE]], "-"), "-")</f>
        <v>30203740103</v>
      </c>
    </row>
    <row r="1212" spans="1:16" x14ac:dyDescent="0.3">
      <c r="A1212">
        <v>1211</v>
      </c>
      <c r="B1212" t="s">
        <v>30</v>
      </c>
      <c r="C1212" t="s">
        <v>2215</v>
      </c>
      <c r="D1212" t="s">
        <v>2216</v>
      </c>
      <c r="E1212" t="s">
        <v>1772</v>
      </c>
      <c r="F1212" t="s">
        <v>2087</v>
      </c>
      <c r="G1212" t="s">
        <v>2192</v>
      </c>
      <c r="H1212" t="s">
        <v>2212</v>
      </c>
      <c r="I1212" t="s">
        <v>2216</v>
      </c>
      <c r="J1212" t="s">
        <v>19</v>
      </c>
      <c r="K1212" t="s">
        <v>215</v>
      </c>
      <c r="L1212" t="s">
        <v>222</v>
      </c>
      <c r="M1212" t="s">
        <v>222</v>
      </c>
      <c r="N1212" t="s">
        <v>1807</v>
      </c>
      <c r="O1212" t="s">
        <v>219</v>
      </c>
      <c r="P1212" t="str">
        <f>_xlfn.TEXTBEFORE(_xlfn.TEXTAFTER(Table26[[#This Row],[WBS CODE]], "-"), "-")</f>
        <v>30203740160</v>
      </c>
    </row>
    <row r="1214" spans="1:16" x14ac:dyDescent="0.3">
      <c r="A1214" t="s">
        <v>5733</v>
      </c>
    </row>
    <row r="1215" spans="1:16" x14ac:dyDescent="0.3">
      <c r="A1215" t="s">
        <v>0</v>
      </c>
      <c r="B1215" t="s">
        <v>5734</v>
      </c>
      <c r="C1215" t="s">
        <v>5735</v>
      </c>
      <c r="D1215" t="s">
        <v>5736</v>
      </c>
    </row>
    <row r="1216" spans="1:16" x14ac:dyDescent="0.3">
      <c r="A1216">
        <v>1</v>
      </c>
      <c r="B1216" s="21">
        <v>30101</v>
      </c>
      <c r="C1216">
        <f>ROUNDUP(Table3[[#This Row],['#]] / 5, 0) * 5</f>
        <v>5</v>
      </c>
      <c r="D1216" t="s">
        <v>373</v>
      </c>
    </row>
    <row r="1217" spans="1:4" x14ac:dyDescent="0.3">
      <c r="A1217">
        <v>2</v>
      </c>
      <c r="B1217" s="21">
        <v>30129</v>
      </c>
      <c r="C1217">
        <f>ROUNDUP(Table3[[#This Row],['#]] / 5, 0) * 5</f>
        <v>5</v>
      </c>
      <c r="D1217" t="s">
        <v>261</v>
      </c>
    </row>
    <row r="1218" spans="1:4" x14ac:dyDescent="0.3">
      <c r="A1218">
        <v>3</v>
      </c>
      <c r="B1218" s="21">
        <v>30203</v>
      </c>
      <c r="C1218">
        <f>ROUNDUP(Table3[[#This Row],['#]] / 5, 0) * 5</f>
        <v>5</v>
      </c>
      <c r="D1218" t="s">
        <v>5737</v>
      </c>
    </row>
    <row r="1219" spans="1:4" x14ac:dyDescent="0.3">
      <c r="A1219">
        <v>4</v>
      </c>
      <c r="B1219" s="21">
        <v>30299</v>
      </c>
      <c r="C1219">
        <f>ROUNDUP(Table3[[#This Row],['#]] / 5, 0) * 5</f>
        <v>5</v>
      </c>
      <c r="D1219" t="s">
        <v>819</v>
      </c>
    </row>
    <row r="1221" spans="1:4" x14ac:dyDescent="0.3">
      <c r="A1221" t="s">
        <v>5901</v>
      </c>
    </row>
    <row r="1222" spans="1:4" x14ac:dyDescent="0.3">
      <c r="A1222" s="22" t="s">
        <v>0</v>
      </c>
      <c r="B1222" s="23" t="s">
        <v>5734</v>
      </c>
      <c r="C1222" s="23" t="s">
        <v>5735</v>
      </c>
      <c r="D1222" s="24" t="s">
        <v>5736</v>
      </c>
    </row>
    <row r="1223" spans="1:4" x14ac:dyDescent="0.3">
      <c r="A1223">
        <f>MAX($A$1222:A1222)+1</f>
        <v>1</v>
      </c>
      <c r="B1223" t="s">
        <v>5770</v>
      </c>
      <c r="C1223">
        <v>7</v>
      </c>
      <c r="D1223" t="str">
        <f>INDEX(Table26[Tag_Level_3], MATCH(B1223, Table26[Middle Number],0))</f>
        <v>Well Cost</v>
      </c>
    </row>
    <row r="1224" spans="1:4" x14ac:dyDescent="0.3">
      <c r="A1224">
        <f>MAX($A$1222:A1223)+1</f>
        <v>2</v>
      </c>
      <c r="B1224" t="s">
        <v>5766</v>
      </c>
      <c r="C1224">
        <v>7</v>
      </c>
      <c r="D1224" t="str">
        <f>INDEX(Table26[Tag_Level_3], MATCH(B1224, Table26[Middle Number],0))</f>
        <v>Well Cost</v>
      </c>
    </row>
    <row r="1225" spans="1:4" x14ac:dyDescent="0.3">
      <c r="A1225">
        <f>MAX($A$1222:A1224)+1</f>
        <v>3</v>
      </c>
      <c r="B1225" t="s">
        <v>5765</v>
      </c>
      <c r="C1225">
        <v>7</v>
      </c>
      <c r="D1225" t="str">
        <f>INDEX(Table26[Tag_Level_3], MATCH(B1225, Table26[Middle Number],0))</f>
        <v>Well Cost</v>
      </c>
    </row>
    <row r="1226" spans="1:4" x14ac:dyDescent="0.3">
      <c r="A1226">
        <f>MAX($A$1222:A1225)+1</f>
        <v>4</v>
      </c>
      <c r="B1226" t="s">
        <v>5764</v>
      </c>
      <c r="C1226">
        <v>7</v>
      </c>
      <c r="D1226" t="str">
        <f>INDEX(Table26[Tag_Level_3], MATCH(B1226, Table26[Middle Number],0))</f>
        <v>Well Cost</v>
      </c>
    </row>
    <row r="1227" spans="1:4" x14ac:dyDescent="0.3">
      <c r="A1227">
        <f>MAX($A$1222:A1226)+1</f>
        <v>5</v>
      </c>
      <c r="B1227" t="s">
        <v>5763</v>
      </c>
      <c r="C1227">
        <v>7</v>
      </c>
      <c r="D1227" t="str">
        <f>INDEX(Table26[Tag_Level_3], MATCH(B1227, Table26[Middle Number],0))</f>
        <v>Well Cost</v>
      </c>
    </row>
    <row r="1228" spans="1:4" x14ac:dyDescent="0.3">
      <c r="A1228">
        <f>MAX($A$1222:A1227)+1</f>
        <v>6</v>
      </c>
      <c r="B1228" t="s">
        <v>5762</v>
      </c>
      <c r="C1228">
        <v>7</v>
      </c>
      <c r="D1228" t="str">
        <f>INDEX(Table26[Tag_Level_3], MATCH(B1228, Table26[Middle Number],0))</f>
        <v>Well Cost</v>
      </c>
    </row>
    <row r="1229" spans="1:4" x14ac:dyDescent="0.3">
      <c r="A1229">
        <f>MAX($A$1222:A1228)+1</f>
        <v>7</v>
      </c>
      <c r="B1229" t="s">
        <v>5771</v>
      </c>
      <c r="C1229">
        <v>7</v>
      </c>
      <c r="D1229" t="str">
        <f>INDEX(Table26[Tag_Level_3], MATCH(B1229, Table26[Middle Number],0))</f>
        <v>Well Cost</v>
      </c>
    </row>
    <row r="1230" spans="1:4" x14ac:dyDescent="0.3">
      <c r="A1230">
        <f>MAX($A$1222:A1229)+1</f>
        <v>8</v>
      </c>
      <c r="B1230" t="s">
        <v>5772</v>
      </c>
      <c r="C1230">
        <v>7</v>
      </c>
      <c r="D1230" t="str">
        <f>INDEX(Table26[Tag_Level_3], MATCH(B1230, Table26[Middle Number],0))</f>
        <v>Well Cost</v>
      </c>
    </row>
    <row r="1231" spans="1:4" x14ac:dyDescent="0.3">
      <c r="A1231">
        <f>MAX($A$1222:A1230)+1</f>
        <v>9</v>
      </c>
      <c r="B1231" t="s">
        <v>5773</v>
      </c>
      <c r="C1231">
        <v>7</v>
      </c>
      <c r="D1231" t="str">
        <f>INDEX(Table26[Tag_Level_3], MATCH(B1231, Table26[Middle Number],0))</f>
        <v>Well Cost</v>
      </c>
    </row>
    <row r="1232" spans="1:4" x14ac:dyDescent="0.3">
      <c r="A1232">
        <f>MAX($A$1222:A1231)+1</f>
        <v>10</v>
      </c>
      <c r="B1232" t="s">
        <v>5768</v>
      </c>
      <c r="C1232">
        <v>7</v>
      </c>
      <c r="D1232" t="str">
        <f>INDEX(Table26[Tag_Level_3], MATCH(B1232, Table26[Middle Number],0))</f>
        <v>Rig Move</v>
      </c>
    </row>
    <row r="1233" spans="1:4" x14ac:dyDescent="0.3">
      <c r="A1233">
        <f>MAX($A$1222:A1232)+1</f>
        <v>11</v>
      </c>
      <c r="B1233" t="s">
        <v>5767</v>
      </c>
      <c r="C1233">
        <v>7</v>
      </c>
      <c r="D1233" t="str">
        <f>INDEX(Table26[Tag_Level_3], MATCH(B1233, Table26[Middle Number],0))</f>
        <v>Rig Skid</v>
      </c>
    </row>
    <row r="1234" spans="1:4" x14ac:dyDescent="0.3">
      <c r="A1234">
        <f>MAX($A$1222:A1233)+1</f>
        <v>12</v>
      </c>
      <c r="B1234" t="s">
        <v>5769</v>
      </c>
      <c r="C1234">
        <v>7</v>
      </c>
      <c r="D1234" t="str">
        <f>INDEX(Table26[Tag_Level_3], MATCH(B1234, Table26[Middle Number],0))</f>
        <v>Rig Mobilization</v>
      </c>
    </row>
    <row r="1235" spans="1:4" x14ac:dyDescent="0.3">
      <c r="A1235">
        <f>MAX($A$1222:A1234)+1</f>
        <v>13</v>
      </c>
      <c r="B1235" t="s">
        <v>5761</v>
      </c>
      <c r="C1235">
        <v>7</v>
      </c>
      <c r="D1235" t="str">
        <f>INDEX(Table26[Tag_Level_3], MATCH(B1235, Table26[Middle Number],0))</f>
        <v>LIH</v>
      </c>
    </row>
    <row r="1236" spans="1:4" x14ac:dyDescent="0.3">
      <c r="A1236">
        <f>MAX($A$1222:A1235)+1</f>
        <v>14</v>
      </c>
      <c r="B1236" t="s">
        <v>5760</v>
      </c>
      <c r="C1236">
        <v>7</v>
      </c>
      <c r="D1236" t="str">
        <f>INDEX(Table26[Tag_Level_3], MATCH(B1236, Table26[Middle Number],0))</f>
        <v>Explosive</v>
      </c>
    </row>
    <row r="1237" spans="1:4" x14ac:dyDescent="0.3">
      <c r="A1237">
        <f>MAX($A$1222:A1236)+1</f>
        <v>15</v>
      </c>
      <c r="B1237" t="s">
        <v>5774</v>
      </c>
      <c r="C1237">
        <v>7</v>
      </c>
      <c r="D1237" t="str">
        <f>INDEX(Table26[Tag_Level_3], MATCH(B1237, Table26[Middle Number],0))</f>
        <v>Logging Cost</v>
      </c>
    </row>
    <row r="1238" spans="1:4" x14ac:dyDescent="0.3">
      <c r="A1238">
        <f>MAX($A$1222:A1237)+1</f>
        <v>16</v>
      </c>
      <c r="B1238" t="s">
        <v>5753</v>
      </c>
      <c r="C1238">
        <v>7</v>
      </c>
      <c r="D1238" t="str">
        <f>INDEX(Table26[Tag_Level_3], MATCH(B1238, Table26[Middle Number],0))</f>
        <v>Drilling Facilities Support</v>
      </c>
    </row>
    <row r="1239" spans="1:4" x14ac:dyDescent="0.3">
      <c r="A1239">
        <f>MAX($A$1222:A1238)+1</f>
        <v>17</v>
      </c>
      <c r="B1239" t="s">
        <v>5759</v>
      </c>
      <c r="C1239">
        <v>7</v>
      </c>
      <c r="D1239" t="str">
        <f>INDEX(Table26[Tag_Level_3], MATCH(B1239, Table26[Middle Number],0))</f>
        <v>Well Testing</v>
      </c>
    </row>
    <row r="1240" spans="1:4" x14ac:dyDescent="0.3">
      <c r="A1240">
        <f>MAX($A$1222:A1239)+1</f>
        <v>18</v>
      </c>
      <c r="B1240" t="s">
        <v>5758</v>
      </c>
      <c r="C1240">
        <v>7</v>
      </c>
      <c r="D1240" t="str">
        <f>INDEX(Table26[Tag_Level_3], MATCH(B1240, Table26[Middle Number],0))</f>
        <v>Wellsite Geologist (WSG)</v>
      </c>
    </row>
    <row r="1241" spans="1:4" x14ac:dyDescent="0.3">
      <c r="A1241">
        <f>MAX($A$1222:A1240)+1</f>
        <v>19</v>
      </c>
      <c r="B1241" t="s">
        <v>5757</v>
      </c>
      <c r="C1241">
        <v>7</v>
      </c>
      <c r="D1241" t="str">
        <f>INDEX(Table26[Tag_Level_3], MATCH(B1241, Table26[Middle Number],0))</f>
        <v>SHE</v>
      </c>
    </row>
    <row r="1242" spans="1:4" x14ac:dyDescent="0.3">
      <c r="A1242">
        <f>MAX($A$1222:A1241)+1</f>
        <v>20</v>
      </c>
      <c r="B1242" t="s">
        <v>5756</v>
      </c>
      <c r="C1242">
        <v>7</v>
      </c>
      <c r="D1242" t="str">
        <f>INDEX(Table26[Tag_Level_3], MATCH(B1242, Table26[Middle Number],0))</f>
        <v>PGPA &amp; Security</v>
      </c>
    </row>
    <row r="1243" spans="1:4" x14ac:dyDescent="0.3">
      <c r="A1243">
        <f>MAX($A$1222:A1242)+1</f>
        <v>21</v>
      </c>
      <c r="B1243" t="s">
        <v>5755</v>
      </c>
      <c r="C1243">
        <v>7</v>
      </c>
      <c r="D1243" t="str">
        <f>INDEX(Table26[Tag_Level_3], MATCH(B1243, Table26[Middle Number],0))</f>
        <v>Well Insurance</v>
      </c>
    </row>
    <row r="1244" spans="1:4" x14ac:dyDescent="0.3">
      <c r="A1244">
        <f>MAX($A$1222:A1243)+1</f>
        <v>22</v>
      </c>
      <c r="B1244" t="s">
        <v>5775</v>
      </c>
      <c r="C1244">
        <v>7</v>
      </c>
      <c r="D1244" t="str">
        <f>INDEX(Table26[Tag_Level_3], MATCH(B1244, Table26[Middle Number],0))</f>
        <v>Project Management Cost</v>
      </c>
    </row>
    <row r="1245" spans="1:4" x14ac:dyDescent="0.3">
      <c r="A1245">
        <f>MAX($A$1222:A1244)+1</f>
        <v>23</v>
      </c>
      <c r="B1245" t="s">
        <v>5754</v>
      </c>
      <c r="C1245">
        <v>7</v>
      </c>
      <c r="D1245" t="str">
        <f>INDEX(Table26[Tag_Level_3], MATCH(B1245, Table26[Middle Number],0))</f>
        <v>Drilling Operation Water Support</v>
      </c>
    </row>
    <row r="1246" spans="1:4" x14ac:dyDescent="0.3">
      <c r="A1246">
        <f>MAX($A$1222:A1245)+1</f>
        <v>24</v>
      </c>
      <c r="B1246" t="s">
        <v>5752</v>
      </c>
      <c r="C1246">
        <v>7</v>
      </c>
      <c r="D1246" t="str">
        <f>INDEX(Table26[Tag_Level_3], MATCH(B1246, Table26[Middle Number],0))</f>
        <v>IT &amp; Communication</v>
      </c>
    </row>
    <row r="1247" spans="1:4" x14ac:dyDescent="0.3">
      <c r="A1247">
        <f>MAX($A$1222:A1246)+1</f>
        <v>25</v>
      </c>
      <c r="B1247" t="s">
        <v>5751</v>
      </c>
      <c r="C1247">
        <v>7</v>
      </c>
      <c r="D1247" t="str">
        <f>INDEX(Table26[Tag_Level_3], MATCH(B1247, Table26[Middle Number],0))</f>
        <v>Permitting (IPPKH/IPJLPB)</v>
      </c>
    </row>
    <row r="1248" spans="1:4" x14ac:dyDescent="0.3">
      <c r="A1248">
        <f>MAX($A$1222:A1247)+1</f>
        <v>26</v>
      </c>
      <c r="B1248" t="s">
        <v>5750</v>
      </c>
      <c r="C1248">
        <v>7</v>
      </c>
      <c r="D1248" t="str">
        <f>INDEX(Table26[Tag_Level_3], MATCH(B1248, Table26[Middle Number],0))</f>
        <v>Conductor Casing Installation &amp; Material</v>
      </c>
    </row>
    <row r="1249" spans="1:5" x14ac:dyDescent="0.3">
      <c r="A1249">
        <f>MAX($A$1222:A1248)+1</f>
        <v>27</v>
      </c>
      <c r="B1249" t="s">
        <v>5749</v>
      </c>
      <c r="C1249">
        <v>7</v>
      </c>
      <c r="D1249" t="str">
        <f>INDEX(Table26[Tag_Level_3], MATCH(B1249, Table26[Middle Number],0))</f>
        <v>Road &amp; Pad</v>
      </c>
    </row>
    <row r="1250" spans="1:5" x14ac:dyDescent="0.3">
      <c r="A1250">
        <f>MAX($A$1222:A1249)+1</f>
        <v>28</v>
      </c>
      <c r="B1250" t="s">
        <v>5748</v>
      </c>
      <c r="C1250">
        <v>7</v>
      </c>
      <c r="D1250" t="str">
        <f>INDEX(Table26[Tag_Level_3], MATCH(B1250, Table26[Middle Number],0))</f>
        <v>Road &amp; Pad</v>
      </c>
    </row>
    <row r="1251" spans="1:5" x14ac:dyDescent="0.3">
      <c r="A1251">
        <f>MAX($A$1222:A1250)+1</f>
        <v>29</v>
      </c>
      <c r="B1251" t="s">
        <v>5747</v>
      </c>
      <c r="C1251">
        <v>7</v>
      </c>
      <c r="D1251" t="str">
        <f>INDEX(Table26[Tag_Level_3], MATCH(B1251, Table26[Middle Number],0))</f>
        <v>Road &amp; Pad</v>
      </c>
    </row>
    <row r="1252" spans="1:5" x14ac:dyDescent="0.3">
      <c r="A1252">
        <f>MAX($A$1222:A1251)+1</f>
        <v>30</v>
      </c>
      <c r="B1252" t="s">
        <v>5746</v>
      </c>
      <c r="C1252">
        <v>7</v>
      </c>
      <c r="D1252" t="str">
        <f>INDEX(Table26[Tag_Level_3], MATCH(B1252, Table26[Middle Number],0))</f>
        <v>Road &amp; Pad</v>
      </c>
    </row>
    <row r="1253" spans="1:5" x14ac:dyDescent="0.3">
      <c r="A1253">
        <f>MAX($A$1222:A1252)+1</f>
        <v>31</v>
      </c>
      <c r="B1253" t="s">
        <v>5742</v>
      </c>
      <c r="C1253">
        <v>7</v>
      </c>
      <c r="D1253" t="str">
        <f>INDEX(Table26[Tag_Level_3], MATCH(B1253, Table26[Middle Number],0))</f>
        <v>Tie-in</v>
      </c>
    </row>
    <row r="1254" spans="1:5" x14ac:dyDescent="0.3">
      <c r="A1254">
        <f>MAX($A$1222:A1253)+1</f>
        <v>32</v>
      </c>
      <c r="B1254" t="s">
        <v>5741</v>
      </c>
      <c r="C1254">
        <v>7</v>
      </c>
      <c r="D1254" t="str">
        <f>INDEX(Table26[Tag_Level_3], MATCH(B1254, Table26[Middle Number],0))</f>
        <v>Tie-in</v>
      </c>
    </row>
    <row r="1255" spans="1:5" x14ac:dyDescent="0.3">
      <c r="A1255">
        <f>MAX($A$1222:A1254)+1</f>
        <v>33</v>
      </c>
      <c r="B1255" t="s">
        <v>5740</v>
      </c>
      <c r="C1255">
        <v>7</v>
      </c>
      <c r="D1255" t="str">
        <f>INDEX(Table26[Tag_Level_3], MATCH(B1255, Table26[Middle Number],0))</f>
        <v>Tie-in</v>
      </c>
    </row>
    <row r="1256" spans="1:5" x14ac:dyDescent="0.3">
      <c r="A1256">
        <f>MAX($A$1222:A1255)+1</f>
        <v>34</v>
      </c>
      <c r="B1256" t="s">
        <v>5739</v>
      </c>
      <c r="C1256">
        <v>7</v>
      </c>
      <c r="D1256" t="str">
        <f>INDEX(Table26[Tag_Level_3], MATCH(B1256, Table26[Middle Number],0))</f>
        <v>Tie-in</v>
      </c>
    </row>
    <row r="1257" spans="1:5" x14ac:dyDescent="0.3">
      <c r="A1257">
        <f>MAX($A$1222:A1256)+1</f>
        <v>35</v>
      </c>
      <c r="B1257" t="s">
        <v>5745</v>
      </c>
      <c r="C1257">
        <v>7</v>
      </c>
      <c r="D1257" t="str">
        <f>INDEX(Table26[Tag_Level_3], MATCH(B1257, Table26[Middle Number],0))</f>
        <v>Special Requirement Existing Pad</v>
      </c>
    </row>
    <row r="1258" spans="1:5" x14ac:dyDescent="0.3">
      <c r="A1258">
        <f>MAX($A$1222:A1257)+1</f>
        <v>36</v>
      </c>
      <c r="B1258" t="s">
        <v>5744</v>
      </c>
      <c r="C1258">
        <v>7</v>
      </c>
      <c r="D1258" t="str">
        <f>INDEX(Table26[Tag_Level_3], MATCH(B1258, Table26[Middle Number],0))</f>
        <v>Special Requirement Existing Pad</v>
      </c>
    </row>
    <row r="1259" spans="1:5" x14ac:dyDescent="0.3">
      <c r="A1259">
        <f>MAX($A$1222:A1258)+1</f>
        <v>37</v>
      </c>
      <c r="B1259" t="s">
        <v>5743</v>
      </c>
      <c r="C1259">
        <v>7</v>
      </c>
      <c r="D1259" t="str">
        <f>INDEX(Table26[Tag_Level_3], MATCH(B1259, Table26[Middle Number],0))</f>
        <v>Special Requirement Existing Pad</v>
      </c>
    </row>
    <row r="1260" spans="1:5" x14ac:dyDescent="0.3">
      <c r="A1260">
        <f>MAX($A$1222:A1259)+1</f>
        <v>38</v>
      </c>
      <c r="B1260" t="s">
        <v>5776</v>
      </c>
      <c r="C1260">
        <v>7</v>
      </c>
      <c r="D1260" t="str">
        <f>INDEX(Table26[Tag_Level_3], MATCH(B1260, Table26[Middle Number],0))</f>
        <v>Contingency</v>
      </c>
    </row>
    <row r="1264" spans="1:5" x14ac:dyDescent="0.3">
      <c r="A1264" s="22" t="s">
        <v>0</v>
      </c>
      <c r="B1264" s="23" t="s">
        <v>5734</v>
      </c>
      <c r="C1264" s="23" t="s">
        <v>5735</v>
      </c>
      <c r="D1264" s="24" t="s">
        <v>5736</v>
      </c>
      <c r="E1264" s="23" t="s">
        <v>6292</v>
      </c>
    </row>
    <row r="1265" spans="1:5" x14ac:dyDescent="0.3">
      <c r="A1265">
        <v>1</v>
      </c>
      <c r="B1265" t="s">
        <v>5869</v>
      </c>
      <c r="C1265">
        <v>9</v>
      </c>
      <c r="D1265" t="str">
        <f>INDEX(Table26[Tag_Level_4], MATCH(B1265, Table26[Middle Number],0))</f>
        <v>Material - Non LL</v>
      </c>
      <c r="E1265" t="str">
        <f>RIGHT(Table5[[#This Row],[Middle Digit]],2)</f>
        <v>01</v>
      </c>
    </row>
    <row r="1266" spans="1:5" x14ac:dyDescent="0.3">
      <c r="A1266">
        <v>2</v>
      </c>
      <c r="B1266" t="s">
        <v>5868</v>
      </c>
      <c r="C1266">
        <v>9</v>
      </c>
      <c r="D1266" t="str">
        <f>INDEX(Table26[Tag_Level_4], MATCH(B1266, Table26[Middle Number],0))</f>
        <v>Services</v>
      </c>
      <c r="E1266" t="str">
        <f>RIGHT(Table5[[#This Row],[Middle Digit]],2)</f>
        <v>02</v>
      </c>
    </row>
    <row r="1267" spans="1:5" x14ac:dyDescent="0.3">
      <c r="A1267">
        <v>3</v>
      </c>
      <c r="B1267" t="s">
        <v>5870</v>
      </c>
      <c r="C1267">
        <v>9</v>
      </c>
      <c r="D1267" t="str">
        <f>INDEX(Table26[Tag_Level_4], MATCH(B1267, Table26[Middle Number],0))</f>
        <v>Material - LL</v>
      </c>
      <c r="E1267" t="str">
        <f>RIGHT(Table5[[#This Row],[Middle Digit]],2)</f>
        <v>61</v>
      </c>
    </row>
    <row r="1268" spans="1:5" x14ac:dyDescent="0.3">
      <c r="A1268">
        <v>4</v>
      </c>
      <c r="B1268" t="s">
        <v>5859</v>
      </c>
      <c r="C1268">
        <v>9</v>
      </c>
      <c r="D1268" t="str">
        <f>INDEX(Table26[Tag_Level_4], MATCH(B1268, Table26[Middle Number],0))</f>
        <v>Material - Non LL</v>
      </c>
      <c r="E1268" t="str">
        <f>RIGHT(Table5[[#This Row],[Middle Digit]],2)</f>
        <v>01</v>
      </c>
    </row>
    <row r="1269" spans="1:5" x14ac:dyDescent="0.3">
      <c r="A1269">
        <v>5</v>
      </c>
      <c r="B1269" t="s">
        <v>5858</v>
      </c>
      <c r="C1269">
        <v>9</v>
      </c>
      <c r="D1269" t="str">
        <f>INDEX(Table26[Tag_Level_4], MATCH(B1269, Table26[Middle Number],0))</f>
        <v>Services</v>
      </c>
      <c r="E1269" t="str">
        <f>RIGHT(Table5[[#This Row],[Middle Digit]],2)</f>
        <v>02</v>
      </c>
    </row>
    <row r="1270" spans="1:5" x14ac:dyDescent="0.3">
      <c r="A1270">
        <v>6</v>
      </c>
      <c r="B1270" t="s">
        <v>5860</v>
      </c>
      <c r="C1270">
        <v>9</v>
      </c>
      <c r="D1270" t="str">
        <f>INDEX(Table26[Tag_Level_4], MATCH(B1270, Table26[Middle Number],0))</f>
        <v>Material - LL</v>
      </c>
      <c r="E1270" t="str">
        <f>RIGHT(Table5[[#This Row],[Middle Digit]],2)</f>
        <v>61</v>
      </c>
    </row>
    <row r="1271" spans="1:5" x14ac:dyDescent="0.3">
      <c r="A1271">
        <v>7</v>
      </c>
      <c r="B1271" t="s">
        <v>5856</v>
      </c>
      <c r="C1271">
        <v>9</v>
      </c>
      <c r="D1271" t="str">
        <f>INDEX(Table26[Tag_Level_4], MATCH(B1271, Table26[Middle Number],0))</f>
        <v>Material - Non LL</v>
      </c>
      <c r="E1271" t="str">
        <f>RIGHT(Table5[[#This Row],[Middle Digit]],2)</f>
        <v>01</v>
      </c>
    </row>
    <row r="1272" spans="1:5" x14ac:dyDescent="0.3">
      <c r="A1272">
        <v>8</v>
      </c>
      <c r="B1272" t="s">
        <v>5855</v>
      </c>
      <c r="C1272">
        <v>9</v>
      </c>
      <c r="D1272" t="str">
        <f>INDEX(Table26[Tag_Level_4], MATCH(B1272, Table26[Middle Number],0))</f>
        <v>Services</v>
      </c>
      <c r="E1272" t="str">
        <f>RIGHT(Table5[[#This Row],[Middle Digit]],2)</f>
        <v>02</v>
      </c>
    </row>
    <row r="1273" spans="1:5" x14ac:dyDescent="0.3">
      <c r="A1273">
        <v>9</v>
      </c>
      <c r="B1273" t="s">
        <v>5857</v>
      </c>
      <c r="C1273">
        <v>9</v>
      </c>
      <c r="D1273" t="str">
        <f>INDEX(Table26[Tag_Level_4], MATCH(B1273, Table26[Middle Number],0))</f>
        <v>Material - LL</v>
      </c>
      <c r="E1273" t="str">
        <f>RIGHT(Table5[[#This Row],[Middle Digit]],2)</f>
        <v>61</v>
      </c>
    </row>
    <row r="1274" spans="1:5" x14ac:dyDescent="0.3">
      <c r="A1274">
        <v>10</v>
      </c>
      <c r="B1274" t="s">
        <v>5853</v>
      </c>
      <c r="C1274">
        <v>9</v>
      </c>
      <c r="D1274" t="str">
        <f>INDEX(Table26[Tag_Level_4], MATCH(B1274, Table26[Middle Number],0))</f>
        <v>Material - Non LL</v>
      </c>
      <c r="E1274" t="str">
        <f>RIGHT(Table5[[#This Row],[Middle Digit]],2)</f>
        <v>01</v>
      </c>
    </row>
    <row r="1275" spans="1:5" x14ac:dyDescent="0.3">
      <c r="A1275">
        <v>11</v>
      </c>
      <c r="B1275" t="s">
        <v>5852</v>
      </c>
      <c r="C1275">
        <v>9</v>
      </c>
      <c r="D1275" t="str">
        <f>INDEX(Table26[Tag_Level_4], MATCH(B1275, Table26[Middle Number],0))</f>
        <v>Services</v>
      </c>
      <c r="E1275" t="str">
        <f>RIGHT(Table5[[#This Row],[Middle Digit]],2)</f>
        <v>02</v>
      </c>
    </row>
    <row r="1276" spans="1:5" x14ac:dyDescent="0.3">
      <c r="A1276">
        <v>12</v>
      </c>
      <c r="B1276" t="s">
        <v>5854</v>
      </c>
      <c r="C1276">
        <v>9</v>
      </c>
      <c r="D1276" t="str">
        <f>INDEX(Table26[Tag_Level_4], MATCH(B1276, Table26[Middle Number],0))</f>
        <v>Material - LL</v>
      </c>
      <c r="E1276" t="str">
        <f>RIGHT(Table5[[#This Row],[Middle Digit]],2)</f>
        <v>61</v>
      </c>
    </row>
    <row r="1277" spans="1:5" x14ac:dyDescent="0.3">
      <c r="A1277">
        <v>13</v>
      </c>
      <c r="B1277" t="s">
        <v>5850</v>
      </c>
      <c r="C1277">
        <v>9</v>
      </c>
      <c r="D1277" t="str">
        <f>INDEX(Table26[Tag_Level_4], MATCH(B1277, Table26[Middle Number],0))</f>
        <v>Material - Non LL</v>
      </c>
      <c r="E1277" t="str">
        <f>RIGHT(Table5[[#This Row],[Middle Digit]],2)</f>
        <v>01</v>
      </c>
    </row>
    <row r="1278" spans="1:5" x14ac:dyDescent="0.3">
      <c r="A1278">
        <v>14</v>
      </c>
      <c r="B1278" t="s">
        <v>5849</v>
      </c>
      <c r="C1278">
        <v>9</v>
      </c>
      <c r="D1278" t="str">
        <f>INDEX(Table26[Tag_Level_4], MATCH(B1278, Table26[Middle Number],0))</f>
        <v>Services</v>
      </c>
      <c r="E1278" t="str">
        <f>RIGHT(Table5[[#This Row],[Middle Digit]],2)</f>
        <v>02</v>
      </c>
    </row>
    <row r="1279" spans="1:5" x14ac:dyDescent="0.3">
      <c r="A1279">
        <v>15</v>
      </c>
      <c r="B1279" t="s">
        <v>5851</v>
      </c>
      <c r="C1279">
        <v>9</v>
      </c>
      <c r="D1279" t="str">
        <f>INDEX(Table26[Tag_Level_4], MATCH(B1279, Table26[Middle Number],0))</f>
        <v>Material - LL</v>
      </c>
      <c r="E1279" t="str">
        <f>RIGHT(Table5[[#This Row],[Middle Digit]],2)</f>
        <v>61</v>
      </c>
    </row>
    <row r="1280" spans="1:5" x14ac:dyDescent="0.3">
      <c r="A1280">
        <v>16</v>
      </c>
      <c r="B1280" t="s">
        <v>5847</v>
      </c>
      <c r="C1280">
        <v>9</v>
      </c>
      <c r="D1280" t="str">
        <f>INDEX(Table26[Tag_Level_4], MATCH(B1280, Table26[Middle Number],0))</f>
        <v>Material - Non LL</v>
      </c>
      <c r="E1280" t="str">
        <f>RIGHT(Table5[[#This Row],[Middle Digit]],2)</f>
        <v>01</v>
      </c>
    </row>
    <row r="1281" spans="1:5" x14ac:dyDescent="0.3">
      <c r="A1281">
        <v>17</v>
      </c>
      <c r="B1281" t="s">
        <v>5846</v>
      </c>
      <c r="C1281">
        <v>9</v>
      </c>
      <c r="D1281" t="str">
        <f>INDEX(Table26[Tag_Level_4], MATCH(B1281, Table26[Middle Number],0))</f>
        <v>Services</v>
      </c>
      <c r="E1281" t="str">
        <f>RIGHT(Table5[[#This Row],[Middle Digit]],2)</f>
        <v>02</v>
      </c>
    </row>
    <row r="1282" spans="1:5" x14ac:dyDescent="0.3">
      <c r="A1282">
        <v>18</v>
      </c>
      <c r="B1282" t="s">
        <v>5848</v>
      </c>
      <c r="C1282">
        <v>9</v>
      </c>
      <c r="D1282" t="str">
        <f>INDEX(Table26[Tag_Level_4], MATCH(B1282, Table26[Middle Number],0))</f>
        <v>Material - LL</v>
      </c>
      <c r="E1282" t="str">
        <f>RIGHT(Table5[[#This Row],[Middle Digit]],2)</f>
        <v>61</v>
      </c>
    </row>
    <row r="1283" spans="1:5" x14ac:dyDescent="0.3">
      <c r="A1283">
        <v>19</v>
      </c>
      <c r="B1283" t="s">
        <v>5871</v>
      </c>
      <c r="C1283">
        <v>9</v>
      </c>
      <c r="D1283" t="str">
        <f>INDEX(Table26[Tag_Level_4], MATCH(B1283, Table26[Middle Number],0))</f>
        <v>Material - Non LL</v>
      </c>
      <c r="E1283" t="str">
        <f>RIGHT(Table5[[#This Row],[Middle Digit]],2)</f>
        <v>01</v>
      </c>
    </row>
    <row r="1284" spans="1:5" x14ac:dyDescent="0.3">
      <c r="A1284">
        <v>20</v>
      </c>
      <c r="B1284" t="s">
        <v>5872</v>
      </c>
      <c r="C1284">
        <v>9</v>
      </c>
      <c r="D1284" t="str">
        <f>INDEX(Table26[Tag_Level_4], MATCH(B1284, Table26[Middle Number],0))</f>
        <v>Services</v>
      </c>
      <c r="E1284" t="str">
        <f>RIGHT(Table5[[#This Row],[Middle Digit]],2)</f>
        <v>02</v>
      </c>
    </row>
    <row r="1285" spans="1:5" x14ac:dyDescent="0.3">
      <c r="A1285">
        <v>21</v>
      </c>
      <c r="B1285" t="s">
        <v>5873</v>
      </c>
      <c r="C1285">
        <v>9</v>
      </c>
      <c r="D1285" t="str">
        <f>INDEX(Table26[Tag_Level_4], MATCH(B1285, Table26[Middle Number],0))</f>
        <v>Material - LL</v>
      </c>
      <c r="E1285" t="str">
        <f>RIGHT(Table5[[#This Row],[Middle Digit]],2)</f>
        <v>61</v>
      </c>
    </row>
    <row r="1286" spans="1:5" x14ac:dyDescent="0.3">
      <c r="A1286">
        <v>22</v>
      </c>
      <c r="B1286" t="s">
        <v>5874</v>
      </c>
      <c r="C1286">
        <v>9</v>
      </c>
      <c r="D1286" t="str">
        <f>INDEX(Table26[Tag_Level_4], MATCH(B1286, Table26[Middle Number],0))</f>
        <v>Material - Non LL</v>
      </c>
      <c r="E1286" t="str">
        <f>RIGHT(Table5[[#This Row],[Middle Digit]],2)</f>
        <v>01</v>
      </c>
    </row>
    <row r="1287" spans="1:5" x14ac:dyDescent="0.3">
      <c r="A1287">
        <v>23</v>
      </c>
      <c r="B1287" t="s">
        <v>5875</v>
      </c>
      <c r="C1287">
        <v>9</v>
      </c>
      <c r="D1287" t="str">
        <f>INDEX(Table26[Tag_Level_4], MATCH(B1287, Table26[Middle Number],0))</f>
        <v>Services</v>
      </c>
      <c r="E1287" t="str">
        <f>RIGHT(Table5[[#This Row],[Middle Digit]],2)</f>
        <v>02</v>
      </c>
    </row>
    <row r="1288" spans="1:5" x14ac:dyDescent="0.3">
      <c r="A1288">
        <v>24</v>
      </c>
      <c r="B1288" t="s">
        <v>5876</v>
      </c>
      <c r="C1288">
        <v>9</v>
      </c>
      <c r="D1288" t="str">
        <f>INDEX(Table26[Tag_Level_4], MATCH(B1288, Table26[Middle Number],0))</f>
        <v>Material - LL</v>
      </c>
      <c r="E1288" t="str">
        <f>RIGHT(Table5[[#This Row],[Middle Digit]],2)</f>
        <v>61</v>
      </c>
    </row>
    <row r="1289" spans="1:5" x14ac:dyDescent="0.3">
      <c r="A1289">
        <v>25</v>
      </c>
      <c r="B1289" t="s">
        <v>5877</v>
      </c>
      <c r="C1289">
        <v>9</v>
      </c>
      <c r="D1289" t="str">
        <f>INDEX(Table26[Tag_Level_4], MATCH(B1289, Table26[Middle Number],0))</f>
        <v>Material - Non LL</v>
      </c>
      <c r="E1289" t="str">
        <f>RIGHT(Table5[[#This Row],[Middle Digit]],2)</f>
        <v>01</v>
      </c>
    </row>
    <row r="1290" spans="1:5" x14ac:dyDescent="0.3">
      <c r="A1290">
        <v>26</v>
      </c>
      <c r="B1290" t="s">
        <v>5878</v>
      </c>
      <c r="C1290">
        <v>9</v>
      </c>
      <c r="D1290" t="str">
        <f>INDEX(Table26[Tag_Level_4], MATCH(B1290, Table26[Middle Number],0))</f>
        <v>Services</v>
      </c>
      <c r="E1290" t="str">
        <f>RIGHT(Table5[[#This Row],[Middle Digit]],2)</f>
        <v>02</v>
      </c>
    </row>
    <row r="1291" spans="1:5" x14ac:dyDescent="0.3">
      <c r="A1291">
        <v>27</v>
      </c>
      <c r="B1291" t="s">
        <v>5879</v>
      </c>
      <c r="C1291">
        <v>9</v>
      </c>
      <c r="D1291" t="str">
        <f>INDEX(Table26[Tag_Level_4], MATCH(B1291, Table26[Middle Number],0))</f>
        <v>Material - LL</v>
      </c>
      <c r="E1291" t="str">
        <f>RIGHT(Table5[[#This Row],[Middle Digit]],2)</f>
        <v>61</v>
      </c>
    </row>
    <row r="1292" spans="1:5" x14ac:dyDescent="0.3">
      <c r="A1292">
        <v>28</v>
      </c>
      <c r="B1292" t="s">
        <v>5865</v>
      </c>
      <c r="C1292">
        <v>9</v>
      </c>
      <c r="D1292" t="str">
        <f>INDEX(Table26[Tag_Level_4], MATCH(B1292, Table26[Middle Number],0))</f>
        <v>Rig Move</v>
      </c>
      <c r="E1292" t="str">
        <f>RIGHT(Table5[[#This Row],[Middle Digit]],2)</f>
        <v>01</v>
      </c>
    </row>
    <row r="1293" spans="1:5" x14ac:dyDescent="0.3">
      <c r="A1293">
        <v>29</v>
      </c>
      <c r="B1293" t="s">
        <v>5864</v>
      </c>
      <c r="C1293">
        <v>9</v>
      </c>
      <c r="D1293" t="str">
        <f>INDEX(Table26[Tag_Level_4], MATCH(B1293, Table26[Middle Number],0))</f>
        <v>Rig Move</v>
      </c>
      <c r="E1293" t="str">
        <f>RIGHT(Table5[[#This Row],[Middle Digit]],2)</f>
        <v>02</v>
      </c>
    </row>
    <row r="1294" spans="1:5" x14ac:dyDescent="0.3">
      <c r="A1294">
        <v>30</v>
      </c>
      <c r="B1294" t="s">
        <v>5863</v>
      </c>
      <c r="C1294">
        <v>9</v>
      </c>
      <c r="D1294" t="str">
        <f>INDEX(Table26[Tag_Level_4], MATCH(B1294, Table26[Middle Number],0))</f>
        <v>Rig Move</v>
      </c>
      <c r="E1294" t="str">
        <f>RIGHT(Table5[[#This Row],[Middle Digit]],2)</f>
        <v>03</v>
      </c>
    </row>
    <row r="1295" spans="1:5" x14ac:dyDescent="0.3">
      <c r="A1295">
        <v>31</v>
      </c>
      <c r="B1295" t="s">
        <v>5862</v>
      </c>
      <c r="C1295">
        <v>9</v>
      </c>
      <c r="D1295" t="str">
        <f>INDEX(Table26[Tag_Level_4], MATCH(B1295, Table26[Middle Number],0))</f>
        <v>Rig Move</v>
      </c>
      <c r="E1295" t="str">
        <f>RIGHT(Table5[[#This Row],[Middle Digit]],2)</f>
        <v>04</v>
      </c>
    </row>
    <row r="1296" spans="1:5" x14ac:dyDescent="0.3">
      <c r="A1296">
        <v>32</v>
      </c>
      <c r="B1296" t="s">
        <v>5861</v>
      </c>
      <c r="C1296">
        <v>9</v>
      </c>
      <c r="D1296" t="str">
        <f>INDEX(Table26[Tag_Level_4], MATCH(B1296, Table26[Middle Number],0))</f>
        <v>Rig Skid</v>
      </c>
      <c r="E1296" t="str">
        <f>RIGHT(Table5[[#This Row],[Middle Digit]],2)</f>
        <v>01</v>
      </c>
    </row>
    <row r="1297" spans="1:5" x14ac:dyDescent="0.3">
      <c r="A1297">
        <v>33</v>
      </c>
      <c r="B1297" t="s">
        <v>5880</v>
      </c>
      <c r="C1297">
        <v>9</v>
      </c>
      <c r="D1297" t="str">
        <f>INDEX(Table26[Tag_Level_4], MATCH(B1297, Table26[Middle Number],0))</f>
        <v>Skid Moving</v>
      </c>
      <c r="E1297" t="str">
        <f>RIGHT(Table5[[#This Row],[Middle Digit]],2)</f>
        <v>02</v>
      </c>
    </row>
    <row r="1298" spans="1:5" x14ac:dyDescent="0.3">
      <c r="A1298">
        <v>34</v>
      </c>
      <c r="B1298" t="s">
        <v>5881</v>
      </c>
      <c r="C1298">
        <v>9</v>
      </c>
      <c r="D1298" t="str">
        <f>INDEX(Table26[Tag_Level_4], MATCH(B1298, Table26[Middle Number],0))</f>
        <v>Skid Moving</v>
      </c>
      <c r="E1298" t="str">
        <f>RIGHT(Table5[[#This Row],[Middle Digit]],2)</f>
        <v>03</v>
      </c>
    </row>
    <row r="1299" spans="1:5" x14ac:dyDescent="0.3">
      <c r="A1299">
        <v>35</v>
      </c>
      <c r="B1299" t="s">
        <v>5882</v>
      </c>
      <c r="C1299">
        <v>9</v>
      </c>
      <c r="D1299" t="str">
        <f>INDEX(Table26[Tag_Level_4], MATCH(B1299, Table26[Middle Number],0))</f>
        <v>Skid Moving</v>
      </c>
      <c r="E1299" t="str">
        <f>RIGHT(Table5[[#This Row],[Middle Digit]],2)</f>
        <v>04</v>
      </c>
    </row>
    <row r="1300" spans="1:5" x14ac:dyDescent="0.3">
      <c r="A1300">
        <v>36</v>
      </c>
      <c r="B1300" t="s">
        <v>5867</v>
      </c>
      <c r="C1300">
        <v>9</v>
      </c>
      <c r="D1300" t="str">
        <f>INDEX(Table26[Tag_Level_4], MATCH(B1300, Table26[Middle Number],0))</f>
        <v>Rig Mobilization</v>
      </c>
      <c r="E1300" t="str">
        <f>RIGHT(Table5[[#This Row],[Middle Digit]],2)</f>
        <v>03</v>
      </c>
    </row>
    <row r="1301" spans="1:5" x14ac:dyDescent="0.3">
      <c r="A1301">
        <v>37</v>
      </c>
      <c r="B1301" t="s">
        <v>5900</v>
      </c>
      <c r="C1301">
        <v>9</v>
      </c>
      <c r="D1301" t="str">
        <f>INDEX(Table26[Tag_Level_4], MATCH(B1301, Table26[Middle Number],0))</f>
        <v>Rig Mobilization</v>
      </c>
      <c r="E1301" t="str">
        <f>RIGHT(Table5[[#This Row],[Middle Digit]],2)</f>
        <v>66</v>
      </c>
    </row>
    <row r="1302" spans="1:5" x14ac:dyDescent="0.3">
      <c r="A1302">
        <v>38</v>
      </c>
      <c r="B1302" t="s">
        <v>5866</v>
      </c>
      <c r="C1302">
        <v>9</v>
      </c>
      <c r="D1302" t="str">
        <f>INDEX(Table26[Tag_Level_4], MATCH(B1302, Table26[Middle Number],0))</f>
        <v>Rig Mobilization</v>
      </c>
      <c r="E1302" t="str">
        <f>RIGHT(Table5[[#This Row],[Middle Digit]],2)</f>
        <v>67</v>
      </c>
    </row>
    <row r="1303" spans="1:5" x14ac:dyDescent="0.3">
      <c r="A1303">
        <v>39</v>
      </c>
      <c r="B1303" t="s">
        <v>5845</v>
      </c>
      <c r="C1303">
        <v>9</v>
      </c>
      <c r="D1303" t="str">
        <f>INDEX(Table26[Tag_Level_4], MATCH(B1303, Table26[Middle Number],0))</f>
        <v>LIH</v>
      </c>
      <c r="E1303" t="str">
        <f>RIGHT(Table5[[#This Row],[Middle Digit]],2)</f>
        <v>99</v>
      </c>
    </row>
    <row r="1304" spans="1:5" x14ac:dyDescent="0.3">
      <c r="A1304">
        <v>40</v>
      </c>
      <c r="B1304" t="s">
        <v>5844</v>
      </c>
      <c r="C1304">
        <v>9</v>
      </c>
      <c r="D1304" t="str">
        <f>INDEX(Table26[Tag_Level_4], MATCH(B1304, Table26[Middle Number],0))</f>
        <v>Explosive</v>
      </c>
      <c r="E1304" t="str">
        <f>RIGHT(Table5[[#This Row],[Middle Digit]],2)</f>
        <v>11</v>
      </c>
    </row>
    <row r="1305" spans="1:5" x14ac:dyDescent="0.3">
      <c r="A1305">
        <v>41</v>
      </c>
      <c r="B1305" t="s">
        <v>5883</v>
      </c>
      <c r="C1305">
        <v>9</v>
      </c>
      <c r="D1305" t="str">
        <f>INDEX(Table26[Tag_Level_4], MATCH(B1305, Table26[Middle Number],0))</f>
        <v>Logging Cost</v>
      </c>
      <c r="E1305" t="str">
        <f>RIGHT(Table5[[#This Row],[Middle Digit]],2)</f>
        <v>68</v>
      </c>
    </row>
    <row r="1306" spans="1:5" x14ac:dyDescent="0.3">
      <c r="A1306">
        <v>42</v>
      </c>
      <c r="B1306" t="s">
        <v>5818</v>
      </c>
      <c r="C1306">
        <v>9</v>
      </c>
      <c r="D1306" t="str">
        <f>INDEX(Table26[Tag_Level_4], MATCH(B1306, Table26[Middle Number],0))</f>
        <v>Drilling Operation Water Support</v>
      </c>
      <c r="E1306" t="str">
        <f>RIGHT(Table5[[#This Row],[Middle Digit]],2)</f>
        <v>63</v>
      </c>
    </row>
    <row r="1307" spans="1:5" x14ac:dyDescent="0.3">
      <c r="A1307">
        <v>43</v>
      </c>
      <c r="B1307" t="s">
        <v>5843</v>
      </c>
      <c r="C1307">
        <v>9</v>
      </c>
      <c r="D1307" t="str">
        <f>INDEX(Table26[Tag_Level_4], MATCH(B1307, Table26[Middle Number],0))</f>
        <v>Well Testing</v>
      </c>
      <c r="E1307" t="str">
        <f>RIGHT(Table5[[#This Row],[Middle Digit]],2)</f>
        <v>01</v>
      </c>
    </row>
    <row r="1308" spans="1:5" x14ac:dyDescent="0.3">
      <c r="A1308">
        <v>44</v>
      </c>
      <c r="B1308" t="s">
        <v>5842</v>
      </c>
      <c r="C1308">
        <v>9</v>
      </c>
      <c r="D1308" t="str">
        <f>INDEX(Table26[Tag_Level_4], MATCH(B1308, Table26[Middle Number],0))</f>
        <v>Well Testing</v>
      </c>
      <c r="E1308" t="str">
        <f>RIGHT(Table5[[#This Row],[Middle Digit]],2)</f>
        <v>02</v>
      </c>
    </row>
    <row r="1309" spans="1:5" x14ac:dyDescent="0.3">
      <c r="A1309">
        <v>45</v>
      </c>
      <c r="B1309" t="s">
        <v>5841</v>
      </c>
      <c r="C1309">
        <v>9</v>
      </c>
      <c r="D1309" t="str">
        <f>INDEX(Table26[Tag_Level_4], MATCH(B1309, Table26[Middle Number],0))</f>
        <v>Well Testing</v>
      </c>
      <c r="E1309" t="str">
        <f>RIGHT(Table5[[#This Row],[Middle Digit]],2)</f>
        <v>03</v>
      </c>
    </row>
    <row r="1310" spans="1:5" x14ac:dyDescent="0.3">
      <c r="A1310">
        <v>46</v>
      </c>
      <c r="B1310" t="s">
        <v>5840</v>
      </c>
      <c r="C1310">
        <v>9</v>
      </c>
      <c r="D1310" t="str">
        <f>INDEX(Table26[Tag_Level_4], MATCH(B1310, Table26[Middle Number],0))</f>
        <v>Well Testing</v>
      </c>
      <c r="E1310" t="str">
        <f>RIGHT(Table5[[#This Row],[Middle Digit]],2)</f>
        <v>04</v>
      </c>
    </row>
    <row r="1311" spans="1:5" x14ac:dyDescent="0.3">
      <c r="A1311">
        <v>47</v>
      </c>
      <c r="B1311" t="s">
        <v>5839</v>
      </c>
      <c r="C1311">
        <v>9</v>
      </c>
      <c r="D1311" t="str">
        <f>INDEX(Table26[Tag_Level_4], MATCH(B1311, Table26[Middle Number],0))</f>
        <v>Well Testing</v>
      </c>
      <c r="E1311" t="str">
        <f>RIGHT(Table5[[#This Row],[Middle Digit]],2)</f>
        <v>05</v>
      </c>
    </row>
    <row r="1312" spans="1:5" x14ac:dyDescent="0.3">
      <c r="A1312">
        <v>48</v>
      </c>
      <c r="B1312" t="s">
        <v>5838</v>
      </c>
      <c r="C1312">
        <v>9</v>
      </c>
      <c r="D1312" t="str">
        <f>INDEX(Table26[Tag_Level_4], MATCH(B1312, Table26[Middle Number],0))</f>
        <v>Well Testing</v>
      </c>
      <c r="E1312" t="str">
        <f>RIGHT(Table5[[#This Row],[Middle Digit]],2)</f>
        <v>06</v>
      </c>
    </row>
    <row r="1313" spans="1:5" x14ac:dyDescent="0.3">
      <c r="A1313">
        <v>49</v>
      </c>
      <c r="B1313" t="s">
        <v>5884</v>
      </c>
      <c r="C1313">
        <v>9</v>
      </c>
      <c r="D1313" t="str">
        <f>INDEX(Table26[Tag_Level_4], MATCH(B1313, Table26[Middle Number],0))</f>
        <v>Well Testing</v>
      </c>
      <c r="E1313" t="str">
        <f>RIGHT(Table5[[#This Row],[Middle Digit]],2)</f>
        <v>07</v>
      </c>
    </row>
    <row r="1314" spans="1:5" x14ac:dyDescent="0.3">
      <c r="A1314">
        <v>50</v>
      </c>
      <c r="B1314" t="s">
        <v>5885</v>
      </c>
      <c r="C1314">
        <v>9</v>
      </c>
      <c r="D1314" t="str">
        <f>INDEX(Table26[Tag_Level_4], MATCH(B1314, Table26[Middle Number],0))</f>
        <v>Well Testing</v>
      </c>
      <c r="E1314" t="str">
        <f>RIGHT(Table5[[#This Row],[Middle Digit]],2)</f>
        <v>08</v>
      </c>
    </row>
    <row r="1315" spans="1:5" x14ac:dyDescent="0.3">
      <c r="A1315">
        <v>51</v>
      </c>
      <c r="B1315" t="s">
        <v>5886</v>
      </c>
      <c r="C1315">
        <v>9</v>
      </c>
      <c r="D1315" t="str">
        <f>INDEX(Table26[Tag_Level_4], MATCH(B1315, Table26[Middle Number],0))</f>
        <v>Well Testing</v>
      </c>
      <c r="E1315" t="str">
        <f>RIGHT(Table5[[#This Row],[Middle Digit]],2)</f>
        <v>09</v>
      </c>
    </row>
    <row r="1316" spans="1:5" x14ac:dyDescent="0.3">
      <c r="A1316">
        <v>52</v>
      </c>
      <c r="B1316" t="s">
        <v>5837</v>
      </c>
      <c r="C1316">
        <v>9</v>
      </c>
      <c r="D1316" t="str">
        <f>INDEX(Table26[Tag_Level_4], MATCH(B1316, Table26[Middle Number],0))</f>
        <v>Wellsite Geologist (WSG)</v>
      </c>
      <c r="E1316" t="str">
        <f>RIGHT(Table5[[#This Row],[Middle Digit]],2)</f>
        <v>01</v>
      </c>
    </row>
    <row r="1317" spans="1:5" x14ac:dyDescent="0.3">
      <c r="A1317">
        <v>53</v>
      </c>
      <c r="B1317" t="s">
        <v>5836</v>
      </c>
      <c r="C1317">
        <v>9</v>
      </c>
      <c r="D1317" t="str">
        <f>INDEX(Table26[Tag_Level_4], MATCH(B1317, Table26[Middle Number],0))</f>
        <v>Wellsite Geologist (WSG)</v>
      </c>
      <c r="E1317" t="str">
        <f>RIGHT(Table5[[#This Row],[Middle Digit]],2)</f>
        <v>02</v>
      </c>
    </row>
    <row r="1318" spans="1:5" x14ac:dyDescent="0.3">
      <c r="A1318">
        <v>54</v>
      </c>
      <c r="B1318" t="s">
        <v>5835</v>
      </c>
      <c r="C1318">
        <v>9</v>
      </c>
      <c r="D1318" t="str">
        <f>INDEX(Table26[Tag_Level_4], MATCH(B1318, Table26[Middle Number],0))</f>
        <v>Wellsite Geologist (WSG)</v>
      </c>
      <c r="E1318" t="str">
        <f>RIGHT(Table5[[#This Row],[Middle Digit]],2)</f>
        <v>03</v>
      </c>
    </row>
    <row r="1319" spans="1:5" x14ac:dyDescent="0.3">
      <c r="A1319">
        <v>55</v>
      </c>
      <c r="B1319" t="s">
        <v>5834</v>
      </c>
      <c r="C1319">
        <v>9</v>
      </c>
      <c r="D1319" t="str">
        <f>INDEX(Table26[Tag_Level_4], MATCH(B1319, Table26[Middle Number],0))</f>
        <v>Wellsite Geologist (WSG)</v>
      </c>
      <c r="E1319" t="str">
        <f>RIGHT(Table5[[#This Row],[Middle Digit]],2)</f>
        <v>04</v>
      </c>
    </row>
    <row r="1320" spans="1:5" x14ac:dyDescent="0.3">
      <c r="A1320">
        <v>56</v>
      </c>
      <c r="B1320" t="s">
        <v>5833</v>
      </c>
      <c r="C1320">
        <v>9</v>
      </c>
      <c r="D1320" t="str">
        <f>INDEX(Table26[Tag_Level_4], MATCH(B1320, Table26[Middle Number],0))</f>
        <v>Wellsite Geologist (WSG)</v>
      </c>
      <c r="E1320" t="str">
        <f>RIGHT(Table5[[#This Row],[Middle Digit]],2)</f>
        <v>05</v>
      </c>
    </row>
    <row r="1321" spans="1:5" x14ac:dyDescent="0.3">
      <c r="A1321">
        <v>57</v>
      </c>
      <c r="B1321" t="s">
        <v>5832</v>
      </c>
      <c r="C1321">
        <v>9</v>
      </c>
      <c r="D1321" t="str">
        <f>INDEX(Table26[Tag_Level_4], MATCH(B1321, Table26[Middle Number],0))</f>
        <v>Wellsite Geologist (WSG)</v>
      </c>
      <c r="E1321" t="str">
        <f>RIGHT(Table5[[#This Row],[Middle Digit]],2)</f>
        <v>06</v>
      </c>
    </row>
    <row r="1322" spans="1:5" x14ac:dyDescent="0.3">
      <c r="A1322">
        <v>58</v>
      </c>
      <c r="B1322" t="s">
        <v>5887</v>
      </c>
      <c r="C1322">
        <v>9</v>
      </c>
      <c r="D1322" t="str">
        <f>INDEX(Table26[Tag_Level_4], MATCH(B1322, Table26[Middle Number],0))</f>
        <v>Wellsite Geologist (WSG)</v>
      </c>
      <c r="E1322" t="str">
        <f>RIGHT(Table5[[#This Row],[Middle Digit]],2)</f>
        <v>07</v>
      </c>
    </row>
    <row r="1323" spans="1:5" x14ac:dyDescent="0.3">
      <c r="A1323">
        <v>59</v>
      </c>
      <c r="B1323" t="s">
        <v>5888</v>
      </c>
      <c r="C1323">
        <v>9</v>
      </c>
      <c r="D1323" t="str">
        <f>INDEX(Table26[Tag_Level_4], MATCH(B1323, Table26[Middle Number],0))</f>
        <v>Wellsite Geologist (WSG)</v>
      </c>
      <c r="E1323" t="str">
        <f>RIGHT(Table5[[#This Row],[Middle Digit]],2)</f>
        <v>08</v>
      </c>
    </row>
    <row r="1324" spans="1:5" x14ac:dyDescent="0.3">
      <c r="A1324">
        <v>60</v>
      </c>
      <c r="B1324" t="s">
        <v>5889</v>
      </c>
      <c r="C1324">
        <v>9</v>
      </c>
      <c r="D1324" t="str">
        <f>INDEX(Table26[Tag_Level_4], MATCH(B1324, Table26[Middle Number],0))</f>
        <v>Wellsite Geologist (WSG)</v>
      </c>
      <c r="E1324" t="str">
        <f>RIGHT(Table5[[#This Row],[Middle Digit]],2)</f>
        <v>09</v>
      </c>
    </row>
    <row r="1325" spans="1:5" x14ac:dyDescent="0.3">
      <c r="A1325">
        <v>61</v>
      </c>
      <c r="B1325" t="s">
        <v>5899</v>
      </c>
      <c r="C1325">
        <v>9</v>
      </c>
      <c r="D1325" t="str">
        <f>INDEX(Table26[Tag_Level_4], MATCH(B1325, Table26[Middle Number],0))</f>
        <v>SHE Permit</v>
      </c>
      <c r="E1325" t="str">
        <f>RIGHT(Table5[[#This Row],[Middle Digit]],2)</f>
        <v>26</v>
      </c>
    </row>
    <row r="1326" spans="1:5" x14ac:dyDescent="0.3">
      <c r="A1326">
        <v>62</v>
      </c>
      <c r="B1326" t="s">
        <v>5828</v>
      </c>
      <c r="C1326">
        <v>9</v>
      </c>
      <c r="D1326" t="str">
        <f>INDEX(Table26[Tag_Level_4], MATCH(B1326, Table26[Middle Number],0))</f>
        <v>SHE Permit</v>
      </c>
      <c r="E1326" t="str">
        <f>RIGHT(Table5[[#This Row],[Middle Digit]],2)</f>
        <v>27</v>
      </c>
    </row>
    <row r="1327" spans="1:5" x14ac:dyDescent="0.3">
      <c r="A1327">
        <v>63</v>
      </c>
      <c r="B1327" t="s">
        <v>5830</v>
      </c>
      <c r="C1327">
        <v>9</v>
      </c>
      <c r="D1327" t="str">
        <f>INDEX(Table26[Tag_Level_4], MATCH(B1327, Table26[Middle Number],0))</f>
        <v>Hazardous Waste</v>
      </c>
      <c r="E1327" t="str">
        <f>RIGHT(Table5[[#This Row],[Middle Digit]],2)</f>
        <v>57</v>
      </c>
    </row>
    <row r="1328" spans="1:5" x14ac:dyDescent="0.3">
      <c r="A1328">
        <v>64</v>
      </c>
      <c r="B1328" t="s">
        <v>5831</v>
      </c>
      <c r="C1328">
        <v>9</v>
      </c>
      <c r="D1328" t="str">
        <f>INDEX(Table26[Tag_Level_4], MATCH(B1328, Table26[Middle Number],0))</f>
        <v>Drill Cutting</v>
      </c>
      <c r="E1328" t="str">
        <f>RIGHT(Table5[[#This Row],[Middle Digit]],2)</f>
        <v>58</v>
      </c>
    </row>
    <row r="1329" spans="1:5" x14ac:dyDescent="0.3">
      <c r="A1329">
        <v>65</v>
      </c>
      <c r="B1329" t="s">
        <v>5829</v>
      </c>
      <c r="C1329">
        <v>9</v>
      </c>
      <c r="D1329" t="str">
        <f>INDEX(Table26[Tag_Level_4], MATCH(B1329, Table26[Middle Number],0))</f>
        <v>Environmental Monitoring</v>
      </c>
      <c r="E1329" t="str">
        <f>RIGHT(Table5[[#This Row],[Middle Digit]],2)</f>
        <v>59</v>
      </c>
    </row>
    <row r="1330" spans="1:5" x14ac:dyDescent="0.3">
      <c r="A1330">
        <v>66</v>
      </c>
      <c r="B1330" t="s">
        <v>5826</v>
      </c>
      <c r="C1330">
        <v>9</v>
      </c>
      <c r="D1330" t="str">
        <f>INDEX(Table26[Tag_Level_4], MATCH(B1330, Table26[Middle Number],0))</f>
        <v>Security</v>
      </c>
      <c r="E1330" t="str">
        <f>RIGHT(Table5[[#This Row],[Middle Digit]],2)</f>
        <v>56</v>
      </c>
    </row>
    <row r="1331" spans="1:5" x14ac:dyDescent="0.3">
      <c r="A1331">
        <v>67</v>
      </c>
      <c r="B1331" t="s">
        <v>5827</v>
      </c>
      <c r="C1331">
        <v>9</v>
      </c>
      <c r="D1331" t="str">
        <f>INDEX(Table26[Tag_Level_4], MATCH(B1331, Table26[Middle Number],0))</f>
        <v>PGPA</v>
      </c>
      <c r="E1331" t="str">
        <f>RIGHT(Table5[[#This Row],[Middle Digit]],2)</f>
        <v>62</v>
      </c>
    </row>
    <row r="1332" spans="1:5" x14ac:dyDescent="0.3">
      <c r="A1332">
        <v>68</v>
      </c>
      <c r="B1332" t="s">
        <v>5825</v>
      </c>
      <c r="C1332">
        <v>9</v>
      </c>
      <c r="D1332" t="str">
        <f>INDEX(Table26[Tag_Level_4], MATCH(B1332, Table26[Middle Number],0))</f>
        <v>Well Insurance</v>
      </c>
      <c r="E1332" t="str">
        <f>RIGHT(Table5[[#This Row],[Middle Digit]],2)</f>
        <v>01</v>
      </c>
    </row>
    <row r="1333" spans="1:5" x14ac:dyDescent="0.3">
      <c r="A1333">
        <v>69</v>
      </c>
      <c r="B1333" t="s">
        <v>5824</v>
      </c>
      <c r="C1333">
        <v>9</v>
      </c>
      <c r="D1333" t="str">
        <f>INDEX(Table26[Tag_Level_4], MATCH(B1333, Table26[Middle Number],0))</f>
        <v>Well Insurance</v>
      </c>
      <c r="E1333" t="str">
        <f>RIGHT(Table5[[#This Row],[Middle Digit]],2)</f>
        <v>02</v>
      </c>
    </row>
    <row r="1334" spans="1:5" x14ac:dyDescent="0.3">
      <c r="A1334">
        <v>70</v>
      </c>
      <c r="B1334" t="s">
        <v>5823</v>
      </c>
      <c r="C1334">
        <v>9</v>
      </c>
      <c r="D1334" t="str">
        <f>INDEX(Table26[Tag_Level_4], MATCH(B1334, Table26[Middle Number],0))</f>
        <v>Well Insurance</v>
      </c>
      <c r="E1334" t="str">
        <f>RIGHT(Table5[[#This Row],[Middle Digit]],2)</f>
        <v>03</v>
      </c>
    </row>
    <row r="1335" spans="1:5" x14ac:dyDescent="0.3">
      <c r="A1335">
        <v>71</v>
      </c>
      <c r="B1335" t="s">
        <v>5822</v>
      </c>
      <c r="C1335">
        <v>9</v>
      </c>
      <c r="D1335" t="str">
        <f>INDEX(Table26[Tag_Level_4], MATCH(B1335, Table26[Middle Number],0))</f>
        <v>Well Insurance</v>
      </c>
      <c r="E1335" t="str">
        <f>RIGHT(Table5[[#This Row],[Middle Digit]],2)</f>
        <v>04</v>
      </c>
    </row>
    <row r="1336" spans="1:5" x14ac:dyDescent="0.3">
      <c r="A1336">
        <v>72</v>
      </c>
      <c r="B1336" t="s">
        <v>5821</v>
      </c>
      <c r="C1336">
        <v>9</v>
      </c>
      <c r="D1336" t="str">
        <f>INDEX(Table26[Tag_Level_4], MATCH(B1336, Table26[Middle Number],0))</f>
        <v>Well Insurance</v>
      </c>
      <c r="E1336" t="str">
        <f>RIGHT(Table5[[#This Row],[Middle Digit]],2)</f>
        <v>05</v>
      </c>
    </row>
    <row r="1337" spans="1:5" x14ac:dyDescent="0.3">
      <c r="A1337">
        <v>73</v>
      </c>
      <c r="B1337" t="s">
        <v>5820</v>
      </c>
      <c r="C1337">
        <v>9</v>
      </c>
      <c r="D1337" t="str">
        <f>INDEX(Table26[Tag_Level_4], MATCH(B1337, Table26[Middle Number],0))</f>
        <v>Well Insurance</v>
      </c>
      <c r="E1337" t="str">
        <f>RIGHT(Table5[[#This Row],[Middle Digit]],2)</f>
        <v>06</v>
      </c>
    </row>
    <row r="1338" spans="1:5" x14ac:dyDescent="0.3">
      <c r="A1338">
        <v>74</v>
      </c>
      <c r="B1338" t="s">
        <v>5890</v>
      </c>
      <c r="C1338">
        <v>9</v>
      </c>
      <c r="D1338" t="str">
        <f>INDEX(Table26[Tag_Level_4], MATCH(B1338, Table26[Middle Number],0))</f>
        <v>Well Insurance</v>
      </c>
      <c r="E1338" t="str">
        <f>RIGHT(Table5[[#This Row],[Middle Digit]],2)</f>
        <v>07</v>
      </c>
    </row>
    <row r="1339" spans="1:5" x14ac:dyDescent="0.3">
      <c r="A1339">
        <v>75</v>
      </c>
      <c r="B1339" t="s">
        <v>5891</v>
      </c>
      <c r="C1339">
        <v>9</v>
      </c>
      <c r="D1339" t="str">
        <f>INDEX(Table26[Tag_Level_4], MATCH(B1339, Table26[Middle Number],0))</f>
        <v>Well Insurance</v>
      </c>
      <c r="E1339" t="str">
        <f>RIGHT(Table5[[#This Row],[Middle Digit]],2)</f>
        <v>08</v>
      </c>
    </row>
    <row r="1340" spans="1:5" x14ac:dyDescent="0.3">
      <c r="A1340">
        <v>76</v>
      </c>
      <c r="B1340" t="s">
        <v>5892</v>
      </c>
      <c r="C1340">
        <v>9</v>
      </c>
      <c r="D1340" t="str">
        <f>INDEX(Table26[Tag_Level_4], MATCH(B1340, Table26[Middle Number],0))</f>
        <v>Well Insurance</v>
      </c>
      <c r="E1340" t="str">
        <f>RIGHT(Table5[[#This Row],[Middle Digit]],2)</f>
        <v>09</v>
      </c>
    </row>
    <row r="1341" spans="1:5" x14ac:dyDescent="0.3">
      <c r="A1341">
        <v>77</v>
      </c>
      <c r="B1341" t="s">
        <v>5893</v>
      </c>
      <c r="C1341">
        <v>9</v>
      </c>
      <c r="D1341" t="str">
        <f>INDEX(Table26[Tag_Level_4], MATCH(B1341, Table26[Middle Number],0))</f>
        <v>Project Management Cost</v>
      </c>
      <c r="E1341" t="str">
        <f>RIGHT(Table5[[#This Row],[Middle Digit]],2)</f>
        <v>52</v>
      </c>
    </row>
    <row r="1342" spans="1:5" x14ac:dyDescent="0.3">
      <c r="A1342">
        <v>78</v>
      </c>
      <c r="B1342" t="s">
        <v>5819</v>
      </c>
      <c r="C1342">
        <v>9</v>
      </c>
      <c r="D1342" t="str">
        <f>INDEX(Table26[Tag_Level_4], MATCH(B1342, Table26[Middle Number],0))</f>
        <v>Drilling Operation Water Support</v>
      </c>
      <c r="E1342" t="str">
        <f>RIGHT(Table5[[#This Row],[Middle Digit]],2)</f>
        <v>60</v>
      </c>
    </row>
    <row r="1343" spans="1:5" x14ac:dyDescent="0.3">
      <c r="A1343">
        <v>79</v>
      </c>
      <c r="B1343" t="s">
        <v>5817</v>
      </c>
      <c r="C1343">
        <v>9</v>
      </c>
      <c r="D1343" t="str">
        <f>INDEX(Table26[Tag_Level_4], MATCH(B1343, Table26[Middle Number],0))</f>
        <v>Drilling Facilities Support</v>
      </c>
      <c r="E1343" t="str">
        <f>RIGHT(Table5[[#This Row],[Middle Digit]],2)</f>
        <v>64</v>
      </c>
    </row>
    <row r="1344" spans="1:5" x14ac:dyDescent="0.3">
      <c r="A1344">
        <v>80</v>
      </c>
      <c r="B1344" t="s">
        <v>5894</v>
      </c>
      <c r="C1344">
        <v>9</v>
      </c>
      <c r="D1344" t="str">
        <f>INDEX(Table26[Tag_Level_4], MATCH(B1344, Table26[Middle Number],0))</f>
        <v>Internet and IT Support Service</v>
      </c>
      <c r="E1344" t="str">
        <f>RIGHT(Table5[[#This Row],[Middle Digit]],2)</f>
        <v>65</v>
      </c>
    </row>
    <row r="1345" spans="1:5" x14ac:dyDescent="0.3">
      <c r="A1345">
        <v>81</v>
      </c>
      <c r="B1345" t="s">
        <v>5816</v>
      </c>
      <c r="C1345">
        <v>9</v>
      </c>
      <c r="D1345" t="str">
        <f>INDEX(Table26[Tag_Level_4], MATCH(B1345, Table26[Middle Number],0))</f>
        <v>Hardware Supply</v>
      </c>
      <c r="E1345" t="str">
        <f>RIGHT(Table5[[#This Row],[Middle Digit]],2)</f>
        <v>27</v>
      </c>
    </row>
    <row r="1346" spans="1:5" x14ac:dyDescent="0.3">
      <c r="A1346">
        <v>82</v>
      </c>
      <c r="B1346" t="s">
        <v>5815</v>
      </c>
      <c r="C1346">
        <v>9</v>
      </c>
      <c r="D1346" t="str">
        <f>INDEX(Table26[Tag_Level_4], MATCH(B1346, Table26[Middle Number],0))</f>
        <v>Conductor Casing Installation &amp; Material</v>
      </c>
      <c r="E1346" t="str">
        <f>RIGHT(Table5[[#This Row],[Middle Digit]],2)</f>
        <v>01</v>
      </c>
    </row>
    <row r="1347" spans="1:5" x14ac:dyDescent="0.3">
      <c r="A1347">
        <v>83</v>
      </c>
      <c r="B1347" t="s">
        <v>5814</v>
      </c>
      <c r="C1347">
        <v>9</v>
      </c>
      <c r="D1347" t="str">
        <f>INDEX(Table26[Tag_Level_4], MATCH(B1347, Table26[Middle Number],0))</f>
        <v>Conductor Casing Installation &amp; Material</v>
      </c>
      <c r="E1347" t="str">
        <f>RIGHT(Table5[[#This Row],[Middle Digit]],2)</f>
        <v>02</v>
      </c>
    </row>
    <row r="1348" spans="1:5" x14ac:dyDescent="0.3">
      <c r="A1348">
        <v>84</v>
      </c>
      <c r="B1348" t="s">
        <v>5813</v>
      </c>
      <c r="C1348">
        <v>9</v>
      </c>
      <c r="D1348" t="str">
        <f>INDEX(Table26[Tag_Level_4], MATCH(B1348, Table26[Middle Number],0))</f>
        <v>Conductor Casing Installation &amp; Material</v>
      </c>
      <c r="E1348" t="str">
        <f>RIGHT(Table5[[#This Row],[Middle Digit]],2)</f>
        <v>03</v>
      </c>
    </row>
    <row r="1349" spans="1:5" x14ac:dyDescent="0.3">
      <c r="A1349">
        <v>85</v>
      </c>
      <c r="B1349" t="s">
        <v>5812</v>
      </c>
      <c r="C1349">
        <v>9</v>
      </c>
      <c r="D1349" t="str">
        <f>INDEX(Table26[Tag_Level_4], MATCH(B1349, Table26[Middle Number],0))</f>
        <v>Conductor Casing Installation &amp; Material</v>
      </c>
      <c r="E1349" t="str">
        <f>RIGHT(Table5[[#This Row],[Middle Digit]],2)</f>
        <v>04</v>
      </c>
    </row>
    <row r="1350" spans="1:5" x14ac:dyDescent="0.3">
      <c r="A1350">
        <v>86</v>
      </c>
      <c r="B1350" t="s">
        <v>5811</v>
      </c>
      <c r="C1350">
        <v>9</v>
      </c>
      <c r="D1350" t="str">
        <f>INDEX(Table26[Tag_Level_4], MATCH(B1350, Table26[Middle Number],0))</f>
        <v>Conductor Casing Installation &amp; Material</v>
      </c>
      <c r="E1350" t="str">
        <f>RIGHT(Table5[[#This Row],[Middle Digit]],2)</f>
        <v>05</v>
      </c>
    </row>
    <row r="1351" spans="1:5" x14ac:dyDescent="0.3">
      <c r="A1351">
        <v>87</v>
      </c>
      <c r="B1351" t="s">
        <v>5810</v>
      </c>
      <c r="C1351">
        <v>9</v>
      </c>
      <c r="D1351" t="str">
        <f>INDEX(Table26[Tag_Level_4], MATCH(B1351, Table26[Middle Number],0))</f>
        <v>Conductor Casing Installation &amp; Material</v>
      </c>
      <c r="E1351" t="str">
        <f>RIGHT(Table5[[#This Row],[Middle Digit]],2)</f>
        <v>06</v>
      </c>
    </row>
    <row r="1352" spans="1:5" x14ac:dyDescent="0.3">
      <c r="A1352">
        <v>88</v>
      </c>
      <c r="B1352" t="s">
        <v>5895</v>
      </c>
      <c r="C1352">
        <v>9</v>
      </c>
      <c r="D1352" t="str">
        <f>INDEX(Table26[Tag_Level_4], MATCH(B1352, Table26[Middle Number],0))</f>
        <v>Conductor Casing Installation &amp; Material</v>
      </c>
      <c r="E1352" t="str">
        <f>RIGHT(Table5[[#This Row],[Middle Digit]],2)</f>
        <v>07</v>
      </c>
    </row>
    <row r="1353" spans="1:5" x14ac:dyDescent="0.3">
      <c r="A1353">
        <v>89</v>
      </c>
      <c r="B1353" t="s">
        <v>5896</v>
      </c>
      <c r="C1353">
        <v>9</v>
      </c>
      <c r="D1353" t="str">
        <f>INDEX(Table26[Tag_Level_4], MATCH(B1353, Table26[Middle Number],0))</f>
        <v>Conductor Casing Installation &amp; Material</v>
      </c>
      <c r="E1353" t="str">
        <f>RIGHT(Table5[[#This Row],[Middle Digit]],2)</f>
        <v>08</v>
      </c>
    </row>
    <row r="1354" spans="1:5" x14ac:dyDescent="0.3">
      <c r="A1354">
        <v>90</v>
      </c>
      <c r="B1354" t="s">
        <v>5897</v>
      </c>
      <c r="C1354">
        <v>9</v>
      </c>
      <c r="D1354" t="str">
        <f>INDEX(Table26[Tag_Level_4], MATCH(B1354, Table26[Middle Number],0))</f>
        <v>Conductor Casing Installation &amp; Material</v>
      </c>
      <c r="E1354" t="str">
        <f>RIGHT(Table5[[#This Row],[Middle Digit]],2)</f>
        <v>09</v>
      </c>
    </row>
    <row r="1355" spans="1:5" x14ac:dyDescent="0.3">
      <c r="A1355">
        <v>91</v>
      </c>
      <c r="B1355" t="s">
        <v>5809</v>
      </c>
      <c r="C1355">
        <v>9</v>
      </c>
      <c r="D1355" t="str">
        <f>INDEX(Table26[Tag_Level_4], MATCH(B1355, Table26[Middle Number],0))</f>
        <v>Engineering</v>
      </c>
      <c r="E1355" t="str">
        <f>RIGHT(Table5[[#This Row],[Middle Digit]],2)</f>
        <v>07</v>
      </c>
    </row>
    <row r="1356" spans="1:5" x14ac:dyDescent="0.3">
      <c r="A1356">
        <v>92</v>
      </c>
      <c r="B1356" t="s">
        <v>5808</v>
      </c>
      <c r="C1356">
        <v>9</v>
      </c>
      <c r="D1356" t="str">
        <f>INDEX(Table26[Tag_Level_4], MATCH(B1356, Table26[Middle Number],0))</f>
        <v>Procurement</v>
      </c>
      <c r="E1356" t="str">
        <f>RIGHT(Table5[[#This Row],[Middle Digit]],2)</f>
        <v>08</v>
      </c>
    </row>
    <row r="1357" spans="1:5" x14ac:dyDescent="0.3">
      <c r="A1357">
        <v>93</v>
      </c>
      <c r="B1357" t="s">
        <v>5807</v>
      </c>
      <c r="C1357">
        <v>9</v>
      </c>
      <c r="D1357" t="str">
        <f>INDEX(Table26[Tag_Level_4], MATCH(B1357, Table26[Middle Number],0))</f>
        <v>Construction</v>
      </c>
      <c r="E1357" t="str">
        <f>RIGHT(Table5[[#This Row],[Middle Digit]],2)</f>
        <v>09</v>
      </c>
    </row>
    <row r="1358" spans="1:5" x14ac:dyDescent="0.3">
      <c r="A1358">
        <v>94</v>
      </c>
      <c r="B1358" t="s">
        <v>5806</v>
      </c>
      <c r="C1358">
        <v>9</v>
      </c>
      <c r="D1358" t="str">
        <f>INDEX(Table26[Tag_Level_4], MATCH(B1358, Table26[Middle Number],0))</f>
        <v>Engineering</v>
      </c>
      <c r="E1358" t="str">
        <f>RIGHT(Table5[[#This Row],[Middle Digit]],2)</f>
        <v>07</v>
      </c>
    </row>
    <row r="1359" spans="1:5" x14ac:dyDescent="0.3">
      <c r="A1359">
        <v>95</v>
      </c>
      <c r="B1359" t="s">
        <v>5805</v>
      </c>
      <c r="C1359">
        <v>9</v>
      </c>
      <c r="D1359" t="str">
        <f>INDEX(Table26[Tag_Level_4], MATCH(B1359, Table26[Middle Number],0))</f>
        <v>Procurement</v>
      </c>
      <c r="E1359" t="str">
        <f>RIGHT(Table5[[#This Row],[Middle Digit]],2)</f>
        <v>08</v>
      </c>
    </row>
    <row r="1360" spans="1:5" x14ac:dyDescent="0.3">
      <c r="A1360">
        <v>96</v>
      </c>
      <c r="B1360" t="s">
        <v>5804</v>
      </c>
      <c r="C1360">
        <v>9</v>
      </c>
      <c r="D1360" t="str">
        <f>INDEX(Table26[Tag_Level_4], MATCH(B1360, Table26[Middle Number],0))</f>
        <v>Construction</v>
      </c>
      <c r="E1360" t="str">
        <f>RIGHT(Table5[[#This Row],[Middle Digit]],2)</f>
        <v>09</v>
      </c>
    </row>
    <row r="1361" spans="1:5" x14ac:dyDescent="0.3">
      <c r="A1361">
        <v>97</v>
      </c>
      <c r="B1361" t="s">
        <v>5803</v>
      </c>
      <c r="C1361">
        <v>9</v>
      </c>
      <c r="D1361" t="str">
        <f>INDEX(Table26[Tag_Level_4], MATCH(B1361, Table26[Middle Number],0))</f>
        <v>Engineering</v>
      </c>
      <c r="E1361" t="str">
        <f>RIGHT(Table5[[#This Row],[Middle Digit]],2)</f>
        <v>07</v>
      </c>
    </row>
    <row r="1362" spans="1:5" x14ac:dyDescent="0.3">
      <c r="A1362">
        <v>98</v>
      </c>
      <c r="B1362" t="s">
        <v>5802</v>
      </c>
      <c r="C1362">
        <v>9</v>
      </c>
      <c r="D1362" t="str">
        <f>INDEX(Table26[Tag_Level_4], MATCH(B1362, Table26[Middle Number],0))</f>
        <v>Procurement</v>
      </c>
      <c r="E1362" t="str">
        <f>RIGHT(Table5[[#This Row],[Middle Digit]],2)</f>
        <v>08</v>
      </c>
    </row>
    <row r="1363" spans="1:5" x14ac:dyDescent="0.3">
      <c r="A1363">
        <v>99</v>
      </c>
      <c r="B1363" t="s">
        <v>5801</v>
      </c>
      <c r="C1363">
        <v>9</v>
      </c>
      <c r="D1363" t="str">
        <f>INDEX(Table26[Tag_Level_4], MATCH(B1363, Table26[Middle Number],0))</f>
        <v>Construction</v>
      </c>
      <c r="E1363" t="str">
        <f>RIGHT(Table5[[#This Row],[Middle Digit]],2)</f>
        <v>09</v>
      </c>
    </row>
    <row r="1364" spans="1:5" x14ac:dyDescent="0.3">
      <c r="A1364">
        <v>100</v>
      </c>
      <c r="B1364" t="s">
        <v>5800</v>
      </c>
      <c r="C1364">
        <v>9</v>
      </c>
      <c r="D1364" t="str">
        <f>INDEX(Table26[Tag_Level_4], MATCH(B1364, Table26[Middle Number],0))</f>
        <v>Engineering</v>
      </c>
      <c r="E1364" t="str">
        <f>RIGHT(Table5[[#This Row],[Middle Digit]],2)</f>
        <v>07</v>
      </c>
    </row>
    <row r="1365" spans="1:5" x14ac:dyDescent="0.3">
      <c r="A1365">
        <v>101</v>
      </c>
      <c r="B1365" t="s">
        <v>5799</v>
      </c>
      <c r="C1365">
        <v>9</v>
      </c>
      <c r="D1365" t="str">
        <f>INDEX(Table26[Tag_Level_4], MATCH(B1365, Table26[Middle Number],0))</f>
        <v>Procurement</v>
      </c>
      <c r="E1365" t="str">
        <f>RIGHT(Table5[[#This Row],[Middle Digit]],2)</f>
        <v>08</v>
      </c>
    </row>
    <row r="1366" spans="1:5" x14ac:dyDescent="0.3">
      <c r="A1366">
        <v>102</v>
      </c>
      <c r="B1366" t="s">
        <v>5798</v>
      </c>
      <c r="C1366">
        <v>9</v>
      </c>
      <c r="D1366" t="str">
        <f>INDEX(Table26[Tag_Level_4], MATCH(B1366, Table26[Middle Number],0))</f>
        <v>Construction</v>
      </c>
      <c r="E1366" t="str">
        <f>RIGHT(Table5[[#This Row],[Middle Digit]],2)</f>
        <v>09</v>
      </c>
    </row>
    <row r="1367" spans="1:5" x14ac:dyDescent="0.3">
      <c r="A1367">
        <v>103</v>
      </c>
      <c r="B1367" t="s">
        <v>5788</v>
      </c>
      <c r="C1367">
        <v>9</v>
      </c>
      <c r="D1367" t="str">
        <f>INDEX(Table26[Tag_Level_4], MATCH(B1367, Table26[Middle Number],0))</f>
        <v>Engineering</v>
      </c>
      <c r="E1367" t="str">
        <f>RIGHT(Table5[[#This Row],[Middle Digit]],2)</f>
        <v>07</v>
      </c>
    </row>
    <row r="1368" spans="1:5" x14ac:dyDescent="0.3">
      <c r="A1368">
        <v>104</v>
      </c>
      <c r="B1368" t="s">
        <v>5787</v>
      </c>
      <c r="C1368">
        <v>9</v>
      </c>
      <c r="D1368" t="str">
        <f>INDEX(Table26[Tag_Level_4], MATCH(B1368, Table26[Middle Number],0))</f>
        <v>Procurement</v>
      </c>
      <c r="E1368" t="str">
        <f>RIGHT(Table5[[#This Row],[Middle Digit]],2)</f>
        <v>08</v>
      </c>
    </row>
    <row r="1369" spans="1:5" x14ac:dyDescent="0.3">
      <c r="A1369">
        <v>105</v>
      </c>
      <c r="B1369" t="s">
        <v>5786</v>
      </c>
      <c r="C1369">
        <v>9</v>
      </c>
      <c r="D1369" t="str">
        <f>INDEX(Table26[Tag_Level_4], MATCH(B1369, Table26[Middle Number],0))</f>
        <v>Construction</v>
      </c>
      <c r="E1369" t="str">
        <f>RIGHT(Table5[[#This Row],[Middle Digit]],2)</f>
        <v>09</v>
      </c>
    </row>
    <row r="1370" spans="1:5" x14ac:dyDescent="0.3">
      <c r="A1370">
        <v>106</v>
      </c>
      <c r="B1370" t="s">
        <v>5785</v>
      </c>
      <c r="C1370">
        <v>9</v>
      </c>
      <c r="D1370" t="str">
        <f>INDEX(Table26[Tag_Level_4], MATCH(B1370, Table26[Middle Number],0))</f>
        <v>Engineering</v>
      </c>
      <c r="E1370" t="str">
        <f>RIGHT(Table5[[#This Row],[Middle Digit]],2)</f>
        <v>07</v>
      </c>
    </row>
    <row r="1371" spans="1:5" x14ac:dyDescent="0.3">
      <c r="A1371">
        <v>107</v>
      </c>
      <c r="B1371" t="s">
        <v>5784</v>
      </c>
      <c r="C1371">
        <v>9</v>
      </c>
      <c r="D1371" t="str">
        <f>INDEX(Table26[Tag_Level_4], MATCH(B1371, Table26[Middle Number],0))</f>
        <v>Procurement</v>
      </c>
      <c r="E1371" t="str">
        <f>RIGHT(Table5[[#This Row],[Middle Digit]],2)</f>
        <v>08</v>
      </c>
    </row>
    <row r="1372" spans="1:5" x14ac:dyDescent="0.3">
      <c r="A1372">
        <v>108</v>
      </c>
      <c r="B1372" t="s">
        <v>5783</v>
      </c>
      <c r="C1372">
        <v>9</v>
      </c>
      <c r="D1372" t="str">
        <f>INDEX(Table26[Tag_Level_4], MATCH(B1372, Table26[Middle Number],0))</f>
        <v>Construction</v>
      </c>
      <c r="E1372" t="str">
        <f>RIGHT(Table5[[#This Row],[Middle Digit]],2)</f>
        <v>09</v>
      </c>
    </row>
    <row r="1373" spans="1:5" x14ac:dyDescent="0.3">
      <c r="A1373">
        <v>109</v>
      </c>
      <c r="B1373" t="s">
        <v>5782</v>
      </c>
      <c r="C1373">
        <v>9</v>
      </c>
      <c r="D1373" t="str">
        <f>INDEX(Table26[Tag_Level_4], MATCH(B1373, Table26[Middle Number],0))</f>
        <v>Engineering</v>
      </c>
      <c r="E1373" t="str">
        <f>RIGHT(Table5[[#This Row],[Middle Digit]],2)</f>
        <v>07</v>
      </c>
    </row>
    <row r="1374" spans="1:5" x14ac:dyDescent="0.3">
      <c r="A1374">
        <v>110</v>
      </c>
      <c r="B1374" t="s">
        <v>5781</v>
      </c>
      <c r="C1374">
        <v>9</v>
      </c>
      <c r="D1374" t="str">
        <f>INDEX(Table26[Tag_Level_4], MATCH(B1374, Table26[Middle Number],0))</f>
        <v>Procurement</v>
      </c>
      <c r="E1374" t="str">
        <f>RIGHT(Table5[[#This Row],[Middle Digit]],2)</f>
        <v>08</v>
      </c>
    </row>
    <row r="1375" spans="1:5" x14ac:dyDescent="0.3">
      <c r="A1375">
        <v>111</v>
      </c>
      <c r="B1375" t="s">
        <v>5780</v>
      </c>
      <c r="C1375">
        <v>9</v>
      </c>
      <c r="D1375" t="str">
        <f>INDEX(Table26[Tag_Level_4], MATCH(B1375, Table26[Middle Number],0))</f>
        <v>Construction</v>
      </c>
      <c r="E1375" t="str">
        <f>RIGHT(Table5[[#This Row],[Middle Digit]],2)</f>
        <v>09</v>
      </c>
    </row>
    <row r="1376" spans="1:5" x14ac:dyDescent="0.3">
      <c r="A1376">
        <v>112</v>
      </c>
      <c r="B1376" t="s">
        <v>5779</v>
      </c>
      <c r="C1376">
        <v>9</v>
      </c>
      <c r="D1376" t="str">
        <f>INDEX(Table26[Tag_Level_4], MATCH(B1376, Table26[Middle Number],0))</f>
        <v>Engineering</v>
      </c>
      <c r="E1376" t="str">
        <f>RIGHT(Table5[[#This Row],[Middle Digit]],2)</f>
        <v>07</v>
      </c>
    </row>
    <row r="1377" spans="1:5" x14ac:dyDescent="0.3">
      <c r="A1377">
        <v>113</v>
      </c>
      <c r="B1377" t="s">
        <v>5778</v>
      </c>
      <c r="C1377">
        <v>9</v>
      </c>
      <c r="D1377" t="str">
        <f>INDEX(Table26[Tag_Level_4], MATCH(B1377, Table26[Middle Number],0))</f>
        <v>Procurement</v>
      </c>
      <c r="E1377" t="str">
        <f>RIGHT(Table5[[#This Row],[Middle Digit]],2)</f>
        <v>08</v>
      </c>
    </row>
    <row r="1378" spans="1:5" x14ac:dyDescent="0.3">
      <c r="A1378">
        <v>114</v>
      </c>
      <c r="B1378" t="s">
        <v>5777</v>
      </c>
      <c r="C1378">
        <v>9</v>
      </c>
      <c r="D1378" t="str">
        <f>INDEX(Table26[Tag_Level_4], MATCH(B1378, Table26[Middle Number],0))</f>
        <v>Construction</v>
      </c>
      <c r="E1378" t="str">
        <f>RIGHT(Table5[[#This Row],[Middle Digit]],2)</f>
        <v>09</v>
      </c>
    </row>
    <row r="1379" spans="1:5" x14ac:dyDescent="0.3">
      <c r="A1379">
        <v>115</v>
      </c>
      <c r="B1379" t="s">
        <v>5797</v>
      </c>
      <c r="C1379">
        <v>9</v>
      </c>
      <c r="D1379" t="str">
        <f>INDEX(Table26[Tag_Level_4], MATCH(B1379, Table26[Middle Number],0))</f>
        <v>Engineering</v>
      </c>
      <c r="E1379" t="str">
        <f>RIGHT(Table5[[#This Row],[Middle Digit]],2)</f>
        <v>07</v>
      </c>
    </row>
    <row r="1380" spans="1:5" x14ac:dyDescent="0.3">
      <c r="A1380">
        <v>116</v>
      </c>
      <c r="B1380" t="s">
        <v>5796</v>
      </c>
      <c r="C1380">
        <v>9</v>
      </c>
      <c r="D1380" t="str">
        <f>INDEX(Table26[Tag_Level_4], MATCH(B1380, Table26[Middle Number],0))</f>
        <v>Procurement</v>
      </c>
      <c r="E1380" t="str">
        <f>RIGHT(Table5[[#This Row],[Middle Digit]],2)</f>
        <v>08</v>
      </c>
    </row>
    <row r="1381" spans="1:5" x14ac:dyDescent="0.3">
      <c r="A1381">
        <v>117</v>
      </c>
      <c r="B1381" t="s">
        <v>5795</v>
      </c>
      <c r="C1381">
        <v>9</v>
      </c>
      <c r="D1381" t="str">
        <f>INDEX(Table26[Tag_Level_4], MATCH(B1381, Table26[Middle Number],0))</f>
        <v>Construction</v>
      </c>
      <c r="E1381" t="str">
        <f>RIGHT(Table5[[#This Row],[Middle Digit]],2)</f>
        <v>09</v>
      </c>
    </row>
    <row r="1382" spans="1:5" x14ac:dyDescent="0.3">
      <c r="A1382">
        <v>118</v>
      </c>
      <c r="B1382" t="s">
        <v>5794</v>
      </c>
      <c r="C1382">
        <v>9</v>
      </c>
      <c r="D1382" t="str">
        <f>INDEX(Table26[Tag_Level_4], MATCH(B1382, Table26[Middle Number],0))</f>
        <v>Engineering</v>
      </c>
      <c r="E1382" t="str">
        <f>RIGHT(Table5[[#This Row],[Middle Digit]],2)</f>
        <v>07</v>
      </c>
    </row>
    <row r="1383" spans="1:5" x14ac:dyDescent="0.3">
      <c r="A1383">
        <v>119</v>
      </c>
      <c r="B1383" t="s">
        <v>5793</v>
      </c>
      <c r="C1383">
        <v>9</v>
      </c>
      <c r="D1383" t="str">
        <f>INDEX(Table26[Tag_Level_4], MATCH(B1383, Table26[Middle Number],0))</f>
        <v>Procurement</v>
      </c>
      <c r="E1383" t="str">
        <f>RIGHT(Table5[[#This Row],[Middle Digit]],2)</f>
        <v>08</v>
      </c>
    </row>
    <row r="1384" spans="1:5" x14ac:dyDescent="0.3">
      <c r="A1384">
        <v>120</v>
      </c>
      <c r="B1384" t="s">
        <v>5792</v>
      </c>
      <c r="C1384">
        <v>9</v>
      </c>
      <c r="D1384" t="str">
        <f>INDEX(Table26[Tag_Level_4], MATCH(B1384, Table26[Middle Number],0))</f>
        <v>Construction</v>
      </c>
      <c r="E1384" t="str">
        <f>RIGHT(Table5[[#This Row],[Middle Digit]],2)</f>
        <v>09</v>
      </c>
    </row>
    <row r="1385" spans="1:5" x14ac:dyDescent="0.3">
      <c r="A1385">
        <v>121</v>
      </c>
      <c r="B1385" t="s">
        <v>5791</v>
      </c>
      <c r="C1385">
        <v>9</v>
      </c>
      <c r="D1385" t="str">
        <f>INDEX(Table26[Tag_Level_4], MATCH(B1385, Table26[Middle Number],0))</f>
        <v>Engineering</v>
      </c>
      <c r="E1385" t="str">
        <f>RIGHT(Table5[[#This Row],[Middle Digit]],2)</f>
        <v>07</v>
      </c>
    </row>
    <row r="1386" spans="1:5" x14ac:dyDescent="0.3">
      <c r="A1386">
        <v>122</v>
      </c>
      <c r="B1386" t="s">
        <v>5790</v>
      </c>
      <c r="C1386">
        <v>9</v>
      </c>
      <c r="D1386" t="str">
        <f>INDEX(Table26[Tag_Level_4], MATCH(B1386, Table26[Middle Number],0))</f>
        <v>Procurement</v>
      </c>
      <c r="E1386" t="str">
        <f>RIGHT(Table5[[#This Row],[Middle Digit]],2)</f>
        <v>08</v>
      </c>
    </row>
    <row r="1387" spans="1:5" x14ac:dyDescent="0.3">
      <c r="A1387">
        <v>123</v>
      </c>
      <c r="B1387" t="s">
        <v>5789</v>
      </c>
      <c r="C1387">
        <v>9</v>
      </c>
      <c r="D1387" t="str">
        <f>INDEX(Table26[Tag_Level_4], MATCH(B1387, Table26[Middle Number],0))</f>
        <v>Construction</v>
      </c>
      <c r="E1387" t="str">
        <f>RIGHT(Table5[[#This Row],[Middle Digit]],2)</f>
        <v>09</v>
      </c>
    </row>
    <row r="1388" spans="1:5" x14ac:dyDescent="0.3">
      <c r="A1388">
        <v>124</v>
      </c>
      <c r="B1388" t="s">
        <v>5898</v>
      </c>
      <c r="C1388">
        <v>9</v>
      </c>
      <c r="D1388" t="str">
        <f>INDEX(Table26[Tag_Level_4], MATCH(B1388, Table26[Middle Number],0))</f>
        <v>Contingency</v>
      </c>
      <c r="E1388" t="str">
        <f>RIGHT(Table5[[#This Row],[Middle Digit]],2)</f>
        <v>15</v>
      </c>
    </row>
    <row r="1393" spans="1:5" x14ac:dyDescent="0.3">
      <c r="A1393" s="22" t="s">
        <v>0</v>
      </c>
      <c r="B1393" s="23" t="s">
        <v>5734</v>
      </c>
      <c r="C1393" s="23" t="s">
        <v>5735</v>
      </c>
      <c r="D1393" s="24" t="s">
        <v>5736</v>
      </c>
      <c r="E1393" s="23" t="s">
        <v>6292</v>
      </c>
    </row>
    <row r="1394" spans="1:5" ht="13.05" hidden="1" x14ac:dyDescent="0.3">
      <c r="A1394">
        <v>1</v>
      </c>
      <c r="B1394" t="s">
        <v>6152</v>
      </c>
      <c r="C1394">
        <v>11</v>
      </c>
      <c r="D1394" t="str">
        <f>INDEX(Table26[Tag_LVL5], MATCH(Table6[[#This Row],[Middle Digit]],Table26[Middle Number],0))</f>
        <v>Consumables</v>
      </c>
      <c r="E1394" t="str">
        <f>RIGHT(Table6[[#This Row],[Middle Digit]],2)</f>
        <v>60</v>
      </c>
    </row>
    <row r="1395" spans="1:5" ht="13.05" hidden="1" x14ac:dyDescent="0.3">
      <c r="A1395">
        <v>2</v>
      </c>
      <c r="B1395" t="s">
        <v>6151</v>
      </c>
      <c r="C1395">
        <v>11</v>
      </c>
      <c r="D1395" t="str">
        <f>INDEX(Table26[Tag_LVL5], MATCH(Table6[[#This Row],[Middle Digit]],Table26[Middle Number],0))</f>
        <v>Service Lines &amp; Communication</v>
      </c>
      <c r="E1395" t="str">
        <f>RIGHT(Table6[[#This Row],[Middle Digit]],2)</f>
        <v>04</v>
      </c>
    </row>
    <row r="1396" spans="1:5" ht="13.05" hidden="1" x14ac:dyDescent="0.3">
      <c r="A1396">
        <v>3</v>
      </c>
      <c r="B1396" t="s">
        <v>6150</v>
      </c>
      <c r="C1396">
        <v>11</v>
      </c>
      <c r="D1396" t="str">
        <f>INDEX(Table26[Tag_LVL5], MATCH(Table6[[#This Row],[Middle Digit]],Table26[Middle Number],0))</f>
        <v>Contract Rig</v>
      </c>
      <c r="E1396" t="str">
        <f>RIGHT(Table6[[#This Row],[Middle Digit]],2)</f>
        <v>05</v>
      </c>
    </row>
    <row r="1397" spans="1:5" ht="13.05" hidden="1" x14ac:dyDescent="0.3">
      <c r="A1397">
        <v>4</v>
      </c>
      <c r="B1397" t="s">
        <v>6149</v>
      </c>
      <c r="C1397">
        <v>11</v>
      </c>
      <c r="D1397" t="str">
        <f>INDEX(Table26[Tag_LVL5], MATCH(Table6[[#This Row],[Middle Digit]],Table26[Middle Number],0))</f>
        <v>Mud, Chemical and Engineering Service</v>
      </c>
      <c r="E1397" t="str">
        <f>RIGHT(Table6[[#This Row],[Middle Digit]],2)</f>
        <v>07</v>
      </c>
    </row>
    <row r="1398" spans="1:5" x14ac:dyDescent="0.3">
      <c r="A1398">
        <v>5</v>
      </c>
      <c r="B1398" t="s">
        <v>6148</v>
      </c>
      <c r="C1398">
        <v>11</v>
      </c>
      <c r="D1398" t="str">
        <f>INDEX(Table26[Tag_LVL5], MATCH(Table6[[#This Row],[Middle Digit]],Table26[Middle Number],0))</f>
        <v>Bits, Reamer and Core heads</v>
      </c>
      <c r="E1398" t="str">
        <f>RIGHT(Table6[[#This Row],[Middle Digit]],2)</f>
        <v>08</v>
      </c>
    </row>
    <row r="1399" spans="1:5" ht="13.05" hidden="1" x14ac:dyDescent="0.3">
      <c r="A1399">
        <v>6</v>
      </c>
      <c r="B1399" t="s">
        <v>6147</v>
      </c>
      <c r="C1399">
        <v>11</v>
      </c>
      <c r="D1399" t="str">
        <f>INDEX(Table26[Tag_LVL5], MATCH(Table6[[#This Row],[Middle Digit]],Table26[Middle Number],0))</f>
        <v>Equipment Rental</v>
      </c>
      <c r="E1399" t="str">
        <f>RIGHT(Table6[[#This Row],[Middle Digit]],2)</f>
        <v>09</v>
      </c>
    </row>
    <row r="1400" spans="1:5" ht="13.05" hidden="1" x14ac:dyDescent="0.3">
      <c r="A1400">
        <v>7</v>
      </c>
      <c r="B1400" t="s">
        <v>6146</v>
      </c>
      <c r="C1400">
        <v>11</v>
      </c>
      <c r="D1400" t="str">
        <f>INDEX(Table26[Tag_LVL5], MATCH(Table6[[#This Row],[Middle Digit]],Table26[Middle Number],0))</f>
        <v>Directional Drilling &amp; Surveys</v>
      </c>
      <c r="E1400" t="str">
        <f>RIGHT(Table6[[#This Row],[Middle Digit]],2)</f>
        <v>10</v>
      </c>
    </row>
    <row r="1401" spans="1:5" ht="13.05" hidden="1" x14ac:dyDescent="0.3">
      <c r="A1401">
        <v>8</v>
      </c>
      <c r="B1401" t="s">
        <v>6145</v>
      </c>
      <c r="C1401">
        <v>11</v>
      </c>
      <c r="D1401" t="str">
        <f>INDEX(Table26[Tag_LVL5], MATCH(Table6[[#This Row],[Middle Digit]],Table26[Middle Number],0))</f>
        <v>Casing Installation</v>
      </c>
      <c r="E1401" t="str">
        <f>RIGHT(Table6[[#This Row],[Middle Digit]],2)</f>
        <v>11</v>
      </c>
    </row>
    <row r="1402" spans="1:5" ht="13.05" hidden="1" x14ac:dyDescent="0.3">
      <c r="A1402">
        <v>9</v>
      </c>
      <c r="B1402" t="s">
        <v>6144</v>
      </c>
      <c r="C1402">
        <v>11</v>
      </c>
      <c r="D1402" t="str">
        <f>INDEX(Table26[Tag_LVL5], MATCH(Table6[[#This Row],[Middle Digit]],Table26[Middle Number],0))</f>
        <v>Cement, Cementing &amp; Pump Fees</v>
      </c>
      <c r="E1402" t="str">
        <f>RIGHT(Table6[[#This Row],[Middle Digit]],2)</f>
        <v>12</v>
      </c>
    </row>
    <row r="1403" spans="1:5" ht="13.05" hidden="1" x14ac:dyDescent="0.3">
      <c r="A1403">
        <v>10</v>
      </c>
      <c r="B1403" t="s">
        <v>6142</v>
      </c>
      <c r="C1403">
        <v>11</v>
      </c>
      <c r="D1403" t="str">
        <f>INDEX(Table26[Tag_LVL5], MATCH(Table6[[#This Row],[Middle Digit]],Table26[Middle Number],0))</f>
        <v>Mud Logging Service</v>
      </c>
      <c r="E1403" t="str">
        <f>RIGHT(Table6[[#This Row],[Middle Digit]],2)</f>
        <v>13</v>
      </c>
    </row>
    <row r="1404" spans="1:5" ht="13.05" hidden="1" x14ac:dyDescent="0.3">
      <c r="A1404">
        <v>11</v>
      </c>
      <c r="B1404" t="s">
        <v>6141</v>
      </c>
      <c r="C1404">
        <v>11</v>
      </c>
      <c r="D1404" t="str">
        <f>INDEX(Table26[Tag_LVL5], MATCH(Table6[[#This Row],[Middle Digit]],Table26[Middle Number],0))</f>
        <v>Open Hole Electrical Logging Service</v>
      </c>
      <c r="E1404" t="str">
        <f>RIGHT(Table6[[#This Row],[Middle Digit]],2)</f>
        <v>14</v>
      </c>
    </row>
    <row r="1405" spans="1:5" ht="13.05" hidden="1" x14ac:dyDescent="0.3">
      <c r="A1405">
        <v>12</v>
      </c>
      <c r="B1405" t="s">
        <v>6140</v>
      </c>
      <c r="C1405">
        <v>11</v>
      </c>
      <c r="D1405" t="str">
        <f>INDEX(Table26[Tag_LVL5], MATCH(Table6[[#This Row],[Middle Digit]],Table26[Middle Number],0))</f>
        <v>Supervision</v>
      </c>
      <c r="E1405" t="str">
        <f>RIGHT(Table6[[#This Row],[Middle Digit]],2)</f>
        <v>15</v>
      </c>
    </row>
    <row r="1406" spans="1:5" ht="13.05" hidden="1" x14ac:dyDescent="0.3">
      <c r="A1406">
        <v>13</v>
      </c>
      <c r="B1406" t="s">
        <v>6139</v>
      </c>
      <c r="C1406">
        <v>11</v>
      </c>
      <c r="D1406" t="str">
        <f>INDEX(Table26[Tag_LVL5], MATCH(Table6[[#This Row],[Middle Digit]],Table26[Middle Number],0))</f>
        <v>Land Transportation</v>
      </c>
      <c r="E1406" t="str">
        <f>RIGHT(Table6[[#This Row],[Middle Digit]],2)</f>
        <v>16</v>
      </c>
    </row>
    <row r="1407" spans="1:5" ht="13.05" hidden="1" x14ac:dyDescent="0.3">
      <c r="A1407">
        <v>14</v>
      </c>
      <c r="B1407" t="s">
        <v>6138</v>
      </c>
      <c r="C1407">
        <v>11</v>
      </c>
      <c r="D1407" t="str">
        <f>INDEX(Table26[Tag_LVL5], MATCH(Table6[[#This Row],[Middle Digit]],Table26[Middle Number],0))</f>
        <v>Other Transportation</v>
      </c>
      <c r="E1407" t="str">
        <f>RIGHT(Table6[[#This Row],[Middle Digit]],2)</f>
        <v>17</v>
      </c>
    </row>
    <row r="1408" spans="1:5" ht="13.05" hidden="1" x14ac:dyDescent="0.3">
      <c r="A1408">
        <v>15</v>
      </c>
      <c r="B1408" t="s">
        <v>6137</v>
      </c>
      <c r="C1408">
        <v>11</v>
      </c>
      <c r="D1408" t="str">
        <f>INDEX(Table26[Tag_LVL5], MATCH(Table6[[#This Row],[Middle Digit]],Table26[Middle Number],0))</f>
        <v>Drilling Safety, Health &amp; Environment</v>
      </c>
      <c r="E1408" t="str">
        <f>RIGHT(Table6[[#This Row],[Middle Digit]],2)</f>
        <v>20</v>
      </c>
    </row>
    <row r="1409" spans="1:5" ht="13.05" hidden="1" x14ac:dyDescent="0.3">
      <c r="A1409">
        <v>16</v>
      </c>
      <c r="B1409" t="s">
        <v>6131</v>
      </c>
      <c r="C1409">
        <v>11</v>
      </c>
      <c r="D1409" t="str">
        <f>INDEX(Table26[Tag_LVL5], MATCH(Table6[[#This Row],[Middle Digit]],Table26[Middle Number],0))</f>
        <v>Explosive Handling &amp; Permitting</v>
      </c>
      <c r="E1409" t="str">
        <f>RIGHT(Table6[[#This Row],[Middle Digit]],2)</f>
        <v>24</v>
      </c>
    </row>
    <row r="1410" spans="1:5" ht="13.05" hidden="1" x14ac:dyDescent="0.3">
      <c r="A1410">
        <v>17</v>
      </c>
      <c r="B1410" t="s">
        <v>6158</v>
      </c>
      <c r="C1410">
        <v>11</v>
      </c>
      <c r="D1410" t="str">
        <f>INDEX(Table26[Tag_LVL5], MATCH(Table6[[#This Row],[Middle Digit]],Table26[Middle Number],0))</f>
        <v>Drilling Rig O&amp;M</v>
      </c>
      <c r="E1410" t="str">
        <f>RIGHT(Table6[[#This Row],[Middle Digit]],2)</f>
        <v>45</v>
      </c>
    </row>
    <row r="1411" spans="1:5" ht="13.05" hidden="1" x14ac:dyDescent="0.3">
      <c r="A1411">
        <v>18</v>
      </c>
      <c r="B1411" t="s">
        <v>6143</v>
      </c>
      <c r="C1411">
        <v>11</v>
      </c>
      <c r="D1411" t="str">
        <f>INDEX(Table26[Tag_LVL5], MATCH(Table6[[#This Row],[Middle Digit]],Table26[Middle Number],0))</f>
        <v>Coring</v>
      </c>
      <c r="E1411" t="str">
        <f>RIGHT(Table6[[#This Row],[Middle Digit]],2)</f>
        <v>47</v>
      </c>
    </row>
    <row r="1412" spans="1:5" ht="13.05" hidden="1" x14ac:dyDescent="0.3">
      <c r="A1412">
        <v>19</v>
      </c>
      <c r="B1412" t="s">
        <v>6136</v>
      </c>
      <c r="C1412">
        <v>11</v>
      </c>
      <c r="D1412" t="str">
        <f>INDEX(Table26[Tag_LVL5], MATCH(Table6[[#This Row],[Middle Digit]],Table26[Middle Number],0))</f>
        <v>NDT Inspection</v>
      </c>
      <c r="E1412" t="str">
        <f>RIGHT(Table6[[#This Row],[Middle Digit]],2)</f>
        <v>94</v>
      </c>
    </row>
    <row r="1413" spans="1:5" ht="13.05" hidden="1" x14ac:dyDescent="0.3">
      <c r="A1413">
        <v>20</v>
      </c>
      <c r="B1413" t="s">
        <v>6135</v>
      </c>
      <c r="C1413">
        <v>11</v>
      </c>
      <c r="D1413" t="str">
        <f>INDEX(Table26[Tag_LVL5], MATCH(Table6[[#This Row],[Middle Digit]],Table26[Middle Number],0))</f>
        <v>Rig Inspection</v>
      </c>
      <c r="E1413" t="str">
        <f>RIGHT(Table6[[#This Row],[Middle Digit]],2)</f>
        <v>95</v>
      </c>
    </row>
    <row r="1414" spans="1:5" ht="13.05" hidden="1" x14ac:dyDescent="0.3">
      <c r="A1414">
        <v>21</v>
      </c>
      <c r="B1414" t="s">
        <v>6134</v>
      </c>
      <c r="C1414">
        <v>11</v>
      </c>
      <c r="D1414" t="str">
        <f>INDEX(Table26[Tag_LVL5], MATCH(Table6[[#This Row],[Middle Digit]],Table26[Middle Number],0))</f>
        <v>Vehicle Inspection</v>
      </c>
      <c r="E1414" t="str">
        <f>RIGHT(Table6[[#This Row],[Middle Digit]],2)</f>
        <v>96</v>
      </c>
    </row>
    <row r="1415" spans="1:5" ht="13.05" hidden="1" x14ac:dyDescent="0.3">
      <c r="A1415">
        <v>22</v>
      </c>
      <c r="B1415" t="s">
        <v>6133</v>
      </c>
      <c r="C1415">
        <v>11</v>
      </c>
      <c r="D1415" t="str">
        <f>INDEX(Table26[Tag_LVL5], MATCH(Table6[[#This Row],[Middle Digit]],Table26[Middle Number],0))</f>
        <v>Welding Service</v>
      </c>
      <c r="E1415" t="str">
        <f>RIGHT(Table6[[#This Row],[Middle Digit]],2)</f>
        <v>97</v>
      </c>
    </row>
    <row r="1416" spans="1:5" ht="13.05" hidden="1" x14ac:dyDescent="0.3">
      <c r="A1416">
        <v>23</v>
      </c>
      <c r="B1416" t="s">
        <v>6132</v>
      </c>
      <c r="C1416">
        <v>11</v>
      </c>
      <c r="D1416" t="str">
        <f>INDEX(Table26[Tag_LVL5], MATCH(Table6[[#This Row],[Middle Digit]],Table26[Middle Number],0))</f>
        <v>API non API Machine Shop Service</v>
      </c>
      <c r="E1416" t="str">
        <f>RIGHT(Table6[[#This Row],[Middle Digit]],2)</f>
        <v>98</v>
      </c>
    </row>
    <row r="1417" spans="1:5" ht="13.05" hidden="1" x14ac:dyDescent="0.3">
      <c r="A1417">
        <v>24</v>
      </c>
      <c r="B1417" t="s">
        <v>6157</v>
      </c>
      <c r="C1417">
        <v>11</v>
      </c>
      <c r="D1417" t="str">
        <f>INDEX(Table26[Tag_LVL5], MATCH(Table6[[#This Row],[Middle Digit]],Table26[Middle Number],0))</f>
        <v>Casing</v>
      </c>
      <c r="E1417" t="str">
        <f>RIGHT(Table6[[#This Row],[Middle Digit]],2)</f>
        <v>01</v>
      </c>
    </row>
    <row r="1418" spans="1:5" ht="13.05" hidden="1" x14ac:dyDescent="0.3">
      <c r="A1418">
        <v>25</v>
      </c>
      <c r="B1418" t="s">
        <v>6156</v>
      </c>
      <c r="C1418">
        <v>11</v>
      </c>
      <c r="D1418" t="str">
        <f>INDEX(Table26[Tag_LVL5], MATCH(Table6[[#This Row],[Middle Digit]],Table26[Middle Number],0))</f>
        <v>Equipment Rental</v>
      </c>
      <c r="E1418" t="str">
        <f>RIGHT(Table6[[#This Row],[Middle Digit]],2)</f>
        <v>02</v>
      </c>
    </row>
    <row r="1419" spans="1:5" ht="13.05" hidden="1" x14ac:dyDescent="0.3">
      <c r="A1419">
        <v>26</v>
      </c>
      <c r="B1419" t="s">
        <v>6155</v>
      </c>
      <c r="C1419">
        <v>11</v>
      </c>
      <c r="D1419" t="str">
        <f>INDEX(Table26[Tag_LVL5], MATCH(Table6[[#This Row],[Middle Digit]],Table26[Middle Number],0))</f>
        <v>Fuel &amp; Lubricants</v>
      </c>
      <c r="E1419" t="str">
        <f>RIGHT(Table6[[#This Row],[Middle Digit]],2)</f>
        <v>18</v>
      </c>
    </row>
    <row r="1420" spans="1:5" ht="13.05" hidden="1" x14ac:dyDescent="0.3">
      <c r="A1420">
        <v>27</v>
      </c>
      <c r="B1420" t="s">
        <v>6153</v>
      </c>
      <c r="C1420">
        <v>11</v>
      </c>
      <c r="D1420" t="str">
        <f>INDEX(Table26[Tag_LVL5], MATCH(Table6[[#This Row],[Middle Digit]],Table26[Middle Number],0))</f>
        <v>Casing Repair &amp; Modif</v>
      </c>
      <c r="E1420" t="str">
        <f>RIGHT(Table6[[#This Row],[Middle Digit]],2)</f>
        <v>62</v>
      </c>
    </row>
    <row r="1421" spans="1:5" ht="13.05" hidden="1" x14ac:dyDescent="0.3">
      <c r="A1421">
        <v>28</v>
      </c>
      <c r="B1421" t="s">
        <v>6154</v>
      </c>
      <c r="C1421">
        <v>11</v>
      </c>
      <c r="D1421" t="str">
        <f>INDEX(Table26[Tag_LVL5], MATCH(Table6[[#This Row],[Middle Digit]],Table26[Middle Number],0))</f>
        <v>Asset Transfer</v>
      </c>
      <c r="E1421" t="str">
        <f>RIGHT(Table6[[#This Row],[Middle Digit]],2)</f>
        <v>93</v>
      </c>
    </row>
    <row r="1422" spans="1:5" ht="13.05" hidden="1" x14ac:dyDescent="0.3">
      <c r="A1422">
        <v>29</v>
      </c>
      <c r="B1422" t="s">
        <v>6118</v>
      </c>
      <c r="C1422">
        <v>11</v>
      </c>
      <c r="D1422" t="str">
        <f>INDEX(Table26[Tag_LVL5], MATCH(Table6[[#This Row],[Middle Digit]],Table26[Middle Number],0))</f>
        <v>Consumables</v>
      </c>
      <c r="E1422" t="str">
        <f>RIGHT(Table6[[#This Row],[Middle Digit]],2)</f>
        <v>60</v>
      </c>
    </row>
    <row r="1423" spans="1:5" ht="13.05" hidden="1" x14ac:dyDescent="0.3">
      <c r="A1423">
        <v>30</v>
      </c>
      <c r="B1423" t="s">
        <v>6117</v>
      </c>
      <c r="C1423">
        <v>11</v>
      </c>
      <c r="D1423" t="str">
        <f>INDEX(Table26[Tag_LVL5], MATCH(Table6[[#This Row],[Middle Digit]],Table26[Middle Number],0))</f>
        <v>Service Lines &amp; Communication</v>
      </c>
      <c r="E1423" t="str">
        <f>RIGHT(Table6[[#This Row],[Middle Digit]],2)</f>
        <v>04</v>
      </c>
    </row>
    <row r="1424" spans="1:5" ht="13.05" hidden="1" x14ac:dyDescent="0.3">
      <c r="A1424">
        <v>31</v>
      </c>
      <c r="B1424" t="s">
        <v>6116</v>
      </c>
      <c r="C1424">
        <v>11</v>
      </c>
      <c r="D1424" t="str">
        <f>INDEX(Table26[Tag_LVL5], MATCH(Table6[[#This Row],[Middle Digit]],Table26[Middle Number],0))</f>
        <v>Contract Rig</v>
      </c>
      <c r="E1424" t="str">
        <f>RIGHT(Table6[[#This Row],[Middle Digit]],2)</f>
        <v>05</v>
      </c>
    </row>
    <row r="1425" spans="1:5" ht="13.05" hidden="1" x14ac:dyDescent="0.3">
      <c r="A1425">
        <v>32</v>
      </c>
      <c r="B1425" t="s">
        <v>6115</v>
      </c>
      <c r="C1425">
        <v>11</v>
      </c>
      <c r="D1425" t="str">
        <f>INDEX(Table26[Tag_LVL5], MATCH(Table6[[#This Row],[Middle Digit]],Table26[Middle Number],0))</f>
        <v>Mud, Chemical and Engineering Service</v>
      </c>
      <c r="E1425" t="str">
        <f>RIGHT(Table6[[#This Row],[Middle Digit]],2)</f>
        <v>07</v>
      </c>
    </row>
    <row r="1426" spans="1:5" x14ac:dyDescent="0.3">
      <c r="A1426">
        <v>33</v>
      </c>
      <c r="B1426" t="s">
        <v>6114</v>
      </c>
      <c r="C1426">
        <v>11</v>
      </c>
      <c r="D1426" t="str">
        <f>INDEX(Table26[Tag_LVL5], MATCH(Table6[[#This Row],[Middle Digit]],Table26[Middle Number],0))</f>
        <v>Bits, Reamer and Core heads</v>
      </c>
      <c r="E1426" t="str">
        <f>RIGHT(Table6[[#This Row],[Middle Digit]],2)</f>
        <v>08</v>
      </c>
    </row>
    <row r="1427" spans="1:5" ht="13.05" hidden="1" x14ac:dyDescent="0.3">
      <c r="A1427">
        <v>34</v>
      </c>
      <c r="B1427" t="s">
        <v>6113</v>
      </c>
      <c r="C1427">
        <v>11</v>
      </c>
      <c r="D1427" t="str">
        <f>INDEX(Table26[Tag_LVL5], MATCH(Table6[[#This Row],[Middle Digit]],Table26[Middle Number],0))</f>
        <v>Equipment Rental</v>
      </c>
      <c r="E1427" t="str">
        <f>RIGHT(Table6[[#This Row],[Middle Digit]],2)</f>
        <v>09</v>
      </c>
    </row>
    <row r="1428" spans="1:5" ht="13.05" hidden="1" x14ac:dyDescent="0.3">
      <c r="A1428">
        <v>35</v>
      </c>
      <c r="B1428" t="s">
        <v>6112</v>
      </c>
      <c r="C1428">
        <v>11</v>
      </c>
      <c r="D1428" t="str">
        <f>INDEX(Table26[Tag_LVL5], MATCH(Table6[[#This Row],[Middle Digit]],Table26[Middle Number],0))</f>
        <v>Directional Drilling &amp; Surveys</v>
      </c>
      <c r="E1428" t="str">
        <f>RIGHT(Table6[[#This Row],[Middle Digit]],2)</f>
        <v>10</v>
      </c>
    </row>
    <row r="1429" spans="1:5" ht="13.05" hidden="1" x14ac:dyDescent="0.3">
      <c r="A1429">
        <v>36</v>
      </c>
      <c r="B1429" t="s">
        <v>6111</v>
      </c>
      <c r="C1429">
        <v>11</v>
      </c>
      <c r="D1429" t="str">
        <f>INDEX(Table26[Tag_LVL5], MATCH(Table6[[#This Row],[Middle Digit]],Table26[Middle Number],0))</f>
        <v>Casing Installation</v>
      </c>
      <c r="E1429" t="str">
        <f>RIGHT(Table6[[#This Row],[Middle Digit]],2)</f>
        <v>11</v>
      </c>
    </row>
    <row r="1430" spans="1:5" ht="13.05" hidden="1" x14ac:dyDescent="0.3">
      <c r="A1430">
        <v>37</v>
      </c>
      <c r="B1430" t="s">
        <v>6110</v>
      </c>
      <c r="C1430">
        <v>11</v>
      </c>
      <c r="D1430" t="str">
        <f>INDEX(Table26[Tag_LVL5], MATCH(Table6[[#This Row],[Middle Digit]],Table26[Middle Number],0))</f>
        <v>Cement, Cementing &amp; Pump Fees</v>
      </c>
      <c r="E1430" t="str">
        <f>RIGHT(Table6[[#This Row],[Middle Digit]],2)</f>
        <v>12</v>
      </c>
    </row>
    <row r="1431" spans="1:5" ht="13.05" hidden="1" x14ac:dyDescent="0.3">
      <c r="A1431">
        <v>38</v>
      </c>
      <c r="B1431" t="s">
        <v>6108</v>
      </c>
      <c r="C1431">
        <v>11</v>
      </c>
      <c r="D1431" t="str">
        <f>INDEX(Table26[Tag_LVL5], MATCH(Table6[[#This Row],[Middle Digit]],Table26[Middle Number],0))</f>
        <v>Mud Logging Service</v>
      </c>
      <c r="E1431" t="str">
        <f>RIGHT(Table6[[#This Row],[Middle Digit]],2)</f>
        <v>13</v>
      </c>
    </row>
    <row r="1432" spans="1:5" ht="13.05" hidden="1" x14ac:dyDescent="0.3">
      <c r="A1432">
        <v>39</v>
      </c>
      <c r="B1432" t="s">
        <v>6107</v>
      </c>
      <c r="C1432">
        <v>11</v>
      </c>
      <c r="D1432" t="str">
        <f>INDEX(Table26[Tag_LVL5], MATCH(Table6[[#This Row],[Middle Digit]],Table26[Middle Number],0))</f>
        <v>Open Hole Electrical Logging Service</v>
      </c>
      <c r="E1432" t="str">
        <f>RIGHT(Table6[[#This Row],[Middle Digit]],2)</f>
        <v>14</v>
      </c>
    </row>
    <row r="1433" spans="1:5" ht="13.05" hidden="1" x14ac:dyDescent="0.3">
      <c r="A1433">
        <v>40</v>
      </c>
      <c r="B1433" t="s">
        <v>6106</v>
      </c>
      <c r="C1433">
        <v>11</v>
      </c>
      <c r="D1433" t="str">
        <f>INDEX(Table26[Tag_LVL5], MATCH(Table6[[#This Row],[Middle Digit]],Table26[Middle Number],0))</f>
        <v>Supervision</v>
      </c>
      <c r="E1433" t="str">
        <f>RIGHT(Table6[[#This Row],[Middle Digit]],2)</f>
        <v>15</v>
      </c>
    </row>
    <row r="1434" spans="1:5" ht="13.05" hidden="1" x14ac:dyDescent="0.3">
      <c r="A1434">
        <v>41</v>
      </c>
      <c r="B1434" t="s">
        <v>6105</v>
      </c>
      <c r="C1434">
        <v>11</v>
      </c>
      <c r="D1434" t="str">
        <f>INDEX(Table26[Tag_LVL5], MATCH(Table6[[#This Row],[Middle Digit]],Table26[Middle Number],0))</f>
        <v>Land Transportation</v>
      </c>
      <c r="E1434" t="str">
        <f>RIGHT(Table6[[#This Row],[Middle Digit]],2)</f>
        <v>16</v>
      </c>
    </row>
    <row r="1435" spans="1:5" ht="13.05" hidden="1" x14ac:dyDescent="0.3">
      <c r="A1435">
        <v>42</v>
      </c>
      <c r="B1435" t="s">
        <v>6104</v>
      </c>
      <c r="C1435">
        <v>11</v>
      </c>
      <c r="D1435" t="str">
        <f>INDEX(Table26[Tag_LVL5], MATCH(Table6[[#This Row],[Middle Digit]],Table26[Middle Number],0))</f>
        <v>Other Transportation</v>
      </c>
      <c r="E1435" t="str">
        <f>RIGHT(Table6[[#This Row],[Middle Digit]],2)</f>
        <v>17</v>
      </c>
    </row>
    <row r="1436" spans="1:5" ht="13.05" hidden="1" x14ac:dyDescent="0.3">
      <c r="A1436">
        <v>43</v>
      </c>
      <c r="B1436" t="s">
        <v>6103</v>
      </c>
      <c r="C1436">
        <v>11</v>
      </c>
      <c r="D1436" t="str">
        <f>INDEX(Table26[Tag_LVL5], MATCH(Table6[[#This Row],[Middle Digit]],Table26[Middle Number],0))</f>
        <v>Drilling Safety, Health &amp; Environment</v>
      </c>
      <c r="E1436" t="str">
        <f>RIGHT(Table6[[#This Row],[Middle Digit]],2)</f>
        <v>20</v>
      </c>
    </row>
    <row r="1437" spans="1:5" ht="13.05" hidden="1" x14ac:dyDescent="0.3">
      <c r="A1437">
        <v>44</v>
      </c>
      <c r="B1437" t="s">
        <v>6097</v>
      </c>
      <c r="C1437">
        <v>11</v>
      </c>
      <c r="D1437" t="str">
        <f>INDEX(Table26[Tag_LVL5], MATCH(Table6[[#This Row],[Middle Digit]],Table26[Middle Number],0))</f>
        <v>Explosive Handling &amp; Permitting</v>
      </c>
      <c r="E1437" t="str">
        <f>RIGHT(Table6[[#This Row],[Middle Digit]],2)</f>
        <v>24</v>
      </c>
    </row>
    <row r="1438" spans="1:5" ht="13.05" hidden="1" x14ac:dyDescent="0.3">
      <c r="A1438">
        <v>45</v>
      </c>
      <c r="B1438" t="s">
        <v>6159</v>
      </c>
      <c r="C1438">
        <v>11</v>
      </c>
      <c r="D1438" t="str">
        <f>INDEX(Table26[Tag_LVL5], MATCH(Table6[[#This Row],[Middle Digit]],Table26[Middle Number],0))</f>
        <v>Drilling Rig O&amp;M</v>
      </c>
      <c r="E1438" t="str">
        <f>RIGHT(Table6[[#This Row],[Middle Digit]],2)</f>
        <v>45</v>
      </c>
    </row>
    <row r="1439" spans="1:5" ht="13.05" hidden="1" x14ac:dyDescent="0.3">
      <c r="A1439">
        <v>46</v>
      </c>
      <c r="B1439" t="s">
        <v>6109</v>
      </c>
      <c r="C1439">
        <v>11</v>
      </c>
      <c r="D1439" t="str">
        <f>INDEX(Table26[Tag_LVL5], MATCH(Table6[[#This Row],[Middle Digit]],Table26[Middle Number],0))</f>
        <v>Coring</v>
      </c>
      <c r="E1439" t="str">
        <f>RIGHT(Table6[[#This Row],[Middle Digit]],2)</f>
        <v>47</v>
      </c>
    </row>
    <row r="1440" spans="1:5" ht="13.05" hidden="1" x14ac:dyDescent="0.3">
      <c r="A1440">
        <v>47</v>
      </c>
      <c r="B1440" t="s">
        <v>6102</v>
      </c>
      <c r="C1440">
        <v>11</v>
      </c>
      <c r="D1440" t="str">
        <f>INDEX(Table26[Tag_LVL5], MATCH(Table6[[#This Row],[Middle Digit]],Table26[Middle Number],0))</f>
        <v>NDT Inspection</v>
      </c>
      <c r="E1440" t="str">
        <f>RIGHT(Table6[[#This Row],[Middle Digit]],2)</f>
        <v>94</v>
      </c>
    </row>
    <row r="1441" spans="1:5" ht="13.05" hidden="1" x14ac:dyDescent="0.3">
      <c r="A1441">
        <v>48</v>
      </c>
      <c r="B1441" t="s">
        <v>6101</v>
      </c>
      <c r="C1441">
        <v>11</v>
      </c>
      <c r="D1441" t="str">
        <f>INDEX(Table26[Tag_LVL5], MATCH(Table6[[#This Row],[Middle Digit]],Table26[Middle Number],0))</f>
        <v>Rig Inspection</v>
      </c>
      <c r="E1441" t="str">
        <f>RIGHT(Table6[[#This Row],[Middle Digit]],2)</f>
        <v>95</v>
      </c>
    </row>
    <row r="1442" spans="1:5" ht="13.05" hidden="1" x14ac:dyDescent="0.3">
      <c r="A1442">
        <v>49</v>
      </c>
      <c r="B1442" t="s">
        <v>6100</v>
      </c>
      <c r="C1442">
        <v>11</v>
      </c>
      <c r="D1442" t="str">
        <f>INDEX(Table26[Tag_LVL5], MATCH(Table6[[#This Row],[Middle Digit]],Table26[Middle Number],0))</f>
        <v>Vehicle Inspection</v>
      </c>
      <c r="E1442" t="str">
        <f>RIGHT(Table6[[#This Row],[Middle Digit]],2)</f>
        <v>96</v>
      </c>
    </row>
    <row r="1443" spans="1:5" ht="13.05" hidden="1" x14ac:dyDescent="0.3">
      <c r="A1443">
        <v>50</v>
      </c>
      <c r="B1443" t="s">
        <v>6099</v>
      </c>
      <c r="C1443">
        <v>11</v>
      </c>
      <c r="D1443" t="str">
        <f>INDEX(Table26[Tag_LVL5], MATCH(Table6[[#This Row],[Middle Digit]],Table26[Middle Number],0))</f>
        <v>Welding Service</v>
      </c>
      <c r="E1443" t="str">
        <f>RIGHT(Table6[[#This Row],[Middle Digit]],2)</f>
        <v>97</v>
      </c>
    </row>
    <row r="1444" spans="1:5" ht="13.05" hidden="1" x14ac:dyDescent="0.3">
      <c r="A1444">
        <v>51</v>
      </c>
      <c r="B1444" t="s">
        <v>6098</v>
      </c>
      <c r="C1444">
        <v>11</v>
      </c>
      <c r="D1444" t="str">
        <f>INDEX(Table26[Tag_LVL5], MATCH(Table6[[#This Row],[Middle Digit]],Table26[Middle Number],0))</f>
        <v>API non API Machine Shop Service</v>
      </c>
      <c r="E1444" t="str">
        <f>RIGHT(Table6[[#This Row],[Middle Digit]],2)</f>
        <v>98</v>
      </c>
    </row>
    <row r="1445" spans="1:5" ht="13.05" hidden="1" x14ac:dyDescent="0.3">
      <c r="A1445">
        <v>52</v>
      </c>
      <c r="B1445" t="s">
        <v>6123</v>
      </c>
      <c r="C1445">
        <v>11</v>
      </c>
      <c r="D1445" t="str">
        <f>INDEX(Table26[Tag_LVL5], MATCH(Table6[[#This Row],[Middle Digit]],Table26[Middle Number],0))</f>
        <v>Casing</v>
      </c>
      <c r="E1445" t="str">
        <f>RIGHT(Table6[[#This Row],[Middle Digit]],2)</f>
        <v>01</v>
      </c>
    </row>
    <row r="1446" spans="1:5" ht="13.05" hidden="1" x14ac:dyDescent="0.3">
      <c r="A1446">
        <v>53</v>
      </c>
      <c r="B1446" t="s">
        <v>6122</v>
      </c>
      <c r="C1446">
        <v>11</v>
      </c>
      <c r="D1446" t="str">
        <f>INDEX(Table26[Tag_LVL5], MATCH(Table6[[#This Row],[Middle Digit]],Table26[Middle Number],0))</f>
        <v>Equipment Rental</v>
      </c>
      <c r="E1446" t="str">
        <f>RIGHT(Table6[[#This Row],[Middle Digit]],2)</f>
        <v>02</v>
      </c>
    </row>
    <row r="1447" spans="1:5" ht="13.05" hidden="1" x14ac:dyDescent="0.3">
      <c r="A1447">
        <v>54</v>
      </c>
      <c r="B1447" t="s">
        <v>6121</v>
      </c>
      <c r="C1447">
        <v>11</v>
      </c>
      <c r="D1447" t="str">
        <f>INDEX(Table26[Tag_LVL5], MATCH(Table6[[#This Row],[Middle Digit]],Table26[Middle Number],0))</f>
        <v>Fuel &amp; Lubricants</v>
      </c>
      <c r="E1447" t="str">
        <f>RIGHT(Table6[[#This Row],[Middle Digit]],2)</f>
        <v>18</v>
      </c>
    </row>
    <row r="1448" spans="1:5" ht="13.05" hidden="1" x14ac:dyDescent="0.3">
      <c r="A1448">
        <v>55</v>
      </c>
      <c r="B1448" t="s">
        <v>6119</v>
      </c>
      <c r="C1448">
        <v>11</v>
      </c>
      <c r="D1448" t="str">
        <f>INDEX(Table26[Tag_LVL5], MATCH(Table6[[#This Row],[Middle Digit]],Table26[Middle Number],0))</f>
        <v>Casing Repair &amp; Modif</v>
      </c>
      <c r="E1448" t="str">
        <f>RIGHT(Table6[[#This Row],[Middle Digit]],2)</f>
        <v>62</v>
      </c>
    </row>
    <row r="1449" spans="1:5" ht="13.05" hidden="1" x14ac:dyDescent="0.3">
      <c r="A1449">
        <v>56</v>
      </c>
      <c r="B1449" t="s">
        <v>6120</v>
      </c>
      <c r="C1449">
        <v>11</v>
      </c>
      <c r="D1449" t="str">
        <f>INDEX(Table26[Tag_LVL5], MATCH(Table6[[#This Row],[Middle Digit]],Table26[Middle Number],0))</f>
        <v>Asset Transfer</v>
      </c>
      <c r="E1449" t="str">
        <f>RIGHT(Table6[[#This Row],[Middle Digit]],2)</f>
        <v>93</v>
      </c>
    </row>
    <row r="1450" spans="1:5" ht="13.05" hidden="1" x14ac:dyDescent="0.3">
      <c r="A1450">
        <v>57</v>
      </c>
      <c r="B1450" t="s">
        <v>6091</v>
      </c>
      <c r="C1450">
        <v>11</v>
      </c>
      <c r="D1450" t="str">
        <f>INDEX(Table26[Tag_LVL5], MATCH(Table6[[#This Row],[Middle Digit]],Table26[Middle Number],0))</f>
        <v>Consumables</v>
      </c>
      <c r="E1450" t="str">
        <f>RIGHT(Table6[[#This Row],[Middle Digit]],2)</f>
        <v>60</v>
      </c>
    </row>
    <row r="1451" spans="1:5" ht="13.05" hidden="1" x14ac:dyDescent="0.3">
      <c r="A1451">
        <v>58</v>
      </c>
      <c r="B1451" t="s">
        <v>6090</v>
      </c>
      <c r="C1451">
        <v>11</v>
      </c>
      <c r="D1451" t="str">
        <f>INDEX(Table26[Tag_LVL5], MATCH(Table6[[#This Row],[Middle Digit]],Table26[Middle Number],0))</f>
        <v>Service Lines &amp; Communication</v>
      </c>
      <c r="E1451" t="str">
        <f>RIGHT(Table6[[#This Row],[Middle Digit]],2)</f>
        <v>04</v>
      </c>
    </row>
    <row r="1452" spans="1:5" ht="13.05" hidden="1" x14ac:dyDescent="0.3">
      <c r="A1452">
        <v>59</v>
      </c>
      <c r="B1452" t="s">
        <v>6089</v>
      </c>
      <c r="C1452">
        <v>11</v>
      </c>
      <c r="D1452" t="str">
        <f>INDEX(Table26[Tag_LVL5], MATCH(Table6[[#This Row],[Middle Digit]],Table26[Middle Number],0))</f>
        <v>Contract Rig</v>
      </c>
      <c r="E1452" t="str">
        <f>RIGHT(Table6[[#This Row],[Middle Digit]],2)</f>
        <v>05</v>
      </c>
    </row>
    <row r="1453" spans="1:5" ht="13.05" hidden="1" x14ac:dyDescent="0.3">
      <c r="A1453">
        <v>60</v>
      </c>
      <c r="B1453" t="s">
        <v>6088</v>
      </c>
      <c r="C1453">
        <v>11</v>
      </c>
      <c r="D1453" t="str">
        <f>INDEX(Table26[Tag_LVL5], MATCH(Table6[[#This Row],[Middle Digit]],Table26[Middle Number],0))</f>
        <v>Mud, Chemical and Engineering Service</v>
      </c>
      <c r="E1453" t="str">
        <f>RIGHT(Table6[[#This Row],[Middle Digit]],2)</f>
        <v>07</v>
      </c>
    </row>
    <row r="1454" spans="1:5" x14ac:dyDescent="0.3">
      <c r="A1454">
        <v>61</v>
      </c>
      <c r="B1454" t="s">
        <v>6087</v>
      </c>
      <c r="C1454">
        <v>11</v>
      </c>
      <c r="D1454" t="str">
        <f>INDEX(Table26[Tag_LVL5], MATCH(Table6[[#This Row],[Middle Digit]],Table26[Middle Number],0))</f>
        <v>Bits, Reamer and Core heads</v>
      </c>
      <c r="E1454" t="str">
        <f>RIGHT(Table6[[#This Row],[Middle Digit]],2)</f>
        <v>08</v>
      </c>
    </row>
    <row r="1455" spans="1:5" ht="13.05" hidden="1" x14ac:dyDescent="0.3">
      <c r="A1455">
        <v>62</v>
      </c>
      <c r="B1455" t="s">
        <v>6086</v>
      </c>
      <c r="C1455">
        <v>11</v>
      </c>
      <c r="D1455" t="str">
        <f>INDEX(Table26[Tag_LVL5], MATCH(Table6[[#This Row],[Middle Digit]],Table26[Middle Number],0))</f>
        <v>Equipment Rental</v>
      </c>
      <c r="E1455" t="str">
        <f>RIGHT(Table6[[#This Row],[Middle Digit]],2)</f>
        <v>09</v>
      </c>
    </row>
    <row r="1456" spans="1:5" ht="13.05" hidden="1" x14ac:dyDescent="0.3">
      <c r="A1456">
        <v>63</v>
      </c>
      <c r="B1456" t="s">
        <v>6085</v>
      </c>
      <c r="C1456">
        <v>11</v>
      </c>
      <c r="D1456" t="str">
        <f>INDEX(Table26[Tag_LVL5], MATCH(Table6[[#This Row],[Middle Digit]],Table26[Middle Number],0))</f>
        <v>Directional Drilling &amp; Surveys</v>
      </c>
      <c r="E1456" t="str">
        <f>RIGHT(Table6[[#This Row],[Middle Digit]],2)</f>
        <v>10</v>
      </c>
    </row>
    <row r="1457" spans="1:5" ht="13.05" hidden="1" x14ac:dyDescent="0.3">
      <c r="A1457">
        <v>64</v>
      </c>
      <c r="B1457" t="s">
        <v>6084</v>
      </c>
      <c r="C1457">
        <v>11</v>
      </c>
      <c r="D1457" t="str">
        <f>INDEX(Table26[Tag_LVL5], MATCH(Table6[[#This Row],[Middle Digit]],Table26[Middle Number],0))</f>
        <v>Casing Installation</v>
      </c>
      <c r="E1457" t="str">
        <f>RIGHT(Table6[[#This Row],[Middle Digit]],2)</f>
        <v>11</v>
      </c>
    </row>
    <row r="1458" spans="1:5" ht="13.05" hidden="1" x14ac:dyDescent="0.3">
      <c r="A1458">
        <v>65</v>
      </c>
      <c r="B1458" t="s">
        <v>6083</v>
      </c>
      <c r="C1458">
        <v>11</v>
      </c>
      <c r="D1458" t="str">
        <f>INDEX(Table26[Tag_LVL5], MATCH(Table6[[#This Row],[Middle Digit]],Table26[Middle Number],0))</f>
        <v>Cement, Cementing &amp; Pump Fees</v>
      </c>
      <c r="E1458" t="str">
        <f>RIGHT(Table6[[#This Row],[Middle Digit]],2)</f>
        <v>12</v>
      </c>
    </row>
    <row r="1459" spans="1:5" ht="13.05" hidden="1" x14ac:dyDescent="0.3">
      <c r="A1459">
        <v>66</v>
      </c>
      <c r="B1459" t="s">
        <v>6081</v>
      </c>
      <c r="C1459">
        <v>11</v>
      </c>
      <c r="D1459" t="str">
        <f>INDEX(Table26[Tag_LVL5], MATCH(Table6[[#This Row],[Middle Digit]],Table26[Middle Number],0))</f>
        <v>Mud Logging Service</v>
      </c>
      <c r="E1459" t="str">
        <f>RIGHT(Table6[[#This Row],[Middle Digit]],2)</f>
        <v>13</v>
      </c>
    </row>
    <row r="1460" spans="1:5" ht="13.05" hidden="1" x14ac:dyDescent="0.3">
      <c r="A1460">
        <v>67</v>
      </c>
      <c r="B1460" t="s">
        <v>6080</v>
      </c>
      <c r="C1460">
        <v>11</v>
      </c>
      <c r="D1460" t="str">
        <f>INDEX(Table26[Tag_LVL5], MATCH(Table6[[#This Row],[Middle Digit]],Table26[Middle Number],0))</f>
        <v>Open Hole Electrical Logging Service</v>
      </c>
      <c r="E1460" t="str">
        <f>RIGHT(Table6[[#This Row],[Middle Digit]],2)</f>
        <v>14</v>
      </c>
    </row>
    <row r="1461" spans="1:5" ht="13.05" hidden="1" x14ac:dyDescent="0.3">
      <c r="A1461">
        <v>68</v>
      </c>
      <c r="B1461" t="s">
        <v>6079</v>
      </c>
      <c r="C1461">
        <v>11</v>
      </c>
      <c r="D1461" t="str">
        <f>INDEX(Table26[Tag_LVL5], MATCH(Table6[[#This Row],[Middle Digit]],Table26[Middle Number],0))</f>
        <v>Supervision</v>
      </c>
      <c r="E1461" t="str">
        <f>RIGHT(Table6[[#This Row],[Middle Digit]],2)</f>
        <v>15</v>
      </c>
    </row>
    <row r="1462" spans="1:5" ht="13.05" hidden="1" x14ac:dyDescent="0.3">
      <c r="A1462">
        <v>69</v>
      </c>
      <c r="B1462" t="s">
        <v>6078</v>
      </c>
      <c r="C1462">
        <v>11</v>
      </c>
      <c r="D1462" t="str">
        <f>INDEX(Table26[Tag_LVL5], MATCH(Table6[[#This Row],[Middle Digit]],Table26[Middle Number],0))</f>
        <v>Land Transportation</v>
      </c>
      <c r="E1462" t="str">
        <f>RIGHT(Table6[[#This Row],[Middle Digit]],2)</f>
        <v>16</v>
      </c>
    </row>
    <row r="1463" spans="1:5" ht="13.05" hidden="1" x14ac:dyDescent="0.3">
      <c r="A1463">
        <v>70</v>
      </c>
      <c r="B1463" t="s">
        <v>6077</v>
      </c>
      <c r="C1463">
        <v>11</v>
      </c>
      <c r="D1463" t="str">
        <f>INDEX(Table26[Tag_LVL5], MATCH(Table6[[#This Row],[Middle Digit]],Table26[Middle Number],0))</f>
        <v>Other Transportation</v>
      </c>
      <c r="E1463" t="str">
        <f>RIGHT(Table6[[#This Row],[Middle Digit]],2)</f>
        <v>17</v>
      </c>
    </row>
    <row r="1464" spans="1:5" ht="13.05" hidden="1" x14ac:dyDescent="0.3">
      <c r="A1464">
        <v>71</v>
      </c>
      <c r="B1464" t="s">
        <v>6076</v>
      </c>
      <c r="C1464">
        <v>11</v>
      </c>
      <c r="D1464" t="str">
        <f>INDEX(Table26[Tag_LVL5], MATCH(Table6[[#This Row],[Middle Digit]],Table26[Middle Number],0))</f>
        <v>Drilling Safety, Health &amp; Environment</v>
      </c>
      <c r="E1464" t="str">
        <f>RIGHT(Table6[[#This Row],[Middle Digit]],2)</f>
        <v>20</v>
      </c>
    </row>
    <row r="1465" spans="1:5" ht="13.05" hidden="1" x14ac:dyDescent="0.3">
      <c r="A1465">
        <v>72</v>
      </c>
      <c r="B1465" t="s">
        <v>6070</v>
      </c>
      <c r="C1465">
        <v>11</v>
      </c>
      <c r="D1465" t="str">
        <f>INDEX(Table26[Tag_LVL5], MATCH(Table6[[#This Row],[Middle Digit]],Table26[Middle Number],0))</f>
        <v>Explosive Handling &amp; Permitting</v>
      </c>
      <c r="E1465" t="str">
        <f>RIGHT(Table6[[#This Row],[Middle Digit]],2)</f>
        <v>24</v>
      </c>
    </row>
    <row r="1466" spans="1:5" ht="13.05" hidden="1" x14ac:dyDescent="0.3">
      <c r="A1466">
        <v>73</v>
      </c>
      <c r="B1466" t="s">
        <v>6160</v>
      </c>
      <c r="C1466">
        <v>11</v>
      </c>
      <c r="D1466" t="str">
        <f>INDEX(Table26[Tag_LVL5], MATCH(Table6[[#This Row],[Middle Digit]],Table26[Middle Number],0))</f>
        <v>Drilling Rig O&amp;M</v>
      </c>
      <c r="E1466" t="str">
        <f>RIGHT(Table6[[#This Row],[Middle Digit]],2)</f>
        <v>45</v>
      </c>
    </row>
    <row r="1467" spans="1:5" ht="13.05" hidden="1" x14ac:dyDescent="0.3">
      <c r="A1467">
        <v>74</v>
      </c>
      <c r="B1467" t="s">
        <v>6082</v>
      </c>
      <c r="C1467">
        <v>11</v>
      </c>
      <c r="D1467" t="str">
        <f>INDEX(Table26[Tag_LVL5], MATCH(Table6[[#This Row],[Middle Digit]],Table26[Middle Number],0))</f>
        <v>Coring</v>
      </c>
      <c r="E1467" t="str">
        <f>RIGHT(Table6[[#This Row],[Middle Digit]],2)</f>
        <v>47</v>
      </c>
    </row>
    <row r="1468" spans="1:5" ht="13.05" hidden="1" x14ac:dyDescent="0.3">
      <c r="A1468">
        <v>75</v>
      </c>
      <c r="B1468" t="s">
        <v>6075</v>
      </c>
      <c r="C1468">
        <v>11</v>
      </c>
      <c r="D1468" t="str">
        <f>INDEX(Table26[Tag_LVL5], MATCH(Table6[[#This Row],[Middle Digit]],Table26[Middle Number],0))</f>
        <v>NDT Inspection</v>
      </c>
      <c r="E1468" t="str">
        <f>RIGHT(Table6[[#This Row],[Middle Digit]],2)</f>
        <v>94</v>
      </c>
    </row>
    <row r="1469" spans="1:5" ht="13.05" hidden="1" x14ac:dyDescent="0.3">
      <c r="A1469">
        <v>76</v>
      </c>
      <c r="B1469" t="s">
        <v>6074</v>
      </c>
      <c r="C1469">
        <v>11</v>
      </c>
      <c r="D1469" t="str">
        <f>INDEX(Table26[Tag_LVL5], MATCH(Table6[[#This Row],[Middle Digit]],Table26[Middle Number],0))</f>
        <v>Rig Inspection</v>
      </c>
      <c r="E1469" t="str">
        <f>RIGHT(Table6[[#This Row],[Middle Digit]],2)</f>
        <v>95</v>
      </c>
    </row>
    <row r="1470" spans="1:5" ht="13.05" hidden="1" x14ac:dyDescent="0.3">
      <c r="A1470">
        <v>77</v>
      </c>
      <c r="B1470" t="s">
        <v>6073</v>
      </c>
      <c r="C1470">
        <v>11</v>
      </c>
      <c r="D1470" t="str">
        <f>INDEX(Table26[Tag_LVL5], MATCH(Table6[[#This Row],[Middle Digit]],Table26[Middle Number],0))</f>
        <v>Vehicle Inspection</v>
      </c>
      <c r="E1470" t="str">
        <f>RIGHT(Table6[[#This Row],[Middle Digit]],2)</f>
        <v>96</v>
      </c>
    </row>
    <row r="1471" spans="1:5" ht="13.05" hidden="1" x14ac:dyDescent="0.3">
      <c r="A1471">
        <v>78</v>
      </c>
      <c r="B1471" t="s">
        <v>6072</v>
      </c>
      <c r="C1471">
        <v>11</v>
      </c>
      <c r="D1471" t="str">
        <f>INDEX(Table26[Tag_LVL5], MATCH(Table6[[#This Row],[Middle Digit]],Table26[Middle Number],0))</f>
        <v>Welding Service</v>
      </c>
      <c r="E1471" t="str">
        <f>RIGHT(Table6[[#This Row],[Middle Digit]],2)</f>
        <v>97</v>
      </c>
    </row>
    <row r="1472" spans="1:5" ht="13.05" hidden="1" x14ac:dyDescent="0.3">
      <c r="A1472">
        <v>79</v>
      </c>
      <c r="B1472" t="s">
        <v>6071</v>
      </c>
      <c r="C1472">
        <v>11</v>
      </c>
      <c r="D1472" t="str">
        <f>INDEX(Table26[Tag_LVL5], MATCH(Table6[[#This Row],[Middle Digit]],Table26[Middle Number],0))</f>
        <v>API non API Machine Shop Service</v>
      </c>
      <c r="E1472" t="str">
        <f>RIGHT(Table6[[#This Row],[Middle Digit]],2)</f>
        <v>98</v>
      </c>
    </row>
    <row r="1473" spans="1:5" ht="13.05" hidden="1" x14ac:dyDescent="0.3">
      <c r="A1473">
        <v>80</v>
      </c>
      <c r="B1473" t="s">
        <v>6096</v>
      </c>
      <c r="C1473">
        <v>11</v>
      </c>
      <c r="D1473" t="str">
        <f>INDEX(Table26[Tag_LVL5], MATCH(Table6[[#This Row],[Middle Digit]],Table26[Middle Number],0))</f>
        <v>Casing</v>
      </c>
      <c r="E1473" t="str">
        <f>RIGHT(Table6[[#This Row],[Middle Digit]],2)</f>
        <v>01</v>
      </c>
    </row>
    <row r="1474" spans="1:5" ht="13.05" hidden="1" x14ac:dyDescent="0.3">
      <c r="A1474">
        <v>81</v>
      </c>
      <c r="B1474" t="s">
        <v>6095</v>
      </c>
      <c r="C1474">
        <v>11</v>
      </c>
      <c r="D1474" t="str">
        <f>INDEX(Table26[Tag_LVL5], MATCH(Table6[[#This Row],[Middle Digit]],Table26[Middle Number],0))</f>
        <v>Equipment Rental</v>
      </c>
      <c r="E1474" t="str">
        <f>RIGHT(Table6[[#This Row],[Middle Digit]],2)</f>
        <v>02</v>
      </c>
    </row>
    <row r="1475" spans="1:5" ht="13.05" hidden="1" x14ac:dyDescent="0.3">
      <c r="A1475">
        <v>82</v>
      </c>
      <c r="B1475" t="s">
        <v>6094</v>
      </c>
      <c r="C1475">
        <v>11</v>
      </c>
      <c r="D1475" t="str">
        <f>INDEX(Table26[Tag_LVL5], MATCH(Table6[[#This Row],[Middle Digit]],Table26[Middle Number],0))</f>
        <v>Fuel &amp; Lubricants</v>
      </c>
      <c r="E1475" t="str">
        <f>RIGHT(Table6[[#This Row],[Middle Digit]],2)</f>
        <v>18</v>
      </c>
    </row>
    <row r="1476" spans="1:5" ht="13.05" hidden="1" x14ac:dyDescent="0.3">
      <c r="A1476">
        <v>83</v>
      </c>
      <c r="B1476" t="s">
        <v>6092</v>
      </c>
      <c r="C1476">
        <v>11</v>
      </c>
      <c r="D1476" t="str">
        <f>INDEX(Table26[Tag_LVL5], MATCH(Table6[[#This Row],[Middle Digit]],Table26[Middle Number],0))</f>
        <v>Casing Repair &amp; Modif</v>
      </c>
      <c r="E1476" t="str">
        <f>RIGHT(Table6[[#This Row],[Middle Digit]],2)</f>
        <v>62</v>
      </c>
    </row>
    <row r="1477" spans="1:5" ht="13.05" hidden="1" x14ac:dyDescent="0.3">
      <c r="A1477">
        <v>84</v>
      </c>
      <c r="B1477" t="s">
        <v>6093</v>
      </c>
      <c r="C1477">
        <v>11</v>
      </c>
      <c r="D1477" t="str">
        <f>INDEX(Table26[Tag_LVL5], MATCH(Table6[[#This Row],[Middle Digit]],Table26[Middle Number],0))</f>
        <v>Asset Transfer</v>
      </c>
      <c r="E1477" t="str">
        <f>RIGHT(Table6[[#This Row],[Middle Digit]],2)</f>
        <v>93</v>
      </c>
    </row>
    <row r="1478" spans="1:5" ht="13.05" hidden="1" x14ac:dyDescent="0.3">
      <c r="A1478">
        <v>85</v>
      </c>
      <c r="B1478" t="s">
        <v>6064</v>
      </c>
      <c r="C1478">
        <v>11</v>
      </c>
      <c r="D1478" t="str">
        <f>INDEX(Table26[Tag_LVL5], MATCH(Table6[[#This Row],[Middle Digit]],Table26[Middle Number],0))</f>
        <v>Consumables</v>
      </c>
      <c r="E1478" t="str">
        <f>RIGHT(Table6[[#This Row],[Middle Digit]],2)</f>
        <v>60</v>
      </c>
    </row>
    <row r="1479" spans="1:5" ht="13.05" hidden="1" x14ac:dyDescent="0.3">
      <c r="A1479">
        <v>86</v>
      </c>
      <c r="B1479" t="s">
        <v>6063</v>
      </c>
      <c r="C1479">
        <v>11</v>
      </c>
      <c r="D1479" t="str">
        <f>INDEX(Table26[Tag_LVL5], MATCH(Table6[[#This Row],[Middle Digit]],Table26[Middle Number],0))</f>
        <v>Service Lines &amp; Communication</v>
      </c>
      <c r="E1479" t="str">
        <f>RIGHT(Table6[[#This Row],[Middle Digit]],2)</f>
        <v>04</v>
      </c>
    </row>
    <row r="1480" spans="1:5" ht="13.05" hidden="1" x14ac:dyDescent="0.3">
      <c r="A1480">
        <v>87</v>
      </c>
      <c r="B1480" t="s">
        <v>6062</v>
      </c>
      <c r="C1480">
        <v>11</v>
      </c>
      <c r="D1480" t="str">
        <f>INDEX(Table26[Tag_LVL5], MATCH(Table6[[#This Row],[Middle Digit]],Table26[Middle Number],0))</f>
        <v>Contract Rig</v>
      </c>
      <c r="E1480" t="str">
        <f>RIGHT(Table6[[#This Row],[Middle Digit]],2)</f>
        <v>05</v>
      </c>
    </row>
    <row r="1481" spans="1:5" ht="13.05" hidden="1" x14ac:dyDescent="0.3">
      <c r="A1481">
        <v>88</v>
      </c>
      <c r="B1481" t="s">
        <v>6061</v>
      </c>
      <c r="C1481">
        <v>11</v>
      </c>
      <c r="D1481" t="str">
        <f>INDEX(Table26[Tag_LVL5], MATCH(Table6[[#This Row],[Middle Digit]],Table26[Middle Number],0))</f>
        <v>Mud, Chemical and Engineering Service</v>
      </c>
      <c r="E1481" t="str">
        <f>RIGHT(Table6[[#This Row],[Middle Digit]],2)</f>
        <v>07</v>
      </c>
    </row>
    <row r="1482" spans="1:5" x14ac:dyDescent="0.3">
      <c r="A1482">
        <v>89</v>
      </c>
      <c r="B1482" t="s">
        <v>6060</v>
      </c>
      <c r="C1482">
        <v>11</v>
      </c>
      <c r="D1482" t="str">
        <f>INDEX(Table26[Tag_LVL5], MATCH(Table6[[#This Row],[Middle Digit]],Table26[Middle Number],0))</f>
        <v>Bits, Reamer and Core heads</v>
      </c>
      <c r="E1482" t="str">
        <f>RIGHT(Table6[[#This Row],[Middle Digit]],2)</f>
        <v>08</v>
      </c>
    </row>
    <row r="1483" spans="1:5" ht="13.05" hidden="1" x14ac:dyDescent="0.3">
      <c r="A1483">
        <v>90</v>
      </c>
      <c r="B1483" t="s">
        <v>6059</v>
      </c>
      <c r="C1483">
        <v>11</v>
      </c>
      <c r="D1483" t="str">
        <f>INDEX(Table26[Tag_LVL5], MATCH(Table6[[#This Row],[Middle Digit]],Table26[Middle Number],0))</f>
        <v>Equipment Rental</v>
      </c>
      <c r="E1483" t="str">
        <f>RIGHT(Table6[[#This Row],[Middle Digit]],2)</f>
        <v>09</v>
      </c>
    </row>
    <row r="1484" spans="1:5" ht="13.05" hidden="1" x14ac:dyDescent="0.3">
      <c r="A1484">
        <v>91</v>
      </c>
      <c r="B1484" t="s">
        <v>6058</v>
      </c>
      <c r="C1484">
        <v>11</v>
      </c>
      <c r="D1484" t="str">
        <f>INDEX(Table26[Tag_LVL5], MATCH(Table6[[#This Row],[Middle Digit]],Table26[Middle Number],0))</f>
        <v>Directional Drilling &amp; Surveys</v>
      </c>
      <c r="E1484" t="str">
        <f>RIGHT(Table6[[#This Row],[Middle Digit]],2)</f>
        <v>10</v>
      </c>
    </row>
    <row r="1485" spans="1:5" ht="13.05" hidden="1" x14ac:dyDescent="0.3">
      <c r="A1485">
        <v>92</v>
      </c>
      <c r="B1485" t="s">
        <v>6057</v>
      </c>
      <c r="C1485">
        <v>11</v>
      </c>
      <c r="D1485" t="str">
        <f>INDEX(Table26[Tag_LVL5], MATCH(Table6[[#This Row],[Middle Digit]],Table26[Middle Number],0))</f>
        <v>Casing Installation</v>
      </c>
      <c r="E1485" t="str">
        <f>RIGHT(Table6[[#This Row],[Middle Digit]],2)</f>
        <v>11</v>
      </c>
    </row>
    <row r="1486" spans="1:5" ht="13.05" hidden="1" x14ac:dyDescent="0.3">
      <c r="A1486">
        <v>93</v>
      </c>
      <c r="B1486" t="s">
        <v>6056</v>
      </c>
      <c r="C1486">
        <v>11</v>
      </c>
      <c r="D1486" t="str">
        <f>INDEX(Table26[Tag_LVL5], MATCH(Table6[[#This Row],[Middle Digit]],Table26[Middle Number],0))</f>
        <v>Cement, Cementing &amp; Pump Fees</v>
      </c>
      <c r="E1486" t="str">
        <f>RIGHT(Table6[[#This Row],[Middle Digit]],2)</f>
        <v>12</v>
      </c>
    </row>
    <row r="1487" spans="1:5" ht="13.05" hidden="1" x14ac:dyDescent="0.3">
      <c r="A1487">
        <v>94</v>
      </c>
      <c r="B1487" t="s">
        <v>6054</v>
      </c>
      <c r="C1487">
        <v>11</v>
      </c>
      <c r="D1487" t="str">
        <f>INDEX(Table26[Tag_LVL5], MATCH(Table6[[#This Row],[Middle Digit]],Table26[Middle Number],0))</f>
        <v>Mud Logging Service</v>
      </c>
      <c r="E1487" t="str">
        <f>RIGHT(Table6[[#This Row],[Middle Digit]],2)</f>
        <v>13</v>
      </c>
    </row>
    <row r="1488" spans="1:5" ht="13.05" hidden="1" x14ac:dyDescent="0.3">
      <c r="A1488">
        <v>95</v>
      </c>
      <c r="B1488" t="s">
        <v>6053</v>
      </c>
      <c r="C1488">
        <v>11</v>
      </c>
      <c r="D1488" t="str">
        <f>INDEX(Table26[Tag_LVL5], MATCH(Table6[[#This Row],[Middle Digit]],Table26[Middle Number],0))</f>
        <v>Open Hole Electrical Logging Service</v>
      </c>
      <c r="E1488" t="str">
        <f>RIGHT(Table6[[#This Row],[Middle Digit]],2)</f>
        <v>14</v>
      </c>
    </row>
    <row r="1489" spans="1:5" ht="13.05" hidden="1" x14ac:dyDescent="0.3">
      <c r="A1489">
        <v>96</v>
      </c>
      <c r="B1489" t="s">
        <v>6052</v>
      </c>
      <c r="C1489">
        <v>11</v>
      </c>
      <c r="D1489" t="str">
        <f>INDEX(Table26[Tag_LVL5], MATCH(Table6[[#This Row],[Middle Digit]],Table26[Middle Number],0))</f>
        <v>Supervision</v>
      </c>
      <c r="E1489" t="str">
        <f>RIGHT(Table6[[#This Row],[Middle Digit]],2)</f>
        <v>15</v>
      </c>
    </row>
    <row r="1490" spans="1:5" ht="13.05" hidden="1" x14ac:dyDescent="0.3">
      <c r="A1490">
        <v>97</v>
      </c>
      <c r="B1490" t="s">
        <v>6051</v>
      </c>
      <c r="C1490">
        <v>11</v>
      </c>
      <c r="D1490" t="str">
        <f>INDEX(Table26[Tag_LVL5], MATCH(Table6[[#This Row],[Middle Digit]],Table26[Middle Number],0))</f>
        <v>Land Transportation</v>
      </c>
      <c r="E1490" t="str">
        <f>RIGHT(Table6[[#This Row],[Middle Digit]],2)</f>
        <v>16</v>
      </c>
    </row>
    <row r="1491" spans="1:5" ht="13.05" hidden="1" x14ac:dyDescent="0.3">
      <c r="A1491">
        <v>98</v>
      </c>
      <c r="B1491" t="s">
        <v>6050</v>
      </c>
      <c r="C1491">
        <v>11</v>
      </c>
      <c r="D1491" t="str">
        <f>INDEX(Table26[Tag_LVL5], MATCH(Table6[[#This Row],[Middle Digit]],Table26[Middle Number],0))</f>
        <v>Other Transportation</v>
      </c>
      <c r="E1491" t="str">
        <f>RIGHT(Table6[[#This Row],[Middle Digit]],2)</f>
        <v>17</v>
      </c>
    </row>
    <row r="1492" spans="1:5" ht="13.05" hidden="1" x14ac:dyDescent="0.3">
      <c r="A1492">
        <v>99</v>
      </c>
      <c r="B1492" t="s">
        <v>6049</v>
      </c>
      <c r="C1492">
        <v>11</v>
      </c>
      <c r="D1492" t="str">
        <f>INDEX(Table26[Tag_LVL5], MATCH(Table6[[#This Row],[Middle Digit]],Table26[Middle Number],0))</f>
        <v>Drilling Safety, Health &amp; Environment</v>
      </c>
      <c r="E1492" t="str">
        <f>RIGHT(Table6[[#This Row],[Middle Digit]],2)</f>
        <v>20</v>
      </c>
    </row>
    <row r="1493" spans="1:5" ht="13.05" hidden="1" x14ac:dyDescent="0.3">
      <c r="A1493">
        <v>100</v>
      </c>
      <c r="B1493" t="s">
        <v>6043</v>
      </c>
      <c r="C1493">
        <v>11</v>
      </c>
      <c r="D1493" t="str">
        <f>INDEX(Table26[Tag_LVL5], MATCH(Table6[[#This Row],[Middle Digit]],Table26[Middle Number],0))</f>
        <v>Explosive Handling &amp; Permitting</v>
      </c>
      <c r="E1493" t="str">
        <f>RIGHT(Table6[[#This Row],[Middle Digit]],2)</f>
        <v>24</v>
      </c>
    </row>
    <row r="1494" spans="1:5" ht="13.05" hidden="1" x14ac:dyDescent="0.3">
      <c r="A1494">
        <v>101</v>
      </c>
      <c r="B1494" t="s">
        <v>6161</v>
      </c>
      <c r="C1494">
        <v>11</v>
      </c>
      <c r="D1494" t="str">
        <f>INDEX(Table26[Tag_LVL5], MATCH(Table6[[#This Row],[Middle Digit]],Table26[Middle Number],0))</f>
        <v>Drilling Rig O&amp;M</v>
      </c>
      <c r="E1494" t="str">
        <f>RIGHT(Table6[[#This Row],[Middle Digit]],2)</f>
        <v>45</v>
      </c>
    </row>
    <row r="1495" spans="1:5" ht="13.05" hidden="1" x14ac:dyDescent="0.3">
      <c r="A1495">
        <v>102</v>
      </c>
      <c r="B1495" t="s">
        <v>6055</v>
      </c>
      <c r="C1495">
        <v>11</v>
      </c>
      <c r="D1495" t="str">
        <f>INDEX(Table26[Tag_LVL5], MATCH(Table6[[#This Row],[Middle Digit]],Table26[Middle Number],0))</f>
        <v>Coring</v>
      </c>
      <c r="E1495" t="str">
        <f>RIGHT(Table6[[#This Row],[Middle Digit]],2)</f>
        <v>47</v>
      </c>
    </row>
    <row r="1496" spans="1:5" ht="13.05" hidden="1" x14ac:dyDescent="0.3">
      <c r="A1496">
        <v>103</v>
      </c>
      <c r="B1496" t="s">
        <v>6048</v>
      </c>
      <c r="C1496">
        <v>11</v>
      </c>
      <c r="D1496" t="str">
        <f>INDEX(Table26[Tag_LVL5], MATCH(Table6[[#This Row],[Middle Digit]],Table26[Middle Number],0))</f>
        <v>NDT Inspection</v>
      </c>
      <c r="E1496" t="str">
        <f>RIGHT(Table6[[#This Row],[Middle Digit]],2)</f>
        <v>94</v>
      </c>
    </row>
    <row r="1497" spans="1:5" ht="13.05" hidden="1" x14ac:dyDescent="0.3">
      <c r="A1497">
        <v>104</v>
      </c>
      <c r="B1497" t="s">
        <v>6047</v>
      </c>
      <c r="C1497">
        <v>11</v>
      </c>
      <c r="D1497" t="str">
        <f>INDEX(Table26[Tag_LVL5], MATCH(Table6[[#This Row],[Middle Digit]],Table26[Middle Number],0))</f>
        <v>Rig Inspection</v>
      </c>
      <c r="E1497" t="str">
        <f>RIGHT(Table6[[#This Row],[Middle Digit]],2)</f>
        <v>95</v>
      </c>
    </row>
    <row r="1498" spans="1:5" ht="13.05" hidden="1" x14ac:dyDescent="0.3">
      <c r="A1498">
        <v>105</v>
      </c>
      <c r="B1498" t="s">
        <v>6046</v>
      </c>
      <c r="C1498">
        <v>11</v>
      </c>
      <c r="D1498" t="str">
        <f>INDEX(Table26[Tag_LVL5], MATCH(Table6[[#This Row],[Middle Digit]],Table26[Middle Number],0))</f>
        <v>Vehicle Inspection</v>
      </c>
      <c r="E1498" t="str">
        <f>RIGHT(Table6[[#This Row],[Middle Digit]],2)</f>
        <v>96</v>
      </c>
    </row>
    <row r="1499" spans="1:5" ht="13.05" hidden="1" x14ac:dyDescent="0.3">
      <c r="A1499">
        <v>106</v>
      </c>
      <c r="B1499" t="s">
        <v>6045</v>
      </c>
      <c r="C1499">
        <v>11</v>
      </c>
      <c r="D1499" t="str">
        <f>INDEX(Table26[Tag_LVL5], MATCH(Table6[[#This Row],[Middle Digit]],Table26[Middle Number],0))</f>
        <v>Welding Service</v>
      </c>
      <c r="E1499" t="str">
        <f>RIGHT(Table6[[#This Row],[Middle Digit]],2)</f>
        <v>97</v>
      </c>
    </row>
    <row r="1500" spans="1:5" ht="13.05" hidden="1" x14ac:dyDescent="0.3">
      <c r="A1500">
        <v>107</v>
      </c>
      <c r="B1500" t="s">
        <v>6044</v>
      </c>
      <c r="C1500">
        <v>11</v>
      </c>
      <c r="D1500" t="str">
        <f>INDEX(Table26[Tag_LVL5], MATCH(Table6[[#This Row],[Middle Digit]],Table26[Middle Number],0))</f>
        <v>API non API Machine Shop Service</v>
      </c>
      <c r="E1500" t="str">
        <f>RIGHT(Table6[[#This Row],[Middle Digit]],2)</f>
        <v>98</v>
      </c>
    </row>
    <row r="1501" spans="1:5" ht="13.05" hidden="1" x14ac:dyDescent="0.3">
      <c r="A1501">
        <v>108</v>
      </c>
      <c r="B1501" t="s">
        <v>6069</v>
      </c>
      <c r="C1501">
        <v>11</v>
      </c>
      <c r="D1501" t="str">
        <f>INDEX(Table26[Tag_LVL5], MATCH(Table6[[#This Row],[Middle Digit]],Table26[Middle Number],0))</f>
        <v>Casing</v>
      </c>
      <c r="E1501" t="str">
        <f>RIGHT(Table6[[#This Row],[Middle Digit]],2)</f>
        <v>01</v>
      </c>
    </row>
    <row r="1502" spans="1:5" ht="13.05" hidden="1" x14ac:dyDescent="0.3">
      <c r="A1502">
        <v>109</v>
      </c>
      <c r="B1502" t="s">
        <v>6068</v>
      </c>
      <c r="C1502">
        <v>11</v>
      </c>
      <c r="D1502" t="str">
        <f>INDEX(Table26[Tag_LVL5], MATCH(Table6[[#This Row],[Middle Digit]],Table26[Middle Number],0))</f>
        <v>Equipment Rental</v>
      </c>
      <c r="E1502" t="str">
        <f>RIGHT(Table6[[#This Row],[Middle Digit]],2)</f>
        <v>02</v>
      </c>
    </row>
    <row r="1503" spans="1:5" ht="13.05" hidden="1" x14ac:dyDescent="0.3">
      <c r="A1503">
        <v>110</v>
      </c>
      <c r="B1503" t="s">
        <v>6067</v>
      </c>
      <c r="C1503">
        <v>11</v>
      </c>
      <c r="D1503" t="str">
        <f>INDEX(Table26[Tag_LVL5], MATCH(Table6[[#This Row],[Middle Digit]],Table26[Middle Number],0))</f>
        <v>Fuel &amp; Lubricants</v>
      </c>
      <c r="E1503" t="str">
        <f>RIGHT(Table6[[#This Row],[Middle Digit]],2)</f>
        <v>18</v>
      </c>
    </row>
    <row r="1504" spans="1:5" ht="13.05" hidden="1" x14ac:dyDescent="0.3">
      <c r="A1504">
        <v>111</v>
      </c>
      <c r="B1504" t="s">
        <v>6065</v>
      </c>
      <c r="C1504">
        <v>11</v>
      </c>
      <c r="D1504" t="str">
        <f>INDEX(Table26[Tag_LVL5], MATCH(Table6[[#This Row],[Middle Digit]],Table26[Middle Number],0))</f>
        <v>Casing Repair &amp; Modif</v>
      </c>
      <c r="E1504" t="str">
        <f>RIGHT(Table6[[#This Row],[Middle Digit]],2)</f>
        <v>62</v>
      </c>
    </row>
    <row r="1505" spans="1:5" ht="13.05" hidden="1" x14ac:dyDescent="0.3">
      <c r="A1505">
        <v>112</v>
      </c>
      <c r="B1505" t="s">
        <v>6066</v>
      </c>
      <c r="C1505">
        <v>11</v>
      </c>
      <c r="D1505" t="str">
        <f>INDEX(Table26[Tag_LVL5], MATCH(Table6[[#This Row],[Middle Digit]],Table26[Middle Number],0))</f>
        <v>Asset Transfer</v>
      </c>
      <c r="E1505" t="str">
        <f>RIGHT(Table6[[#This Row],[Middle Digit]],2)</f>
        <v>93</v>
      </c>
    </row>
    <row r="1506" spans="1:5" ht="13.05" hidden="1" x14ac:dyDescent="0.3">
      <c r="A1506">
        <v>113</v>
      </c>
      <c r="B1506" t="s">
        <v>6037</v>
      </c>
      <c r="C1506">
        <v>11</v>
      </c>
      <c r="D1506" t="str">
        <f>INDEX(Table26[Tag_LVL5], MATCH(Table6[[#This Row],[Middle Digit]],Table26[Middle Number],0))</f>
        <v>Consumables</v>
      </c>
      <c r="E1506" t="str">
        <f>RIGHT(Table6[[#This Row],[Middle Digit]],2)</f>
        <v>60</v>
      </c>
    </row>
    <row r="1507" spans="1:5" ht="13.05" hidden="1" x14ac:dyDescent="0.3">
      <c r="A1507">
        <v>114</v>
      </c>
      <c r="B1507" t="s">
        <v>6036</v>
      </c>
      <c r="C1507">
        <v>11</v>
      </c>
      <c r="D1507" t="str">
        <f>INDEX(Table26[Tag_LVL5], MATCH(Table6[[#This Row],[Middle Digit]],Table26[Middle Number],0))</f>
        <v>Service Lines &amp; Communication</v>
      </c>
      <c r="E1507" t="str">
        <f>RIGHT(Table6[[#This Row],[Middle Digit]],2)</f>
        <v>04</v>
      </c>
    </row>
    <row r="1508" spans="1:5" ht="13.05" hidden="1" x14ac:dyDescent="0.3">
      <c r="A1508">
        <v>115</v>
      </c>
      <c r="B1508" t="s">
        <v>6035</v>
      </c>
      <c r="C1508">
        <v>11</v>
      </c>
      <c r="D1508" t="str">
        <f>INDEX(Table26[Tag_LVL5], MATCH(Table6[[#This Row],[Middle Digit]],Table26[Middle Number],0))</f>
        <v>Contract Rig</v>
      </c>
      <c r="E1508" t="str">
        <f>RIGHT(Table6[[#This Row],[Middle Digit]],2)</f>
        <v>05</v>
      </c>
    </row>
    <row r="1509" spans="1:5" ht="13.05" hidden="1" x14ac:dyDescent="0.3">
      <c r="A1509">
        <v>116</v>
      </c>
      <c r="B1509" t="s">
        <v>6034</v>
      </c>
      <c r="C1509">
        <v>11</v>
      </c>
      <c r="D1509" t="str">
        <f>INDEX(Table26[Tag_LVL5], MATCH(Table6[[#This Row],[Middle Digit]],Table26[Middle Number],0))</f>
        <v>Mud, Chemical and Engineering Service</v>
      </c>
      <c r="E1509" t="str">
        <f>RIGHT(Table6[[#This Row],[Middle Digit]],2)</f>
        <v>07</v>
      </c>
    </row>
    <row r="1510" spans="1:5" x14ac:dyDescent="0.3">
      <c r="A1510">
        <v>117</v>
      </c>
      <c r="B1510" t="s">
        <v>6033</v>
      </c>
      <c r="C1510">
        <v>11</v>
      </c>
      <c r="D1510" t="str">
        <f>INDEX(Table26[Tag_LVL5], MATCH(Table6[[#This Row],[Middle Digit]],Table26[Middle Number],0))</f>
        <v>Bits, Reamer and Core heads</v>
      </c>
      <c r="E1510" t="str">
        <f>RIGHT(Table6[[#This Row],[Middle Digit]],2)</f>
        <v>08</v>
      </c>
    </row>
    <row r="1511" spans="1:5" ht="13.05" hidden="1" x14ac:dyDescent="0.3">
      <c r="A1511">
        <v>118</v>
      </c>
      <c r="B1511" t="s">
        <v>6032</v>
      </c>
      <c r="C1511">
        <v>11</v>
      </c>
      <c r="D1511" t="str">
        <f>INDEX(Table26[Tag_LVL5], MATCH(Table6[[#This Row],[Middle Digit]],Table26[Middle Number],0))</f>
        <v>Equipment Rental</v>
      </c>
      <c r="E1511" t="str">
        <f>RIGHT(Table6[[#This Row],[Middle Digit]],2)</f>
        <v>09</v>
      </c>
    </row>
    <row r="1512" spans="1:5" ht="13.05" hidden="1" x14ac:dyDescent="0.3">
      <c r="A1512">
        <v>119</v>
      </c>
      <c r="B1512" t="s">
        <v>6031</v>
      </c>
      <c r="C1512">
        <v>11</v>
      </c>
      <c r="D1512" t="str">
        <f>INDEX(Table26[Tag_LVL5], MATCH(Table6[[#This Row],[Middle Digit]],Table26[Middle Number],0))</f>
        <v>Directional Drilling &amp; Surveys</v>
      </c>
      <c r="E1512" t="str">
        <f>RIGHT(Table6[[#This Row],[Middle Digit]],2)</f>
        <v>10</v>
      </c>
    </row>
    <row r="1513" spans="1:5" ht="13.05" hidden="1" x14ac:dyDescent="0.3">
      <c r="A1513">
        <v>120</v>
      </c>
      <c r="B1513" t="s">
        <v>6030</v>
      </c>
      <c r="C1513">
        <v>11</v>
      </c>
      <c r="D1513" t="str">
        <f>INDEX(Table26[Tag_LVL5], MATCH(Table6[[#This Row],[Middle Digit]],Table26[Middle Number],0))</f>
        <v>Casing Installation</v>
      </c>
      <c r="E1513" t="str">
        <f>RIGHT(Table6[[#This Row],[Middle Digit]],2)</f>
        <v>11</v>
      </c>
    </row>
    <row r="1514" spans="1:5" ht="13.05" hidden="1" x14ac:dyDescent="0.3">
      <c r="A1514">
        <v>121</v>
      </c>
      <c r="B1514" t="s">
        <v>6029</v>
      </c>
      <c r="C1514">
        <v>11</v>
      </c>
      <c r="D1514" t="str">
        <f>INDEX(Table26[Tag_LVL5], MATCH(Table6[[#This Row],[Middle Digit]],Table26[Middle Number],0))</f>
        <v>Cement, Cementing &amp; Pump Fees</v>
      </c>
      <c r="E1514" t="str">
        <f>RIGHT(Table6[[#This Row],[Middle Digit]],2)</f>
        <v>12</v>
      </c>
    </row>
    <row r="1515" spans="1:5" ht="13.05" hidden="1" x14ac:dyDescent="0.3">
      <c r="A1515">
        <v>122</v>
      </c>
      <c r="B1515" t="s">
        <v>6027</v>
      </c>
      <c r="C1515">
        <v>11</v>
      </c>
      <c r="D1515" t="str">
        <f>INDEX(Table26[Tag_LVL5], MATCH(Table6[[#This Row],[Middle Digit]],Table26[Middle Number],0))</f>
        <v>Mud Logging Service</v>
      </c>
      <c r="E1515" t="str">
        <f>RIGHT(Table6[[#This Row],[Middle Digit]],2)</f>
        <v>13</v>
      </c>
    </row>
    <row r="1516" spans="1:5" ht="13.05" hidden="1" x14ac:dyDescent="0.3">
      <c r="A1516">
        <v>123</v>
      </c>
      <c r="B1516" t="s">
        <v>6026</v>
      </c>
      <c r="C1516">
        <v>11</v>
      </c>
      <c r="D1516" t="str">
        <f>INDEX(Table26[Tag_LVL5], MATCH(Table6[[#This Row],[Middle Digit]],Table26[Middle Number],0))</f>
        <v>Open Hole Electrical Logging Service</v>
      </c>
      <c r="E1516" t="str">
        <f>RIGHT(Table6[[#This Row],[Middle Digit]],2)</f>
        <v>14</v>
      </c>
    </row>
    <row r="1517" spans="1:5" ht="13.05" hidden="1" x14ac:dyDescent="0.3">
      <c r="A1517">
        <v>124</v>
      </c>
      <c r="B1517" t="s">
        <v>6025</v>
      </c>
      <c r="C1517">
        <v>11</v>
      </c>
      <c r="D1517" t="str">
        <f>INDEX(Table26[Tag_LVL5], MATCH(Table6[[#This Row],[Middle Digit]],Table26[Middle Number],0))</f>
        <v>Supervision</v>
      </c>
      <c r="E1517" t="str">
        <f>RIGHT(Table6[[#This Row],[Middle Digit]],2)</f>
        <v>15</v>
      </c>
    </row>
    <row r="1518" spans="1:5" ht="13.05" hidden="1" x14ac:dyDescent="0.3">
      <c r="A1518">
        <v>125</v>
      </c>
      <c r="B1518" t="s">
        <v>6024</v>
      </c>
      <c r="C1518">
        <v>11</v>
      </c>
      <c r="D1518" t="str">
        <f>INDEX(Table26[Tag_LVL5], MATCH(Table6[[#This Row],[Middle Digit]],Table26[Middle Number],0))</f>
        <v>Land Transportation</v>
      </c>
      <c r="E1518" t="str">
        <f>RIGHT(Table6[[#This Row],[Middle Digit]],2)</f>
        <v>16</v>
      </c>
    </row>
    <row r="1519" spans="1:5" ht="13.05" hidden="1" x14ac:dyDescent="0.3">
      <c r="A1519">
        <v>126</v>
      </c>
      <c r="B1519" t="s">
        <v>6023</v>
      </c>
      <c r="C1519">
        <v>11</v>
      </c>
      <c r="D1519" t="str">
        <f>INDEX(Table26[Tag_LVL5], MATCH(Table6[[#This Row],[Middle Digit]],Table26[Middle Number],0))</f>
        <v>Other Transportation</v>
      </c>
      <c r="E1519" t="str">
        <f>RIGHT(Table6[[#This Row],[Middle Digit]],2)</f>
        <v>17</v>
      </c>
    </row>
    <row r="1520" spans="1:5" ht="13.05" hidden="1" x14ac:dyDescent="0.3">
      <c r="A1520">
        <v>127</v>
      </c>
      <c r="B1520" t="s">
        <v>6022</v>
      </c>
      <c r="C1520">
        <v>11</v>
      </c>
      <c r="D1520" t="str">
        <f>INDEX(Table26[Tag_LVL5], MATCH(Table6[[#This Row],[Middle Digit]],Table26[Middle Number],0))</f>
        <v>Drilling Safety, Health &amp; Environment</v>
      </c>
      <c r="E1520" t="str">
        <f>RIGHT(Table6[[#This Row],[Middle Digit]],2)</f>
        <v>20</v>
      </c>
    </row>
    <row r="1521" spans="1:5" ht="13.05" hidden="1" x14ac:dyDescent="0.3">
      <c r="A1521">
        <v>128</v>
      </c>
      <c r="B1521" t="s">
        <v>6016</v>
      </c>
      <c r="C1521">
        <v>11</v>
      </c>
      <c r="D1521" t="str">
        <f>INDEX(Table26[Tag_LVL5], MATCH(Table6[[#This Row],[Middle Digit]],Table26[Middle Number],0))</f>
        <v>Explosive Handling &amp; Permitting</v>
      </c>
      <c r="E1521" t="str">
        <f>RIGHT(Table6[[#This Row],[Middle Digit]],2)</f>
        <v>24</v>
      </c>
    </row>
    <row r="1522" spans="1:5" ht="13.05" hidden="1" x14ac:dyDescent="0.3">
      <c r="A1522">
        <v>129</v>
      </c>
      <c r="B1522" t="s">
        <v>6162</v>
      </c>
      <c r="C1522">
        <v>11</v>
      </c>
      <c r="D1522" t="str">
        <f>INDEX(Table26[Tag_LVL5], MATCH(Table6[[#This Row],[Middle Digit]],Table26[Middle Number],0))</f>
        <v>Drilling Rig O&amp;M</v>
      </c>
      <c r="E1522" t="str">
        <f>RIGHT(Table6[[#This Row],[Middle Digit]],2)</f>
        <v>45</v>
      </c>
    </row>
    <row r="1523" spans="1:5" ht="13.05" hidden="1" x14ac:dyDescent="0.3">
      <c r="A1523">
        <v>130</v>
      </c>
      <c r="B1523" t="s">
        <v>6028</v>
      </c>
      <c r="C1523">
        <v>11</v>
      </c>
      <c r="D1523" t="str">
        <f>INDEX(Table26[Tag_LVL5], MATCH(Table6[[#This Row],[Middle Digit]],Table26[Middle Number],0))</f>
        <v>Coring</v>
      </c>
      <c r="E1523" t="str">
        <f>RIGHT(Table6[[#This Row],[Middle Digit]],2)</f>
        <v>47</v>
      </c>
    </row>
    <row r="1524" spans="1:5" ht="13.05" hidden="1" x14ac:dyDescent="0.3">
      <c r="A1524">
        <v>131</v>
      </c>
      <c r="B1524" t="s">
        <v>6021</v>
      </c>
      <c r="C1524">
        <v>11</v>
      </c>
      <c r="D1524" t="str">
        <f>INDEX(Table26[Tag_LVL5], MATCH(Table6[[#This Row],[Middle Digit]],Table26[Middle Number],0))</f>
        <v>NDT Inspection</v>
      </c>
      <c r="E1524" t="str">
        <f>RIGHT(Table6[[#This Row],[Middle Digit]],2)</f>
        <v>94</v>
      </c>
    </row>
    <row r="1525" spans="1:5" ht="13.05" hidden="1" x14ac:dyDescent="0.3">
      <c r="A1525">
        <v>132</v>
      </c>
      <c r="B1525" t="s">
        <v>6020</v>
      </c>
      <c r="C1525">
        <v>11</v>
      </c>
      <c r="D1525" t="str">
        <f>INDEX(Table26[Tag_LVL5], MATCH(Table6[[#This Row],[Middle Digit]],Table26[Middle Number],0))</f>
        <v>Rig Inspection</v>
      </c>
      <c r="E1525" t="str">
        <f>RIGHT(Table6[[#This Row],[Middle Digit]],2)</f>
        <v>95</v>
      </c>
    </row>
    <row r="1526" spans="1:5" ht="13.05" hidden="1" x14ac:dyDescent="0.3">
      <c r="A1526">
        <v>133</v>
      </c>
      <c r="B1526" t="s">
        <v>6019</v>
      </c>
      <c r="C1526">
        <v>11</v>
      </c>
      <c r="D1526" t="str">
        <f>INDEX(Table26[Tag_LVL5], MATCH(Table6[[#This Row],[Middle Digit]],Table26[Middle Number],0))</f>
        <v>Vehicle Inspection</v>
      </c>
      <c r="E1526" t="str">
        <f>RIGHT(Table6[[#This Row],[Middle Digit]],2)</f>
        <v>96</v>
      </c>
    </row>
    <row r="1527" spans="1:5" ht="13.05" hidden="1" x14ac:dyDescent="0.3">
      <c r="A1527">
        <v>134</v>
      </c>
      <c r="B1527" t="s">
        <v>6018</v>
      </c>
      <c r="C1527">
        <v>11</v>
      </c>
      <c r="D1527" t="str">
        <f>INDEX(Table26[Tag_LVL5], MATCH(Table6[[#This Row],[Middle Digit]],Table26[Middle Number],0))</f>
        <v>Welding Service</v>
      </c>
      <c r="E1527" t="str">
        <f>RIGHT(Table6[[#This Row],[Middle Digit]],2)</f>
        <v>97</v>
      </c>
    </row>
    <row r="1528" spans="1:5" ht="13.05" hidden="1" x14ac:dyDescent="0.3">
      <c r="A1528">
        <v>135</v>
      </c>
      <c r="B1528" t="s">
        <v>6017</v>
      </c>
      <c r="C1528">
        <v>11</v>
      </c>
      <c r="D1528" t="str">
        <f>INDEX(Table26[Tag_LVL5], MATCH(Table6[[#This Row],[Middle Digit]],Table26[Middle Number],0))</f>
        <v>API non API Machine Shop Service</v>
      </c>
      <c r="E1528" t="str">
        <f>RIGHT(Table6[[#This Row],[Middle Digit]],2)</f>
        <v>98</v>
      </c>
    </row>
    <row r="1529" spans="1:5" ht="13.05" hidden="1" x14ac:dyDescent="0.3">
      <c r="A1529">
        <v>136</v>
      </c>
      <c r="B1529" t="s">
        <v>6042</v>
      </c>
      <c r="C1529">
        <v>11</v>
      </c>
      <c r="D1529" t="str">
        <f>INDEX(Table26[Tag_LVL5], MATCH(Table6[[#This Row],[Middle Digit]],Table26[Middle Number],0))</f>
        <v>Casing</v>
      </c>
      <c r="E1529" t="str">
        <f>RIGHT(Table6[[#This Row],[Middle Digit]],2)</f>
        <v>01</v>
      </c>
    </row>
    <row r="1530" spans="1:5" ht="13.05" hidden="1" x14ac:dyDescent="0.3">
      <c r="A1530">
        <v>137</v>
      </c>
      <c r="B1530" t="s">
        <v>6041</v>
      </c>
      <c r="C1530">
        <v>11</v>
      </c>
      <c r="D1530" t="str">
        <f>INDEX(Table26[Tag_LVL5], MATCH(Table6[[#This Row],[Middle Digit]],Table26[Middle Number],0))</f>
        <v>Equipment Rental</v>
      </c>
      <c r="E1530" t="str">
        <f>RIGHT(Table6[[#This Row],[Middle Digit]],2)</f>
        <v>02</v>
      </c>
    </row>
    <row r="1531" spans="1:5" ht="13.05" hidden="1" x14ac:dyDescent="0.3">
      <c r="A1531">
        <v>138</v>
      </c>
      <c r="B1531" t="s">
        <v>6040</v>
      </c>
      <c r="C1531">
        <v>11</v>
      </c>
      <c r="D1531" t="str">
        <f>INDEX(Table26[Tag_LVL5], MATCH(Table6[[#This Row],[Middle Digit]],Table26[Middle Number],0))</f>
        <v>Fuel &amp; Lubricants</v>
      </c>
      <c r="E1531" t="str">
        <f>RIGHT(Table6[[#This Row],[Middle Digit]],2)</f>
        <v>18</v>
      </c>
    </row>
    <row r="1532" spans="1:5" ht="13.05" hidden="1" x14ac:dyDescent="0.3">
      <c r="A1532">
        <v>139</v>
      </c>
      <c r="B1532" t="s">
        <v>6038</v>
      </c>
      <c r="C1532">
        <v>11</v>
      </c>
      <c r="D1532" t="str">
        <f>INDEX(Table26[Tag_LVL5], MATCH(Table6[[#This Row],[Middle Digit]],Table26[Middle Number],0))</f>
        <v>Casing Repair &amp; Modif</v>
      </c>
      <c r="E1532" t="str">
        <f>RIGHT(Table6[[#This Row],[Middle Digit]],2)</f>
        <v>62</v>
      </c>
    </row>
    <row r="1533" spans="1:5" ht="13.05" hidden="1" x14ac:dyDescent="0.3">
      <c r="A1533">
        <v>140</v>
      </c>
      <c r="B1533" t="s">
        <v>6039</v>
      </c>
      <c r="C1533">
        <v>11</v>
      </c>
      <c r="D1533" t="str">
        <f>INDEX(Table26[Tag_LVL5], MATCH(Table6[[#This Row],[Middle Digit]],Table26[Middle Number],0))</f>
        <v>Asset Transfer</v>
      </c>
      <c r="E1533" t="str">
        <f>RIGHT(Table6[[#This Row],[Middle Digit]],2)</f>
        <v>93</v>
      </c>
    </row>
    <row r="1534" spans="1:5" ht="13.05" hidden="1" x14ac:dyDescent="0.3">
      <c r="A1534">
        <v>141</v>
      </c>
      <c r="B1534" t="s">
        <v>6010</v>
      </c>
      <c r="C1534">
        <v>11</v>
      </c>
      <c r="D1534" t="str">
        <f>INDEX(Table26[Tag_LVL5], MATCH(Table6[[#This Row],[Middle Digit]],Table26[Middle Number],0))</f>
        <v>Consumables</v>
      </c>
      <c r="E1534" t="str">
        <f>RIGHT(Table6[[#This Row],[Middle Digit]],2)</f>
        <v>60</v>
      </c>
    </row>
    <row r="1535" spans="1:5" ht="13.05" hidden="1" x14ac:dyDescent="0.3">
      <c r="A1535">
        <v>142</v>
      </c>
      <c r="B1535" t="s">
        <v>6009</v>
      </c>
      <c r="C1535">
        <v>11</v>
      </c>
      <c r="D1535" t="str">
        <f>INDEX(Table26[Tag_LVL5], MATCH(Table6[[#This Row],[Middle Digit]],Table26[Middle Number],0))</f>
        <v>Service Lines &amp; Communication</v>
      </c>
      <c r="E1535" t="str">
        <f>RIGHT(Table6[[#This Row],[Middle Digit]],2)</f>
        <v>04</v>
      </c>
    </row>
    <row r="1536" spans="1:5" ht="13.05" hidden="1" x14ac:dyDescent="0.3">
      <c r="A1536">
        <v>143</v>
      </c>
      <c r="B1536" t="s">
        <v>6008</v>
      </c>
      <c r="C1536">
        <v>11</v>
      </c>
      <c r="D1536" t="str">
        <f>INDEX(Table26[Tag_LVL5], MATCH(Table6[[#This Row],[Middle Digit]],Table26[Middle Number],0))</f>
        <v>Contract Rig</v>
      </c>
      <c r="E1536" t="str">
        <f>RIGHT(Table6[[#This Row],[Middle Digit]],2)</f>
        <v>05</v>
      </c>
    </row>
    <row r="1537" spans="1:5" ht="13.05" hidden="1" x14ac:dyDescent="0.3">
      <c r="A1537">
        <v>144</v>
      </c>
      <c r="B1537" t="s">
        <v>6007</v>
      </c>
      <c r="C1537">
        <v>11</v>
      </c>
      <c r="D1537" t="str">
        <f>INDEX(Table26[Tag_LVL5], MATCH(Table6[[#This Row],[Middle Digit]],Table26[Middle Number],0))</f>
        <v>Mud, Chemical and Engineering Service</v>
      </c>
      <c r="E1537" t="str">
        <f>RIGHT(Table6[[#This Row],[Middle Digit]],2)</f>
        <v>07</v>
      </c>
    </row>
    <row r="1538" spans="1:5" x14ac:dyDescent="0.3">
      <c r="A1538">
        <v>145</v>
      </c>
      <c r="B1538" t="s">
        <v>6006</v>
      </c>
      <c r="C1538">
        <v>11</v>
      </c>
      <c r="D1538" t="str">
        <f>INDEX(Table26[Tag_LVL5], MATCH(Table6[[#This Row],[Middle Digit]],Table26[Middle Number],0))</f>
        <v>Bits, Reamer and Core heads</v>
      </c>
      <c r="E1538" t="str">
        <f>RIGHT(Table6[[#This Row],[Middle Digit]],2)</f>
        <v>08</v>
      </c>
    </row>
    <row r="1539" spans="1:5" ht="13.05" hidden="1" x14ac:dyDescent="0.3">
      <c r="A1539">
        <v>146</v>
      </c>
      <c r="B1539" t="s">
        <v>6005</v>
      </c>
      <c r="C1539">
        <v>11</v>
      </c>
      <c r="D1539" t="str">
        <f>INDEX(Table26[Tag_LVL5], MATCH(Table6[[#This Row],[Middle Digit]],Table26[Middle Number],0))</f>
        <v>Equipment Rental</v>
      </c>
      <c r="E1539" t="str">
        <f>RIGHT(Table6[[#This Row],[Middle Digit]],2)</f>
        <v>09</v>
      </c>
    </row>
    <row r="1540" spans="1:5" ht="13.05" hidden="1" x14ac:dyDescent="0.3">
      <c r="A1540">
        <v>147</v>
      </c>
      <c r="B1540" t="s">
        <v>6004</v>
      </c>
      <c r="C1540">
        <v>11</v>
      </c>
      <c r="D1540" t="str">
        <f>INDEX(Table26[Tag_LVL5], MATCH(Table6[[#This Row],[Middle Digit]],Table26[Middle Number],0))</f>
        <v>Directional Drilling &amp; Surveys</v>
      </c>
      <c r="E1540" t="str">
        <f>RIGHT(Table6[[#This Row],[Middle Digit]],2)</f>
        <v>10</v>
      </c>
    </row>
    <row r="1541" spans="1:5" ht="13.05" hidden="1" x14ac:dyDescent="0.3">
      <c r="A1541">
        <v>148</v>
      </c>
      <c r="B1541" t="s">
        <v>6003</v>
      </c>
      <c r="C1541">
        <v>11</v>
      </c>
      <c r="D1541" t="str">
        <f>INDEX(Table26[Tag_LVL5], MATCH(Table6[[#This Row],[Middle Digit]],Table26[Middle Number],0))</f>
        <v>Casing Installation</v>
      </c>
      <c r="E1541" t="str">
        <f>RIGHT(Table6[[#This Row],[Middle Digit]],2)</f>
        <v>11</v>
      </c>
    </row>
    <row r="1542" spans="1:5" ht="13.05" hidden="1" x14ac:dyDescent="0.3">
      <c r="A1542">
        <v>149</v>
      </c>
      <c r="B1542" t="s">
        <v>6002</v>
      </c>
      <c r="C1542">
        <v>11</v>
      </c>
      <c r="D1542" t="str">
        <f>INDEX(Table26[Tag_LVL5], MATCH(Table6[[#This Row],[Middle Digit]],Table26[Middle Number],0))</f>
        <v>Cement, Cementing &amp; Pump Fees</v>
      </c>
      <c r="E1542" t="str">
        <f>RIGHT(Table6[[#This Row],[Middle Digit]],2)</f>
        <v>12</v>
      </c>
    </row>
    <row r="1543" spans="1:5" ht="13.05" hidden="1" x14ac:dyDescent="0.3">
      <c r="A1543">
        <v>150</v>
      </c>
      <c r="B1543" t="s">
        <v>6000</v>
      </c>
      <c r="C1543">
        <v>11</v>
      </c>
      <c r="D1543" t="str">
        <f>INDEX(Table26[Tag_LVL5], MATCH(Table6[[#This Row],[Middle Digit]],Table26[Middle Number],0))</f>
        <v>Mud Logging Service</v>
      </c>
      <c r="E1543" t="str">
        <f>RIGHT(Table6[[#This Row],[Middle Digit]],2)</f>
        <v>13</v>
      </c>
    </row>
    <row r="1544" spans="1:5" ht="13.05" hidden="1" x14ac:dyDescent="0.3">
      <c r="A1544">
        <v>151</v>
      </c>
      <c r="B1544" t="s">
        <v>5999</v>
      </c>
      <c r="C1544">
        <v>11</v>
      </c>
      <c r="D1544" t="str">
        <f>INDEX(Table26[Tag_LVL5], MATCH(Table6[[#This Row],[Middle Digit]],Table26[Middle Number],0))</f>
        <v>Open Hole Electrical Logging Service</v>
      </c>
      <c r="E1544" t="str">
        <f>RIGHT(Table6[[#This Row],[Middle Digit]],2)</f>
        <v>14</v>
      </c>
    </row>
    <row r="1545" spans="1:5" ht="13.05" hidden="1" x14ac:dyDescent="0.3">
      <c r="A1545">
        <v>152</v>
      </c>
      <c r="B1545" t="s">
        <v>5998</v>
      </c>
      <c r="C1545">
        <v>11</v>
      </c>
      <c r="D1545" t="str">
        <f>INDEX(Table26[Tag_LVL5], MATCH(Table6[[#This Row],[Middle Digit]],Table26[Middle Number],0))</f>
        <v>Supervision</v>
      </c>
      <c r="E1545" t="str">
        <f>RIGHT(Table6[[#This Row],[Middle Digit]],2)</f>
        <v>15</v>
      </c>
    </row>
    <row r="1546" spans="1:5" ht="13.05" hidden="1" x14ac:dyDescent="0.3">
      <c r="A1546">
        <v>153</v>
      </c>
      <c r="B1546" t="s">
        <v>5997</v>
      </c>
      <c r="C1546">
        <v>11</v>
      </c>
      <c r="D1546" t="str">
        <f>INDEX(Table26[Tag_LVL5], MATCH(Table6[[#This Row],[Middle Digit]],Table26[Middle Number],0))</f>
        <v>Land Transportation</v>
      </c>
      <c r="E1546" t="str">
        <f>RIGHT(Table6[[#This Row],[Middle Digit]],2)</f>
        <v>16</v>
      </c>
    </row>
    <row r="1547" spans="1:5" ht="13.05" hidden="1" x14ac:dyDescent="0.3">
      <c r="A1547">
        <v>154</v>
      </c>
      <c r="B1547" t="s">
        <v>5996</v>
      </c>
      <c r="C1547">
        <v>11</v>
      </c>
      <c r="D1547" t="str">
        <f>INDEX(Table26[Tag_LVL5], MATCH(Table6[[#This Row],[Middle Digit]],Table26[Middle Number],0))</f>
        <v>Other Transportation</v>
      </c>
      <c r="E1547" t="str">
        <f>RIGHT(Table6[[#This Row],[Middle Digit]],2)</f>
        <v>17</v>
      </c>
    </row>
    <row r="1548" spans="1:5" ht="13.05" hidden="1" x14ac:dyDescent="0.3">
      <c r="A1548">
        <v>155</v>
      </c>
      <c r="B1548" t="s">
        <v>5995</v>
      </c>
      <c r="C1548">
        <v>11</v>
      </c>
      <c r="D1548" t="str">
        <f>INDEX(Table26[Tag_LVL5], MATCH(Table6[[#This Row],[Middle Digit]],Table26[Middle Number],0))</f>
        <v>Drilling Safety, Health &amp; Environment</v>
      </c>
      <c r="E1548" t="str">
        <f>RIGHT(Table6[[#This Row],[Middle Digit]],2)</f>
        <v>20</v>
      </c>
    </row>
    <row r="1549" spans="1:5" ht="13.05" hidden="1" x14ac:dyDescent="0.3">
      <c r="A1549">
        <v>156</v>
      </c>
      <c r="B1549" t="s">
        <v>5989</v>
      </c>
      <c r="C1549">
        <v>11</v>
      </c>
      <c r="D1549" t="str">
        <f>INDEX(Table26[Tag_LVL5], MATCH(Table6[[#This Row],[Middle Digit]],Table26[Middle Number],0))</f>
        <v>Explosive Handling &amp; Permitting</v>
      </c>
      <c r="E1549" t="str">
        <f>RIGHT(Table6[[#This Row],[Middle Digit]],2)</f>
        <v>24</v>
      </c>
    </row>
    <row r="1550" spans="1:5" ht="13.05" hidden="1" x14ac:dyDescent="0.3">
      <c r="A1550">
        <v>157</v>
      </c>
      <c r="B1550" t="s">
        <v>6163</v>
      </c>
      <c r="C1550">
        <v>11</v>
      </c>
      <c r="D1550" t="str">
        <f>INDEX(Table26[Tag_LVL5], MATCH(Table6[[#This Row],[Middle Digit]],Table26[Middle Number],0))</f>
        <v>Drilling Rig O&amp;M</v>
      </c>
      <c r="E1550" t="str">
        <f>RIGHT(Table6[[#This Row],[Middle Digit]],2)</f>
        <v>45</v>
      </c>
    </row>
    <row r="1551" spans="1:5" ht="13.05" hidden="1" x14ac:dyDescent="0.3">
      <c r="A1551">
        <v>158</v>
      </c>
      <c r="B1551" t="s">
        <v>6001</v>
      </c>
      <c r="C1551">
        <v>11</v>
      </c>
      <c r="D1551" t="str">
        <f>INDEX(Table26[Tag_LVL5], MATCH(Table6[[#This Row],[Middle Digit]],Table26[Middle Number],0))</f>
        <v>Coring</v>
      </c>
      <c r="E1551" t="str">
        <f>RIGHT(Table6[[#This Row],[Middle Digit]],2)</f>
        <v>47</v>
      </c>
    </row>
    <row r="1552" spans="1:5" ht="13.05" hidden="1" x14ac:dyDescent="0.3">
      <c r="A1552">
        <v>159</v>
      </c>
      <c r="B1552" t="s">
        <v>5994</v>
      </c>
      <c r="C1552">
        <v>11</v>
      </c>
      <c r="D1552" t="str">
        <f>INDEX(Table26[Tag_LVL5], MATCH(Table6[[#This Row],[Middle Digit]],Table26[Middle Number],0))</f>
        <v>NDT Inspection</v>
      </c>
      <c r="E1552" t="str">
        <f>RIGHT(Table6[[#This Row],[Middle Digit]],2)</f>
        <v>94</v>
      </c>
    </row>
    <row r="1553" spans="1:5" ht="13.05" hidden="1" x14ac:dyDescent="0.3">
      <c r="A1553">
        <v>160</v>
      </c>
      <c r="B1553" t="s">
        <v>5993</v>
      </c>
      <c r="C1553">
        <v>11</v>
      </c>
      <c r="D1553" t="str">
        <f>INDEX(Table26[Tag_LVL5], MATCH(Table6[[#This Row],[Middle Digit]],Table26[Middle Number],0))</f>
        <v>Rig Inspection</v>
      </c>
      <c r="E1553" t="str">
        <f>RIGHT(Table6[[#This Row],[Middle Digit]],2)</f>
        <v>95</v>
      </c>
    </row>
    <row r="1554" spans="1:5" ht="13.05" hidden="1" x14ac:dyDescent="0.3">
      <c r="A1554">
        <v>161</v>
      </c>
      <c r="B1554" t="s">
        <v>5992</v>
      </c>
      <c r="C1554">
        <v>11</v>
      </c>
      <c r="D1554" t="str">
        <f>INDEX(Table26[Tag_LVL5], MATCH(Table6[[#This Row],[Middle Digit]],Table26[Middle Number],0))</f>
        <v>Vehicle Inspection</v>
      </c>
      <c r="E1554" t="str">
        <f>RIGHT(Table6[[#This Row],[Middle Digit]],2)</f>
        <v>96</v>
      </c>
    </row>
    <row r="1555" spans="1:5" ht="13.05" hidden="1" x14ac:dyDescent="0.3">
      <c r="A1555">
        <v>162</v>
      </c>
      <c r="B1555" t="s">
        <v>5991</v>
      </c>
      <c r="C1555">
        <v>11</v>
      </c>
      <c r="D1555" t="str">
        <f>INDEX(Table26[Tag_LVL5], MATCH(Table6[[#This Row],[Middle Digit]],Table26[Middle Number],0))</f>
        <v>Welding Service</v>
      </c>
      <c r="E1555" t="str">
        <f>RIGHT(Table6[[#This Row],[Middle Digit]],2)</f>
        <v>97</v>
      </c>
    </row>
    <row r="1556" spans="1:5" ht="13.05" hidden="1" x14ac:dyDescent="0.3">
      <c r="A1556">
        <v>163</v>
      </c>
      <c r="B1556" t="s">
        <v>5990</v>
      </c>
      <c r="C1556">
        <v>11</v>
      </c>
      <c r="D1556" t="str">
        <f>INDEX(Table26[Tag_LVL5], MATCH(Table6[[#This Row],[Middle Digit]],Table26[Middle Number],0))</f>
        <v>API non API Machine Shop Service</v>
      </c>
      <c r="E1556" t="str">
        <f>RIGHT(Table6[[#This Row],[Middle Digit]],2)</f>
        <v>98</v>
      </c>
    </row>
    <row r="1557" spans="1:5" ht="13.05" hidden="1" x14ac:dyDescent="0.3">
      <c r="A1557">
        <v>164</v>
      </c>
      <c r="B1557" t="s">
        <v>6015</v>
      </c>
      <c r="C1557">
        <v>11</v>
      </c>
      <c r="D1557" t="str">
        <f>INDEX(Table26[Tag_LVL5], MATCH(Table6[[#This Row],[Middle Digit]],Table26[Middle Number],0))</f>
        <v>Casing</v>
      </c>
      <c r="E1557" t="str">
        <f>RIGHT(Table6[[#This Row],[Middle Digit]],2)</f>
        <v>01</v>
      </c>
    </row>
    <row r="1558" spans="1:5" ht="13.05" hidden="1" x14ac:dyDescent="0.3">
      <c r="A1558">
        <v>165</v>
      </c>
      <c r="B1558" t="s">
        <v>6014</v>
      </c>
      <c r="C1558">
        <v>11</v>
      </c>
      <c r="D1558" t="str">
        <f>INDEX(Table26[Tag_LVL5], MATCH(Table6[[#This Row],[Middle Digit]],Table26[Middle Number],0))</f>
        <v>Equipment Rental</v>
      </c>
      <c r="E1558" t="str">
        <f>RIGHT(Table6[[#This Row],[Middle Digit]],2)</f>
        <v>02</v>
      </c>
    </row>
    <row r="1559" spans="1:5" ht="13.05" hidden="1" x14ac:dyDescent="0.3">
      <c r="A1559">
        <v>166</v>
      </c>
      <c r="B1559" t="s">
        <v>6013</v>
      </c>
      <c r="C1559">
        <v>11</v>
      </c>
      <c r="D1559" t="str">
        <f>INDEX(Table26[Tag_LVL5], MATCH(Table6[[#This Row],[Middle Digit]],Table26[Middle Number],0))</f>
        <v>Fuel &amp; Lubricants</v>
      </c>
      <c r="E1559" t="str">
        <f>RIGHT(Table6[[#This Row],[Middle Digit]],2)</f>
        <v>18</v>
      </c>
    </row>
    <row r="1560" spans="1:5" ht="13.05" hidden="1" x14ac:dyDescent="0.3">
      <c r="A1560">
        <v>167</v>
      </c>
      <c r="B1560" t="s">
        <v>6011</v>
      </c>
      <c r="C1560">
        <v>11</v>
      </c>
      <c r="D1560" t="str">
        <f>INDEX(Table26[Tag_LVL5], MATCH(Table6[[#This Row],[Middle Digit]],Table26[Middle Number],0))</f>
        <v>Casing Repair &amp; Modif</v>
      </c>
      <c r="E1560" t="str">
        <f>RIGHT(Table6[[#This Row],[Middle Digit]],2)</f>
        <v>62</v>
      </c>
    </row>
    <row r="1561" spans="1:5" ht="13.05" hidden="1" x14ac:dyDescent="0.3">
      <c r="A1561">
        <v>168</v>
      </c>
      <c r="B1561" t="s">
        <v>6012</v>
      </c>
      <c r="C1561">
        <v>11</v>
      </c>
      <c r="D1561" t="str">
        <f>INDEX(Table26[Tag_LVL5], MATCH(Table6[[#This Row],[Middle Digit]],Table26[Middle Number],0))</f>
        <v>Asset Transfer</v>
      </c>
      <c r="E1561" t="str">
        <f>RIGHT(Table6[[#This Row],[Middle Digit]],2)</f>
        <v>93</v>
      </c>
    </row>
    <row r="1562" spans="1:5" ht="13.05" hidden="1" x14ac:dyDescent="0.3">
      <c r="A1562">
        <v>169</v>
      </c>
      <c r="B1562" t="s">
        <v>6164</v>
      </c>
      <c r="C1562">
        <v>11</v>
      </c>
      <c r="D1562" t="str">
        <f>INDEX(Table26[Tag_LVL5], MATCH(Table6[[#This Row],[Middle Digit]],Table26[Middle Number],0))</f>
        <v>Consumables</v>
      </c>
      <c r="E1562" t="str">
        <f>RIGHT(Table6[[#This Row],[Middle Digit]],2)</f>
        <v>60</v>
      </c>
    </row>
    <row r="1563" spans="1:5" ht="13.05" hidden="1" x14ac:dyDescent="0.3">
      <c r="A1563">
        <v>170</v>
      </c>
      <c r="B1563" t="s">
        <v>6165</v>
      </c>
      <c r="C1563">
        <v>11</v>
      </c>
      <c r="D1563" t="str">
        <f>INDEX(Table26[Tag_LVL5], MATCH(Table6[[#This Row],[Middle Digit]],Table26[Middle Number],0))</f>
        <v>Service Lines &amp; Communication</v>
      </c>
      <c r="E1563" t="str">
        <f>RIGHT(Table6[[#This Row],[Middle Digit]],2)</f>
        <v>04</v>
      </c>
    </row>
    <row r="1564" spans="1:5" ht="13.05" hidden="1" x14ac:dyDescent="0.3">
      <c r="A1564">
        <v>171</v>
      </c>
      <c r="B1564" t="s">
        <v>6166</v>
      </c>
      <c r="C1564">
        <v>11</v>
      </c>
      <c r="D1564" t="str">
        <f>INDEX(Table26[Tag_LVL5], MATCH(Table6[[#This Row],[Middle Digit]],Table26[Middle Number],0))</f>
        <v>Contract Rig</v>
      </c>
      <c r="E1564" t="str">
        <f>RIGHT(Table6[[#This Row],[Middle Digit]],2)</f>
        <v>05</v>
      </c>
    </row>
    <row r="1565" spans="1:5" ht="13.05" hidden="1" x14ac:dyDescent="0.3">
      <c r="A1565">
        <v>172</v>
      </c>
      <c r="B1565" t="s">
        <v>6167</v>
      </c>
      <c r="C1565">
        <v>11</v>
      </c>
      <c r="D1565" t="str">
        <f>INDEX(Table26[Tag_LVL5], MATCH(Table6[[#This Row],[Middle Digit]],Table26[Middle Number],0))</f>
        <v>Mud, Chemical and Engineering Service</v>
      </c>
      <c r="E1565" t="str">
        <f>RIGHT(Table6[[#This Row],[Middle Digit]],2)</f>
        <v>07</v>
      </c>
    </row>
    <row r="1566" spans="1:5" x14ac:dyDescent="0.3">
      <c r="A1566">
        <v>173</v>
      </c>
      <c r="B1566" t="s">
        <v>6168</v>
      </c>
      <c r="C1566">
        <v>11</v>
      </c>
      <c r="D1566" t="str">
        <f>INDEX(Table26[Tag_LVL5], MATCH(Table6[[#This Row],[Middle Digit]],Table26[Middle Number],0))</f>
        <v>Bits, Reamer and Core heads</v>
      </c>
      <c r="E1566" t="str">
        <f>RIGHT(Table6[[#This Row],[Middle Digit]],2)</f>
        <v>08</v>
      </c>
    </row>
    <row r="1567" spans="1:5" ht="13.05" hidden="1" x14ac:dyDescent="0.3">
      <c r="A1567">
        <v>174</v>
      </c>
      <c r="B1567" t="s">
        <v>6169</v>
      </c>
      <c r="C1567">
        <v>11</v>
      </c>
      <c r="D1567" t="str">
        <f>INDEX(Table26[Tag_LVL5], MATCH(Table6[[#This Row],[Middle Digit]],Table26[Middle Number],0))</f>
        <v>Equipment Rental</v>
      </c>
      <c r="E1567" t="str">
        <f>RIGHT(Table6[[#This Row],[Middle Digit]],2)</f>
        <v>09</v>
      </c>
    </row>
    <row r="1568" spans="1:5" ht="13.05" hidden="1" x14ac:dyDescent="0.3">
      <c r="A1568">
        <v>175</v>
      </c>
      <c r="B1568" t="s">
        <v>6170</v>
      </c>
      <c r="C1568">
        <v>11</v>
      </c>
      <c r="D1568" t="str">
        <f>INDEX(Table26[Tag_LVL5], MATCH(Table6[[#This Row],[Middle Digit]],Table26[Middle Number],0))</f>
        <v>Directional Drilling &amp; Surveys</v>
      </c>
      <c r="E1568" t="str">
        <f>RIGHT(Table6[[#This Row],[Middle Digit]],2)</f>
        <v>10</v>
      </c>
    </row>
    <row r="1569" spans="1:5" ht="13.05" hidden="1" x14ac:dyDescent="0.3">
      <c r="A1569">
        <v>176</v>
      </c>
      <c r="B1569" t="s">
        <v>6171</v>
      </c>
      <c r="C1569">
        <v>11</v>
      </c>
      <c r="D1569" t="str">
        <f>INDEX(Table26[Tag_LVL5], MATCH(Table6[[#This Row],[Middle Digit]],Table26[Middle Number],0))</f>
        <v>Casing Installation</v>
      </c>
      <c r="E1569" t="str">
        <f>RIGHT(Table6[[#This Row],[Middle Digit]],2)</f>
        <v>11</v>
      </c>
    </row>
    <row r="1570" spans="1:5" ht="13.05" hidden="1" x14ac:dyDescent="0.3">
      <c r="A1570">
        <v>177</v>
      </c>
      <c r="B1570" t="s">
        <v>6172</v>
      </c>
      <c r="C1570">
        <v>11</v>
      </c>
      <c r="D1570" t="str">
        <f>INDEX(Table26[Tag_LVL5], MATCH(Table6[[#This Row],[Middle Digit]],Table26[Middle Number],0))</f>
        <v>Cement, Cementing &amp; Pump Fees</v>
      </c>
      <c r="E1570" t="str">
        <f>RIGHT(Table6[[#This Row],[Middle Digit]],2)</f>
        <v>12</v>
      </c>
    </row>
    <row r="1571" spans="1:5" ht="13.05" hidden="1" x14ac:dyDescent="0.3">
      <c r="A1571">
        <v>178</v>
      </c>
      <c r="B1571" t="s">
        <v>6173</v>
      </c>
      <c r="C1571">
        <v>11</v>
      </c>
      <c r="D1571" t="str">
        <f>INDEX(Table26[Tag_LVL5], MATCH(Table6[[#This Row],[Middle Digit]],Table26[Middle Number],0))</f>
        <v>Mud Logging Service</v>
      </c>
      <c r="E1571" t="str">
        <f>RIGHT(Table6[[#This Row],[Middle Digit]],2)</f>
        <v>13</v>
      </c>
    </row>
    <row r="1572" spans="1:5" ht="13.05" hidden="1" x14ac:dyDescent="0.3">
      <c r="A1572">
        <v>179</v>
      </c>
      <c r="B1572" t="s">
        <v>6174</v>
      </c>
      <c r="C1572">
        <v>11</v>
      </c>
      <c r="D1572" t="str">
        <f>INDEX(Table26[Tag_LVL5], MATCH(Table6[[#This Row],[Middle Digit]],Table26[Middle Number],0))</f>
        <v>Open Hole Electrical Logging Service</v>
      </c>
      <c r="E1572" t="str">
        <f>RIGHT(Table6[[#This Row],[Middle Digit]],2)</f>
        <v>14</v>
      </c>
    </row>
    <row r="1573" spans="1:5" ht="13.05" hidden="1" x14ac:dyDescent="0.3">
      <c r="A1573">
        <v>180</v>
      </c>
      <c r="B1573" t="s">
        <v>6175</v>
      </c>
      <c r="C1573">
        <v>11</v>
      </c>
      <c r="D1573" t="str">
        <f>INDEX(Table26[Tag_LVL5], MATCH(Table6[[#This Row],[Middle Digit]],Table26[Middle Number],0))</f>
        <v>Supervision</v>
      </c>
      <c r="E1573" t="str">
        <f>RIGHT(Table6[[#This Row],[Middle Digit]],2)</f>
        <v>15</v>
      </c>
    </row>
    <row r="1574" spans="1:5" ht="13.05" hidden="1" x14ac:dyDescent="0.3">
      <c r="A1574">
        <v>181</v>
      </c>
      <c r="B1574" t="s">
        <v>6176</v>
      </c>
      <c r="C1574">
        <v>11</v>
      </c>
      <c r="D1574" t="str">
        <f>INDEX(Table26[Tag_LVL5], MATCH(Table6[[#This Row],[Middle Digit]],Table26[Middle Number],0))</f>
        <v>Land Transportation</v>
      </c>
      <c r="E1574" t="str">
        <f>RIGHT(Table6[[#This Row],[Middle Digit]],2)</f>
        <v>16</v>
      </c>
    </row>
    <row r="1575" spans="1:5" ht="13.05" hidden="1" x14ac:dyDescent="0.3">
      <c r="A1575">
        <v>182</v>
      </c>
      <c r="B1575" t="s">
        <v>6177</v>
      </c>
      <c r="C1575">
        <v>11</v>
      </c>
      <c r="D1575" t="str">
        <f>INDEX(Table26[Tag_LVL5], MATCH(Table6[[#This Row],[Middle Digit]],Table26[Middle Number],0))</f>
        <v>Other Transportation</v>
      </c>
      <c r="E1575" t="str">
        <f>RIGHT(Table6[[#This Row],[Middle Digit]],2)</f>
        <v>17</v>
      </c>
    </row>
    <row r="1576" spans="1:5" ht="13.05" hidden="1" x14ac:dyDescent="0.3">
      <c r="A1576">
        <v>183</v>
      </c>
      <c r="B1576" t="s">
        <v>6178</v>
      </c>
      <c r="C1576">
        <v>11</v>
      </c>
      <c r="D1576" t="str">
        <f>INDEX(Table26[Tag_LVL5], MATCH(Table6[[#This Row],[Middle Digit]],Table26[Middle Number],0))</f>
        <v>Drilling Safety, Health &amp; Environment</v>
      </c>
      <c r="E1576" t="str">
        <f>RIGHT(Table6[[#This Row],[Middle Digit]],2)</f>
        <v>20</v>
      </c>
    </row>
    <row r="1577" spans="1:5" ht="13.05" hidden="1" x14ac:dyDescent="0.3">
      <c r="A1577">
        <v>184</v>
      </c>
      <c r="B1577" t="s">
        <v>6179</v>
      </c>
      <c r="C1577">
        <v>11</v>
      </c>
      <c r="D1577" t="str">
        <f>INDEX(Table26[Tag_LVL5], MATCH(Table6[[#This Row],[Middle Digit]],Table26[Middle Number],0))</f>
        <v>Explosive Handling &amp; Permitting</v>
      </c>
      <c r="E1577" t="str">
        <f>RIGHT(Table6[[#This Row],[Middle Digit]],2)</f>
        <v>24</v>
      </c>
    </row>
    <row r="1578" spans="1:5" ht="13.05" hidden="1" x14ac:dyDescent="0.3">
      <c r="A1578">
        <v>185</v>
      </c>
      <c r="B1578" t="s">
        <v>6180</v>
      </c>
      <c r="C1578">
        <v>11</v>
      </c>
      <c r="D1578" t="str">
        <f>INDEX(Table26[Tag_LVL5], MATCH(Table6[[#This Row],[Middle Digit]],Table26[Middle Number],0))</f>
        <v>Drilling Rig O&amp;M</v>
      </c>
      <c r="E1578" t="str">
        <f>RIGHT(Table6[[#This Row],[Middle Digit]],2)</f>
        <v>45</v>
      </c>
    </row>
    <row r="1579" spans="1:5" ht="13.05" hidden="1" x14ac:dyDescent="0.3">
      <c r="A1579">
        <v>186</v>
      </c>
      <c r="B1579" t="s">
        <v>6181</v>
      </c>
      <c r="C1579">
        <v>11</v>
      </c>
      <c r="D1579" t="str">
        <f>INDEX(Table26[Tag_LVL5], MATCH(Table6[[#This Row],[Middle Digit]],Table26[Middle Number],0))</f>
        <v>Coring</v>
      </c>
      <c r="E1579" t="str">
        <f>RIGHT(Table6[[#This Row],[Middle Digit]],2)</f>
        <v>47</v>
      </c>
    </row>
    <row r="1580" spans="1:5" ht="13.05" hidden="1" x14ac:dyDescent="0.3">
      <c r="A1580">
        <v>187</v>
      </c>
      <c r="B1580" t="s">
        <v>6182</v>
      </c>
      <c r="C1580">
        <v>11</v>
      </c>
      <c r="D1580" t="str">
        <f>INDEX(Table26[Tag_LVL5], MATCH(Table6[[#This Row],[Middle Digit]],Table26[Middle Number],0))</f>
        <v>NDT Inspection</v>
      </c>
      <c r="E1580" t="str">
        <f>RIGHT(Table6[[#This Row],[Middle Digit]],2)</f>
        <v>94</v>
      </c>
    </row>
    <row r="1581" spans="1:5" ht="13.05" hidden="1" x14ac:dyDescent="0.3">
      <c r="A1581">
        <v>188</v>
      </c>
      <c r="B1581" t="s">
        <v>6183</v>
      </c>
      <c r="C1581">
        <v>11</v>
      </c>
      <c r="D1581" t="str">
        <f>INDEX(Table26[Tag_LVL5], MATCH(Table6[[#This Row],[Middle Digit]],Table26[Middle Number],0))</f>
        <v>Rig Inspection</v>
      </c>
      <c r="E1581" t="str">
        <f>RIGHT(Table6[[#This Row],[Middle Digit]],2)</f>
        <v>95</v>
      </c>
    </row>
    <row r="1582" spans="1:5" ht="13.05" hidden="1" x14ac:dyDescent="0.3">
      <c r="A1582">
        <v>189</v>
      </c>
      <c r="B1582" t="s">
        <v>6184</v>
      </c>
      <c r="C1582">
        <v>11</v>
      </c>
      <c r="D1582" t="str">
        <f>INDEX(Table26[Tag_LVL5], MATCH(Table6[[#This Row],[Middle Digit]],Table26[Middle Number],0))</f>
        <v>Vehicle Inspection</v>
      </c>
      <c r="E1582" t="str">
        <f>RIGHT(Table6[[#This Row],[Middle Digit]],2)</f>
        <v>96</v>
      </c>
    </row>
    <row r="1583" spans="1:5" ht="13.05" hidden="1" x14ac:dyDescent="0.3">
      <c r="A1583">
        <v>190</v>
      </c>
      <c r="B1583" t="s">
        <v>6185</v>
      </c>
      <c r="C1583">
        <v>11</v>
      </c>
      <c r="D1583" t="str">
        <f>INDEX(Table26[Tag_LVL5], MATCH(Table6[[#This Row],[Middle Digit]],Table26[Middle Number],0))</f>
        <v>Welding Service</v>
      </c>
      <c r="E1583" t="str">
        <f>RIGHT(Table6[[#This Row],[Middle Digit]],2)</f>
        <v>97</v>
      </c>
    </row>
    <row r="1584" spans="1:5" ht="13.05" hidden="1" x14ac:dyDescent="0.3">
      <c r="A1584">
        <v>191</v>
      </c>
      <c r="B1584" t="s">
        <v>6186</v>
      </c>
      <c r="C1584">
        <v>11</v>
      </c>
      <c r="D1584" t="str">
        <f>INDEX(Table26[Tag_LVL5], MATCH(Table6[[#This Row],[Middle Digit]],Table26[Middle Number],0))</f>
        <v>API non API Machine Shop Service</v>
      </c>
      <c r="E1584" t="str">
        <f>RIGHT(Table6[[#This Row],[Middle Digit]],2)</f>
        <v>98</v>
      </c>
    </row>
    <row r="1585" spans="1:5" ht="13.05" hidden="1" x14ac:dyDescent="0.3">
      <c r="A1585">
        <v>192</v>
      </c>
      <c r="B1585" t="s">
        <v>6187</v>
      </c>
      <c r="C1585">
        <v>11</v>
      </c>
      <c r="D1585" t="str">
        <f>INDEX(Table26[Tag_LVL5], MATCH(Table6[[#This Row],[Middle Digit]],Table26[Middle Number],0))</f>
        <v>Casing</v>
      </c>
      <c r="E1585" t="str">
        <f>RIGHT(Table6[[#This Row],[Middle Digit]],2)</f>
        <v>01</v>
      </c>
    </row>
    <row r="1586" spans="1:5" ht="13.05" hidden="1" x14ac:dyDescent="0.3">
      <c r="A1586">
        <v>193</v>
      </c>
      <c r="B1586" t="s">
        <v>6188</v>
      </c>
      <c r="C1586">
        <v>11</v>
      </c>
      <c r="D1586" t="str">
        <f>INDEX(Table26[Tag_LVL5], MATCH(Table6[[#This Row],[Middle Digit]],Table26[Middle Number],0))</f>
        <v>Well Equipment Surface</v>
      </c>
      <c r="E1586" t="str">
        <f>RIGHT(Table6[[#This Row],[Middle Digit]],2)</f>
        <v>02</v>
      </c>
    </row>
    <row r="1587" spans="1:5" ht="13.05" hidden="1" x14ac:dyDescent="0.3">
      <c r="A1587">
        <v>194</v>
      </c>
      <c r="B1587" t="s">
        <v>6189</v>
      </c>
      <c r="C1587">
        <v>11</v>
      </c>
      <c r="D1587" t="str">
        <f>INDEX(Table26[Tag_LVL5], MATCH(Table6[[#This Row],[Middle Digit]],Table26[Middle Number],0))</f>
        <v>Fuel &amp; Lubricants</v>
      </c>
      <c r="E1587" t="str">
        <f>RIGHT(Table6[[#This Row],[Middle Digit]],2)</f>
        <v>18</v>
      </c>
    </row>
    <row r="1588" spans="1:5" ht="13.05" hidden="1" x14ac:dyDescent="0.3">
      <c r="A1588">
        <v>195</v>
      </c>
      <c r="B1588" t="s">
        <v>6190</v>
      </c>
      <c r="C1588">
        <v>11</v>
      </c>
      <c r="D1588" t="str">
        <f>INDEX(Table26[Tag_LVL5], MATCH(Table6[[#This Row],[Middle Digit]],Table26[Middle Number],0))</f>
        <v>Casing Repair &amp; Modif</v>
      </c>
      <c r="E1588" t="str">
        <f>RIGHT(Table6[[#This Row],[Middle Digit]],2)</f>
        <v>62</v>
      </c>
    </row>
    <row r="1589" spans="1:5" ht="13.05" hidden="1" x14ac:dyDescent="0.3">
      <c r="A1589">
        <v>196</v>
      </c>
      <c r="B1589" t="s">
        <v>6191</v>
      </c>
      <c r="C1589">
        <v>11</v>
      </c>
      <c r="D1589" t="str">
        <f>INDEX(Table26[Tag_LVL5], MATCH(Table6[[#This Row],[Middle Digit]],Table26[Middle Number],0))</f>
        <v>Asset Transfer</v>
      </c>
      <c r="E1589" t="str">
        <f>RIGHT(Table6[[#This Row],[Middle Digit]],2)</f>
        <v>93</v>
      </c>
    </row>
    <row r="1590" spans="1:5" ht="13.05" hidden="1" x14ac:dyDescent="0.3">
      <c r="A1590">
        <v>197</v>
      </c>
      <c r="B1590" t="s">
        <v>6192</v>
      </c>
      <c r="C1590">
        <v>11</v>
      </c>
      <c r="D1590" t="str">
        <f>INDEX(Table26[Tag_LVL5], MATCH(Table6[[#This Row],[Middle Digit]],Table26[Middle Number],0))</f>
        <v>Consumables</v>
      </c>
      <c r="E1590" t="str">
        <f>RIGHT(Table6[[#This Row],[Middle Digit]],2)</f>
        <v>60</v>
      </c>
    </row>
    <row r="1591" spans="1:5" ht="13.05" hidden="1" x14ac:dyDescent="0.3">
      <c r="A1591">
        <v>198</v>
      </c>
      <c r="B1591" t="s">
        <v>6193</v>
      </c>
      <c r="C1591">
        <v>11</v>
      </c>
      <c r="D1591" t="str">
        <f>INDEX(Table26[Tag_LVL5], MATCH(Table6[[#This Row],[Middle Digit]],Table26[Middle Number],0))</f>
        <v>Service Lines &amp; Communication</v>
      </c>
      <c r="E1591" t="str">
        <f>RIGHT(Table6[[#This Row],[Middle Digit]],2)</f>
        <v>04</v>
      </c>
    </row>
    <row r="1592" spans="1:5" ht="13.05" hidden="1" x14ac:dyDescent="0.3">
      <c r="A1592">
        <v>199</v>
      </c>
      <c r="B1592" t="s">
        <v>6194</v>
      </c>
      <c r="C1592">
        <v>11</v>
      </c>
      <c r="D1592" t="str">
        <f>INDEX(Table26[Tag_LVL5], MATCH(Table6[[#This Row],[Middle Digit]],Table26[Middle Number],0))</f>
        <v>Contract Rig</v>
      </c>
      <c r="E1592" t="str">
        <f>RIGHT(Table6[[#This Row],[Middle Digit]],2)</f>
        <v>05</v>
      </c>
    </row>
    <row r="1593" spans="1:5" ht="13.05" hidden="1" x14ac:dyDescent="0.3">
      <c r="A1593">
        <v>200</v>
      </c>
      <c r="B1593" t="s">
        <v>6195</v>
      </c>
      <c r="C1593">
        <v>11</v>
      </c>
      <c r="D1593" t="str">
        <f>INDEX(Table26[Tag_LVL5], MATCH(Table6[[#This Row],[Middle Digit]],Table26[Middle Number],0))</f>
        <v>Mud, Chemical and Engineering Service</v>
      </c>
      <c r="E1593" t="str">
        <f>RIGHT(Table6[[#This Row],[Middle Digit]],2)</f>
        <v>07</v>
      </c>
    </row>
    <row r="1594" spans="1:5" x14ac:dyDescent="0.3">
      <c r="A1594">
        <v>201</v>
      </c>
      <c r="B1594" t="s">
        <v>6196</v>
      </c>
      <c r="C1594">
        <v>11</v>
      </c>
      <c r="D1594" t="str">
        <f>INDEX(Table26[Tag_LVL5], MATCH(Table6[[#This Row],[Middle Digit]],Table26[Middle Number],0))</f>
        <v>Bits, Reamer and Core heads</v>
      </c>
      <c r="E1594" t="str">
        <f>RIGHT(Table6[[#This Row],[Middle Digit]],2)</f>
        <v>08</v>
      </c>
    </row>
    <row r="1595" spans="1:5" ht="13.05" hidden="1" x14ac:dyDescent="0.3">
      <c r="A1595">
        <v>202</v>
      </c>
      <c r="B1595" t="s">
        <v>6197</v>
      </c>
      <c r="C1595">
        <v>11</v>
      </c>
      <c r="D1595" t="str">
        <f>INDEX(Table26[Tag_LVL5], MATCH(Table6[[#This Row],[Middle Digit]],Table26[Middle Number],0))</f>
        <v>Equipment Rental</v>
      </c>
      <c r="E1595" t="str">
        <f>RIGHT(Table6[[#This Row],[Middle Digit]],2)</f>
        <v>09</v>
      </c>
    </row>
    <row r="1596" spans="1:5" ht="13.05" hidden="1" x14ac:dyDescent="0.3">
      <c r="A1596">
        <v>203</v>
      </c>
      <c r="B1596" t="s">
        <v>6198</v>
      </c>
      <c r="C1596">
        <v>11</v>
      </c>
      <c r="D1596" t="str">
        <f>INDEX(Table26[Tag_LVL5], MATCH(Table6[[#This Row],[Middle Digit]],Table26[Middle Number],0))</f>
        <v>Directional Drilling &amp; Surveys</v>
      </c>
      <c r="E1596" t="str">
        <f>RIGHT(Table6[[#This Row],[Middle Digit]],2)</f>
        <v>10</v>
      </c>
    </row>
    <row r="1597" spans="1:5" ht="13.05" hidden="1" x14ac:dyDescent="0.3">
      <c r="A1597">
        <v>204</v>
      </c>
      <c r="B1597" t="s">
        <v>6199</v>
      </c>
      <c r="C1597">
        <v>11</v>
      </c>
      <c r="D1597" t="str">
        <f>INDEX(Table26[Tag_LVL5], MATCH(Table6[[#This Row],[Middle Digit]],Table26[Middle Number],0))</f>
        <v>Casing Installation</v>
      </c>
      <c r="E1597" t="str">
        <f>RIGHT(Table6[[#This Row],[Middle Digit]],2)</f>
        <v>11</v>
      </c>
    </row>
    <row r="1598" spans="1:5" ht="13.05" hidden="1" x14ac:dyDescent="0.3">
      <c r="A1598">
        <v>205</v>
      </c>
      <c r="B1598" t="s">
        <v>6200</v>
      </c>
      <c r="C1598">
        <v>11</v>
      </c>
      <c r="D1598" t="str">
        <f>INDEX(Table26[Tag_LVL5], MATCH(Table6[[#This Row],[Middle Digit]],Table26[Middle Number],0))</f>
        <v>Cement, Cementing &amp; Pump Fees</v>
      </c>
      <c r="E1598" t="str">
        <f>RIGHT(Table6[[#This Row],[Middle Digit]],2)</f>
        <v>12</v>
      </c>
    </row>
    <row r="1599" spans="1:5" ht="13.05" hidden="1" x14ac:dyDescent="0.3">
      <c r="A1599">
        <v>206</v>
      </c>
      <c r="B1599" t="s">
        <v>6201</v>
      </c>
      <c r="C1599">
        <v>11</v>
      </c>
      <c r="D1599" t="str">
        <f>INDEX(Table26[Tag_LVL5], MATCH(Table6[[#This Row],[Middle Digit]],Table26[Middle Number],0))</f>
        <v>Mud Logging Service</v>
      </c>
      <c r="E1599" t="str">
        <f>RIGHT(Table6[[#This Row],[Middle Digit]],2)</f>
        <v>13</v>
      </c>
    </row>
    <row r="1600" spans="1:5" ht="13.05" hidden="1" x14ac:dyDescent="0.3">
      <c r="A1600">
        <v>207</v>
      </c>
      <c r="B1600" t="s">
        <v>6202</v>
      </c>
      <c r="C1600">
        <v>11</v>
      </c>
      <c r="D1600" t="str">
        <f>INDEX(Table26[Tag_LVL5], MATCH(Table6[[#This Row],[Middle Digit]],Table26[Middle Number],0))</f>
        <v>Open Hole Electrical Logging Service</v>
      </c>
      <c r="E1600" t="str">
        <f>RIGHT(Table6[[#This Row],[Middle Digit]],2)</f>
        <v>14</v>
      </c>
    </row>
    <row r="1601" spans="1:5" ht="13.05" hidden="1" x14ac:dyDescent="0.3">
      <c r="A1601">
        <v>208</v>
      </c>
      <c r="B1601" t="s">
        <v>6203</v>
      </c>
      <c r="C1601">
        <v>11</v>
      </c>
      <c r="D1601" t="str">
        <f>INDEX(Table26[Tag_LVL5], MATCH(Table6[[#This Row],[Middle Digit]],Table26[Middle Number],0))</f>
        <v>Supervision</v>
      </c>
      <c r="E1601" t="str">
        <f>RIGHT(Table6[[#This Row],[Middle Digit]],2)</f>
        <v>15</v>
      </c>
    </row>
    <row r="1602" spans="1:5" ht="13.05" hidden="1" x14ac:dyDescent="0.3">
      <c r="A1602">
        <v>209</v>
      </c>
      <c r="B1602" t="s">
        <v>6204</v>
      </c>
      <c r="C1602">
        <v>11</v>
      </c>
      <c r="D1602" t="str">
        <f>INDEX(Table26[Tag_LVL5], MATCH(Table6[[#This Row],[Middle Digit]],Table26[Middle Number],0))</f>
        <v>Land Transportation</v>
      </c>
      <c r="E1602" t="str">
        <f>RIGHT(Table6[[#This Row],[Middle Digit]],2)</f>
        <v>16</v>
      </c>
    </row>
    <row r="1603" spans="1:5" ht="13.05" hidden="1" x14ac:dyDescent="0.3">
      <c r="A1603">
        <v>210</v>
      </c>
      <c r="B1603" t="s">
        <v>6205</v>
      </c>
      <c r="C1603">
        <v>11</v>
      </c>
      <c r="D1603" t="str">
        <f>INDEX(Table26[Tag_LVL5], MATCH(Table6[[#This Row],[Middle Digit]],Table26[Middle Number],0))</f>
        <v>Other Transportation</v>
      </c>
      <c r="E1603" t="str">
        <f>RIGHT(Table6[[#This Row],[Middle Digit]],2)</f>
        <v>17</v>
      </c>
    </row>
    <row r="1604" spans="1:5" ht="13.05" hidden="1" x14ac:dyDescent="0.3">
      <c r="A1604">
        <v>211</v>
      </c>
      <c r="B1604" t="s">
        <v>6206</v>
      </c>
      <c r="C1604">
        <v>11</v>
      </c>
      <c r="D1604" t="str">
        <f>INDEX(Table26[Tag_LVL5], MATCH(Table6[[#This Row],[Middle Digit]],Table26[Middle Number],0))</f>
        <v>Drilling Safety, Health &amp; Environment</v>
      </c>
      <c r="E1604" t="str">
        <f>RIGHT(Table6[[#This Row],[Middle Digit]],2)</f>
        <v>20</v>
      </c>
    </row>
    <row r="1605" spans="1:5" ht="13.05" hidden="1" x14ac:dyDescent="0.3">
      <c r="A1605">
        <v>212</v>
      </c>
      <c r="B1605" t="s">
        <v>6207</v>
      </c>
      <c r="C1605">
        <v>11</v>
      </c>
      <c r="D1605" t="str">
        <f>INDEX(Table26[Tag_LVL5], MATCH(Table6[[#This Row],[Middle Digit]],Table26[Middle Number],0))</f>
        <v>Explosive Handling &amp; Permitting</v>
      </c>
      <c r="E1605" t="str">
        <f>RIGHT(Table6[[#This Row],[Middle Digit]],2)</f>
        <v>24</v>
      </c>
    </row>
    <row r="1606" spans="1:5" ht="13.05" hidden="1" x14ac:dyDescent="0.3">
      <c r="A1606">
        <v>213</v>
      </c>
      <c r="B1606" t="s">
        <v>6208</v>
      </c>
      <c r="C1606">
        <v>11</v>
      </c>
      <c r="D1606" t="str">
        <f>INDEX(Table26[Tag_LVL5], MATCH(Table6[[#This Row],[Middle Digit]],Table26[Middle Number],0))</f>
        <v>Drilling Rig O&amp;M</v>
      </c>
      <c r="E1606" t="str">
        <f>RIGHT(Table6[[#This Row],[Middle Digit]],2)</f>
        <v>45</v>
      </c>
    </row>
    <row r="1607" spans="1:5" ht="13.05" hidden="1" x14ac:dyDescent="0.3">
      <c r="A1607">
        <v>214</v>
      </c>
      <c r="B1607" t="s">
        <v>6209</v>
      </c>
      <c r="C1607">
        <v>11</v>
      </c>
      <c r="D1607" t="str">
        <f>INDEX(Table26[Tag_LVL5], MATCH(Table6[[#This Row],[Middle Digit]],Table26[Middle Number],0))</f>
        <v>Coring</v>
      </c>
      <c r="E1607" t="str">
        <f>RIGHT(Table6[[#This Row],[Middle Digit]],2)</f>
        <v>47</v>
      </c>
    </row>
    <row r="1608" spans="1:5" ht="13.05" hidden="1" x14ac:dyDescent="0.3">
      <c r="A1608">
        <v>215</v>
      </c>
      <c r="B1608" t="s">
        <v>6210</v>
      </c>
      <c r="C1608">
        <v>11</v>
      </c>
      <c r="D1608" t="str">
        <f>INDEX(Table26[Tag_LVL5], MATCH(Table6[[#This Row],[Middle Digit]],Table26[Middle Number],0))</f>
        <v>NDT Inspection</v>
      </c>
      <c r="E1608" t="str">
        <f>RIGHT(Table6[[#This Row],[Middle Digit]],2)</f>
        <v>94</v>
      </c>
    </row>
    <row r="1609" spans="1:5" ht="13.05" hidden="1" x14ac:dyDescent="0.3">
      <c r="A1609">
        <v>216</v>
      </c>
      <c r="B1609" t="s">
        <v>6211</v>
      </c>
      <c r="C1609">
        <v>11</v>
      </c>
      <c r="D1609" t="str">
        <f>INDEX(Table26[Tag_LVL5], MATCH(Table6[[#This Row],[Middle Digit]],Table26[Middle Number],0))</f>
        <v>Rig Inspection</v>
      </c>
      <c r="E1609" t="str">
        <f>RIGHT(Table6[[#This Row],[Middle Digit]],2)</f>
        <v>95</v>
      </c>
    </row>
    <row r="1610" spans="1:5" ht="13.05" hidden="1" x14ac:dyDescent="0.3">
      <c r="A1610">
        <v>217</v>
      </c>
      <c r="B1610" t="s">
        <v>6212</v>
      </c>
      <c r="C1610">
        <v>11</v>
      </c>
      <c r="D1610" t="str">
        <f>INDEX(Table26[Tag_LVL5], MATCH(Table6[[#This Row],[Middle Digit]],Table26[Middle Number],0))</f>
        <v>Vehicle Inspection</v>
      </c>
      <c r="E1610" t="str">
        <f>RIGHT(Table6[[#This Row],[Middle Digit]],2)</f>
        <v>96</v>
      </c>
    </row>
    <row r="1611" spans="1:5" ht="13.05" hidden="1" x14ac:dyDescent="0.3">
      <c r="A1611">
        <v>218</v>
      </c>
      <c r="B1611" t="s">
        <v>6213</v>
      </c>
      <c r="C1611">
        <v>11</v>
      </c>
      <c r="D1611" t="str">
        <f>INDEX(Table26[Tag_LVL5], MATCH(Table6[[#This Row],[Middle Digit]],Table26[Middle Number],0))</f>
        <v>Welding Service</v>
      </c>
      <c r="E1611" t="str">
        <f>RIGHT(Table6[[#This Row],[Middle Digit]],2)</f>
        <v>97</v>
      </c>
    </row>
    <row r="1612" spans="1:5" ht="13.05" hidden="1" x14ac:dyDescent="0.3">
      <c r="A1612">
        <v>219</v>
      </c>
      <c r="B1612" t="s">
        <v>6214</v>
      </c>
      <c r="C1612">
        <v>11</v>
      </c>
      <c r="D1612" t="str">
        <f>INDEX(Table26[Tag_LVL5], MATCH(Table6[[#This Row],[Middle Digit]],Table26[Middle Number],0))</f>
        <v>API non API Machine Shop Service</v>
      </c>
      <c r="E1612" t="str">
        <f>RIGHT(Table6[[#This Row],[Middle Digit]],2)</f>
        <v>98</v>
      </c>
    </row>
    <row r="1613" spans="1:5" ht="13.05" hidden="1" x14ac:dyDescent="0.3">
      <c r="A1613">
        <v>220</v>
      </c>
      <c r="B1613" t="s">
        <v>6215</v>
      </c>
      <c r="C1613">
        <v>11</v>
      </c>
      <c r="D1613" t="str">
        <f>INDEX(Table26[Tag_LVL5], MATCH(Table6[[#This Row],[Middle Digit]],Table26[Middle Number],0))</f>
        <v>Casing</v>
      </c>
      <c r="E1613" t="str">
        <f>RIGHT(Table6[[#This Row],[Middle Digit]],2)</f>
        <v>01</v>
      </c>
    </row>
    <row r="1614" spans="1:5" ht="13.05" hidden="1" x14ac:dyDescent="0.3">
      <c r="A1614">
        <v>221</v>
      </c>
      <c r="B1614" t="s">
        <v>6216</v>
      </c>
      <c r="C1614">
        <v>11</v>
      </c>
      <c r="D1614" t="str">
        <f>INDEX(Table26[Tag_LVL5], MATCH(Table6[[#This Row],[Middle Digit]],Table26[Middle Number],0))</f>
        <v>Well Equipment Surface</v>
      </c>
      <c r="E1614" t="str">
        <f>RIGHT(Table6[[#This Row],[Middle Digit]],2)</f>
        <v>02</v>
      </c>
    </row>
    <row r="1615" spans="1:5" ht="13.05" hidden="1" x14ac:dyDescent="0.3">
      <c r="A1615">
        <v>222</v>
      </c>
      <c r="B1615" t="s">
        <v>6217</v>
      </c>
      <c r="C1615">
        <v>11</v>
      </c>
      <c r="D1615" t="str">
        <f>INDEX(Table26[Tag_LVL5], MATCH(Table6[[#This Row],[Middle Digit]],Table26[Middle Number],0))</f>
        <v>Fuel &amp; Lubricants</v>
      </c>
      <c r="E1615" t="str">
        <f>RIGHT(Table6[[#This Row],[Middle Digit]],2)</f>
        <v>18</v>
      </c>
    </row>
    <row r="1616" spans="1:5" ht="13.05" hidden="1" x14ac:dyDescent="0.3">
      <c r="A1616">
        <v>223</v>
      </c>
      <c r="B1616" t="s">
        <v>6218</v>
      </c>
      <c r="C1616">
        <v>11</v>
      </c>
      <c r="D1616" t="str">
        <f>INDEX(Table26[Tag_LVL5], MATCH(Table6[[#This Row],[Middle Digit]],Table26[Middle Number],0))</f>
        <v>Casing Repair &amp; Modif</v>
      </c>
      <c r="E1616" t="str">
        <f>RIGHT(Table6[[#This Row],[Middle Digit]],2)</f>
        <v>62</v>
      </c>
    </row>
    <row r="1617" spans="1:5" ht="13.05" hidden="1" x14ac:dyDescent="0.3">
      <c r="A1617">
        <v>224</v>
      </c>
      <c r="B1617" t="s">
        <v>6219</v>
      </c>
      <c r="C1617">
        <v>11</v>
      </c>
      <c r="D1617" t="str">
        <f>INDEX(Table26[Tag_LVL5], MATCH(Table6[[#This Row],[Middle Digit]],Table26[Middle Number],0))</f>
        <v>Asset Transfer</v>
      </c>
      <c r="E1617" t="str">
        <f>RIGHT(Table6[[#This Row],[Middle Digit]],2)</f>
        <v>93</v>
      </c>
    </row>
    <row r="1618" spans="1:5" ht="13.05" hidden="1" x14ac:dyDescent="0.3">
      <c r="A1618">
        <v>225</v>
      </c>
      <c r="B1618" t="s">
        <v>6220</v>
      </c>
      <c r="C1618">
        <v>11</v>
      </c>
      <c r="D1618" t="str">
        <f>INDEX(Table26[Tag_LVL5], MATCH(Table6[[#This Row],[Middle Digit]],Table26[Middle Number],0))</f>
        <v>Consumables</v>
      </c>
      <c r="E1618" t="str">
        <f>RIGHT(Table6[[#This Row],[Middle Digit]],2)</f>
        <v>60</v>
      </c>
    </row>
    <row r="1619" spans="1:5" ht="13.05" hidden="1" x14ac:dyDescent="0.3">
      <c r="A1619">
        <v>226</v>
      </c>
      <c r="B1619" t="s">
        <v>6221</v>
      </c>
      <c r="C1619">
        <v>11</v>
      </c>
      <c r="D1619" t="str">
        <f>INDEX(Table26[Tag_LVL5], MATCH(Table6[[#This Row],[Middle Digit]],Table26[Middle Number],0))</f>
        <v>Service Lines &amp; Communication</v>
      </c>
      <c r="E1619" t="str">
        <f>RIGHT(Table6[[#This Row],[Middle Digit]],2)</f>
        <v>04</v>
      </c>
    </row>
    <row r="1620" spans="1:5" ht="13.05" hidden="1" x14ac:dyDescent="0.3">
      <c r="A1620">
        <v>227</v>
      </c>
      <c r="B1620" t="s">
        <v>6222</v>
      </c>
      <c r="C1620">
        <v>11</v>
      </c>
      <c r="D1620" t="str">
        <f>INDEX(Table26[Tag_LVL5], MATCH(Table6[[#This Row],[Middle Digit]],Table26[Middle Number],0))</f>
        <v>Contract Rig</v>
      </c>
      <c r="E1620" t="str">
        <f>RIGHT(Table6[[#This Row],[Middle Digit]],2)</f>
        <v>05</v>
      </c>
    </row>
    <row r="1621" spans="1:5" ht="13.05" hidden="1" x14ac:dyDescent="0.3">
      <c r="A1621">
        <v>228</v>
      </c>
      <c r="B1621" t="s">
        <v>6223</v>
      </c>
      <c r="C1621">
        <v>11</v>
      </c>
      <c r="D1621" t="str">
        <f>INDEX(Table26[Tag_LVL5], MATCH(Table6[[#This Row],[Middle Digit]],Table26[Middle Number],0))</f>
        <v>Mud, Chemical and Engineering Service</v>
      </c>
      <c r="E1621" t="str">
        <f>RIGHT(Table6[[#This Row],[Middle Digit]],2)</f>
        <v>07</v>
      </c>
    </row>
    <row r="1622" spans="1:5" x14ac:dyDescent="0.3">
      <c r="A1622">
        <v>229</v>
      </c>
      <c r="B1622" t="s">
        <v>6224</v>
      </c>
      <c r="C1622">
        <v>11</v>
      </c>
      <c r="D1622" t="str">
        <f>INDEX(Table26[Tag_LVL5], MATCH(Table6[[#This Row],[Middle Digit]],Table26[Middle Number],0))</f>
        <v>Bits, Reamer and Core heads</v>
      </c>
      <c r="E1622" t="str">
        <f>RIGHT(Table6[[#This Row],[Middle Digit]],2)</f>
        <v>08</v>
      </c>
    </row>
    <row r="1623" spans="1:5" ht="13.05" hidden="1" x14ac:dyDescent="0.3">
      <c r="A1623">
        <v>230</v>
      </c>
      <c r="B1623" t="s">
        <v>6225</v>
      </c>
      <c r="C1623">
        <v>11</v>
      </c>
      <c r="D1623" t="str">
        <f>INDEX(Table26[Tag_LVL5], MATCH(Table6[[#This Row],[Middle Digit]],Table26[Middle Number],0))</f>
        <v>Equipment Rental</v>
      </c>
      <c r="E1623" t="str">
        <f>RIGHT(Table6[[#This Row],[Middle Digit]],2)</f>
        <v>09</v>
      </c>
    </row>
    <row r="1624" spans="1:5" ht="13.05" hidden="1" x14ac:dyDescent="0.3">
      <c r="A1624">
        <v>231</v>
      </c>
      <c r="B1624" t="s">
        <v>6226</v>
      </c>
      <c r="C1624">
        <v>11</v>
      </c>
      <c r="D1624" t="str">
        <f>INDEX(Table26[Tag_LVL5], MATCH(Table6[[#This Row],[Middle Digit]],Table26[Middle Number],0))</f>
        <v>Directional Drilling &amp; Surveys</v>
      </c>
      <c r="E1624" t="str">
        <f>RIGHT(Table6[[#This Row],[Middle Digit]],2)</f>
        <v>10</v>
      </c>
    </row>
    <row r="1625" spans="1:5" ht="13.05" hidden="1" x14ac:dyDescent="0.3">
      <c r="A1625">
        <v>232</v>
      </c>
      <c r="B1625" t="s">
        <v>6227</v>
      </c>
      <c r="C1625">
        <v>11</v>
      </c>
      <c r="D1625" t="str">
        <f>INDEX(Table26[Tag_LVL5], MATCH(Table6[[#This Row],[Middle Digit]],Table26[Middle Number],0))</f>
        <v>Casing Installation</v>
      </c>
      <c r="E1625" t="str">
        <f>RIGHT(Table6[[#This Row],[Middle Digit]],2)</f>
        <v>11</v>
      </c>
    </row>
    <row r="1626" spans="1:5" ht="13.05" hidden="1" x14ac:dyDescent="0.3">
      <c r="A1626">
        <v>233</v>
      </c>
      <c r="B1626" t="s">
        <v>6228</v>
      </c>
      <c r="C1626">
        <v>11</v>
      </c>
      <c r="D1626" t="str">
        <f>INDEX(Table26[Tag_LVL5], MATCH(Table6[[#This Row],[Middle Digit]],Table26[Middle Number],0))</f>
        <v>Cement, Cementing &amp; Pump Fees</v>
      </c>
      <c r="E1626" t="str">
        <f>RIGHT(Table6[[#This Row],[Middle Digit]],2)</f>
        <v>12</v>
      </c>
    </row>
    <row r="1627" spans="1:5" ht="13.05" hidden="1" x14ac:dyDescent="0.3">
      <c r="A1627">
        <v>234</v>
      </c>
      <c r="B1627" t="s">
        <v>6229</v>
      </c>
      <c r="C1627">
        <v>11</v>
      </c>
      <c r="D1627" t="str">
        <f>INDEX(Table26[Tag_LVL5], MATCH(Table6[[#This Row],[Middle Digit]],Table26[Middle Number],0))</f>
        <v>Mud Logging Service</v>
      </c>
      <c r="E1627" t="str">
        <f>RIGHT(Table6[[#This Row],[Middle Digit]],2)</f>
        <v>13</v>
      </c>
    </row>
    <row r="1628" spans="1:5" ht="13.05" hidden="1" x14ac:dyDescent="0.3">
      <c r="A1628">
        <v>235</v>
      </c>
      <c r="B1628" t="s">
        <v>6230</v>
      </c>
      <c r="C1628">
        <v>11</v>
      </c>
      <c r="D1628" t="str">
        <f>INDEX(Table26[Tag_LVL5], MATCH(Table6[[#This Row],[Middle Digit]],Table26[Middle Number],0))</f>
        <v>Open Hole Electrical Logging Service</v>
      </c>
      <c r="E1628" t="str">
        <f>RIGHT(Table6[[#This Row],[Middle Digit]],2)</f>
        <v>14</v>
      </c>
    </row>
    <row r="1629" spans="1:5" ht="13.05" hidden="1" x14ac:dyDescent="0.3">
      <c r="A1629">
        <v>236</v>
      </c>
      <c r="B1629" t="s">
        <v>6231</v>
      </c>
      <c r="C1629">
        <v>11</v>
      </c>
      <c r="D1629" t="str">
        <f>INDEX(Table26[Tag_LVL5], MATCH(Table6[[#This Row],[Middle Digit]],Table26[Middle Number],0))</f>
        <v>Supervision</v>
      </c>
      <c r="E1629" t="str">
        <f>RIGHT(Table6[[#This Row],[Middle Digit]],2)</f>
        <v>15</v>
      </c>
    </row>
    <row r="1630" spans="1:5" ht="13.05" hidden="1" x14ac:dyDescent="0.3">
      <c r="A1630">
        <v>237</v>
      </c>
      <c r="B1630" t="s">
        <v>6232</v>
      </c>
      <c r="C1630">
        <v>11</v>
      </c>
      <c r="D1630" t="str">
        <f>INDEX(Table26[Tag_LVL5], MATCH(Table6[[#This Row],[Middle Digit]],Table26[Middle Number],0))</f>
        <v>Land Transportation</v>
      </c>
      <c r="E1630" t="str">
        <f>RIGHT(Table6[[#This Row],[Middle Digit]],2)</f>
        <v>16</v>
      </c>
    </row>
    <row r="1631" spans="1:5" ht="13.05" hidden="1" x14ac:dyDescent="0.3">
      <c r="A1631">
        <v>238</v>
      </c>
      <c r="B1631" t="s">
        <v>6233</v>
      </c>
      <c r="C1631">
        <v>11</v>
      </c>
      <c r="D1631" t="str">
        <f>INDEX(Table26[Tag_LVL5], MATCH(Table6[[#This Row],[Middle Digit]],Table26[Middle Number],0))</f>
        <v>Other Transportation</v>
      </c>
      <c r="E1631" t="str">
        <f>RIGHT(Table6[[#This Row],[Middle Digit]],2)</f>
        <v>17</v>
      </c>
    </row>
    <row r="1632" spans="1:5" ht="13.05" hidden="1" x14ac:dyDescent="0.3">
      <c r="A1632">
        <v>239</v>
      </c>
      <c r="B1632" t="s">
        <v>6234</v>
      </c>
      <c r="C1632">
        <v>11</v>
      </c>
      <c r="D1632" t="str">
        <f>INDEX(Table26[Tag_LVL5], MATCH(Table6[[#This Row],[Middle Digit]],Table26[Middle Number],0))</f>
        <v>Drilling Safety, Health &amp; Environment</v>
      </c>
      <c r="E1632" t="str">
        <f>RIGHT(Table6[[#This Row],[Middle Digit]],2)</f>
        <v>20</v>
      </c>
    </row>
    <row r="1633" spans="1:5" ht="13.05" hidden="1" x14ac:dyDescent="0.3">
      <c r="A1633">
        <v>240</v>
      </c>
      <c r="B1633" t="s">
        <v>6235</v>
      </c>
      <c r="C1633">
        <v>11</v>
      </c>
      <c r="D1633" t="str">
        <f>INDEX(Table26[Tag_LVL5], MATCH(Table6[[#This Row],[Middle Digit]],Table26[Middle Number],0))</f>
        <v>Explosive Handling &amp; Permitting</v>
      </c>
      <c r="E1633" t="str">
        <f>RIGHT(Table6[[#This Row],[Middle Digit]],2)</f>
        <v>24</v>
      </c>
    </row>
    <row r="1634" spans="1:5" ht="13.05" hidden="1" x14ac:dyDescent="0.3">
      <c r="A1634">
        <v>241</v>
      </c>
      <c r="B1634" t="s">
        <v>6236</v>
      </c>
      <c r="C1634">
        <v>11</v>
      </c>
      <c r="D1634" t="str">
        <f>INDEX(Table26[Tag_LVL5], MATCH(Table6[[#This Row],[Middle Digit]],Table26[Middle Number],0))</f>
        <v>Drilling Rig O&amp;M</v>
      </c>
      <c r="E1634" t="str">
        <f>RIGHT(Table6[[#This Row],[Middle Digit]],2)</f>
        <v>45</v>
      </c>
    </row>
    <row r="1635" spans="1:5" ht="13.05" hidden="1" x14ac:dyDescent="0.3">
      <c r="A1635">
        <v>242</v>
      </c>
      <c r="B1635" t="s">
        <v>6237</v>
      </c>
      <c r="C1635">
        <v>11</v>
      </c>
      <c r="D1635" t="str">
        <f>INDEX(Table26[Tag_LVL5], MATCH(Table6[[#This Row],[Middle Digit]],Table26[Middle Number],0))</f>
        <v>Coring</v>
      </c>
      <c r="E1635" t="str">
        <f>RIGHT(Table6[[#This Row],[Middle Digit]],2)</f>
        <v>47</v>
      </c>
    </row>
    <row r="1636" spans="1:5" ht="13.05" hidden="1" x14ac:dyDescent="0.3">
      <c r="A1636">
        <v>243</v>
      </c>
      <c r="B1636" t="s">
        <v>6238</v>
      </c>
      <c r="C1636">
        <v>11</v>
      </c>
      <c r="D1636" t="str">
        <f>INDEX(Table26[Tag_LVL5], MATCH(Table6[[#This Row],[Middle Digit]],Table26[Middle Number],0))</f>
        <v>NDT Inspection</v>
      </c>
      <c r="E1636" t="str">
        <f>RIGHT(Table6[[#This Row],[Middle Digit]],2)</f>
        <v>94</v>
      </c>
    </row>
    <row r="1637" spans="1:5" ht="13.05" hidden="1" x14ac:dyDescent="0.3">
      <c r="A1637">
        <v>244</v>
      </c>
      <c r="B1637" t="s">
        <v>6239</v>
      </c>
      <c r="C1637">
        <v>11</v>
      </c>
      <c r="D1637" t="str">
        <f>INDEX(Table26[Tag_LVL5], MATCH(Table6[[#This Row],[Middle Digit]],Table26[Middle Number],0))</f>
        <v>Rig Inspection</v>
      </c>
      <c r="E1637" t="str">
        <f>RIGHT(Table6[[#This Row],[Middle Digit]],2)</f>
        <v>95</v>
      </c>
    </row>
    <row r="1638" spans="1:5" ht="13.05" hidden="1" x14ac:dyDescent="0.3">
      <c r="A1638">
        <v>245</v>
      </c>
      <c r="B1638" t="s">
        <v>6240</v>
      </c>
      <c r="C1638">
        <v>11</v>
      </c>
      <c r="D1638" t="str">
        <f>INDEX(Table26[Tag_LVL5], MATCH(Table6[[#This Row],[Middle Digit]],Table26[Middle Number],0))</f>
        <v>Vehicle Inspection</v>
      </c>
      <c r="E1638" t="str">
        <f>RIGHT(Table6[[#This Row],[Middle Digit]],2)</f>
        <v>96</v>
      </c>
    </row>
    <row r="1639" spans="1:5" ht="13.05" hidden="1" x14ac:dyDescent="0.3">
      <c r="A1639">
        <v>246</v>
      </c>
      <c r="B1639" t="s">
        <v>6241</v>
      </c>
      <c r="C1639">
        <v>11</v>
      </c>
      <c r="D1639" t="str">
        <f>INDEX(Table26[Tag_LVL5], MATCH(Table6[[#This Row],[Middle Digit]],Table26[Middle Number],0))</f>
        <v>Welding Service</v>
      </c>
      <c r="E1639" t="str">
        <f>RIGHT(Table6[[#This Row],[Middle Digit]],2)</f>
        <v>97</v>
      </c>
    </row>
    <row r="1640" spans="1:5" ht="13.05" hidden="1" x14ac:dyDescent="0.3">
      <c r="A1640">
        <v>247</v>
      </c>
      <c r="B1640" t="s">
        <v>6242</v>
      </c>
      <c r="C1640">
        <v>11</v>
      </c>
      <c r="D1640" t="str">
        <f>INDEX(Table26[Tag_LVL5], MATCH(Table6[[#This Row],[Middle Digit]],Table26[Middle Number],0))</f>
        <v>API non API Machine Shop Service</v>
      </c>
      <c r="E1640" t="str">
        <f>RIGHT(Table6[[#This Row],[Middle Digit]],2)</f>
        <v>98</v>
      </c>
    </row>
    <row r="1641" spans="1:5" ht="13.05" hidden="1" x14ac:dyDescent="0.3">
      <c r="A1641">
        <v>248</v>
      </c>
      <c r="B1641" t="s">
        <v>6243</v>
      </c>
      <c r="C1641">
        <v>11</v>
      </c>
      <c r="D1641" t="str">
        <f>INDEX(Table26[Tag_LVL5], MATCH(Table6[[#This Row],[Middle Digit]],Table26[Middle Number],0))</f>
        <v>Casing</v>
      </c>
      <c r="E1641" t="str">
        <f>RIGHT(Table6[[#This Row],[Middle Digit]],2)</f>
        <v>01</v>
      </c>
    </row>
    <row r="1642" spans="1:5" ht="13.05" hidden="1" x14ac:dyDescent="0.3">
      <c r="A1642">
        <v>249</v>
      </c>
      <c r="B1642" t="s">
        <v>6244</v>
      </c>
      <c r="C1642">
        <v>11</v>
      </c>
      <c r="D1642" t="str">
        <f>INDEX(Table26[Tag_LVL5], MATCH(Table6[[#This Row],[Middle Digit]],Table26[Middle Number],0))</f>
        <v>Well Equipment Surface</v>
      </c>
      <c r="E1642" t="str">
        <f>RIGHT(Table6[[#This Row],[Middle Digit]],2)</f>
        <v>02</v>
      </c>
    </row>
    <row r="1643" spans="1:5" ht="13.05" hidden="1" x14ac:dyDescent="0.3">
      <c r="A1643">
        <v>250</v>
      </c>
      <c r="B1643" t="s">
        <v>6245</v>
      </c>
      <c r="C1643">
        <v>11</v>
      </c>
      <c r="D1643" t="str">
        <f>INDEX(Table26[Tag_LVL5], MATCH(Table6[[#This Row],[Middle Digit]],Table26[Middle Number],0))</f>
        <v>Fuel &amp; Lubricants</v>
      </c>
      <c r="E1643" t="str">
        <f>RIGHT(Table6[[#This Row],[Middle Digit]],2)</f>
        <v>18</v>
      </c>
    </row>
    <row r="1644" spans="1:5" ht="13.05" hidden="1" x14ac:dyDescent="0.3">
      <c r="A1644">
        <v>251</v>
      </c>
      <c r="B1644" t="s">
        <v>6246</v>
      </c>
      <c r="C1644">
        <v>11</v>
      </c>
      <c r="D1644" t="str">
        <f>INDEX(Table26[Tag_LVL5], MATCH(Table6[[#This Row],[Middle Digit]],Table26[Middle Number],0))</f>
        <v>Casing Repair &amp; Modif</v>
      </c>
      <c r="E1644" t="str">
        <f>RIGHT(Table6[[#This Row],[Middle Digit]],2)</f>
        <v>62</v>
      </c>
    </row>
    <row r="1645" spans="1:5" ht="13.05" hidden="1" x14ac:dyDescent="0.3">
      <c r="A1645">
        <v>252</v>
      </c>
      <c r="B1645" t="s">
        <v>6247</v>
      </c>
      <c r="C1645">
        <v>11</v>
      </c>
      <c r="D1645" t="str">
        <f>INDEX(Table26[Tag_LVL5], MATCH(Table6[[#This Row],[Middle Digit]],Table26[Middle Number],0))</f>
        <v>Asset Transfer</v>
      </c>
      <c r="E1645" t="str">
        <f>RIGHT(Table6[[#This Row],[Middle Digit]],2)</f>
        <v>93</v>
      </c>
    </row>
    <row r="1646" spans="1:5" ht="13.05" hidden="1" x14ac:dyDescent="0.3">
      <c r="A1646">
        <v>253</v>
      </c>
      <c r="B1646" t="s">
        <v>6248</v>
      </c>
      <c r="C1646">
        <v>11</v>
      </c>
      <c r="D1646" t="str">
        <f>INDEX(Table26[Tag_LVL5], MATCH(Table6[[#This Row],[Middle Digit]],Table26[Middle Number],0))</f>
        <v>Rig Move</v>
      </c>
      <c r="E1646" t="str">
        <f>RIGHT(Table6[[#This Row],[Middle Digit]],2)</f>
        <v>05</v>
      </c>
    </row>
    <row r="1647" spans="1:5" ht="13.05" hidden="1" x14ac:dyDescent="0.3">
      <c r="A1647">
        <v>254</v>
      </c>
      <c r="B1647" t="s">
        <v>6128</v>
      </c>
      <c r="C1647">
        <v>11</v>
      </c>
      <c r="D1647" t="str">
        <f>INDEX(Table26[Tag_LVL5], MATCH(Table6[[#This Row],[Middle Digit]],Table26[Middle Number],0))</f>
        <v>Rig Move</v>
      </c>
      <c r="E1647" t="str">
        <f>RIGHT(Table6[[#This Row],[Middle Digit]],2)</f>
        <v>23</v>
      </c>
    </row>
    <row r="1648" spans="1:5" ht="13.05" hidden="1" x14ac:dyDescent="0.3">
      <c r="A1648">
        <v>255</v>
      </c>
      <c r="B1648" t="s">
        <v>6249</v>
      </c>
      <c r="C1648">
        <v>11</v>
      </c>
      <c r="D1648" t="str">
        <f>INDEX(Table26[Tag_LVL5], MATCH(Table6[[#This Row],[Middle Digit]],Table26[Middle Number],0))</f>
        <v>Rig Move</v>
      </c>
      <c r="E1648" t="str">
        <f>RIGHT(Table6[[#This Row],[Middle Digit]],2)</f>
        <v>05</v>
      </c>
    </row>
    <row r="1649" spans="1:5" ht="13.05" hidden="1" x14ac:dyDescent="0.3">
      <c r="A1649">
        <v>256</v>
      </c>
      <c r="B1649" t="s">
        <v>6127</v>
      </c>
      <c r="C1649">
        <v>11</v>
      </c>
      <c r="D1649" t="str">
        <f>INDEX(Table26[Tag_LVL5], MATCH(Table6[[#This Row],[Middle Digit]],Table26[Middle Number],0))</f>
        <v>Rig Move</v>
      </c>
      <c r="E1649" t="str">
        <f>RIGHT(Table6[[#This Row],[Middle Digit]],2)</f>
        <v>23</v>
      </c>
    </row>
    <row r="1650" spans="1:5" ht="13.05" hidden="1" x14ac:dyDescent="0.3">
      <c r="A1650">
        <v>257</v>
      </c>
      <c r="B1650" t="s">
        <v>6250</v>
      </c>
      <c r="C1650">
        <v>11</v>
      </c>
      <c r="D1650" t="str">
        <f>INDEX(Table26[Tag_LVL5], MATCH(Table6[[#This Row],[Middle Digit]],Table26[Middle Number],0))</f>
        <v>Rig Move</v>
      </c>
      <c r="E1650" t="str">
        <f>RIGHT(Table6[[#This Row],[Middle Digit]],2)</f>
        <v>05</v>
      </c>
    </row>
    <row r="1651" spans="1:5" ht="13.05" hidden="1" x14ac:dyDescent="0.3">
      <c r="A1651">
        <v>258</v>
      </c>
      <c r="B1651" t="s">
        <v>6126</v>
      </c>
      <c r="C1651">
        <v>11</v>
      </c>
      <c r="D1651" t="str">
        <f>INDEX(Table26[Tag_LVL5], MATCH(Table6[[#This Row],[Middle Digit]],Table26[Middle Number],0))</f>
        <v>Rig Move</v>
      </c>
      <c r="E1651" t="str">
        <f>RIGHT(Table6[[#This Row],[Middle Digit]],2)</f>
        <v>23</v>
      </c>
    </row>
    <row r="1652" spans="1:5" ht="13.05" hidden="1" x14ac:dyDescent="0.3">
      <c r="A1652">
        <v>259</v>
      </c>
      <c r="B1652" t="s">
        <v>6251</v>
      </c>
      <c r="C1652">
        <v>11</v>
      </c>
      <c r="D1652" t="str">
        <f>INDEX(Table26[Tag_LVL5], MATCH(Table6[[#This Row],[Middle Digit]],Table26[Middle Number],0))</f>
        <v>Rig Move</v>
      </c>
      <c r="E1652" t="str">
        <f>RIGHT(Table6[[#This Row],[Middle Digit]],2)</f>
        <v>05</v>
      </c>
    </row>
    <row r="1653" spans="1:5" ht="13.05" hidden="1" x14ac:dyDescent="0.3">
      <c r="A1653">
        <v>260</v>
      </c>
      <c r="B1653" t="s">
        <v>6125</v>
      </c>
      <c r="C1653">
        <v>11</v>
      </c>
      <c r="D1653" t="str">
        <f>INDEX(Table26[Tag_LVL5], MATCH(Table6[[#This Row],[Middle Digit]],Table26[Middle Number],0))</f>
        <v>Rig Move</v>
      </c>
      <c r="E1653" t="str">
        <f>RIGHT(Table6[[#This Row],[Middle Digit]],2)</f>
        <v>23</v>
      </c>
    </row>
    <row r="1654" spans="1:5" ht="13.05" hidden="1" x14ac:dyDescent="0.3">
      <c r="A1654">
        <v>261</v>
      </c>
      <c r="B1654" t="s">
        <v>6252</v>
      </c>
      <c r="C1654">
        <v>11</v>
      </c>
      <c r="D1654" t="str">
        <f>INDEX(Table26[Tag_LVL5], MATCH(Table6[[#This Row],[Middle Digit]],Table26[Middle Number],0))</f>
        <v>Rig Skid</v>
      </c>
      <c r="E1654" t="str">
        <f>RIGHT(Table6[[#This Row],[Middle Digit]],2)</f>
        <v>05</v>
      </c>
    </row>
    <row r="1655" spans="1:5" ht="13.05" hidden="1" x14ac:dyDescent="0.3">
      <c r="A1655">
        <v>262</v>
      </c>
      <c r="B1655" t="s">
        <v>6124</v>
      </c>
      <c r="C1655">
        <v>11</v>
      </c>
      <c r="D1655" t="str">
        <f>INDEX(Table26[Tag_LVL5], MATCH(Table6[[#This Row],[Middle Digit]],Table26[Middle Number],0))</f>
        <v>Rig Skid</v>
      </c>
      <c r="E1655" t="str">
        <f>RIGHT(Table6[[#This Row],[Middle Digit]],2)</f>
        <v>23</v>
      </c>
    </row>
    <row r="1656" spans="1:5" ht="13.05" hidden="1" x14ac:dyDescent="0.3">
      <c r="A1656">
        <v>263</v>
      </c>
      <c r="B1656" t="s">
        <v>6253</v>
      </c>
      <c r="C1656">
        <v>11</v>
      </c>
      <c r="D1656" t="str">
        <f>INDEX(Table26[Tag_LVL5], MATCH(Table6[[#This Row],[Middle Digit]],Table26[Middle Number],0))</f>
        <v>Rig Skid</v>
      </c>
      <c r="E1656" t="str">
        <f>RIGHT(Table6[[#This Row],[Middle Digit]],2)</f>
        <v>05</v>
      </c>
    </row>
    <row r="1657" spans="1:5" ht="13.05" hidden="1" x14ac:dyDescent="0.3">
      <c r="A1657">
        <v>264</v>
      </c>
      <c r="B1657" t="s">
        <v>6254</v>
      </c>
      <c r="C1657">
        <v>11</v>
      </c>
      <c r="D1657" t="str">
        <f>INDEX(Table26[Tag_LVL5], MATCH(Table6[[#This Row],[Middle Digit]],Table26[Middle Number],0))</f>
        <v>Rig Skid</v>
      </c>
      <c r="E1657" t="str">
        <f>RIGHT(Table6[[#This Row],[Middle Digit]],2)</f>
        <v>23</v>
      </c>
    </row>
    <row r="1658" spans="1:5" ht="13.05" hidden="1" x14ac:dyDescent="0.3">
      <c r="A1658">
        <v>265</v>
      </c>
      <c r="B1658" t="s">
        <v>6255</v>
      </c>
      <c r="C1658">
        <v>11</v>
      </c>
      <c r="D1658" t="str">
        <f>INDEX(Table26[Tag_LVL5], MATCH(Table6[[#This Row],[Middle Digit]],Table26[Middle Number],0))</f>
        <v>Rig Skid</v>
      </c>
      <c r="E1658" t="str">
        <f>RIGHT(Table6[[#This Row],[Middle Digit]],2)</f>
        <v>05</v>
      </c>
    </row>
    <row r="1659" spans="1:5" ht="13.05" hidden="1" x14ac:dyDescent="0.3">
      <c r="A1659">
        <v>266</v>
      </c>
      <c r="B1659" t="s">
        <v>6256</v>
      </c>
      <c r="C1659">
        <v>11</v>
      </c>
      <c r="D1659" t="str">
        <f>INDEX(Table26[Tag_LVL5], MATCH(Table6[[#This Row],[Middle Digit]],Table26[Middle Number],0))</f>
        <v>Rig Skid</v>
      </c>
      <c r="E1659" t="str">
        <f>RIGHT(Table6[[#This Row],[Middle Digit]],2)</f>
        <v>23</v>
      </c>
    </row>
    <row r="1660" spans="1:5" ht="13.05" hidden="1" x14ac:dyDescent="0.3">
      <c r="A1660">
        <v>267</v>
      </c>
      <c r="B1660" t="s">
        <v>6257</v>
      </c>
      <c r="C1660">
        <v>11</v>
      </c>
      <c r="D1660" t="str">
        <f>INDEX(Table26[Tag_LVL5], MATCH(Table6[[#This Row],[Middle Digit]],Table26[Middle Number],0))</f>
        <v>Rig Skid</v>
      </c>
      <c r="E1660" t="str">
        <f>RIGHT(Table6[[#This Row],[Middle Digit]],2)</f>
        <v>05</v>
      </c>
    </row>
    <row r="1661" spans="1:5" ht="13.05" hidden="1" x14ac:dyDescent="0.3">
      <c r="A1661">
        <v>268</v>
      </c>
      <c r="B1661" t="s">
        <v>6258</v>
      </c>
      <c r="C1661">
        <v>11</v>
      </c>
      <c r="D1661" t="str">
        <f>INDEX(Table26[Tag_LVL5], MATCH(Table6[[#This Row],[Middle Digit]],Table26[Middle Number],0))</f>
        <v>Rig Skid</v>
      </c>
      <c r="E1661" t="str">
        <f>RIGHT(Table6[[#This Row],[Middle Digit]],2)</f>
        <v>23</v>
      </c>
    </row>
    <row r="1662" spans="1:5" ht="13.05" hidden="1" x14ac:dyDescent="0.3">
      <c r="A1662">
        <v>269</v>
      </c>
      <c r="B1662" t="s">
        <v>6130</v>
      </c>
      <c r="C1662">
        <v>11</v>
      </c>
      <c r="D1662" t="str">
        <f>INDEX(Table26[Tag_LVL5], MATCH(Table6[[#This Row],[Middle Digit]],Table26[Middle Number],0))</f>
        <v>Rig Mobilization</v>
      </c>
      <c r="E1662" t="str">
        <f>RIGHT(Table6[[#This Row],[Middle Digit]],2)</f>
        <v>06</v>
      </c>
    </row>
    <row r="1663" spans="1:5" ht="13.05" hidden="1" x14ac:dyDescent="0.3">
      <c r="A1663">
        <v>270</v>
      </c>
      <c r="B1663" t="s">
        <v>6286</v>
      </c>
      <c r="C1663">
        <v>11</v>
      </c>
      <c r="D1663" t="str">
        <f>INDEX(Table26[Tag_LVL5], MATCH(Table6[[#This Row],[Middle Digit]],Table26[Middle Number],0))</f>
        <v>Rig Mobilization</v>
      </c>
      <c r="E1663" t="str">
        <f>RIGHT(Table6[[#This Row],[Middle Digit]],2)</f>
        <v>23</v>
      </c>
    </row>
    <row r="1664" spans="1:5" ht="13.05" hidden="1" x14ac:dyDescent="0.3">
      <c r="A1664">
        <v>271</v>
      </c>
      <c r="B1664" t="s">
        <v>6129</v>
      </c>
      <c r="C1664">
        <v>11</v>
      </c>
      <c r="D1664" t="str">
        <f>INDEX(Table26[Tag_LVL5], MATCH(Table6[[#This Row],[Middle Digit]],Table26[Middle Number],0))</f>
        <v>Rig Mobilization</v>
      </c>
      <c r="E1664" t="str">
        <f>RIGHT(Table6[[#This Row],[Middle Digit]],2)</f>
        <v>06</v>
      </c>
    </row>
    <row r="1665" spans="1:5" ht="13.05" hidden="1" x14ac:dyDescent="0.3">
      <c r="A1665">
        <v>272</v>
      </c>
      <c r="B1665" t="s">
        <v>5988</v>
      </c>
      <c r="C1665">
        <v>11</v>
      </c>
      <c r="D1665" t="str">
        <f>INDEX(Table26[Tag_LVL5], MATCH(Table6[[#This Row],[Middle Digit]],Table26[Middle Number],0))</f>
        <v>LIH</v>
      </c>
      <c r="E1665" t="str">
        <f>RIGHT(Table6[[#This Row],[Middle Digit]],2)</f>
        <v>21</v>
      </c>
    </row>
    <row r="1666" spans="1:5" ht="13.05" hidden="1" x14ac:dyDescent="0.3">
      <c r="A1666">
        <v>273</v>
      </c>
      <c r="B1666" t="s">
        <v>5987</v>
      </c>
      <c r="C1666">
        <v>11</v>
      </c>
      <c r="D1666" t="str">
        <f>INDEX(Table26[Tag_LVL5], MATCH(Table6[[#This Row],[Middle Digit]],Table26[Middle Number],0))</f>
        <v>Explosive</v>
      </c>
      <c r="E1666" t="str">
        <f>RIGHT(Table6[[#This Row],[Middle Digit]],2)</f>
        <v>60</v>
      </c>
    </row>
    <row r="1667" spans="1:5" ht="13.05" hidden="1" x14ac:dyDescent="0.3">
      <c r="A1667">
        <v>274</v>
      </c>
      <c r="B1667" t="s">
        <v>6259</v>
      </c>
      <c r="C1667">
        <v>11</v>
      </c>
      <c r="D1667" t="str">
        <f>INDEX(Table26[Tag_LVL5], MATCH(Table6[[#This Row],[Middle Digit]],Table26[Middle Number],0))</f>
        <v>Logging Cost</v>
      </c>
      <c r="E1667" t="str">
        <f>RIGHT(Table6[[#This Row],[Middle Digit]],2)</f>
        <v>14</v>
      </c>
    </row>
    <row r="1668" spans="1:5" ht="13.05" hidden="1" x14ac:dyDescent="0.3">
      <c r="A1668">
        <v>275</v>
      </c>
      <c r="B1668" t="s">
        <v>5960</v>
      </c>
      <c r="C1668">
        <v>11</v>
      </c>
      <c r="D1668" t="str">
        <f>INDEX(Table26[Tag_LVL5], MATCH(Table6[[#This Row],[Middle Digit]],Table26[Middle Number],0))</f>
        <v>Drilling Facilities Support</v>
      </c>
      <c r="E1668" t="str">
        <f>RIGHT(Table6[[#This Row],[Middle Digit]],2)</f>
        <v>21</v>
      </c>
    </row>
    <row r="1669" spans="1:5" ht="13.05" hidden="1" x14ac:dyDescent="0.3">
      <c r="A1669">
        <v>276</v>
      </c>
      <c r="B1669" t="s">
        <v>5986</v>
      </c>
      <c r="C1669">
        <v>11</v>
      </c>
      <c r="D1669" t="str">
        <f>INDEX(Table26[Tag_LVL5], MATCH(Table6[[#This Row],[Middle Digit]],Table26[Middle Number],0))</f>
        <v>Well Testing</v>
      </c>
      <c r="E1669" t="str">
        <f>RIGHT(Table6[[#This Row],[Middle Digit]],2)</f>
        <v>01</v>
      </c>
    </row>
    <row r="1670" spans="1:5" ht="13.05" hidden="1" x14ac:dyDescent="0.3">
      <c r="A1670">
        <v>277</v>
      </c>
      <c r="B1670" t="s">
        <v>5985</v>
      </c>
      <c r="C1670">
        <v>11</v>
      </c>
      <c r="D1670" t="str">
        <f>INDEX(Table26[Tag_LVL5], MATCH(Table6[[#This Row],[Middle Digit]],Table26[Middle Number],0))</f>
        <v>Well Testing</v>
      </c>
      <c r="E1670" t="str">
        <f>RIGHT(Table6[[#This Row],[Middle Digit]],2)</f>
        <v>02</v>
      </c>
    </row>
    <row r="1671" spans="1:5" ht="13.05" hidden="1" x14ac:dyDescent="0.3">
      <c r="A1671">
        <v>278</v>
      </c>
      <c r="B1671" t="s">
        <v>5984</v>
      </c>
      <c r="C1671">
        <v>11</v>
      </c>
      <c r="D1671" t="str">
        <f>INDEX(Table26[Tag_LVL5], MATCH(Table6[[#This Row],[Middle Digit]],Table26[Middle Number],0))</f>
        <v>Well Testing</v>
      </c>
      <c r="E1671" t="str">
        <f>RIGHT(Table6[[#This Row],[Middle Digit]],2)</f>
        <v>03</v>
      </c>
    </row>
    <row r="1672" spans="1:5" ht="13.05" hidden="1" x14ac:dyDescent="0.3">
      <c r="A1672">
        <v>279</v>
      </c>
      <c r="B1672" t="s">
        <v>5983</v>
      </c>
      <c r="C1672">
        <v>11</v>
      </c>
      <c r="D1672" t="str">
        <f>INDEX(Table26[Tag_LVL5], MATCH(Table6[[#This Row],[Middle Digit]],Table26[Middle Number],0))</f>
        <v>Well Testing</v>
      </c>
      <c r="E1672" t="str">
        <f>RIGHT(Table6[[#This Row],[Middle Digit]],2)</f>
        <v>04</v>
      </c>
    </row>
    <row r="1673" spans="1:5" ht="13.05" hidden="1" x14ac:dyDescent="0.3">
      <c r="A1673">
        <v>280</v>
      </c>
      <c r="B1673" t="s">
        <v>5982</v>
      </c>
      <c r="C1673">
        <v>11</v>
      </c>
      <c r="D1673" t="str">
        <f>INDEX(Table26[Tag_LVL5], MATCH(Table6[[#This Row],[Middle Digit]],Table26[Middle Number],0))</f>
        <v>Well Testing</v>
      </c>
      <c r="E1673" t="str">
        <f>RIGHT(Table6[[#This Row],[Middle Digit]],2)</f>
        <v>05</v>
      </c>
    </row>
    <row r="1674" spans="1:5" ht="13.05" hidden="1" x14ac:dyDescent="0.3">
      <c r="A1674">
        <v>281</v>
      </c>
      <c r="B1674" t="s">
        <v>5981</v>
      </c>
      <c r="C1674">
        <v>11</v>
      </c>
      <c r="D1674" t="str">
        <f>INDEX(Table26[Tag_LVL5], MATCH(Table6[[#This Row],[Middle Digit]],Table26[Middle Number],0))</f>
        <v>Well Testing</v>
      </c>
      <c r="E1674" t="str">
        <f>RIGHT(Table6[[#This Row],[Middle Digit]],2)</f>
        <v>06</v>
      </c>
    </row>
    <row r="1675" spans="1:5" ht="13.05" hidden="1" x14ac:dyDescent="0.3">
      <c r="A1675">
        <v>282</v>
      </c>
      <c r="B1675" t="s">
        <v>6260</v>
      </c>
      <c r="C1675">
        <v>11</v>
      </c>
      <c r="D1675" t="str">
        <f>INDEX(Table26[Tag_LVL5], MATCH(Table6[[#This Row],[Middle Digit]],Table26[Middle Number],0))</f>
        <v>Well Testing</v>
      </c>
      <c r="E1675" t="str">
        <f>RIGHT(Table6[[#This Row],[Middle Digit]],2)</f>
        <v>07</v>
      </c>
    </row>
    <row r="1676" spans="1:5" x14ac:dyDescent="0.3">
      <c r="A1676">
        <v>283</v>
      </c>
      <c r="B1676" t="s">
        <v>6261</v>
      </c>
      <c r="C1676">
        <v>11</v>
      </c>
      <c r="D1676" t="str">
        <f>INDEX(Table26[Tag_LVL5], MATCH(Table6[[#This Row],[Middle Digit]],Table26[Middle Number],0))</f>
        <v>Well Testing</v>
      </c>
      <c r="E1676" t="str">
        <f>RIGHT(Table6[[#This Row],[Middle Digit]],2)</f>
        <v>08</v>
      </c>
    </row>
    <row r="1677" spans="1:5" ht="13.05" hidden="1" x14ac:dyDescent="0.3">
      <c r="A1677">
        <v>284</v>
      </c>
      <c r="B1677" t="s">
        <v>6262</v>
      </c>
      <c r="C1677">
        <v>11</v>
      </c>
      <c r="D1677" t="str">
        <f>INDEX(Table26[Tag_LVL5], MATCH(Table6[[#This Row],[Middle Digit]],Table26[Middle Number],0))</f>
        <v>Well Testing</v>
      </c>
      <c r="E1677" t="str">
        <f>RIGHT(Table6[[#This Row],[Middle Digit]],2)</f>
        <v>09</v>
      </c>
    </row>
    <row r="1678" spans="1:5" ht="13.05" hidden="1" x14ac:dyDescent="0.3">
      <c r="A1678">
        <v>285</v>
      </c>
      <c r="B1678" t="s">
        <v>5980</v>
      </c>
      <c r="C1678">
        <v>11</v>
      </c>
      <c r="D1678" t="str">
        <f>INDEX(Table26[Tag_LVL5], MATCH(Table6[[#This Row],[Middle Digit]],Table26[Middle Number],0))</f>
        <v>Wellsite Geologist (WSG)</v>
      </c>
      <c r="E1678" t="str">
        <f>RIGHT(Table6[[#This Row],[Middle Digit]],2)</f>
        <v>01</v>
      </c>
    </row>
    <row r="1679" spans="1:5" ht="13.05" hidden="1" x14ac:dyDescent="0.3">
      <c r="A1679">
        <v>286</v>
      </c>
      <c r="B1679" t="s">
        <v>5979</v>
      </c>
      <c r="C1679">
        <v>11</v>
      </c>
      <c r="D1679" t="str">
        <f>INDEX(Table26[Tag_LVL5], MATCH(Table6[[#This Row],[Middle Digit]],Table26[Middle Number],0))</f>
        <v>Wellsite Geologist (WSG)</v>
      </c>
      <c r="E1679" t="str">
        <f>RIGHT(Table6[[#This Row],[Middle Digit]],2)</f>
        <v>02</v>
      </c>
    </row>
    <row r="1680" spans="1:5" ht="13.05" hidden="1" x14ac:dyDescent="0.3">
      <c r="A1680">
        <v>287</v>
      </c>
      <c r="B1680" t="s">
        <v>5978</v>
      </c>
      <c r="C1680">
        <v>11</v>
      </c>
      <c r="D1680" t="str">
        <f>INDEX(Table26[Tag_LVL5], MATCH(Table6[[#This Row],[Middle Digit]],Table26[Middle Number],0))</f>
        <v>Wellsite Geologist (WSG)</v>
      </c>
      <c r="E1680" t="str">
        <f>RIGHT(Table6[[#This Row],[Middle Digit]],2)</f>
        <v>03</v>
      </c>
    </row>
    <row r="1681" spans="1:5" ht="13.05" hidden="1" x14ac:dyDescent="0.3">
      <c r="A1681">
        <v>288</v>
      </c>
      <c r="B1681" t="s">
        <v>5977</v>
      </c>
      <c r="C1681">
        <v>11</v>
      </c>
      <c r="D1681" t="str">
        <f>INDEX(Table26[Tag_LVL5], MATCH(Table6[[#This Row],[Middle Digit]],Table26[Middle Number],0))</f>
        <v>Wellsite Geologist (WSG)</v>
      </c>
      <c r="E1681" t="str">
        <f>RIGHT(Table6[[#This Row],[Middle Digit]],2)</f>
        <v>04</v>
      </c>
    </row>
    <row r="1682" spans="1:5" ht="13.05" hidden="1" x14ac:dyDescent="0.3">
      <c r="A1682">
        <v>289</v>
      </c>
      <c r="B1682" t="s">
        <v>5976</v>
      </c>
      <c r="C1682">
        <v>11</v>
      </c>
      <c r="D1682" t="str">
        <f>INDEX(Table26[Tag_LVL5], MATCH(Table6[[#This Row],[Middle Digit]],Table26[Middle Number],0))</f>
        <v>Wellsite Geologist (WSG)</v>
      </c>
      <c r="E1682" t="str">
        <f>RIGHT(Table6[[#This Row],[Middle Digit]],2)</f>
        <v>05</v>
      </c>
    </row>
    <row r="1683" spans="1:5" ht="13.05" hidden="1" x14ac:dyDescent="0.3">
      <c r="A1683">
        <v>290</v>
      </c>
      <c r="B1683" t="s">
        <v>5975</v>
      </c>
      <c r="C1683">
        <v>11</v>
      </c>
      <c r="D1683" t="str">
        <f>INDEX(Table26[Tag_LVL5], MATCH(Table6[[#This Row],[Middle Digit]],Table26[Middle Number],0))</f>
        <v>Wellsite Geologist (WSG)</v>
      </c>
      <c r="E1683" t="str">
        <f>RIGHT(Table6[[#This Row],[Middle Digit]],2)</f>
        <v>06</v>
      </c>
    </row>
    <row r="1684" spans="1:5" ht="13.05" hidden="1" x14ac:dyDescent="0.3">
      <c r="A1684">
        <v>291</v>
      </c>
      <c r="B1684" t="s">
        <v>6263</v>
      </c>
      <c r="C1684">
        <v>11</v>
      </c>
      <c r="D1684" t="str">
        <f>INDEX(Table26[Tag_LVL5], MATCH(Table6[[#This Row],[Middle Digit]],Table26[Middle Number],0))</f>
        <v>Wellsite Geologist (WSG)</v>
      </c>
      <c r="E1684" t="str">
        <f>RIGHT(Table6[[#This Row],[Middle Digit]],2)</f>
        <v>07</v>
      </c>
    </row>
    <row r="1685" spans="1:5" x14ac:dyDescent="0.3">
      <c r="A1685">
        <v>292</v>
      </c>
      <c r="B1685" t="s">
        <v>6264</v>
      </c>
      <c r="C1685">
        <v>11</v>
      </c>
      <c r="D1685" t="str">
        <f>INDEX(Table26[Tag_LVL5], MATCH(Table6[[#This Row],[Middle Digit]],Table26[Middle Number],0))</f>
        <v>Wellsite Geologist (WSG)</v>
      </c>
      <c r="E1685" t="str">
        <f>RIGHT(Table6[[#This Row],[Middle Digit]],2)</f>
        <v>08</v>
      </c>
    </row>
    <row r="1686" spans="1:5" ht="13.05" hidden="1" x14ac:dyDescent="0.3">
      <c r="A1686">
        <v>293</v>
      </c>
      <c r="B1686" t="s">
        <v>6265</v>
      </c>
      <c r="C1686">
        <v>11</v>
      </c>
      <c r="D1686" t="str">
        <f>INDEX(Table26[Tag_LVL5], MATCH(Table6[[#This Row],[Middle Digit]],Table26[Middle Number],0))</f>
        <v>Wellsite Geologist (WSG)</v>
      </c>
      <c r="E1686" t="str">
        <f>RIGHT(Table6[[#This Row],[Middle Digit]],2)</f>
        <v>09</v>
      </c>
    </row>
    <row r="1687" spans="1:5" ht="13.05" hidden="1" x14ac:dyDescent="0.3">
      <c r="A1687">
        <v>294</v>
      </c>
      <c r="B1687" t="s">
        <v>6283</v>
      </c>
      <c r="C1687">
        <v>11</v>
      </c>
      <c r="D1687" t="str">
        <f>INDEX(Table26[Tag_LVL5], MATCH(Table6[[#This Row],[Middle Digit]],Table26[Middle Number],0))</f>
        <v>Environment Permit</v>
      </c>
      <c r="E1687" t="str">
        <f>RIGHT(Table6[[#This Row],[Middle Digit]],2)</f>
        <v>24</v>
      </c>
    </row>
    <row r="1688" spans="1:5" ht="13.05" hidden="1" x14ac:dyDescent="0.3">
      <c r="A1688">
        <v>295</v>
      </c>
      <c r="B1688" t="s">
        <v>6282</v>
      </c>
      <c r="C1688">
        <v>11</v>
      </c>
      <c r="D1688" t="str">
        <f>INDEX(Table26[Tag_LVL5], MATCH(Table6[[#This Row],[Middle Digit]],Table26[Middle Number],0))</f>
        <v>Andalalin</v>
      </c>
      <c r="E1688" t="str">
        <f>RIGHT(Table6[[#This Row],[Middle Digit]],2)</f>
        <v>99</v>
      </c>
    </row>
    <row r="1689" spans="1:5" ht="13.05" hidden="1" x14ac:dyDescent="0.3">
      <c r="A1689">
        <v>296</v>
      </c>
      <c r="B1689" t="s">
        <v>5970</v>
      </c>
      <c r="C1689">
        <v>11</v>
      </c>
      <c r="D1689" t="str">
        <f>INDEX(Table26[Tag_LVL5], MATCH(Table6[[#This Row],[Middle Digit]],Table26[Middle Number],0))</f>
        <v>Environment Permit</v>
      </c>
      <c r="E1689" t="str">
        <f>RIGHT(Table6[[#This Row],[Middle Digit]],2)</f>
        <v>24</v>
      </c>
    </row>
    <row r="1690" spans="1:5" ht="13.05" hidden="1" x14ac:dyDescent="0.3">
      <c r="A1690">
        <v>297</v>
      </c>
      <c r="B1690" t="s">
        <v>5972</v>
      </c>
      <c r="C1690">
        <v>11</v>
      </c>
      <c r="D1690" t="str">
        <f>INDEX(Table26[Tag_LVL5], MATCH(Table6[[#This Row],[Middle Digit]],Table26[Middle Number],0))</f>
        <v>Hazardous Waste</v>
      </c>
      <c r="E1690" t="str">
        <f>RIGHT(Table6[[#This Row],[Middle Digit]],2)</f>
        <v>36</v>
      </c>
    </row>
    <row r="1691" spans="1:5" ht="13.05" hidden="1" x14ac:dyDescent="0.3">
      <c r="A1691">
        <v>298</v>
      </c>
      <c r="B1691" t="s">
        <v>6285</v>
      </c>
      <c r="C1691">
        <v>11</v>
      </c>
      <c r="D1691" t="str">
        <f>INDEX(Table26[Tag_LVL5], MATCH(Table6[[#This Row],[Middle Digit]],Table26[Middle Number],0))</f>
        <v>Hazardous Waste</v>
      </c>
      <c r="E1691" t="str">
        <f>RIGHT(Table6[[#This Row],[Middle Digit]],2)</f>
        <v>99</v>
      </c>
    </row>
    <row r="1692" spans="1:5" ht="13.05" hidden="1" x14ac:dyDescent="0.3">
      <c r="A1692">
        <v>299</v>
      </c>
      <c r="B1692" t="s">
        <v>5973</v>
      </c>
      <c r="C1692">
        <v>11</v>
      </c>
      <c r="D1692" t="str">
        <f>INDEX(Table26[Tag_LVL5], MATCH(Table6[[#This Row],[Middle Digit]],Table26[Middle Number],0))</f>
        <v>Heavy Equipment for Drill Cutting</v>
      </c>
      <c r="E1692" t="str">
        <f>RIGHT(Table6[[#This Row],[Middle Digit]],2)</f>
        <v>16</v>
      </c>
    </row>
    <row r="1693" spans="1:5" ht="13.05" hidden="1" x14ac:dyDescent="0.3">
      <c r="A1693">
        <v>300</v>
      </c>
      <c r="B1693" t="s">
        <v>5974</v>
      </c>
      <c r="C1693">
        <v>11</v>
      </c>
      <c r="D1693" t="str">
        <f>INDEX(Table26[Tag_LVL5], MATCH(Table6[[#This Row],[Middle Digit]],Table26[Middle Number],0))</f>
        <v>Drill Cutting - Transport &amp; Process</v>
      </c>
      <c r="E1693" t="str">
        <f>RIGHT(Table6[[#This Row],[Middle Digit]],2)</f>
        <v>17</v>
      </c>
    </row>
    <row r="1694" spans="1:5" ht="13.05" hidden="1" x14ac:dyDescent="0.3">
      <c r="A1694">
        <v>301</v>
      </c>
      <c r="B1694" t="s">
        <v>5971</v>
      </c>
      <c r="C1694">
        <v>11</v>
      </c>
      <c r="D1694" t="str">
        <f>INDEX(Table26[Tag_LVL5], MATCH(Table6[[#This Row],[Middle Digit]],Table26[Middle Number],0))</f>
        <v>Environmental Monitoring</v>
      </c>
      <c r="E1694" t="str">
        <f>RIGHT(Table6[[#This Row],[Middle Digit]],2)</f>
        <v>20</v>
      </c>
    </row>
    <row r="1695" spans="1:5" ht="13.05" hidden="1" x14ac:dyDescent="0.3">
      <c r="A1695">
        <v>302</v>
      </c>
      <c r="B1695" t="s">
        <v>6266</v>
      </c>
      <c r="C1695">
        <v>11</v>
      </c>
      <c r="D1695" t="str">
        <f>INDEX(Table26[Tag_LVL5], MATCH(Table6[[#This Row],[Middle Digit]],Table26[Middle Number],0))</f>
        <v>Sampling and Lab Analysis</v>
      </c>
      <c r="E1695" t="str">
        <f>RIGHT(Table6[[#This Row],[Middle Digit]],2)</f>
        <v>29</v>
      </c>
    </row>
    <row r="1696" spans="1:5" ht="13.05" hidden="1" x14ac:dyDescent="0.3">
      <c r="A1696">
        <v>303</v>
      </c>
      <c r="B1696" t="s">
        <v>6284</v>
      </c>
      <c r="C1696">
        <v>11</v>
      </c>
      <c r="D1696" t="str">
        <f>INDEX(Table26[Tag_LVL5], MATCH(Table6[[#This Row],[Middle Digit]],Table26[Middle Number],0))</f>
        <v>IPAL</v>
      </c>
      <c r="E1696" t="str">
        <f>RIGHT(Table6[[#This Row],[Middle Digit]],2)</f>
        <v>43</v>
      </c>
    </row>
    <row r="1697" spans="1:5" ht="13.05" hidden="1" x14ac:dyDescent="0.3">
      <c r="A1697">
        <v>304</v>
      </c>
      <c r="B1697" t="s">
        <v>5968</v>
      </c>
      <c r="C1697">
        <v>11</v>
      </c>
      <c r="D1697" t="str">
        <f>INDEX(Table26[Tag_LVL5], MATCH(Table6[[#This Row],[Middle Digit]],Table26[Middle Number],0))</f>
        <v>Security</v>
      </c>
      <c r="E1697" t="str">
        <f>RIGHT(Table6[[#This Row],[Middle Digit]],2)</f>
        <v>27</v>
      </c>
    </row>
    <row r="1698" spans="1:5" ht="13.05" hidden="1" x14ac:dyDescent="0.3">
      <c r="A1698">
        <v>305</v>
      </c>
      <c r="B1698" t="s">
        <v>5969</v>
      </c>
      <c r="C1698">
        <v>11</v>
      </c>
      <c r="D1698" t="str">
        <f>INDEX(Table26[Tag_LVL5], MATCH(Table6[[#This Row],[Middle Digit]],Table26[Middle Number],0))</f>
        <v>PGPA</v>
      </c>
      <c r="E1698" t="str">
        <f>RIGHT(Table6[[#This Row],[Middle Digit]],2)</f>
        <v>27</v>
      </c>
    </row>
    <row r="1699" spans="1:5" ht="13.05" hidden="1" x14ac:dyDescent="0.3">
      <c r="A1699">
        <v>306</v>
      </c>
      <c r="B1699" t="s">
        <v>5967</v>
      </c>
      <c r="C1699">
        <v>11</v>
      </c>
      <c r="D1699" t="str">
        <f>INDEX(Table26[Tag_LVL5], MATCH(Table6[[#This Row],[Middle Digit]],Table26[Middle Number],0))</f>
        <v>Insurance</v>
      </c>
      <c r="E1699" t="str">
        <f>RIGHT(Table6[[#This Row],[Middle Digit]],2)</f>
        <v>01</v>
      </c>
    </row>
    <row r="1700" spans="1:5" ht="13.05" hidden="1" x14ac:dyDescent="0.3">
      <c r="A1700">
        <v>307</v>
      </c>
      <c r="B1700" t="s">
        <v>5966</v>
      </c>
      <c r="C1700">
        <v>11</v>
      </c>
      <c r="D1700" t="str">
        <f>INDEX(Table26[Tag_LVL5], MATCH(Table6[[#This Row],[Middle Digit]],Table26[Middle Number],0))</f>
        <v>Insurance</v>
      </c>
      <c r="E1700" t="str">
        <f>RIGHT(Table6[[#This Row],[Middle Digit]],2)</f>
        <v>02</v>
      </c>
    </row>
    <row r="1701" spans="1:5" ht="13.05" hidden="1" x14ac:dyDescent="0.3">
      <c r="A1701">
        <v>308</v>
      </c>
      <c r="B1701" t="s">
        <v>5965</v>
      </c>
      <c r="C1701">
        <v>11</v>
      </c>
      <c r="D1701" t="str">
        <f>INDEX(Table26[Tag_LVL5], MATCH(Table6[[#This Row],[Middle Digit]],Table26[Middle Number],0))</f>
        <v>Insurance</v>
      </c>
      <c r="E1701" t="str">
        <f>RIGHT(Table6[[#This Row],[Middle Digit]],2)</f>
        <v>03</v>
      </c>
    </row>
    <row r="1702" spans="1:5" ht="13.05" hidden="1" x14ac:dyDescent="0.3">
      <c r="A1702">
        <v>309</v>
      </c>
      <c r="B1702" t="s">
        <v>5964</v>
      </c>
      <c r="C1702">
        <v>11</v>
      </c>
      <c r="D1702" t="str">
        <f>INDEX(Table26[Tag_LVL5], MATCH(Table6[[#This Row],[Middle Digit]],Table26[Middle Number],0))</f>
        <v>Insurance</v>
      </c>
      <c r="E1702" t="str">
        <f>RIGHT(Table6[[#This Row],[Middle Digit]],2)</f>
        <v>04</v>
      </c>
    </row>
    <row r="1703" spans="1:5" ht="13.05" hidden="1" x14ac:dyDescent="0.3">
      <c r="A1703">
        <v>310</v>
      </c>
      <c r="B1703" t="s">
        <v>5963</v>
      </c>
      <c r="C1703">
        <v>11</v>
      </c>
      <c r="D1703" t="str">
        <f>INDEX(Table26[Tag_LVL5], MATCH(Table6[[#This Row],[Middle Digit]],Table26[Middle Number],0))</f>
        <v>Insurance</v>
      </c>
      <c r="E1703" t="str">
        <f>RIGHT(Table6[[#This Row],[Middle Digit]],2)</f>
        <v>05</v>
      </c>
    </row>
    <row r="1704" spans="1:5" ht="13.05" hidden="1" x14ac:dyDescent="0.3">
      <c r="A1704">
        <v>311</v>
      </c>
      <c r="B1704" t="s">
        <v>5962</v>
      </c>
      <c r="C1704">
        <v>11</v>
      </c>
      <c r="D1704" t="str">
        <f>INDEX(Table26[Tag_LVL5], MATCH(Table6[[#This Row],[Middle Digit]],Table26[Middle Number],0))</f>
        <v>Insurance</v>
      </c>
      <c r="E1704" t="str">
        <f>RIGHT(Table6[[#This Row],[Middle Digit]],2)</f>
        <v>06</v>
      </c>
    </row>
    <row r="1705" spans="1:5" ht="13.05" hidden="1" x14ac:dyDescent="0.3">
      <c r="A1705">
        <v>312</v>
      </c>
      <c r="B1705" t="s">
        <v>6267</v>
      </c>
      <c r="C1705">
        <v>11</v>
      </c>
      <c r="D1705" t="str">
        <f>INDEX(Table26[Tag_LVL5], MATCH(Table6[[#This Row],[Middle Digit]],Table26[Middle Number],0))</f>
        <v>Insurance</v>
      </c>
      <c r="E1705" t="str">
        <f>RIGHT(Table6[[#This Row],[Middle Digit]],2)</f>
        <v>07</v>
      </c>
    </row>
    <row r="1706" spans="1:5" x14ac:dyDescent="0.3">
      <c r="A1706">
        <v>313</v>
      </c>
      <c r="B1706" t="s">
        <v>6268</v>
      </c>
      <c r="C1706">
        <v>11</v>
      </c>
      <c r="D1706" t="str">
        <f>INDEX(Table26[Tag_LVL5], MATCH(Table6[[#This Row],[Middle Digit]],Table26[Middle Number],0))</f>
        <v>Insurance</v>
      </c>
      <c r="E1706" t="str">
        <f>RIGHT(Table6[[#This Row],[Middle Digit]],2)</f>
        <v>08</v>
      </c>
    </row>
    <row r="1707" spans="1:5" ht="13.05" hidden="1" x14ac:dyDescent="0.3">
      <c r="A1707">
        <v>314</v>
      </c>
      <c r="B1707" t="s">
        <v>6269</v>
      </c>
      <c r="C1707">
        <v>11</v>
      </c>
      <c r="D1707" t="str">
        <f>INDEX(Table26[Tag_LVL5], MATCH(Table6[[#This Row],[Middle Digit]],Table26[Middle Number],0))</f>
        <v>Insurance</v>
      </c>
      <c r="E1707" t="str">
        <f>RIGHT(Table6[[#This Row],[Middle Digit]],2)</f>
        <v>09</v>
      </c>
    </row>
    <row r="1708" spans="1:5" ht="13.05" hidden="1" x14ac:dyDescent="0.3">
      <c r="A1708">
        <v>315</v>
      </c>
      <c r="B1708" t="s">
        <v>6270</v>
      </c>
      <c r="C1708">
        <v>11</v>
      </c>
      <c r="D1708" t="str">
        <f>INDEX(Table26[Tag_LVL5], MATCH(Table6[[#This Row],[Middle Digit]],Table26[Middle Number],0))</f>
        <v>Project Management Cost</v>
      </c>
      <c r="E1708" t="str">
        <f>RIGHT(Table6[[#This Row],[Middle Digit]],2)</f>
        <v>64</v>
      </c>
    </row>
    <row r="1709" spans="1:5" ht="13.05" hidden="1" x14ac:dyDescent="0.3">
      <c r="A1709">
        <v>316</v>
      </c>
      <c r="B1709" t="s">
        <v>5961</v>
      </c>
      <c r="C1709">
        <v>11</v>
      </c>
      <c r="D1709" t="str">
        <f>INDEX(Table26[Tag_LVL5], MATCH(Table6[[#This Row],[Middle Digit]],Table26[Middle Number],0))</f>
        <v>Drilling Operation Water Support</v>
      </c>
      <c r="E1709" t="str">
        <f>RIGHT(Table6[[#This Row],[Middle Digit]],2)</f>
        <v>43</v>
      </c>
    </row>
    <row r="1710" spans="1:5" ht="13.05" hidden="1" x14ac:dyDescent="0.3">
      <c r="A1710">
        <v>317</v>
      </c>
      <c r="B1710" t="s">
        <v>5959</v>
      </c>
      <c r="C1710">
        <v>11</v>
      </c>
      <c r="D1710" t="str">
        <f>INDEX(Table26[Tag_LVL5], MATCH(Table6[[#This Row],[Middle Digit]],Table26[Middle Number],0))</f>
        <v>Hardware Supply</v>
      </c>
      <c r="E1710" t="str">
        <f>RIGHT(Table6[[#This Row],[Middle Digit]],2)</f>
        <v>60</v>
      </c>
    </row>
    <row r="1711" spans="1:5" ht="13.05" hidden="1" x14ac:dyDescent="0.3">
      <c r="A1711">
        <v>318</v>
      </c>
      <c r="B1711" t="s">
        <v>6281</v>
      </c>
      <c r="C1711">
        <v>11</v>
      </c>
      <c r="D1711" t="str">
        <f>INDEX(Table26[Tag_LVL5], MATCH(Table6[[#This Row],[Middle Digit]],Table26[Middle Number],0))</f>
        <v>Internet and IT Support Service</v>
      </c>
      <c r="E1711" t="str">
        <f>RIGHT(Table6[[#This Row],[Middle Digit]],2)</f>
        <v>04</v>
      </c>
    </row>
    <row r="1712" spans="1:5" ht="13.05" hidden="1" x14ac:dyDescent="0.3">
      <c r="A1712">
        <v>319</v>
      </c>
      <c r="B1712" t="s">
        <v>6271</v>
      </c>
      <c r="C1712">
        <v>11</v>
      </c>
      <c r="D1712" t="str">
        <f>INDEX(Table26[Tag_LVL5], MATCH(Table6[[#This Row],[Middle Digit]],Table26[Middle Number],0))</f>
        <v>Internet and IT Support Service</v>
      </c>
      <c r="E1712" t="str">
        <f>RIGHT(Table6[[#This Row],[Middle Digit]],2)</f>
        <v>85</v>
      </c>
    </row>
    <row r="1713" spans="1:5" ht="13.05" hidden="1" x14ac:dyDescent="0.3">
      <c r="A1713">
        <v>320</v>
      </c>
      <c r="B1713" t="s">
        <v>5958</v>
      </c>
      <c r="C1713">
        <v>11</v>
      </c>
      <c r="D1713" t="str">
        <f>INDEX(Table26[Tag_LVL5], MATCH(Table6[[#This Row],[Middle Digit]],Table26[Middle Number],0))</f>
        <v>Permitting</v>
      </c>
      <c r="E1713" t="str">
        <f>RIGHT(Table6[[#This Row],[Middle Digit]],2)</f>
        <v>24</v>
      </c>
    </row>
    <row r="1714" spans="1:5" ht="13.05" hidden="1" x14ac:dyDescent="0.3">
      <c r="A1714">
        <v>321</v>
      </c>
      <c r="B1714" t="s">
        <v>5957</v>
      </c>
      <c r="C1714">
        <v>11</v>
      </c>
      <c r="D1714" t="str">
        <f>INDEX(Table26[Tag_LVL5], MATCH(Table6[[#This Row],[Middle Digit]],Table26[Middle Number],0))</f>
        <v>Service</v>
      </c>
      <c r="E1714" t="str">
        <f>RIGHT(Table6[[#This Row],[Middle Digit]],2)</f>
        <v>03</v>
      </c>
    </row>
    <row r="1715" spans="1:5" ht="13.05" hidden="1" x14ac:dyDescent="0.3">
      <c r="A1715">
        <v>322</v>
      </c>
      <c r="B1715" t="s">
        <v>5956</v>
      </c>
      <c r="C1715">
        <v>11</v>
      </c>
      <c r="D1715" t="str">
        <f>INDEX(Table26[Tag_LVL5], MATCH(Table6[[#This Row],[Middle Digit]],Table26[Middle Number],0))</f>
        <v>Material</v>
      </c>
      <c r="E1715" t="str">
        <f>RIGHT(Table6[[#This Row],[Middle Digit]],2)</f>
        <v>60</v>
      </c>
    </row>
    <row r="1716" spans="1:5" ht="13.05" hidden="1" x14ac:dyDescent="0.3">
      <c r="A1716">
        <v>323</v>
      </c>
      <c r="B1716" t="s">
        <v>5955</v>
      </c>
      <c r="C1716">
        <v>11</v>
      </c>
      <c r="D1716" t="str">
        <f>INDEX(Table26[Tag_LVL5], MATCH(Table6[[#This Row],[Middle Digit]],Table26[Middle Number],0))</f>
        <v>Service</v>
      </c>
      <c r="E1716" t="str">
        <f>RIGHT(Table6[[#This Row],[Middle Digit]],2)</f>
        <v>03</v>
      </c>
    </row>
    <row r="1717" spans="1:5" ht="13.05" hidden="1" x14ac:dyDescent="0.3">
      <c r="A1717">
        <v>324</v>
      </c>
      <c r="B1717" t="s">
        <v>5954</v>
      </c>
      <c r="C1717">
        <v>11</v>
      </c>
      <c r="D1717" t="str">
        <f>INDEX(Table26[Tag_LVL5], MATCH(Table6[[#This Row],[Middle Digit]],Table26[Middle Number],0))</f>
        <v>Material</v>
      </c>
      <c r="E1717" t="str">
        <f>RIGHT(Table6[[#This Row],[Middle Digit]],2)</f>
        <v>60</v>
      </c>
    </row>
    <row r="1718" spans="1:5" ht="13.05" hidden="1" x14ac:dyDescent="0.3">
      <c r="A1718">
        <v>325</v>
      </c>
      <c r="B1718" t="s">
        <v>5953</v>
      </c>
      <c r="C1718">
        <v>11</v>
      </c>
      <c r="D1718" t="str">
        <f>INDEX(Table26[Tag_LVL5], MATCH(Table6[[#This Row],[Middle Digit]],Table26[Middle Number],0))</f>
        <v>Service</v>
      </c>
      <c r="E1718" t="str">
        <f>RIGHT(Table6[[#This Row],[Middle Digit]],2)</f>
        <v>03</v>
      </c>
    </row>
    <row r="1719" spans="1:5" ht="13.05" hidden="1" x14ac:dyDescent="0.3">
      <c r="A1719">
        <v>326</v>
      </c>
      <c r="B1719" t="s">
        <v>5952</v>
      </c>
      <c r="C1719">
        <v>11</v>
      </c>
      <c r="D1719" t="str">
        <f>INDEX(Table26[Tag_LVL5], MATCH(Table6[[#This Row],[Middle Digit]],Table26[Middle Number],0))</f>
        <v>Material</v>
      </c>
      <c r="E1719" t="str">
        <f>RIGHT(Table6[[#This Row],[Middle Digit]],2)</f>
        <v>60</v>
      </c>
    </row>
    <row r="1720" spans="1:5" ht="13.05" hidden="1" x14ac:dyDescent="0.3">
      <c r="A1720">
        <v>327</v>
      </c>
      <c r="B1720" t="s">
        <v>5951</v>
      </c>
      <c r="C1720">
        <v>11</v>
      </c>
      <c r="D1720" t="str">
        <f>INDEX(Table26[Tag_LVL5], MATCH(Table6[[#This Row],[Middle Digit]],Table26[Middle Number],0))</f>
        <v>Service</v>
      </c>
      <c r="E1720" t="str">
        <f>RIGHT(Table6[[#This Row],[Middle Digit]],2)</f>
        <v>03</v>
      </c>
    </row>
    <row r="1721" spans="1:5" ht="13.05" hidden="1" x14ac:dyDescent="0.3">
      <c r="A1721">
        <v>328</v>
      </c>
      <c r="B1721" t="s">
        <v>5950</v>
      </c>
      <c r="C1721">
        <v>11</v>
      </c>
      <c r="D1721" t="str">
        <f>INDEX(Table26[Tag_LVL5], MATCH(Table6[[#This Row],[Middle Digit]],Table26[Middle Number],0))</f>
        <v>Material</v>
      </c>
      <c r="E1721" t="str">
        <f>RIGHT(Table6[[#This Row],[Middle Digit]],2)</f>
        <v>60</v>
      </c>
    </row>
    <row r="1722" spans="1:5" ht="13.05" hidden="1" x14ac:dyDescent="0.3">
      <c r="A1722">
        <v>329</v>
      </c>
      <c r="B1722" t="s">
        <v>5949</v>
      </c>
      <c r="C1722">
        <v>11</v>
      </c>
      <c r="D1722" t="str">
        <f>INDEX(Table26[Tag_LVL5], MATCH(Table6[[#This Row],[Middle Digit]],Table26[Middle Number],0))</f>
        <v>Service</v>
      </c>
      <c r="E1722" t="str">
        <f>RIGHT(Table6[[#This Row],[Middle Digit]],2)</f>
        <v>03</v>
      </c>
    </row>
    <row r="1723" spans="1:5" ht="13.05" hidden="1" x14ac:dyDescent="0.3">
      <c r="A1723">
        <v>330</v>
      </c>
      <c r="B1723" t="s">
        <v>5948</v>
      </c>
      <c r="C1723">
        <v>11</v>
      </c>
      <c r="D1723" t="str">
        <f>INDEX(Table26[Tag_LVL5], MATCH(Table6[[#This Row],[Middle Digit]],Table26[Middle Number],0))</f>
        <v>Material</v>
      </c>
      <c r="E1723" t="str">
        <f>RIGHT(Table6[[#This Row],[Middle Digit]],2)</f>
        <v>60</v>
      </c>
    </row>
    <row r="1724" spans="1:5" ht="13.05" hidden="1" x14ac:dyDescent="0.3">
      <c r="A1724">
        <v>331</v>
      </c>
      <c r="B1724" t="s">
        <v>5947</v>
      </c>
      <c r="C1724">
        <v>11</v>
      </c>
      <c r="D1724" t="str">
        <f>INDEX(Table26[Tag_LVL5], MATCH(Table6[[#This Row],[Middle Digit]],Table26[Middle Number],0))</f>
        <v>Service</v>
      </c>
      <c r="E1724" t="str">
        <f>RIGHT(Table6[[#This Row],[Middle Digit]],2)</f>
        <v>03</v>
      </c>
    </row>
    <row r="1725" spans="1:5" ht="13.05" hidden="1" x14ac:dyDescent="0.3">
      <c r="A1725">
        <v>332</v>
      </c>
      <c r="B1725" t="s">
        <v>5946</v>
      </c>
      <c r="C1725">
        <v>11</v>
      </c>
      <c r="D1725" t="str">
        <f>INDEX(Table26[Tag_LVL5], MATCH(Table6[[#This Row],[Middle Digit]],Table26[Middle Number],0))</f>
        <v>Material</v>
      </c>
      <c r="E1725" t="str">
        <f>RIGHT(Table6[[#This Row],[Middle Digit]],2)</f>
        <v>60</v>
      </c>
    </row>
    <row r="1726" spans="1:5" ht="13.05" hidden="1" x14ac:dyDescent="0.3">
      <c r="A1726">
        <v>333</v>
      </c>
      <c r="B1726" t="s">
        <v>6272</v>
      </c>
      <c r="C1726">
        <v>11</v>
      </c>
      <c r="D1726" t="str">
        <f>INDEX(Table26[Tag_LVL5], MATCH(Table6[[#This Row],[Middle Digit]],Table26[Middle Number],0))</f>
        <v>Service</v>
      </c>
      <c r="E1726" t="str">
        <f>RIGHT(Table6[[#This Row],[Middle Digit]],2)</f>
        <v>03</v>
      </c>
    </row>
    <row r="1727" spans="1:5" ht="13.05" hidden="1" x14ac:dyDescent="0.3">
      <c r="A1727">
        <v>334</v>
      </c>
      <c r="B1727" t="s">
        <v>6273</v>
      </c>
      <c r="C1727">
        <v>11</v>
      </c>
      <c r="D1727" t="str">
        <f>INDEX(Table26[Tag_LVL5], MATCH(Table6[[#This Row],[Middle Digit]],Table26[Middle Number],0))</f>
        <v>Material</v>
      </c>
      <c r="E1727" t="str">
        <f>RIGHT(Table6[[#This Row],[Middle Digit]],2)</f>
        <v>60</v>
      </c>
    </row>
    <row r="1728" spans="1:5" ht="13.05" hidden="1" x14ac:dyDescent="0.3">
      <c r="A1728">
        <v>335</v>
      </c>
      <c r="B1728" t="s">
        <v>6274</v>
      </c>
      <c r="C1728">
        <v>11</v>
      </c>
      <c r="D1728" t="str">
        <f>INDEX(Table26[Tag_LVL5], MATCH(Table6[[#This Row],[Middle Digit]],Table26[Middle Number],0))</f>
        <v>Service</v>
      </c>
      <c r="E1728" t="str">
        <f>RIGHT(Table6[[#This Row],[Middle Digit]],2)</f>
        <v>03</v>
      </c>
    </row>
    <row r="1729" spans="1:5" ht="13.05" hidden="1" x14ac:dyDescent="0.3">
      <c r="A1729">
        <v>336</v>
      </c>
      <c r="B1729" t="s">
        <v>6275</v>
      </c>
      <c r="C1729">
        <v>11</v>
      </c>
      <c r="D1729" t="str">
        <f>INDEX(Table26[Tag_LVL5], MATCH(Table6[[#This Row],[Middle Digit]],Table26[Middle Number],0))</f>
        <v>Material</v>
      </c>
      <c r="E1729" t="str">
        <f>RIGHT(Table6[[#This Row],[Middle Digit]],2)</f>
        <v>60</v>
      </c>
    </row>
    <row r="1730" spans="1:5" ht="13.05" hidden="1" x14ac:dyDescent="0.3">
      <c r="A1730">
        <v>337</v>
      </c>
      <c r="B1730" t="s">
        <v>6276</v>
      </c>
      <c r="C1730">
        <v>11</v>
      </c>
      <c r="D1730" t="str">
        <f>INDEX(Table26[Tag_LVL5], MATCH(Table6[[#This Row],[Middle Digit]],Table26[Middle Number],0))</f>
        <v>Service</v>
      </c>
      <c r="E1730" t="str">
        <f>RIGHT(Table6[[#This Row],[Middle Digit]],2)</f>
        <v>03</v>
      </c>
    </row>
    <row r="1731" spans="1:5" ht="13.05" hidden="1" x14ac:dyDescent="0.3">
      <c r="A1731">
        <v>338</v>
      </c>
      <c r="B1731" t="s">
        <v>6277</v>
      </c>
      <c r="C1731">
        <v>11</v>
      </c>
      <c r="D1731" t="str">
        <f>INDEX(Table26[Tag_LVL5], MATCH(Table6[[#This Row],[Middle Digit]],Table26[Middle Number],0))</f>
        <v>Material</v>
      </c>
      <c r="E1731" t="str">
        <f>RIGHT(Table6[[#This Row],[Middle Digit]],2)</f>
        <v>60</v>
      </c>
    </row>
    <row r="1732" spans="1:5" ht="13.05" hidden="1" x14ac:dyDescent="0.3">
      <c r="A1732">
        <v>339</v>
      </c>
      <c r="B1732" t="s">
        <v>5945</v>
      </c>
      <c r="C1732">
        <v>11</v>
      </c>
      <c r="D1732" t="str">
        <f>INDEX(Table26[Tag_LVL5], MATCH(Table6[[#This Row],[Middle Digit]],Table26[Middle Number],0))</f>
        <v>Engineering</v>
      </c>
      <c r="E1732" t="str">
        <f>RIGHT(Table6[[#This Row],[Middle Digit]],2)</f>
        <v>59</v>
      </c>
    </row>
    <row r="1733" spans="1:5" ht="13.05" hidden="1" x14ac:dyDescent="0.3">
      <c r="A1733">
        <v>340</v>
      </c>
      <c r="B1733" t="s">
        <v>5943</v>
      </c>
      <c r="C1733">
        <v>11</v>
      </c>
      <c r="D1733" t="str">
        <f>INDEX(Table26[Tag_LVL5], MATCH(Table6[[#This Row],[Middle Digit]],Table26[Middle Number],0))</f>
        <v>Material - Non LL</v>
      </c>
      <c r="E1733" t="str">
        <f>RIGHT(Table6[[#This Row],[Middle Digit]],2)</f>
        <v>21</v>
      </c>
    </row>
    <row r="1734" spans="1:5" ht="13.05" hidden="1" x14ac:dyDescent="0.3">
      <c r="A1734">
        <v>341</v>
      </c>
      <c r="B1734" t="s">
        <v>5944</v>
      </c>
      <c r="C1734">
        <v>11</v>
      </c>
      <c r="D1734" t="str">
        <f>INDEX(Table26[Tag_LVL5], MATCH(Table6[[#This Row],[Middle Digit]],Table26[Middle Number],0))</f>
        <v>Material - LL</v>
      </c>
      <c r="E1734" t="str">
        <f>RIGHT(Table6[[#This Row],[Middle Digit]],2)</f>
        <v>60</v>
      </c>
    </row>
    <row r="1735" spans="1:5" ht="13.05" hidden="1" x14ac:dyDescent="0.3">
      <c r="A1735">
        <v>342</v>
      </c>
      <c r="B1735" t="s">
        <v>5942</v>
      </c>
      <c r="C1735">
        <v>11</v>
      </c>
      <c r="D1735" t="str">
        <f>INDEX(Table26[Tag_LVL5], MATCH(Table6[[#This Row],[Middle Digit]],Table26[Middle Number],0))</f>
        <v>Construction</v>
      </c>
      <c r="E1735" t="str">
        <f>RIGHT(Table6[[#This Row],[Middle Digit]],2)</f>
        <v>62</v>
      </c>
    </row>
    <row r="1736" spans="1:5" ht="13.05" hidden="1" x14ac:dyDescent="0.3">
      <c r="A1736">
        <v>343</v>
      </c>
      <c r="B1736" t="s">
        <v>5941</v>
      </c>
      <c r="C1736">
        <v>11</v>
      </c>
      <c r="D1736" t="str">
        <f>INDEX(Table26[Tag_LVL5], MATCH(Table6[[#This Row],[Middle Digit]],Table26[Middle Number],0))</f>
        <v>Engineering</v>
      </c>
      <c r="E1736" t="str">
        <f>RIGHT(Table6[[#This Row],[Middle Digit]],2)</f>
        <v>59</v>
      </c>
    </row>
    <row r="1737" spans="1:5" ht="13.05" hidden="1" x14ac:dyDescent="0.3">
      <c r="A1737">
        <v>344</v>
      </c>
      <c r="B1737" t="s">
        <v>5939</v>
      </c>
      <c r="C1737">
        <v>11</v>
      </c>
      <c r="D1737" t="str">
        <f>INDEX(Table26[Tag_LVL5], MATCH(Table6[[#This Row],[Middle Digit]],Table26[Middle Number],0))</f>
        <v>Material - Non LL</v>
      </c>
      <c r="E1737" t="str">
        <f>RIGHT(Table6[[#This Row],[Middle Digit]],2)</f>
        <v>21</v>
      </c>
    </row>
    <row r="1738" spans="1:5" ht="13.05" hidden="1" x14ac:dyDescent="0.3">
      <c r="A1738">
        <v>345</v>
      </c>
      <c r="B1738" t="s">
        <v>5940</v>
      </c>
      <c r="C1738">
        <v>11</v>
      </c>
      <c r="D1738" t="str">
        <f>INDEX(Table26[Tag_LVL5], MATCH(Table6[[#This Row],[Middle Digit]],Table26[Middle Number],0))</f>
        <v>Material - LL</v>
      </c>
      <c r="E1738" t="str">
        <f>RIGHT(Table6[[#This Row],[Middle Digit]],2)</f>
        <v>60</v>
      </c>
    </row>
    <row r="1739" spans="1:5" ht="13.05" hidden="1" x14ac:dyDescent="0.3">
      <c r="A1739">
        <v>346</v>
      </c>
      <c r="B1739" t="s">
        <v>5938</v>
      </c>
      <c r="C1739">
        <v>11</v>
      </c>
      <c r="D1739" t="str">
        <f>INDEX(Table26[Tag_LVL5], MATCH(Table6[[#This Row],[Middle Digit]],Table26[Middle Number],0))</f>
        <v>Construction</v>
      </c>
      <c r="E1739" t="str">
        <f>RIGHT(Table6[[#This Row],[Middle Digit]],2)</f>
        <v>62</v>
      </c>
    </row>
    <row r="1740" spans="1:5" ht="13.05" hidden="1" x14ac:dyDescent="0.3">
      <c r="A1740">
        <v>347</v>
      </c>
      <c r="B1740" t="s">
        <v>5937</v>
      </c>
      <c r="C1740">
        <v>11</v>
      </c>
      <c r="D1740" t="str">
        <f>INDEX(Table26[Tag_LVL5], MATCH(Table6[[#This Row],[Middle Digit]],Table26[Middle Number],0))</f>
        <v>Engineering</v>
      </c>
      <c r="E1740" t="str">
        <f>RIGHT(Table6[[#This Row],[Middle Digit]],2)</f>
        <v>59</v>
      </c>
    </row>
    <row r="1741" spans="1:5" ht="13.05" hidden="1" x14ac:dyDescent="0.3">
      <c r="A1741">
        <v>348</v>
      </c>
      <c r="B1741" t="s">
        <v>5935</v>
      </c>
      <c r="C1741">
        <v>11</v>
      </c>
      <c r="D1741" t="str">
        <f>INDEX(Table26[Tag_LVL5], MATCH(Table6[[#This Row],[Middle Digit]],Table26[Middle Number],0))</f>
        <v>Material - Non LL</v>
      </c>
      <c r="E1741" t="str">
        <f>RIGHT(Table6[[#This Row],[Middle Digit]],2)</f>
        <v>21</v>
      </c>
    </row>
    <row r="1742" spans="1:5" ht="13.05" hidden="1" x14ac:dyDescent="0.3">
      <c r="A1742">
        <v>349</v>
      </c>
      <c r="B1742" t="s">
        <v>5936</v>
      </c>
      <c r="C1742">
        <v>11</v>
      </c>
      <c r="D1742" t="str">
        <f>INDEX(Table26[Tag_LVL5], MATCH(Table6[[#This Row],[Middle Digit]],Table26[Middle Number],0))</f>
        <v>Material - LL</v>
      </c>
      <c r="E1742" t="str">
        <f>RIGHT(Table6[[#This Row],[Middle Digit]],2)</f>
        <v>60</v>
      </c>
    </row>
    <row r="1743" spans="1:5" ht="13.05" hidden="1" x14ac:dyDescent="0.3">
      <c r="A1743">
        <v>350</v>
      </c>
      <c r="B1743" t="s">
        <v>5934</v>
      </c>
      <c r="C1743">
        <v>11</v>
      </c>
      <c r="D1743" t="str">
        <f>INDEX(Table26[Tag_LVL5], MATCH(Table6[[#This Row],[Middle Digit]],Table26[Middle Number],0))</f>
        <v>Construction</v>
      </c>
      <c r="E1743" t="str">
        <f>RIGHT(Table6[[#This Row],[Middle Digit]],2)</f>
        <v>62</v>
      </c>
    </row>
    <row r="1744" spans="1:5" ht="13.05" hidden="1" x14ac:dyDescent="0.3">
      <c r="A1744">
        <v>351</v>
      </c>
      <c r="B1744" t="s">
        <v>5933</v>
      </c>
      <c r="C1744">
        <v>11</v>
      </c>
      <c r="D1744" t="str">
        <f>INDEX(Table26[Tag_LVL5], MATCH(Table6[[#This Row],[Middle Digit]],Table26[Middle Number],0))</f>
        <v>Engineering</v>
      </c>
      <c r="E1744" t="str">
        <f>RIGHT(Table6[[#This Row],[Middle Digit]],2)</f>
        <v>59</v>
      </c>
    </row>
    <row r="1745" spans="1:5" ht="13.05" hidden="1" x14ac:dyDescent="0.3">
      <c r="A1745">
        <v>352</v>
      </c>
      <c r="B1745" t="s">
        <v>5931</v>
      </c>
      <c r="C1745">
        <v>11</v>
      </c>
      <c r="D1745" t="str">
        <f>INDEX(Table26[Tag_LVL5], MATCH(Table6[[#This Row],[Middle Digit]],Table26[Middle Number],0))</f>
        <v>Material - Non LL</v>
      </c>
      <c r="E1745" t="str">
        <f>RIGHT(Table6[[#This Row],[Middle Digit]],2)</f>
        <v>21</v>
      </c>
    </row>
    <row r="1746" spans="1:5" ht="13.05" hidden="1" x14ac:dyDescent="0.3">
      <c r="A1746">
        <v>353</v>
      </c>
      <c r="B1746" t="s">
        <v>5932</v>
      </c>
      <c r="C1746">
        <v>11</v>
      </c>
      <c r="D1746" t="str">
        <f>INDEX(Table26[Tag_LVL5], MATCH(Table6[[#This Row],[Middle Digit]],Table26[Middle Number],0))</f>
        <v>Material - LL</v>
      </c>
      <c r="E1746" t="str">
        <f>RIGHT(Table6[[#This Row],[Middle Digit]],2)</f>
        <v>60</v>
      </c>
    </row>
    <row r="1747" spans="1:5" ht="13.05" hidden="1" x14ac:dyDescent="0.3">
      <c r="A1747">
        <v>354</v>
      </c>
      <c r="B1747" t="s">
        <v>5930</v>
      </c>
      <c r="C1747">
        <v>11</v>
      </c>
      <c r="D1747" t="str">
        <f>INDEX(Table26[Tag_LVL5], MATCH(Table6[[#This Row],[Middle Digit]],Table26[Middle Number],0))</f>
        <v>Construction</v>
      </c>
      <c r="E1747" t="str">
        <f>RIGHT(Table6[[#This Row],[Middle Digit]],2)</f>
        <v>62</v>
      </c>
    </row>
    <row r="1748" spans="1:5" ht="13.05" hidden="1" x14ac:dyDescent="0.3">
      <c r="A1748">
        <v>355</v>
      </c>
      <c r="B1748" t="s">
        <v>5917</v>
      </c>
      <c r="C1748">
        <v>11</v>
      </c>
      <c r="D1748" t="str">
        <f>INDEX(Table26[Tag_LVL5], MATCH(Table6[[#This Row],[Middle Digit]],Table26[Middle Number],0))</f>
        <v>Engineering</v>
      </c>
      <c r="E1748" t="str">
        <f>RIGHT(Table6[[#This Row],[Middle Digit]],2)</f>
        <v>59</v>
      </c>
    </row>
    <row r="1749" spans="1:5" ht="13.05" hidden="1" x14ac:dyDescent="0.3">
      <c r="A1749">
        <v>356</v>
      </c>
      <c r="B1749" t="s">
        <v>5915</v>
      </c>
      <c r="C1749">
        <v>11</v>
      </c>
      <c r="D1749" t="str">
        <f>INDEX(Table26[Tag_LVL5], MATCH(Table6[[#This Row],[Middle Digit]],Table26[Middle Number],0))</f>
        <v>Material - Non LL</v>
      </c>
      <c r="E1749" t="str">
        <f>RIGHT(Table6[[#This Row],[Middle Digit]],2)</f>
        <v>21</v>
      </c>
    </row>
    <row r="1750" spans="1:5" ht="13.05" hidden="1" x14ac:dyDescent="0.3">
      <c r="A1750">
        <v>357</v>
      </c>
      <c r="B1750" t="s">
        <v>5916</v>
      </c>
      <c r="C1750">
        <v>11</v>
      </c>
      <c r="D1750" t="str">
        <f>INDEX(Table26[Tag_LVL5], MATCH(Table6[[#This Row],[Middle Digit]],Table26[Middle Number],0))</f>
        <v>Material - LL</v>
      </c>
      <c r="E1750" t="str">
        <f>RIGHT(Table6[[#This Row],[Middle Digit]],2)</f>
        <v>60</v>
      </c>
    </row>
    <row r="1751" spans="1:5" ht="13.05" hidden="1" x14ac:dyDescent="0.3">
      <c r="A1751">
        <v>358</v>
      </c>
      <c r="B1751" t="s">
        <v>6291</v>
      </c>
      <c r="C1751">
        <v>11</v>
      </c>
      <c r="D1751" t="str">
        <f>INDEX(Table26[Tag_LVL5], MATCH(Table6[[#This Row],[Middle Digit]],Table26[Middle Number],0))</f>
        <v>Installation, Hook Up &amp; Pre-Commisioning</v>
      </c>
      <c r="E1751" t="str">
        <f>RIGHT(Table6[[#This Row],[Middle Digit]],2)</f>
        <v>01</v>
      </c>
    </row>
    <row r="1752" spans="1:5" ht="13.05" hidden="1" x14ac:dyDescent="0.3">
      <c r="A1752">
        <v>359</v>
      </c>
      <c r="B1752" t="s">
        <v>6290</v>
      </c>
      <c r="C1752">
        <v>11</v>
      </c>
      <c r="D1752" t="str">
        <f>INDEX(Table26[Tag_LVL5], MATCH(Table6[[#This Row],[Middle Digit]],Table26[Middle Number],0))</f>
        <v>Installation, Hook Up &amp; Pre-Commisioning</v>
      </c>
      <c r="E1752" t="str">
        <f>RIGHT(Table6[[#This Row],[Middle Digit]],2)</f>
        <v>02</v>
      </c>
    </row>
    <row r="1753" spans="1:5" ht="13.05" hidden="1" x14ac:dyDescent="0.3">
      <c r="A1753">
        <v>360</v>
      </c>
      <c r="B1753" t="s">
        <v>5914</v>
      </c>
      <c r="C1753">
        <v>11</v>
      </c>
      <c r="D1753" t="str">
        <f>INDEX(Table26[Tag_LVL5], MATCH(Table6[[#This Row],[Middle Digit]],Table26[Middle Number],0))</f>
        <v>Installation, Hook Up &amp; Pre-Commisioning</v>
      </c>
      <c r="E1753" t="str">
        <f>RIGHT(Table6[[#This Row],[Middle Digit]],2)</f>
        <v>63</v>
      </c>
    </row>
    <row r="1754" spans="1:5" ht="13.05" hidden="1" x14ac:dyDescent="0.3">
      <c r="A1754">
        <v>361</v>
      </c>
      <c r="B1754" t="s">
        <v>5913</v>
      </c>
      <c r="C1754">
        <v>11</v>
      </c>
      <c r="D1754" t="str">
        <f>INDEX(Table26[Tag_LVL5], MATCH(Table6[[#This Row],[Middle Digit]],Table26[Middle Number],0))</f>
        <v>Engineering</v>
      </c>
      <c r="E1754" t="str">
        <f>RIGHT(Table6[[#This Row],[Middle Digit]],2)</f>
        <v>59</v>
      </c>
    </row>
    <row r="1755" spans="1:5" ht="13.05" hidden="1" x14ac:dyDescent="0.3">
      <c r="A1755">
        <v>362</v>
      </c>
      <c r="B1755" t="s">
        <v>5911</v>
      </c>
      <c r="C1755">
        <v>11</v>
      </c>
      <c r="D1755" t="str">
        <f>INDEX(Table26[Tag_LVL5], MATCH(Table6[[#This Row],[Middle Digit]],Table26[Middle Number],0))</f>
        <v>Material - Non LL</v>
      </c>
      <c r="E1755" t="str">
        <f>RIGHT(Table6[[#This Row],[Middle Digit]],2)</f>
        <v>21</v>
      </c>
    </row>
    <row r="1756" spans="1:5" ht="13.05" hidden="1" x14ac:dyDescent="0.3">
      <c r="A1756">
        <v>363</v>
      </c>
      <c r="B1756" t="s">
        <v>5912</v>
      </c>
      <c r="C1756">
        <v>11</v>
      </c>
      <c r="D1756" t="str">
        <f>INDEX(Table26[Tag_LVL5], MATCH(Table6[[#This Row],[Middle Digit]],Table26[Middle Number],0))</f>
        <v>Material - LL</v>
      </c>
      <c r="E1756" t="str">
        <f>RIGHT(Table6[[#This Row],[Middle Digit]],2)</f>
        <v>60</v>
      </c>
    </row>
    <row r="1757" spans="1:5" ht="13.05" hidden="1" x14ac:dyDescent="0.3">
      <c r="A1757">
        <v>364</v>
      </c>
      <c r="B1757" t="s">
        <v>6289</v>
      </c>
      <c r="C1757">
        <v>11</v>
      </c>
      <c r="D1757" t="str">
        <f>INDEX(Table26[Tag_LVL5], MATCH(Table6[[#This Row],[Middle Digit]],Table26[Middle Number],0))</f>
        <v>Installation, Hook Up &amp; Pre-Commisioning</v>
      </c>
      <c r="E1757" t="str">
        <f>RIGHT(Table6[[#This Row],[Middle Digit]],2)</f>
        <v>03</v>
      </c>
    </row>
    <row r="1758" spans="1:5" ht="13.05" hidden="1" x14ac:dyDescent="0.3">
      <c r="A1758">
        <v>365</v>
      </c>
      <c r="B1758" t="s">
        <v>5910</v>
      </c>
      <c r="C1758">
        <v>11</v>
      </c>
      <c r="D1758" t="str">
        <f>INDEX(Table26[Tag_LVL5], MATCH(Table6[[#This Row],[Middle Digit]],Table26[Middle Number],0))</f>
        <v>Installation, Hook Up &amp; Pre-Commisioning</v>
      </c>
      <c r="E1758" t="str">
        <f>RIGHT(Table6[[#This Row],[Middle Digit]],2)</f>
        <v>63</v>
      </c>
    </row>
    <row r="1759" spans="1:5" ht="13.05" hidden="1" x14ac:dyDescent="0.3">
      <c r="A1759">
        <v>366</v>
      </c>
      <c r="B1759" t="s">
        <v>5909</v>
      </c>
      <c r="C1759">
        <v>11</v>
      </c>
      <c r="D1759" t="str">
        <f>INDEX(Table26[Tag_LVL5], MATCH(Table6[[#This Row],[Middle Digit]],Table26[Middle Number],0))</f>
        <v>Engineering</v>
      </c>
      <c r="E1759" t="str">
        <f>RIGHT(Table6[[#This Row],[Middle Digit]],2)</f>
        <v>59</v>
      </c>
    </row>
    <row r="1760" spans="1:5" ht="13.05" hidden="1" x14ac:dyDescent="0.3">
      <c r="A1760">
        <v>367</v>
      </c>
      <c r="B1760" t="s">
        <v>5907</v>
      </c>
      <c r="C1760">
        <v>11</v>
      </c>
      <c r="D1760" t="str">
        <f>INDEX(Table26[Tag_LVL5], MATCH(Table6[[#This Row],[Middle Digit]],Table26[Middle Number],0))</f>
        <v>Material - Non LL</v>
      </c>
      <c r="E1760" t="str">
        <f>RIGHT(Table6[[#This Row],[Middle Digit]],2)</f>
        <v>21</v>
      </c>
    </row>
    <row r="1761" spans="1:5" ht="13.05" hidden="1" x14ac:dyDescent="0.3">
      <c r="A1761">
        <v>368</v>
      </c>
      <c r="B1761" t="s">
        <v>5908</v>
      </c>
      <c r="C1761">
        <v>11</v>
      </c>
      <c r="D1761" t="str">
        <f>INDEX(Table26[Tag_LVL5], MATCH(Table6[[#This Row],[Middle Digit]],Table26[Middle Number],0))</f>
        <v>Material - LL</v>
      </c>
      <c r="E1761" t="str">
        <f>RIGHT(Table6[[#This Row],[Middle Digit]],2)</f>
        <v>60</v>
      </c>
    </row>
    <row r="1762" spans="1:5" ht="13.05" hidden="1" x14ac:dyDescent="0.3">
      <c r="A1762">
        <v>369</v>
      </c>
      <c r="B1762" t="s">
        <v>6288</v>
      </c>
      <c r="C1762">
        <v>11</v>
      </c>
      <c r="D1762" t="str">
        <f>INDEX(Table26[Tag_LVL5], MATCH(Table6[[#This Row],[Middle Digit]],Table26[Middle Number],0))</f>
        <v>Installation, Hook Up &amp; Pre-Commisioning</v>
      </c>
      <c r="E1762" t="str">
        <f>RIGHT(Table6[[#This Row],[Middle Digit]],2)</f>
        <v>04</v>
      </c>
    </row>
    <row r="1763" spans="1:5" ht="13.05" hidden="1" x14ac:dyDescent="0.3">
      <c r="A1763">
        <v>370</v>
      </c>
      <c r="B1763" t="s">
        <v>6287</v>
      </c>
      <c r="C1763">
        <v>11</v>
      </c>
      <c r="D1763" t="str">
        <f>INDEX(Table26[Tag_LVL5], MATCH(Table6[[#This Row],[Middle Digit]],Table26[Middle Number],0))</f>
        <v>Installation, Hook Up &amp; Pre-Commisioning</v>
      </c>
      <c r="E1763" t="str">
        <f>RIGHT(Table6[[#This Row],[Middle Digit]],2)</f>
        <v>05</v>
      </c>
    </row>
    <row r="1764" spans="1:5" ht="13.05" hidden="1" x14ac:dyDescent="0.3">
      <c r="A1764">
        <v>371</v>
      </c>
      <c r="B1764" t="s">
        <v>5906</v>
      </c>
      <c r="C1764">
        <v>11</v>
      </c>
      <c r="D1764" t="str">
        <f>INDEX(Table26[Tag_LVL5], MATCH(Table6[[#This Row],[Middle Digit]],Table26[Middle Number],0))</f>
        <v>Installation, Hook Up &amp; Pre-Commisioning</v>
      </c>
      <c r="E1764" t="str">
        <f>RIGHT(Table6[[#This Row],[Middle Digit]],2)</f>
        <v>63</v>
      </c>
    </row>
    <row r="1765" spans="1:5" ht="13.05" hidden="1" x14ac:dyDescent="0.3">
      <c r="A1765">
        <v>372</v>
      </c>
      <c r="B1765" t="s">
        <v>5905</v>
      </c>
      <c r="C1765">
        <v>11</v>
      </c>
      <c r="D1765" t="str">
        <f>INDEX(Table26[Tag_LVL5], MATCH(Table6[[#This Row],[Middle Digit]],Table26[Middle Number],0))</f>
        <v>Engineering</v>
      </c>
      <c r="E1765" t="str">
        <f>RIGHT(Table6[[#This Row],[Middle Digit]],2)</f>
        <v>59</v>
      </c>
    </row>
    <row r="1766" spans="1:5" ht="13.05" hidden="1" x14ac:dyDescent="0.3">
      <c r="A1766">
        <v>373</v>
      </c>
      <c r="B1766" t="s">
        <v>5903</v>
      </c>
      <c r="C1766">
        <v>11</v>
      </c>
      <c r="D1766" t="str">
        <f>INDEX(Table26[Tag_LVL5], MATCH(Table6[[#This Row],[Middle Digit]],Table26[Middle Number],0))</f>
        <v>Material - Non LL</v>
      </c>
      <c r="E1766" t="str">
        <f>RIGHT(Table6[[#This Row],[Middle Digit]],2)</f>
        <v>21</v>
      </c>
    </row>
    <row r="1767" spans="1:5" ht="13.05" hidden="1" x14ac:dyDescent="0.3">
      <c r="A1767">
        <v>374</v>
      </c>
      <c r="B1767" t="s">
        <v>5904</v>
      </c>
      <c r="C1767">
        <v>11</v>
      </c>
      <c r="D1767" t="str">
        <f>INDEX(Table26[Tag_LVL5], MATCH(Table6[[#This Row],[Middle Digit]],Table26[Middle Number],0))</f>
        <v>Material - LL</v>
      </c>
      <c r="E1767" t="str">
        <f>RIGHT(Table6[[#This Row],[Middle Digit]],2)</f>
        <v>60</v>
      </c>
    </row>
    <row r="1768" spans="1:5" ht="13.05" hidden="1" x14ac:dyDescent="0.3">
      <c r="A1768">
        <v>375</v>
      </c>
      <c r="B1768" t="s">
        <v>5902</v>
      </c>
      <c r="C1768">
        <v>11</v>
      </c>
      <c r="D1768" t="str">
        <f>INDEX(Table26[Tag_LVL5], MATCH(Table6[[#This Row],[Middle Digit]],Table26[Middle Number],0))</f>
        <v>Installation, Hook Up &amp; Pre-Commisioning</v>
      </c>
      <c r="E1768" t="str">
        <f>RIGHT(Table6[[#This Row],[Middle Digit]],2)</f>
        <v>63</v>
      </c>
    </row>
    <row r="1769" spans="1:5" ht="13.05" hidden="1" x14ac:dyDescent="0.3">
      <c r="A1769">
        <v>376</v>
      </c>
      <c r="B1769" t="s">
        <v>5929</v>
      </c>
      <c r="C1769">
        <v>11</v>
      </c>
      <c r="D1769" t="str">
        <f>INDEX(Table26[Tag_LVL5], MATCH(Table6[[#This Row],[Middle Digit]],Table26[Middle Number],0))</f>
        <v>Engineering</v>
      </c>
      <c r="E1769" t="str">
        <f>RIGHT(Table6[[#This Row],[Middle Digit]],2)</f>
        <v>59</v>
      </c>
    </row>
    <row r="1770" spans="1:5" ht="13.05" hidden="1" x14ac:dyDescent="0.3">
      <c r="A1770">
        <v>377</v>
      </c>
      <c r="B1770" t="s">
        <v>5927</v>
      </c>
      <c r="C1770">
        <v>11</v>
      </c>
      <c r="D1770" t="str">
        <f>INDEX(Table26[Tag_LVL5], MATCH(Table6[[#This Row],[Middle Digit]],Table26[Middle Number],0))</f>
        <v>Material - Non LL</v>
      </c>
      <c r="E1770" t="str">
        <f>RIGHT(Table6[[#This Row],[Middle Digit]],2)</f>
        <v>21</v>
      </c>
    </row>
    <row r="1771" spans="1:5" ht="13.05" hidden="1" x14ac:dyDescent="0.3">
      <c r="A1771">
        <v>378</v>
      </c>
      <c r="B1771" t="s">
        <v>5928</v>
      </c>
      <c r="C1771">
        <v>11</v>
      </c>
      <c r="D1771" t="str">
        <f>INDEX(Table26[Tag_LVL5], MATCH(Table6[[#This Row],[Middle Digit]],Table26[Middle Number],0))</f>
        <v>Material - LL</v>
      </c>
      <c r="E1771" t="str">
        <f>RIGHT(Table6[[#This Row],[Middle Digit]],2)</f>
        <v>60</v>
      </c>
    </row>
    <row r="1772" spans="1:5" ht="13.05" hidden="1" x14ac:dyDescent="0.3">
      <c r="A1772">
        <v>379</v>
      </c>
      <c r="B1772" t="s">
        <v>5926</v>
      </c>
      <c r="C1772">
        <v>11</v>
      </c>
      <c r="D1772" t="str">
        <f>INDEX(Table26[Tag_LVL5], MATCH(Table6[[#This Row],[Middle Digit]],Table26[Middle Number],0))</f>
        <v>Construction</v>
      </c>
      <c r="E1772" t="str">
        <f>RIGHT(Table6[[#This Row],[Middle Digit]],2)</f>
        <v>62</v>
      </c>
    </row>
    <row r="1773" spans="1:5" ht="13.05" hidden="1" x14ac:dyDescent="0.3">
      <c r="A1773">
        <v>380</v>
      </c>
      <c r="B1773" t="s">
        <v>5925</v>
      </c>
      <c r="C1773">
        <v>11</v>
      </c>
      <c r="D1773" t="str">
        <f>INDEX(Table26[Tag_LVL5], MATCH(Table6[[#This Row],[Middle Digit]],Table26[Middle Number],0))</f>
        <v>Engineering</v>
      </c>
      <c r="E1773" t="str">
        <f>RIGHT(Table6[[#This Row],[Middle Digit]],2)</f>
        <v>59</v>
      </c>
    </row>
    <row r="1774" spans="1:5" ht="13.05" hidden="1" x14ac:dyDescent="0.3">
      <c r="A1774">
        <v>381</v>
      </c>
      <c r="B1774" t="s">
        <v>5923</v>
      </c>
      <c r="C1774">
        <v>11</v>
      </c>
      <c r="D1774" t="str">
        <f>INDEX(Table26[Tag_LVL5], MATCH(Table6[[#This Row],[Middle Digit]],Table26[Middle Number],0))</f>
        <v>Material - Non LL</v>
      </c>
      <c r="E1774" t="str">
        <f>RIGHT(Table6[[#This Row],[Middle Digit]],2)</f>
        <v>21</v>
      </c>
    </row>
    <row r="1775" spans="1:5" ht="13.05" hidden="1" x14ac:dyDescent="0.3">
      <c r="A1775">
        <v>382</v>
      </c>
      <c r="B1775" t="s">
        <v>5924</v>
      </c>
      <c r="C1775">
        <v>11</v>
      </c>
      <c r="D1775" t="str">
        <f>INDEX(Table26[Tag_LVL5], MATCH(Table6[[#This Row],[Middle Digit]],Table26[Middle Number],0))</f>
        <v>Material - LL</v>
      </c>
      <c r="E1775" t="str">
        <f>RIGHT(Table6[[#This Row],[Middle Digit]],2)</f>
        <v>60</v>
      </c>
    </row>
    <row r="1776" spans="1:5" ht="13.05" hidden="1" x14ac:dyDescent="0.3">
      <c r="A1776">
        <v>383</v>
      </c>
      <c r="B1776" t="s">
        <v>6278</v>
      </c>
      <c r="C1776">
        <v>11</v>
      </c>
      <c r="D1776" t="str">
        <f>INDEX(Table26[Tag_LVL5], MATCH(Table6[[#This Row],[Middle Digit]],Table26[Middle Number],0))</f>
        <v>New Rig Pavement</v>
      </c>
      <c r="E1776" t="str">
        <f>RIGHT(Table6[[#This Row],[Middle Digit]],2)</f>
        <v>61</v>
      </c>
    </row>
    <row r="1777" spans="1:5" ht="13.05" hidden="1" x14ac:dyDescent="0.3">
      <c r="A1777">
        <v>384</v>
      </c>
      <c r="B1777" t="s">
        <v>5922</v>
      </c>
      <c r="C1777">
        <v>11</v>
      </c>
      <c r="D1777" t="str">
        <f>INDEX(Table26[Tag_LVL5], MATCH(Table6[[#This Row],[Middle Digit]],Table26[Middle Number],0))</f>
        <v>Construction</v>
      </c>
      <c r="E1777" t="str">
        <f>RIGHT(Table6[[#This Row],[Middle Digit]],2)</f>
        <v>62</v>
      </c>
    </row>
    <row r="1778" spans="1:5" ht="13.05" hidden="1" x14ac:dyDescent="0.3">
      <c r="A1778">
        <v>385</v>
      </c>
      <c r="B1778" t="s">
        <v>5921</v>
      </c>
      <c r="C1778">
        <v>11</v>
      </c>
      <c r="D1778" t="str">
        <f>INDEX(Table26[Tag_LVL5], MATCH(Table6[[#This Row],[Middle Digit]],Table26[Middle Number],0))</f>
        <v>Engineering</v>
      </c>
      <c r="E1778" t="str">
        <f>RIGHT(Table6[[#This Row],[Middle Digit]],2)</f>
        <v>59</v>
      </c>
    </row>
    <row r="1779" spans="1:5" ht="13.05" hidden="1" x14ac:dyDescent="0.3">
      <c r="A1779">
        <v>386</v>
      </c>
      <c r="B1779" t="s">
        <v>5919</v>
      </c>
      <c r="C1779">
        <v>11</v>
      </c>
      <c r="D1779" t="str">
        <f>INDEX(Table26[Tag_LVL5], MATCH(Table6[[#This Row],[Middle Digit]],Table26[Middle Number],0))</f>
        <v>Material - Non LL</v>
      </c>
      <c r="E1779" t="str">
        <f>RIGHT(Table6[[#This Row],[Middle Digit]],2)</f>
        <v>21</v>
      </c>
    </row>
    <row r="1780" spans="1:5" ht="13.05" hidden="1" x14ac:dyDescent="0.3">
      <c r="A1780">
        <v>387</v>
      </c>
      <c r="B1780" t="s">
        <v>5920</v>
      </c>
      <c r="C1780">
        <v>11</v>
      </c>
      <c r="D1780" t="str">
        <f>INDEX(Table26[Tag_LVL5], MATCH(Table6[[#This Row],[Middle Digit]],Table26[Middle Number],0))</f>
        <v>Material - LL</v>
      </c>
      <c r="E1780" t="str">
        <f>RIGHT(Table6[[#This Row],[Middle Digit]],2)</f>
        <v>60</v>
      </c>
    </row>
    <row r="1781" spans="1:5" ht="13.05" hidden="1" x14ac:dyDescent="0.3">
      <c r="A1781">
        <v>388</v>
      </c>
      <c r="B1781" t="s">
        <v>5918</v>
      </c>
      <c r="C1781">
        <v>11</v>
      </c>
      <c r="D1781" t="str">
        <f>INDEX(Table26[Tag_LVL5], MATCH(Table6[[#This Row],[Middle Digit]],Table26[Middle Number],0))</f>
        <v>Construction</v>
      </c>
      <c r="E1781" t="str">
        <f>RIGHT(Table6[[#This Row],[Middle Digit]],2)</f>
        <v>62</v>
      </c>
    </row>
    <row r="1782" spans="1:5" ht="13.05" hidden="1" x14ac:dyDescent="0.3">
      <c r="A1782">
        <v>389</v>
      </c>
      <c r="B1782" t="s">
        <v>6279</v>
      </c>
      <c r="C1782">
        <v>11</v>
      </c>
      <c r="D1782" t="str">
        <f>INDEX(Table26[Tag_LVL5], MATCH(Table6[[#This Row],[Middle Digit]],Table26[Middle Number],0))</f>
        <v>Installation, Hook Up &amp; Pre-Commisioning</v>
      </c>
      <c r="E1782" t="str">
        <f>RIGHT(Table6[[#This Row],[Middle Digit]],2)</f>
        <v>63</v>
      </c>
    </row>
    <row r="1783" spans="1:5" ht="13.05" hidden="1" x14ac:dyDescent="0.3">
      <c r="A1783">
        <v>390</v>
      </c>
      <c r="B1783" t="s">
        <v>6280</v>
      </c>
      <c r="C1783">
        <v>11</v>
      </c>
      <c r="D1783" t="str">
        <f>INDEX(Table26[Tag_LVL5], MATCH(Table6[[#This Row],[Middle Digit]],Table26[Middle Number],0))</f>
        <v>Contingency</v>
      </c>
      <c r="E1783" t="str">
        <f>RIGHT(Table6[[#This Row],[Middle Digit]],2)</f>
        <v>21</v>
      </c>
    </row>
  </sheetData>
  <sortState xmlns:xlrd2="http://schemas.microsoft.com/office/spreadsheetml/2017/richdata2" ref="B1394:B1783">
    <sortCondition ref="B1394:B1783"/>
  </sortState>
  <conditionalFormatting sqref="B2:O387">
    <cfRule type="expression" dxfId="3" priority="1">
      <formula>#REF!=3</formula>
    </cfRule>
  </conditionalFormatting>
  <pageMargins left="0.7" right="0.7" top="0.75" bottom="0.75" header="0.3" footer="0.3"/>
  <headerFooter>
    <oddFooter>&amp;L_x000D_&amp;1#&amp;"Aptos"&amp;10&amp;K000000 Business</oddFooter>
  </headerFooter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0941-88A2-4EA7-8C1C-FBD4AA346CE4}">
  <dimension ref="A1:AE2430"/>
  <sheetViews>
    <sheetView zoomScaleNormal="100" workbookViewId="0">
      <pane xSplit="4" ySplit="2" topLeftCell="AC2264" activePane="bottomRight" state="frozen"/>
      <selection activeCell="C474" sqref="C474"/>
      <selection pane="topRight" activeCell="C474" sqref="C474"/>
      <selection pane="bottomLeft" activeCell="C474" sqref="C474"/>
      <selection pane="bottomRight" activeCell="AD984" sqref="AD984"/>
    </sheetView>
  </sheetViews>
  <sheetFormatPr defaultColWidth="9.109375" defaultRowHeight="14.4" x14ac:dyDescent="0.3"/>
  <cols>
    <col min="1" max="1" width="7.44140625" style="10" customWidth="1"/>
    <col min="2" max="2" width="9.33203125" style="10" customWidth="1"/>
    <col min="3" max="3" width="47.88671875" style="10" customWidth="1"/>
    <col min="4" max="4" width="27.6640625" style="10" customWidth="1"/>
    <col min="5" max="5" width="14" style="10" customWidth="1"/>
    <col min="6" max="6" width="15.6640625" style="10" customWidth="1"/>
    <col min="7" max="7" width="11.109375" style="10" customWidth="1"/>
    <col min="8" max="8" width="14.33203125" style="10" customWidth="1"/>
    <col min="9" max="9" width="12" style="10" customWidth="1"/>
    <col min="10" max="10" width="14.33203125" style="10" customWidth="1"/>
    <col min="11" max="11" width="15.44140625" style="10" customWidth="1"/>
    <col min="12" max="12" width="13.5546875" style="10" customWidth="1"/>
    <col min="13" max="13" width="14.5546875" style="10" customWidth="1"/>
    <col min="14" max="14" width="15.88671875" style="10" customWidth="1"/>
    <col min="15" max="15" width="13.44140625" style="10" customWidth="1"/>
    <col min="16" max="16" width="9.88671875" style="10" customWidth="1"/>
    <col min="17" max="17" width="8.5546875" style="10" customWidth="1"/>
    <col min="18" max="18" width="14.44140625" style="10" customWidth="1"/>
    <col min="19" max="19" width="12.5546875" style="10" customWidth="1"/>
    <col min="20" max="20" width="53.6640625" style="10" customWidth="1"/>
    <col min="21" max="21" width="17.88671875" style="10" bestFit="1" customWidth="1"/>
    <col min="22" max="22" width="21.44140625" style="10" bestFit="1" customWidth="1"/>
    <col min="23" max="23" width="23.6640625" style="10" bestFit="1" customWidth="1"/>
    <col min="24" max="24" width="26.109375" style="10" bestFit="1" customWidth="1"/>
    <col min="25" max="25" width="28.44140625" style="10" bestFit="1" customWidth="1"/>
    <col min="26" max="26" width="22.33203125" style="10" bestFit="1" customWidth="1"/>
    <col min="27" max="28" width="39.33203125" style="10" bestFit="1" customWidth="1"/>
    <col min="29" max="29" width="40.88671875" style="10" bestFit="1" customWidth="1"/>
    <col min="30" max="30" width="16.88671875" style="10" bestFit="1" customWidth="1"/>
    <col min="31" max="31" width="20.109375" style="10" bestFit="1" customWidth="1"/>
    <col min="32" max="16384" width="9.109375" style="10"/>
  </cols>
  <sheetData>
    <row r="1" spans="1:31" s="5" customFormat="1" x14ac:dyDescent="0.3">
      <c r="A1" s="19" t="s">
        <v>2217</v>
      </c>
      <c r="B1" s="19" t="s">
        <v>2218</v>
      </c>
      <c r="C1" s="19" t="s">
        <v>2219</v>
      </c>
      <c r="D1" s="20" t="s">
        <v>2220</v>
      </c>
      <c r="E1" s="20" t="s">
        <v>2221</v>
      </c>
      <c r="F1" s="20" t="s">
        <v>2222</v>
      </c>
      <c r="G1" s="20" t="s">
        <v>5719</v>
      </c>
      <c r="H1" s="20" t="s">
        <v>2223</v>
      </c>
      <c r="I1" s="20" t="s">
        <v>5720</v>
      </c>
      <c r="J1" s="20" t="s">
        <v>2224</v>
      </c>
      <c r="K1" s="20" t="s">
        <v>5721</v>
      </c>
      <c r="L1" s="20" t="s">
        <v>2225</v>
      </c>
      <c r="M1" s="20" t="s">
        <v>5722</v>
      </c>
      <c r="N1" s="20" t="s">
        <v>2226</v>
      </c>
      <c r="O1" s="20" t="s">
        <v>5723</v>
      </c>
      <c r="P1" s="20" t="s">
        <v>2227</v>
      </c>
      <c r="Q1" s="20" t="s">
        <v>2228</v>
      </c>
      <c r="R1" s="20" t="s">
        <v>2229</v>
      </c>
      <c r="S1" s="20" t="s">
        <v>2230</v>
      </c>
      <c r="T1" s="20" t="s">
        <v>2231</v>
      </c>
      <c r="U1" s="20" t="s">
        <v>5724</v>
      </c>
      <c r="V1" s="20" t="s">
        <v>5725</v>
      </c>
      <c r="W1" s="20" t="s">
        <v>5726</v>
      </c>
      <c r="X1" s="20" t="s">
        <v>5727</v>
      </c>
      <c r="Y1" s="20" t="s">
        <v>8</v>
      </c>
      <c r="Z1" s="20" t="s">
        <v>5728</v>
      </c>
      <c r="AA1" s="20" t="s">
        <v>5729</v>
      </c>
      <c r="AB1" s="20" t="s">
        <v>5730</v>
      </c>
      <c r="AC1" s="20" t="s">
        <v>5731</v>
      </c>
      <c r="AD1" s="20" t="s">
        <v>5732</v>
      </c>
      <c r="AE1" s="20" t="s">
        <v>14</v>
      </c>
    </row>
    <row r="2" spans="1:31" hidden="1" x14ac:dyDescent="0.3">
      <c r="A2" s="6" t="s">
        <v>2232</v>
      </c>
      <c r="B2" s="6" t="s">
        <v>2233</v>
      </c>
      <c r="C2" s="7" t="s">
        <v>2234</v>
      </c>
      <c r="D2" s="6" t="s">
        <v>2235</v>
      </c>
      <c r="E2" s="6" t="s">
        <v>2236</v>
      </c>
      <c r="F2" s="8">
        <v>76657406.870000005</v>
      </c>
      <c r="G2" s="6" t="s">
        <v>2237</v>
      </c>
      <c r="H2" s="8">
        <v>68353810.209999993</v>
      </c>
      <c r="I2" s="6" t="s">
        <v>2237</v>
      </c>
      <c r="J2" s="8">
        <v>0</v>
      </c>
      <c r="K2" s="6" t="s">
        <v>2237</v>
      </c>
      <c r="L2" s="8">
        <v>9271400.1999999993</v>
      </c>
      <c r="M2" s="6" t="s">
        <v>2237</v>
      </c>
      <c r="N2" s="8">
        <v>38522325.57</v>
      </c>
      <c r="O2" s="6" t="s">
        <v>2237</v>
      </c>
      <c r="P2" s="6" t="s">
        <v>2236</v>
      </c>
      <c r="Q2" s="9" t="s">
        <v>2236</v>
      </c>
      <c r="R2" s="9" t="s">
        <v>2238</v>
      </c>
      <c r="S2" s="9" t="s">
        <v>2236</v>
      </c>
      <c r="T2" s="9" t="s">
        <v>2239</v>
      </c>
      <c r="U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" spans="1:31" hidden="1" x14ac:dyDescent="0.3">
      <c r="A3" s="6" t="s">
        <v>2240</v>
      </c>
      <c r="B3" s="6" t="s">
        <v>15</v>
      </c>
      <c r="C3" s="7" t="s">
        <v>814</v>
      </c>
      <c r="D3" s="6" t="s">
        <v>815</v>
      </c>
      <c r="E3" s="6" t="s">
        <v>2241</v>
      </c>
      <c r="F3" s="8">
        <v>76657406.870000005</v>
      </c>
      <c r="G3" s="6" t="s">
        <v>2237</v>
      </c>
      <c r="H3" s="8">
        <v>68353810.209999993</v>
      </c>
      <c r="I3" s="6" t="s">
        <v>2237</v>
      </c>
      <c r="J3" s="8">
        <v>0</v>
      </c>
      <c r="K3" s="6" t="s">
        <v>2237</v>
      </c>
      <c r="L3" s="8">
        <v>9271400.1999999993</v>
      </c>
      <c r="M3" s="6" t="s">
        <v>2237</v>
      </c>
      <c r="N3" s="8">
        <v>38522325.57</v>
      </c>
      <c r="O3" s="6" t="s">
        <v>2237</v>
      </c>
      <c r="P3" s="6" t="s">
        <v>2236</v>
      </c>
      <c r="Q3" s="9" t="s">
        <v>2242</v>
      </c>
      <c r="R3" s="9" t="s">
        <v>2238</v>
      </c>
      <c r="S3" s="9" t="s">
        <v>2243</v>
      </c>
      <c r="T3" s="9" t="s">
        <v>2244</v>
      </c>
      <c r="U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" spans="1:31" hidden="1" x14ac:dyDescent="0.3">
      <c r="A4" s="6" t="s">
        <v>2245</v>
      </c>
      <c r="B4" s="6" t="s">
        <v>18</v>
      </c>
      <c r="C4" s="7" t="s">
        <v>819</v>
      </c>
      <c r="D4" s="6" t="s">
        <v>820</v>
      </c>
      <c r="E4" s="6" t="s">
        <v>2241</v>
      </c>
      <c r="F4" s="8">
        <v>4950221</v>
      </c>
      <c r="G4" s="6" t="s">
        <v>2237</v>
      </c>
      <c r="H4" s="8">
        <v>0</v>
      </c>
      <c r="I4" s="6" t="s">
        <v>2237</v>
      </c>
      <c r="J4" s="8">
        <v>0</v>
      </c>
      <c r="K4" s="6" t="s">
        <v>2237</v>
      </c>
      <c r="L4" s="8">
        <v>0</v>
      </c>
      <c r="M4" s="6" t="s">
        <v>2237</v>
      </c>
      <c r="N4" s="8">
        <v>0</v>
      </c>
      <c r="O4" s="6" t="s">
        <v>2237</v>
      </c>
      <c r="P4" s="6" t="s">
        <v>2242</v>
      </c>
      <c r="Q4" s="9" t="s">
        <v>2236</v>
      </c>
      <c r="R4" s="9" t="s">
        <v>2238</v>
      </c>
      <c r="S4" s="9" t="s">
        <v>2243</v>
      </c>
      <c r="T4" s="9" t="s">
        <v>2244</v>
      </c>
      <c r="U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" s="10" t="str">
        <f>IF(IFERROR(INDEX(WBS_Dictionary!F$2:F$1212, MATCH(Table2[[#This Row],[WBS_ID]], Table26[WBS CODE],0)), "") = "", "null", IFERROR(INDEX(WBS_Dictionary!F$2:F$1212, MATCH(Table2[[#This Row],[WBS_ID]], Table26[WBS CODE],0)), ""))</f>
        <v>E540-30299-D245401</v>
      </c>
      <c r="W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" s="10" t="str">
        <f>IF(IFERROR(INDEX(WBS_Dictionary!J$2:J$1212, MATCH(Table2[[#This Row],[WBS_ID]], Table26[WBS CODE],0)), "") = "", "null", IFERROR(INDEX(WBS_Dictionary!J$2:J$1212, MATCH(Table2[[#This Row],[WBS_ID]], Table26[WBS CODE],0)), ""))</f>
        <v>Contingency</v>
      </c>
      <c r="AA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" spans="1:31" hidden="1" x14ac:dyDescent="0.3">
      <c r="A5" s="6" t="s">
        <v>2246</v>
      </c>
      <c r="B5" s="6" t="s">
        <v>21</v>
      </c>
      <c r="C5" s="6" t="s">
        <v>819</v>
      </c>
      <c r="D5" s="6" t="s">
        <v>895</v>
      </c>
      <c r="E5" s="6" t="s">
        <v>2241</v>
      </c>
      <c r="F5" s="8">
        <v>4950221</v>
      </c>
      <c r="G5" s="6" t="s">
        <v>2237</v>
      </c>
      <c r="H5" s="8">
        <v>0</v>
      </c>
      <c r="I5" s="6" t="s">
        <v>2237</v>
      </c>
      <c r="J5" s="8">
        <v>0</v>
      </c>
      <c r="K5" s="6" t="s">
        <v>2237</v>
      </c>
      <c r="L5" s="8">
        <v>0</v>
      </c>
      <c r="M5" s="6" t="s">
        <v>2237</v>
      </c>
      <c r="N5" s="8">
        <v>0</v>
      </c>
      <c r="O5" s="6" t="s">
        <v>2237</v>
      </c>
      <c r="P5" s="6" t="s">
        <v>2242</v>
      </c>
      <c r="Q5" s="9" t="s">
        <v>2236</v>
      </c>
      <c r="R5" s="9" t="s">
        <v>2238</v>
      </c>
      <c r="S5" s="9" t="s">
        <v>2243</v>
      </c>
      <c r="T5" s="9" t="s">
        <v>2244</v>
      </c>
      <c r="U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" s="10" t="str">
        <f>IF(IFERROR(INDEX(WBS_Dictionary!F$2:F$1212, MATCH(Table2[[#This Row],[WBS_ID]], Table26[WBS CODE],0)), "") = "", "null", IFERROR(INDEX(WBS_Dictionary!F$2:F$1212, MATCH(Table2[[#This Row],[WBS_ID]], Table26[WBS CODE],0)), ""))</f>
        <v>E540-30299-D245401</v>
      </c>
      <c r="W5" s="10" t="str">
        <f>IF(IFERROR(INDEX(WBS_Dictionary!G$2:G$1212, MATCH(Table2[[#This Row],[WBS_ID]], Table26[WBS CODE],0)), "") = "", "null", IFERROR(INDEX(WBS_Dictionary!G$2:G$1212, MATCH(Table2[[#This Row],[WBS_ID]], Table26[WBS CODE],0)), ""))</f>
        <v>E540-3029901-D245401</v>
      </c>
      <c r="X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" s="10" t="str">
        <f>IF(IFERROR(INDEX(WBS_Dictionary!J$2:J$1212, MATCH(Table2[[#This Row],[WBS_ID]], Table26[WBS CODE],0)), "") = "", "null", IFERROR(INDEX(WBS_Dictionary!J$2:J$1212, MATCH(Table2[[#This Row],[WBS_ID]], Table26[WBS CODE],0)), ""))</f>
        <v>Contingency</v>
      </c>
      <c r="AA5" s="10" t="str">
        <f>IF(IFERROR(INDEX(WBS_Dictionary!K$2:K$1212, MATCH(Table2[[#This Row],[WBS_ID]], Table26[WBS CODE],0)), "") = "", "null", IFERROR(INDEX(WBS_Dictionary!K$2:K$1212, MATCH(Table2[[#This Row],[WBS_ID]], Table26[WBS CODE],0)), ""))</f>
        <v>Contingency</v>
      </c>
      <c r="AB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" spans="1:31" hidden="1" x14ac:dyDescent="0.3">
      <c r="A6" s="6" t="s">
        <v>2247</v>
      </c>
      <c r="B6" s="6" t="s">
        <v>26</v>
      </c>
      <c r="C6" s="6" t="s">
        <v>819</v>
      </c>
      <c r="D6" s="6" t="s">
        <v>1104</v>
      </c>
      <c r="E6" s="6" t="s">
        <v>2241</v>
      </c>
      <c r="F6" s="8">
        <v>4950221</v>
      </c>
      <c r="G6" s="6" t="s">
        <v>2237</v>
      </c>
      <c r="H6" s="8">
        <v>0</v>
      </c>
      <c r="I6" s="6" t="s">
        <v>2237</v>
      </c>
      <c r="J6" s="8">
        <v>0</v>
      </c>
      <c r="K6" s="6" t="s">
        <v>2237</v>
      </c>
      <c r="L6" s="8">
        <v>0</v>
      </c>
      <c r="M6" s="6" t="s">
        <v>2237</v>
      </c>
      <c r="N6" s="8">
        <v>0</v>
      </c>
      <c r="O6" s="6" t="s">
        <v>2237</v>
      </c>
      <c r="P6" s="6" t="s">
        <v>2242</v>
      </c>
      <c r="Q6" s="9" t="s">
        <v>2236</v>
      </c>
      <c r="R6" s="9" t="s">
        <v>2238</v>
      </c>
      <c r="S6" s="9" t="s">
        <v>2243</v>
      </c>
      <c r="T6" s="9" t="s">
        <v>2244</v>
      </c>
      <c r="U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" s="10" t="str">
        <f>IF(IFERROR(INDEX(WBS_Dictionary!F$2:F$1212, MATCH(Table2[[#This Row],[WBS_ID]], Table26[WBS CODE],0)), "") = "", "null", IFERROR(INDEX(WBS_Dictionary!F$2:F$1212, MATCH(Table2[[#This Row],[WBS_ID]], Table26[WBS CODE],0)), ""))</f>
        <v>E540-30299-D245401</v>
      </c>
      <c r="W6" s="10" t="str">
        <f>IF(IFERROR(INDEX(WBS_Dictionary!G$2:G$1212, MATCH(Table2[[#This Row],[WBS_ID]], Table26[WBS CODE],0)), "") = "", "null", IFERROR(INDEX(WBS_Dictionary!G$2:G$1212, MATCH(Table2[[#This Row],[WBS_ID]], Table26[WBS CODE],0)), ""))</f>
        <v>E540-3029901-D245401</v>
      </c>
      <c r="X6" s="10" t="str">
        <f>IF(IFERROR(INDEX(WBS_Dictionary!H$2:H$1212, MATCH(Table2[[#This Row],[WBS_ID]], Table26[WBS CODE],0)), "") = "", "null", IFERROR(INDEX(WBS_Dictionary!H$2:H$1212, MATCH(Table2[[#This Row],[WBS_ID]], Table26[WBS CODE],0)), ""))</f>
        <v>E540-302990115-D245401</v>
      </c>
      <c r="Y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" s="10" t="str">
        <f>IF(IFERROR(INDEX(WBS_Dictionary!J$2:J$1212, MATCH(Table2[[#This Row],[WBS_ID]], Table26[WBS CODE],0)), "") = "", "null", IFERROR(INDEX(WBS_Dictionary!J$2:J$1212, MATCH(Table2[[#This Row],[WBS_ID]], Table26[WBS CODE],0)), ""))</f>
        <v>Contingency</v>
      </c>
      <c r="AA6" s="10" t="str">
        <f>IF(IFERROR(INDEX(WBS_Dictionary!K$2:K$1212, MATCH(Table2[[#This Row],[WBS_ID]], Table26[WBS CODE],0)), "") = "", "null", IFERROR(INDEX(WBS_Dictionary!K$2:K$1212, MATCH(Table2[[#This Row],[WBS_ID]], Table26[WBS CODE],0)), ""))</f>
        <v>Contingency</v>
      </c>
      <c r="AB6" s="10" t="str">
        <f>IF(IFERROR(INDEX(WBS_Dictionary!L$2:L$1212, MATCH(Table2[[#This Row],[WBS_ID]], Table26[WBS CODE],0)), "") = "", "null", IFERROR(INDEX(WBS_Dictionary!L$2:L$1212, MATCH(Table2[[#This Row],[WBS_ID]], Table26[WBS CODE],0)), ""))</f>
        <v>Contingency</v>
      </c>
      <c r="AC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" spans="1:31" hidden="1" x14ac:dyDescent="0.3">
      <c r="A7" s="6" t="s">
        <v>2248</v>
      </c>
      <c r="B7" s="6" t="s">
        <v>30</v>
      </c>
      <c r="C7" s="6" t="s">
        <v>819</v>
      </c>
      <c r="D7" s="6" t="s">
        <v>1770</v>
      </c>
      <c r="E7" s="6" t="s">
        <v>2241</v>
      </c>
      <c r="F7" s="8">
        <v>0</v>
      </c>
      <c r="G7" s="6" t="s">
        <v>2237</v>
      </c>
      <c r="H7" s="8">
        <v>0</v>
      </c>
      <c r="I7" s="6" t="s">
        <v>2237</v>
      </c>
      <c r="J7" s="8">
        <v>0</v>
      </c>
      <c r="K7" s="6" t="s">
        <v>2237</v>
      </c>
      <c r="L7" s="8">
        <v>0</v>
      </c>
      <c r="M7" s="6" t="s">
        <v>2237</v>
      </c>
      <c r="N7" s="8">
        <v>0</v>
      </c>
      <c r="O7" s="6" t="s">
        <v>2237</v>
      </c>
      <c r="P7" s="6" t="s">
        <v>2242</v>
      </c>
      <c r="Q7" s="9" t="s">
        <v>2236</v>
      </c>
      <c r="R7" s="9" t="s">
        <v>2238</v>
      </c>
      <c r="S7" s="9" t="s">
        <v>2243</v>
      </c>
      <c r="T7" s="9" t="s">
        <v>2249</v>
      </c>
      <c r="U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" s="10" t="str">
        <f>IF(IFERROR(INDEX(WBS_Dictionary!F$2:F$1212, MATCH(Table2[[#This Row],[WBS_ID]], Table26[WBS CODE],0)), "") = "", "null", IFERROR(INDEX(WBS_Dictionary!F$2:F$1212, MATCH(Table2[[#This Row],[WBS_ID]], Table26[WBS CODE],0)), ""))</f>
        <v>E540-30299-D245401</v>
      </c>
      <c r="W7" s="10" t="str">
        <f>IF(IFERROR(INDEX(WBS_Dictionary!G$2:G$1212, MATCH(Table2[[#This Row],[WBS_ID]], Table26[WBS CODE],0)), "") = "", "null", IFERROR(INDEX(WBS_Dictionary!G$2:G$1212, MATCH(Table2[[#This Row],[WBS_ID]], Table26[WBS CODE],0)), ""))</f>
        <v>E540-3029901-D245401</v>
      </c>
      <c r="X7" s="10" t="str">
        <f>IF(IFERROR(INDEX(WBS_Dictionary!H$2:H$1212, MATCH(Table2[[#This Row],[WBS_ID]], Table26[WBS CODE],0)), "") = "", "null", IFERROR(INDEX(WBS_Dictionary!H$2:H$1212, MATCH(Table2[[#This Row],[WBS_ID]], Table26[WBS CODE],0)), ""))</f>
        <v>E540-302990115-D245401</v>
      </c>
      <c r="Y7" s="10" t="str">
        <f>IF(IFERROR(INDEX(WBS_Dictionary!I$2:I$1212, MATCH(Table2[[#This Row],[WBS_ID]], Table26[WBS CODE],0)), "") = "", "null", IFERROR(INDEX(WBS_Dictionary!I$2:I$1212, MATCH(Table2[[#This Row],[WBS_ID]], Table26[WBS CODE],0)), ""))</f>
        <v>E540-30299011521-D245401</v>
      </c>
      <c r="Z7" s="10" t="str">
        <f>IF(IFERROR(INDEX(WBS_Dictionary!J$2:J$1212, MATCH(Table2[[#This Row],[WBS_ID]], Table26[WBS CODE],0)), "") = "", "null", IFERROR(INDEX(WBS_Dictionary!J$2:J$1212, MATCH(Table2[[#This Row],[WBS_ID]], Table26[WBS CODE],0)), ""))</f>
        <v>Contingency</v>
      </c>
      <c r="AA7" s="10" t="str">
        <f>IF(IFERROR(INDEX(WBS_Dictionary!K$2:K$1212, MATCH(Table2[[#This Row],[WBS_ID]], Table26[WBS CODE],0)), "") = "", "null", IFERROR(INDEX(WBS_Dictionary!K$2:K$1212, MATCH(Table2[[#This Row],[WBS_ID]], Table26[WBS CODE],0)), ""))</f>
        <v>Contingency</v>
      </c>
      <c r="AB7" s="10" t="str">
        <f>IF(IFERROR(INDEX(WBS_Dictionary!L$2:L$1212, MATCH(Table2[[#This Row],[WBS_ID]], Table26[WBS CODE],0)), "") = "", "null", IFERROR(INDEX(WBS_Dictionary!L$2:L$1212, MATCH(Table2[[#This Row],[WBS_ID]], Table26[WBS CODE],0)), ""))</f>
        <v>Contingency</v>
      </c>
      <c r="AC7" s="10" t="str">
        <f>IF(IFERROR(INDEX(WBS_Dictionary!M$2:M$1212, MATCH(Table2[[#This Row],[WBS_ID]], Table26[WBS CODE],0)), "") = "", "null", IFERROR(INDEX(WBS_Dictionary!M$2:M$1212, MATCH(Table2[[#This Row],[WBS_ID]], Table26[WBS CODE],0)), ""))</f>
        <v>Contingency</v>
      </c>
      <c r="AD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" spans="1:31" hidden="1" x14ac:dyDescent="0.3">
      <c r="A8" s="6" t="s">
        <v>2250</v>
      </c>
      <c r="B8" s="6" t="s">
        <v>18</v>
      </c>
      <c r="C8" s="7" t="s">
        <v>19</v>
      </c>
      <c r="D8" s="6" t="s">
        <v>818</v>
      </c>
      <c r="E8" s="6" t="s">
        <v>2241</v>
      </c>
      <c r="F8" s="8">
        <v>12318778.880000001</v>
      </c>
      <c r="G8" s="6" t="s">
        <v>2237</v>
      </c>
      <c r="H8" s="8">
        <v>11266878.880000001</v>
      </c>
      <c r="I8" s="6" t="s">
        <v>2237</v>
      </c>
      <c r="J8" s="8">
        <v>0</v>
      </c>
      <c r="K8" s="6" t="s">
        <v>2237</v>
      </c>
      <c r="L8" s="8">
        <v>1677993.43</v>
      </c>
      <c r="M8" s="6" t="s">
        <v>2237</v>
      </c>
      <c r="N8" s="8">
        <v>4621324.4800000004</v>
      </c>
      <c r="O8" s="6" t="s">
        <v>2237</v>
      </c>
      <c r="P8" s="6" t="s">
        <v>2242</v>
      </c>
      <c r="Q8" s="9" t="s">
        <v>2236</v>
      </c>
      <c r="R8" s="9" t="s">
        <v>2238</v>
      </c>
      <c r="S8" s="9" t="s">
        <v>2243</v>
      </c>
      <c r="T8" s="9" t="s">
        <v>2244</v>
      </c>
      <c r="U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" spans="1:31" hidden="1" x14ac:dyDescent="0.3">
      <c r="A9" s="6" t="s">
        <v>2251</v>
      </c>
      <c r="B9" s="6" t="s">
        <v>21</v>
      </c>
      <c r="C9" s="6" t="s">
        <v>891</v>
      </c>
      <c r="D9" s="6" t="s">
        <v>892</v>
      </c>
      <c r="E9" s="6" t="s">
        <v>2241</v>
      </c>
      <c r="F9" s="8">
        <v>1051900</v>
      </c>
      <c r="G9" s="6" t="s">
        <v>2237</v>
      </c>
      <c r="H9" s="8">
        <v>0</v>
      </c>
      <c r="I9" s="6" t="s">
        <v>2237</v>
      </c>
      <c r="J9" s="8">
        <v>0</v>
      </c>
      <c r="K9" s="6" t="s">
        <v>2237</v>
      </c>
      <c r="L9" s="8">
        <v>0</v>
      </c>
      <c r="M9" s="6" t="s">
        <v>2237</v>
      </c>
      <c r="N9" s="8">
        <v>0</v>
      </c>
      <c r="O9" s="6" t="s">
        <v>2237</v>
      </c>
      <c r="P9" s="6" t="s">
        <v>2242</v>
      </c>
      <c r="Q9" s="9" t="s">
        <v>2236</v>
      </c>
      <c r="R9" s="9" t="s">
        <v>2238</v>
      </c>
      <c r="S9" s="9" t="s">
        <v>2243</v>
      </c>
      <c r="T9" s="9" t="s">
        <v>2244</v>
      </c>
      <c r="U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E540-3020393-D245401</v>
      </c>
      <c r="X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" s="10" t="str">
        <f>IF(IFERROR(INDEX(WBS_Dictionary!K$2:K$1212, MATCH(Table2[[#This Row],[WBS_ID]], Table26[WBS CODE],0)), "") = "", "null", IFERROR(INDEX(WBS_Dictionary!K$2:K$1212, MATCH(Table2[[#This Row],[WBS_ID]], Table26[WBS CODE],0)), ""))</f>
        <v>New Rig Pavement</v>
      </c>
      <c r="AB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" spans="1:31" hidden="1" x14ac:dyDescent="0.3">
      <c r="A10" s="6" t="s">
        <v>2252</v>
      </c>
      <c r="B10" s="6" t="s">
        <v>26</v>
      </c>
      <c r="C10" s="6" t="s">
        <v>891</v>
      </c>
      <c r="D10" s="6" t="s">
        <v>1097</v>
      </c>
      <c r="E10" s="6" t="s">
        <v>2241</v>
      </c>
      <c r="F10" s="8">
        <v>0</v>
      </c>
      <c r="G10" s="6" t="s">
        <v>2237</v>
      </c>
      <c r="H10" s="8">
        <v>0</v>
      </c>
      <c r="I10" s="6" t="s">
        <v>2237</v>
      </c>
      <c r="J10" s="8">
        <v>0</v>
      </c>
      <c r="K10" s="6" t="s">
        <v>2237</v>
      </c>
      <c r="L10" s="8">
        <v>0</v>
      </c>
      <c r="M10" s="6" t="s">
        <v>2237</v>
      </c>
      <c r="N10" s="8">
        <v>0</v>
      </c>
      <c r="O10" s="6" t="s">
        <v>2237</v>
      </c>
      <c r="P10" s="6" t="s">
        <v>2242</v>
      </c>
      <c r="Q10" s="9" t="s">
        <v>2236</v>
      </c>
      <c r="R10" s="9" t="s">
        <v>2238</v>
      </c>
      <c r="S10" s="9" t="s">
        <v>2243</v>
      </c>
      <c r="T10" s="9" t="s">
        <v>2249</v>
      </c>
      <c r="U1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E540-3020393-D245401</v>
      </c>
      <c r="X1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E540-302039309-D245401</v>
      </c>
      <c r="Y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0" s="10" t="str">
        <f>IF(IFERROR(INDEX(WBS_Dictionary!K$2:K$1212, MATCH(Table2[[#This Row],[WBS_ID]], Table26[WBS CODE],0)), "") = "", "null", IFERROR(INDEX(WBS_Dictionary!K$2:K$1212, MATCH(Table2[[#This Row],[WBS_ID]], Table26[WBS CODE],0)), ""))</f>
        <v>New Rig Pavement</v>
      </c>
      <c r="AB1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" spans="1:31" hidden="1" x14ac:dyDescent="0.3">
      <c r="A11" s="6" t="s">
        <v>2253</v>
      </c>
      <c r="B11" s="6" t="s">
        <v>30</v>
      </c>
      <c r="C11" s="6" t="s">
        <v>891</v>
      </c>
      <c r="D11" s="6" t="s">
        <v>1762</v>
      </c>
      <c r="E11" s="6" t="s">
        <v>2241</v>
      </c>
      <c r="F11" s="8">
        <v>0</v>
      </c>
      <c r="G11" s="6" t="s">
        <v>2237</v>
      </c>
      <c r="H11" s="8">
        <v>0</v>
      </c>
      <c r="I11" s="6" t="s">
        <v>2237</v>
      </c>
      <c r="J11" s="8">
        <v>0</v>
      </c>
      <c r="K11" s="6" t="s">
        <v>2237</v>
      </c>
      <c r="L11" s="8">
        <v>0</v>
      </c>
      <c r="M11" s="6" t="s">
        <v>2237</v>
      </c>
      <c r="N11" s="8">
        <v>0</v>
      </c>
      <c r="O11" s="6" t="s">
        <v>2237</v>
      </c>
      <c r="P11" s="6" t="s">
        <v>2242</v>
      </c>
      <c r="Q11" s="9" t="s">
        <v>2236</v>
      </c>
      <c r="R11" s="9" t="s">
        <v>2238</v>
      </c>
      <c r="S11" s="9" t="s">
        <v>2243</v>
      </c>
      <c r="T11" s="9" t="s">
        <v>2249</v>
      </c>
      <c r="U1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E540-3020393-D245401</v>
      </c>
      <c r="X1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E540-302039309-D245401</v>
      </c>
      <c r="Y11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E540-30203930961-D245401</v>
      </c>
      <c r="Z1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1" s="10" t="str">
        <f>IF(IFERROR(INDEX(WBS_Dictionary!K$2:K$1212, MATCH(Table2[[#This Row],[WBS_ID]], Table26[WBS CODE],0)), "") = "", "null", IFERROR(INDEX(WBS_Dictionary!K$2:K$1212, MATCH(Table2[[#This Row],[WBS_ID]], Table26[WBS CODE],0)), ""))</f>
        <v>New Rig Pavement</v>
      </c>
      <c r="AB11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1" s="10" t="str">
        <f>IF(IFERROR(INDEX(WBS_Dictionary!M$2:M$1212, MATCH(Table2[[#This Row],[WBS_ID]], Table26[WBS CODE],0)), "") = "", "null", IFERROR(INDEX(WBS_Dictionary!M$2:M$1212, MATCH(Table2[[#This Row],[WBS_ID]], Table26[WBS CODE],0)), ""))</f>
        <v>New Rig Pavement</v>
      </c>
      <c r="AD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" spans="1:31" hidden="1" x14ac:dyDescent="0.3">
      <c r="A12" s="6" t="s">
        <v>2254</v>
      </c>
      <c r="B12" s="6" t="s">
        <v>21</v>
      </c>
      <c r="C12" s="6" t="s">
        <v>893</v>
      </c>
      <c r="D12" s="6" t="s">
        <v>894</v>
      </c>
      <c r="E12" s="6" t="s">
        <v>2241</v>
      </c>
      <c r="F12" s="8">
        <v>442618.13</v>
      </c>
      <c r="G12" s="6" t="s">
        <v>2237</v>
      </c>
      <c r="H12" s="8">
        <v>442618.13</v>
      </c>
      <c r="I12" s="6" t="s">
        <v>2237</v>
      </c>
      <c r="J12" s="8">
        <v>0</v>
      </c>
      <c r="K12" s="6" t="s">
        <v>2237</v>
      </c>
      <c r="L12" s="8">
        <v>18695.05</v>
      </c>
      <c r="M12" s="6" t="s">
        <v>2237</v>
      </c>
      <c r="N12" s="8">
        <v>336073.61</v>
      </c>
      <c r="O12" s="6" t="s">
        <v>2237</v>
      </c>
      <c r="P12" s="6" t="s">
        <v>2242</v>
      </c>
      <c r="Q12" s="9" t="s">
        <v>2236</v>
      </c>
      <c r="R12" s="9" t="s">
        <v>2238</v>
      </c>
      <c r="S12" s="9" t="s">
        <v>2243</v>
      </c>
      <c r="T12" s="9" t="s">
        <v>2244</v>
      </c>
      <c r="U1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" spans="1:31" hidden="1" x14ac:dyDescent="0.3">
      <c r="A13" s="6" t="s">
        <v>2255</v>
      </c>
      <c r="B13" s="6" t="s">
        <v>26</v>
      </c>
      <c r="C13" s="6" t="s">
        <v>1102</v>
      </c>
      <c r="D13" s="6" t="s">
        <v>1103</v>
      </c>
      <c r="E13" s="6" t="s">
        <v>2241</v>
      </c>
      <c r="F13" s="8">
        <v>186765.16</v>
      </c>
      <c r="G13" s="6" t="s">
        <v>2237</v>
      </c>
      <c r="H13" s="8">
        <v>186765.16</v>
      </c>
      <c r="I13" s="6" t="s">
        <v>2237</v>
      </c>
      <c r="J13" s="8">
        <v>0</v>
      </c>
      <c r="K13" s="6" t="s">
        <v>2237</v>
      </c>
      <c r="L13" s="8">
        <v>11341.6</v>
      </c>
      <c r="M13" s="6" t="s">
        <v>2237</v>
      </c>
      <c r="N13" s="8">
        <v>143570.32</v>
      </c>
      <c r="O13" s="6" t="s">
        <v>2237</v>
      </c>
      <c r="P13" s="6" t="s">
        <v>2242</v>
      </c>
      <c r="Q13" s="9" t="s">
        <v>2236</v>
      </c>
      <c r="R13" s="9" t="s">
        <v>2238</v>
      </c>
      <c r="S13" s="9" t="s">
        <v>2243</v>
      </c>
      <c r="T13" s="9" t="s">
        <v>2256</v>
      </c>
      <c r="U1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E540-302039409-D245401</v>
      </c>
      <c r="Y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" spans="1:31" hidden="1" x14ac:dyDescent="0.3">
      <c r="A14" s="6" t="s">
        <v>2257</v>
      </c>
      <c r="B14" s="6" t="s">
        <v>30</v>
      </c>
      <c r="C14" s="6" t="s">
        <v>1768</v>
      </c>
      <c r="D14" s="6" t="s">
        <v>1769</v>
      </c>
      <c r="E14" s="6" t="s">
        <v>2241</v>
      </c>
      <c r="F14" s="8">
        <v>0</v>
      </c>
      <c r="G14" s="6" t="s">
        <v>2237</v>
      </c>
      <c r="H14" s="8">
        <v>0</v>
      </c>
      <c r="I14" s="6" t="s">
        <v>2237</v>
      </c>
      <c r="J14" s="8">
        <v>0</v>
      </c>
      <c r="K14" s="6" t="s">
        <v>2237</v>
      </c>
      <c r="L14" s="8">
        <v>11341.6</v>
      </c>
      <c r="M14" s="6" t="s">
        <v>2237</v>
      </c>
      <c r="N14" s="8">
        <v>143570.32</v>
      </c>
      <c r="O14" s="6" t="s">
        <v>2237</v>
      </c>
      <c r="P14" s="6" t="s">
        <v>2242</v>
      </c>
      <c r="Q14" s="9" t="s">
        <v>2236</v>
      </c>
      <c r="R14" s="9" t="s">
        <v>2238</v>
      </c>
      <c r="S14" s="9" t="s">
        <v>2243</v>
      </c>
      <c r="T14" s="9" t="s">
        <v>2258</v>
      </c>
      <c r="U1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E540-302039409-D245401</v>
      </c>
      <c r="Y14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E540-30203940963-D245401</v>
      </c>
      <c r="Z1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4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5" spans="1:31" hidden="1" x14ac:dyDescent="0.3">
      <c r="A15" s="6" t="s">
        <v>2259</v>
      </c>
      <c r="B15" s="6" t="s">
        <v>26</v>
      </c>
      <c r="C15" s="6" t="s">
        <v>1100</v>
      </c>
      <c r="D15" s="6" t="s">
        <v>1101</v>
      </c>
      <c r="E15" s="6" t="s">
        <v>2241</v>
      </c>
      <c r="F15" s="8">
        <v>201428.97</v>
      </c>
      <c r="G15" s="6" t="s">
        <v>2237</v>
      </c>
      <c r="H15" s="8">
        <v>201428.97</v>
      </c>
      <c r="I15" s="6" t="s">
        <v>2237</v>
      </c>
      <c r="J15" s="8">
        <v>0</v>
      </c>
      <c r="K15" s="6" t="s">
        <v>2237</v>
      </c>
      <c r="L15" s="8">
        <v>7353.45</v>
      </c>
      <c r="M15" s="6" t="s">
        <v>2237</v>
      </c>
      <c r="N15" s="8">
        <v>158684.62</v>
      </c>
      <c r="O15" s="6" t="s">
        <v>2237</v>
      </c>
      <c r="P15" s="6" t="s">
        <v>2242</v>
      </c>
      <c r="Q15" s="9" t="s">
        <v>2236</v>
      </c>
      <c r="R15" s="9" t="s">
        <v>2238</v>
      </c>
      <c r="S15" s="9" t="s">
        <v>2243</v>
      </c>
      <c r="T15" s="9" t="s">
        <v>2256</v>
      </c>
      <c r="U1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E540-302039408-D245401</v>
      </c>
      <c r="Y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6" spans="1:31" hidden="1" x14ac:dyDescent="0.3">
      <c r="A16" s="6" t="s">
        <v>2260</v>
      </c>
      <c r="B16" s="6" t="s">
        <v>30</v>
      </c>
      <c r="C16" s="6" t="s">
        <v>1764</v>
      </c>
      <c r="D16" s="6" t="s">
        <v>1765</v>
      </c>
      <c r="E16" s="6" t="s">
        <v>2241</v>
      </c>
      <c r="F16" s="8">
        <v>0</v>
      </c>
      <c r="G16" s="6" t="s">
        <v>2237</v>
      </c>
      <c r="H16" s="8">
        <v>0</v>
      </c>
      <c r="I16" s="6" t="s">
        <v>2237</v>
      </c>
      <c r="J16" s="8">
        <v>0</v>
      </c>
      <c r="K16" s="6" t="s">
        <v>2237</v>
      </c>
      <c r="L16" s="8">
        <v>0</v>
      </c>
      <c r="M16" s="6" t="s">
        <v>2237</v>
      </c>
      <c r="N16" s="8">
        <v>7848.08</v>
      </c>
      <c r="O16" s="6" t="s">
        <v>2237</v>
      </c>
      <c r="P16" s="6" t="s">
        <v>2242</v>
      </c>
      <c r="Q16" s="9" t="s">
        <v>2236</v>
      </c>
      <c r="R16" s="9" t="s">
        <v>2238</v>
      </c>
      <c r="S16" s="9" t="s">
        <v>2243</v>
      </c>
      <c r="T16" s="9" t="s">
        <v>2258</v>
      </c>
      <c r="U1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E540-302039408-D245401</v>
      </c>
      <c r="Y16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E540-30203940821-D245401</v>
      </c>
      <c r="Z1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6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6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6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7" spans="1:31" hidden="1" x14ac:dyDescent="0.3">
      <c r="A17" s="6" t="s">
        <v>2261</v>
      </c>
      <c r="B17" s="6" t="s">
        <v>30</v>
      </c>
      <c r="C17" s="6" t="s">
        <v>1766</v>
      </c>
      <c r="D17" s="6" t="s">
        <v>1767</v>
      </c>
      <c r="E17" s="6" t="s">
        <v>2241</v>
      </c>
      <c r="F17" s="8">
        <v>0</v>
      </c>
      <c r="G17" s="6" t="s">
        <v>2237</v>
      </c>
      <c r="H17" s="8">
        <v>0</v>
      </c>
      <c r="I17" s="6" t="s">
        <v>2237</v>
      </c>
      <c r="J17" s="8">
        <v>0</v>
      </c>
      <c r="K17" s="6" t="s">
        <v>2237</v>
      </c>
      <c r="L17" s="8">
        <v>7353.45</v>
      </c>
      <c r="M17" s="6" t="s">
        <v>2237</v>
      </c>
      <c r="N17" s="8">
        <v>150836.54</v>
      </c>
      <c r="O17" s="6" t="s">
        <v>2237</v>
      </c>
      <c r="P17" s="6" t="s">
        <v>2242</v>
      </c>
      <c r="Q17" s="9" t="s">
        <v>2236</v>
      </c>
      <c r="R17" s="9" t="s">
        <v>2238</v>
      </c>
      <c r="S17" s="9" t="s">
        <v>2243</v>
      </c>
      <c r="T17" s="9" t="s">
        <v>2258</v>
      </c>
      <c r="U1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7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E540-302039408-D245401</v>
      </c>
      <c r="Y17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E540-30203940860-D245401</v>
      </c>
      <c r="Z1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7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7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8" spans="1:31" hidden="1" x14ac:dyDescent="0.3">
      <c r="A18" s="6" t="s">
        <v>2262</v>
      </c>
      <c r="B18" s="6" t="s">
        <v>26</v>
      </c>
      <c r="C18" s="6" t="s">
        <v>1098</v>
      </c>
      <c r="D18" s="6" t="s">
        <v>1099</v>
      </c>
      <c r="E18" s="6" t="s">
        <v>2241</v>
      </c>
      <c r="F18" s="8">
        <v>54424</v>
      </c>
      <c r="G18" s="6" t="s">
        <v>2237</v>
      </c>
      <c r="H18" s="8">
        <v>54424</v>
      </c>
      <c r="I18" s="6" t="s">
        <v>2237</v>
      </c>
      <c r="J18" s="8">
        <v>0</v>
      </c>
      <c r="K18" s="6" t="s">
        <v>2237</v>
      </c>
      <c r="L18" s="8">
        <v>0</v>
      </c>
      <c r="M18" s="6" t="s">
        <v>2237</v>
      </c>
      <c r="N18" s="8">
        <v>33818.67</v>
      </c>
      <c r="O18" s="6" t="s">
        <v>2237</v>
      </c>
      <c r="P18" s="6" t="s">
        <v>2242</v>
      </c>
      <c r="Q18" s="9" t="s">
        <v>2236</v>
      </c>
      <c r="R18" s="9" t="s">
        <v>2238</v>
      </c>
      <c r="S18" s="9" t="s">
        <v>2243</v>
      </c>
      <c r="T18" s="9" t="s">
        <v>2244</v>
      </c>
      <c r="U1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8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E540-302039407-D245401</v>
      </c>
      <c r="Y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8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9" spans="1:31" hidden="1" x14ac:dyDescent="0.3">
      <c r="A19" s="6" t="s">
        <v>2263</v>
      </c>
      <c r="B19" s="6" t="s">
        <v>30</v>
      </c>
      <c r="C19" s="6" t="s">
        <v>2264</v>
      </c>
      <c r="D19" s="6" t="s">
        <v>1763</v>
      </c>
      <c r="E19" s="6" t="s">
        <v>2241</v>
      </c>
      <c r="F19" s="8">
        <v>0</v>
      </c>
      <c r="G19" s="6" t="s">
        <v>2237</v>
      </c>
      <c r="H19" s="8">
        <v>0</v>
      </c>
      <c r="I19" s="6" t="s">
        <v>2237</v>
      </c>
      <c r="J19" s="8">
        <v>0</v>
      </c>
      <c r="K19" s="6" t="s">
        <v>2237</v>
      </c>
      <c r="L19" s="8">
        <v>0</v>
      </c>
      <c r="M19" s="6" t="s">
        <v>2237</v>
      </c>
      <c r="N19" s="8">
        <v>33818.67</v>
      </c>
      <c r="O19" s="6" t="s">
        <v>2237</v>
      </c>
      <c r="P19" s="6" t="s">
        <v>2242</v>
      </c>
      <c r="Q19" s="9" t="s">
        <v>2236</v>
      </c>
      <c r="R19" s="9" t="s">
        <v>2238</v>
      </c>
      <c r="S19" s="9" t="s">
        <v>2243</v>
      </c>
      <c r="T19" s="9" t="s">
        <v>2258</v>
      </c>
      <c r="U1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E540-3020394-D245401</v>
      </c>
      <c r="X1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E540-302039407-D245401</v>
      </c>
      <c r="Y19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E540-30203940759-D245401</v>
      </c>
      <c r="Z1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9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9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9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1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0" spans="1:31" hidden="1" x14ac:dyDescent="0.3">
      <c r="A20" s="6" t="s">
        <v>2265</v>
      </c>
      <c r="B20" s="6" t="s">
        <v>21</v>
      </c>
      <c r="C20" s="6" t="s">
        <v>887</v>
      </c>
      <c r="D20" s="6" t="s">
        <v>888</v>
      </c>
      <c r="E20" s="6" t="s">
        <v>2241</v>
      </c>
      <c r="F20" s="8">
        <v>439104.13</v>
      </c>
      <c r="G20" s="6" t="s">
        <v>2237</v>
      </c>
      <c r="H20" s="8">
        <v>439104.13</v>
      </c>
      <c r="I20" s="6" t="s">
        <v>2237</v>
      </c>
      <c r="J20" s="8">
        <v>0</v>
      </c>
      <c r="K20" s="6" t="s">
        <v>2237</v>
      </c>
      <c r="L20" s="8">
        <v>162629.48000000001</v>
      </c>
      <c r="M20" s="6" t="s">
        <v>2237</v>
      </c>
      <c r="N20" s="8">
        <v>204264.7</v>
      </c>
      <c r="O20" s="6" t="s">
        <v>2237</v>
      </c>
      <c r="P20" s="6" t="s">
        <v>2242</v>
      </c>
      <c r="Q20" s="9" t="s">
        <v>2236</v>
      </c>
      <c r="R20" s="9" t="s">
        <v>2238</v>
      </c>
      <c r="S20" s="9" t="s">
        <v>2243</v>
      </c>
      <c r="T20" s="9" t="s">
        <v>2244</v>
      </c>
      <c r="U2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1" spans="1:31" hidden="1" x14ac:dyDescent="0.3">
      <c r="A21" s="6" t="s">
        <v>2266</v>
      </c>
      <c r="B21" s="6" t="s">
        <v>26</v>
      </c>
      <c r="C21" s="6" t="s">
        <v>1091</v>
      </c>
      <c r="D21" s="6" t="s">
        <v>1092</v>
      </c>
      <c r="E21" s="6" t="s">
        <v>2241</v>
      </c>
      <c r="F21" s="8">
        <v>186765.16</v>
      </c>
      <c r="G21" s="6" t="s">
        <v>2237</v>
      </c>
      <c r="H21" s="8">
        <v>186765.16</v>
      </c>
      <c r="I21" s="6" t="s">
        <v>2237</v>
      </c>
      <c r="J21" s="8">
        <v>0</v>
      </c>
      <c r="K21" s="6" t="s">
        <v>2237</v>
      </c>
      <c r="L21" s="8">
        <v>146557.35999999999</v>
      </c>
      <c r="M21" s="6" t="s">
        <v>2237</v>
      </c>
      <c r="N21" s="8">
        <v>37840.300000000003</v>
      </c>
      <c r="O21" s="6" t="s">
        <v>2237</v>
      </c>
      <c r="P21" s="6" t="s">
        <v>2242</v>
      </c>
      <c r="Q21" s="9" t="s">
        <v>2236</v>
      </c>
      <c r="R21" s="9" t="s">
        <v>2238</v>
      </c>
      <c r="S21" s="9" t="s">
        <v>2243</v>
      </c>
      <c r="T21" s="9" t="s">
        <v>2256</v>
      </c>
      <c r="U2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E540-302039009-D245401</v>
      </c>
      <c r="Y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1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2" spans="1:31" hidden="1" x14ac:dyDescent="0.3">
      <c r="A22" s="6" t="s">
        <v>2267</v>
      </c>
      <c r="B22" s="6" t="s">
        <v>30</v>
      </c>
      <c r="C22" s="6" t="s">
        <v>1758</v>
      </c>
      <c r="D22" s="6" t="s">
        <v>1759</v>
      </c>
      <c r="E22" s="6" t="s">
        <v>2241</v>
      </c>
      <c r="F22" s="8">
        <v>0</v>
      </c>
      <c r="G22" s="6" t="s">
        <v>2237</v>
      </c>
      <c r="H22" s="8">
        <v>0</v>
      </c>
      <c r="I22" s="6" t="s">
        <v>2237</v>
      </c>
      <c r="J22" s="8">
        <v>0</v>
      </c>
      <c r="K22" s="6" t="s">
        <v>2237</v>
      </c>
      <c r="L22" s="8">
        <v>146557.35999999999</v>
      </c>
      <c r="M22" s="6" t="s">
        <v>2237</v>
      </c>
      <c r="N22" s="8">
        <v>37840.300000000003</v>
      </c>
      <c r="O22" s="6" t="s">
        <v>2237</v>
      </c>
      <c r="P22" s="6" t="s">
        <v>2242</v>
      </c>
      <c r="Q22" s="9" t="s">
        <v>2236</v>
      </c>
      <c r="R22" s="9" t="s">
        <v>2238</v>
      </c>
      <c r="S22" s="9" t="s">
        <v>2243</v>
      </c>
      <c r="T22" s="9" t="s">
        <v>2258</v>
      </c>
      <c r="U2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E540-302039009-D245401</v>
      </c>
      <c r="Y22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E540-30203900963-D245401</v>
      </c>
      <c r="Z2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2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22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22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3" spans="1:31" hidden="1" x14ac:dyDescent="0.3">
      <c r="A23" s="6" t="s">
        <v>2268</v>
      </c>
      <c r="B23" s="6" t="s">
        <v>26</v>
      </c>
      <c r="C23" s="6" t="s">
        <v>1089</v>
      </c>
      <c r="D23" s="6" t="s">
        <v>1090</v>
      </c>
      <c r="E23" s="6" t="s">
        <v>2241</v>
      </c>
      <c r="F23" s="8">
        <v>201428.97</v>
      </c>
      <c r="G23" s="6" t="s">
        <v>2237</v>
      </c>
      <c r="H23" s="8">
        <v>201428.97</v>
      </c>
      <c r="I23" s="6" t="s">
        <v>2237</v>
      </c>
      <c r="J23" s="8">
        <v>0</v>
      </c>
      <c r="K23" s="6" t="s">
        <v>2237</v>
      </c>
      <c r="L23" s="8">
        <v>0</v>
      </c>
      <c r="M23" s="6" t="s">
        <v>2237</v>
      </c>
      <c r="N23" s="8">
        <v>132005.14000000001</v>
      </c>
      <c r="O23" s="6" t="s">
        <v>2237</v>
      </c>
      <c r="P23" s="6" t="s">
        <v>2242</v>
      </c>
      <c r="Q23" s="9" t="s">
        <v>2236</v>
      </c>
      <c r="R23" s="9" t="s">
        <v>2238</v>
      </c>
      <c r="S23" s="9" t="s">
        <v>2243</v>
      </c>
      <c r="T23" s="9" t="s">
        <v>2244</v>
      </c>
      <c r="U2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E540-302039008-D245401</v>
      </c>
      <c r="Y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4" spans="1:31" hidden="1" x14ac:dyDescent="0.3">
      <c r="A24" s="6" t="s">
        <v>2269</v>
      </c>
      <c r="B24" s="6" t="s">
        <v>30</v>
      </c>
      <c r="C24" s="6" t="s">
        <v>1754</v>
      </c>
      <c r="D24" s="6" t="s">
        <v>1755</v>
      </c>
      <c r="E24" s="6" t="s">
        <v>2241</v>
      </c>
      <c r="F24" s="8">
        <v>0</v>
      </c>
      <c r="G24" s="6" t="s">
        <v>2237</v>
      </c>
      <c r="H24" s="8">
        <v>0</v>
      </c>
      <c r="I24" s="6" t="s">
        <v>2237</v>
      </c>
      <c r="J24" s="8">
        <v>0</v>
      </c>
      <c r="K24" s="6" t="s">
        <v>2237</v>
      </c>
      <c r="L24" s="8">
        <v>0</v>
      </c>
      <c r="M24" s="6" t="s">
        <v>2237</v>
      </c>
      <c r="N24" s="8">
        <v>0</v>
      </c>
      <c r="O24" s="6" t="s">
        <v>2237</v>
      </c>
      <c r="P24" s="6" t="s">
        <v>2242</v>
      </c>
      <c r="Q24" s="9" t="s">
        <v>2236</v>
      </c>
      <c r="R24" s="9" t="s">
        <v>2238</v>
      </c>
      <c r="S24" s="9" t="s">
        <v>2243</v>
      </c>
      <c r="T24" s="9" t="s">
        <v>2270</v>
      </c>
      <c r="U2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E540-302039008-D245401</v>
      </c>
      <c r="Y24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E540-30203900821-D245401</v>
      </c>
      <c r="Z2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4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24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24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5" spans="1:31" hidden="1" x14ac:dyDescent="0.3">
      <c r="A25" s="6" t="s">
        <v>2271</v>
      </c>
      <c r="B25" s="6" t="s">
        <v>30</v>
      </c>
      <c r="C25" s="6" t="s">
        <v>1756</v>
      </c>
      <c r="D25" s="6" t="s">
        <v>1757</v>
      </c>
      <c r="E25" s="6" t="s">
        <v>2241</v>
      </c>
      <c r="F25" s="8">
        <v>0</v>
      </c>
      <c r="G25" s="6" t="s">
        <v>2237</v>
      </c>
      <c r="H25" s="8">
        <v>0</v>
      </c>
      <c r="I25" s="6" t="s">
        <v>2237</v>
      </c>
      <c r="J25" s="8">
        <v>0</v>
      </c>
      <c r="K25" s="6" t="s">
        <v>2237</v>
      </c>
      <c r="L25" s="8">
        <v>0</v>
      </c>
      <c r="M25" s="6" t="s">
        <v>2237</v>
      </c>
      <c r="N25" s="8">
        <v>132005.14000000001</v>
      </c>
      <c r="O25" s="6" t="s">
        <v>2237</v>
      </c>
      <c r="P25" s="6" t="s">
        <v>2242</v>
      </c>
      <c r="Q25" s="9" t="s">
        <v>2236</v>
      </c>
      <c r="R25" s="9" t="s">
        <v>2238</v>
      </c>
      <c r="S25" s="9" t="s">
        <v>2243</v>
      </c>
      <c r="T25" s="9" t="s">
        <v>2258</v>
      </c>
      <c r="U2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E540-302039008-D245401</v>
      </c>
      <c r="Y25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E540-30203900860-D245401</v>
      </c>
      <c r="Z2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25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25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6" spans="1:31" hidden="1" x14ac:dyDescent="0.3">
      <c r="A26" s="6" t="s">
        <v>2272</v>
      </c>
      <c r="B26" s="6" t="s">
        <v>26</v>
      </c>
      <c r="C26" s="6" t="s">
        <v>1087</v>
      </c>
      <c r="D26" s="6" t="s">
        <v>1088</v>
      </c>
      <c r="E26" s="6" t="s">
        <v>2241</v>
      </c>
      <c r="F26" s="8">
        <v>50910</v>
      </c>
      <c r="G26" s="6" t="s">
        <v>2237</v>
      </c>
      <c r="H26" s="8">
        <v>50910</v>
      </c>
      <c r="I26" s="6" t="s">
        <v>2237</v>
      </c>
      <c r="J26" s="8">
        <v>0</v>
      </c>
      <c r="K26" s="6" t="s">
        <v>2237</v>
      </c>
      <c r="L26" s="8">
        <v>16072.12</v>
      </c>
      <c r="M26" s="6" t="s">
        <v>2237</v>
      </c>
      <c r="N26" s="8">
        <v>34419.26</v>
      </c>
      <c r="O26" s="6" t="s">
        <v>2237</v>
      </c>
      <c r="P26" s="6" t="s">
        <v>2242</v>
      </c>
      <c r="Q26" s="9" t="s">
        <v>2236</v>
      </c>
      <c r="R26" s="9" t="s">
        <v>2238</v>
      </c>
      <c r="S26" s="9" t="s">
        <v>2243</v>
      </c>
      <c r="T26" s="9" t="s">
        <v>2256</v>
      </c>
      <c r="U2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E540-302039007-D245401</v>
      </c>
      <c r="Y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6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6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7" spans="1:31" hidden="1" x14ac:dyDescent="0.3">
      <c r="A27" s="6" t="s">
        <v>2273</v>
      </c>
      <c r="B27" s="6" t="s">
        <v>30</v>
      </c>
      <c r="C27" s="6" t="s">
        <v>2274</v>
      </c>
      <c r="D27" s="6" t="s">
        <v>1753</v>
      </c>
      <c r="E27" s="6" t="s">
        <v>2241</v>
      </c>
      <c r="F27" s="8">
        <v>0</v>
      </c>
      <c r="G27" s="6" t="s">
        <v>2237</v>
      </c>
      <c r="H27" s="8">
        <v>0</v>
      </c>
      <c r="I27" s="6" t="s">
        <v>2237</v>
      </c>
      <c r="J27" s="8">
        <v>0</v>
      </c>
      <c r="K27" s="6" t="s">
        <v>2237</v>
      </c>
      <c r="L27" s="8">
        <v>16072.12</v>
      </c>
      <c r="M27" s="6" t="s">
        <v>2237</v>
      </c>
      <c r="N27" s="8">
        <v>34419.26</v>
      </c>
      <c r="O27" s="6" t="s">
        <v>2237</v>
      </c>
      <c r="P27" s="6" t="s">
        <v>2242</v>
      </c>
      <c r="Q27" s="9" t="s">
        <v>2236</v>
      </c>
      <c r="R27" s="9" t="s">
        <v>2238</v>
      </c>
      <c r="S27" s="9" t="s">
        <v>2243</v>
      </c>
      <c r="T27" s="9" t="s">
        <v>2258</v>
      </c>
      <c r="U2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E540-3020390-D245401</v>
      </c>
      <c r="X27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E540-302039007-D245401</v>
      </c>
      <c r="Y27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E540-30203900759-D245401</v>
      </c>
      <c r="Z2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27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27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27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2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8" spans="1:31" hidden="1" x14ac:dyDescent="0.3">
      <c r="A28" s="6" t="s">
        <v>2275</v>
      </c>
      <c r="B28" s="6" t="s">
        <v>21</v>
      </c>
      <c r="C28" s="6" t="s">
        <v>889</v>
      </c>
      <c r="D28" s="6" t="s">
        <v>890</v>
      </c>
      <c r="E28" s="6" t="s">
        <v>2241</v>
      </c>
      <c r="F28" s="8">
        <v>228418</v>
      </c>
      <c r="G28" s="6" t="s">
        <v>2237</v>
      </c>
      <c r="H28" s="8">
        <v>228418</v>
      </c>
      <c r="I28" s="6" t="s">
        <v>2237</v>
      </c>
      <c r="J28" s="8">
        <v>0</v>
      </c>
      <c r="K28" s="6" t="s">
        <v>2237</v>
      </c>
      <c r="L28" s="8">
        <v>0</v>
      </c>
      <c r="M28" s="6" t="s">
        <v>2237</v>
      </c>
      <c r="N28" s="8">
        <v>43417.87</v>
      </c>
      <c r="O28" s="6" t="s">
        <v>2237</v>
      </c>
      <c r="P28" s="6" t="s">
        <v>2242</v>
      </c>
      <c r="Q28" s="9" t="s">
        <v>2236</v>
      </c>
      <c r="R28" s="9" t="s">
        <v>2238</v>
      </c>
      <c r="S28" s="9" t="s">
        <v>2243</v>
      </c>
      <c r="T28" s="9" t="s">
        <v>2244</v>
      </c>
      <c r="U2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E540-3020392-D245401</v>
      </c>
      <c r="X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8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8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2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29" spans="1:31" hidden="1" x14ac:dyDescent="0.3">
      <c r="A29" s="6" t="s">
        <v>2276</v>
      </c>
      <c r="B29" s="6" t="s">
        <v>26</v>
      </c>
      <c r="C29" s="6" t="s">
        <v>1095</v>
      </c>
      <c r="D29" s="6" t="s">
        <v>1096</v>
      </c>
      <c r="E29" s="6" t="s">
        <v>2241</v>
      </c>
      <c r="F29" s="8">
        <v>185000</v>
      </c>
      <c r="G29" s="6" t="s">
        <v>2237</v>
      </c>
      <c r="H29" s="8">
        <v>185000</v>
      </c>
      <c r="I29" s="6" t="s">
        <v>2237</v>
      </c>
      <c r="J29" s="8">
        <v>0</v>
      </c>
      <c r="K29" s="6" t="s">
        <v>2237</v>
      </c>
      <c r="L29" s="8">
        <v>0</v>
      </c>
      <c r="M29" s="6" t="s">
        <v>2237</v>
      </c>
      <c r="N29" s="8">
        <v>0</v>
      </c>
      <c r="O29" s="6" t="s">
        <v>2237</v>
      </c>
      <c r="P29" s="6" t="s">
        <v>2242</v>
      </c>
      <c r="Q29" s="9" t="s">
        <v>2236</v>
      </c>
      <c r="R29" s="9" t="s">
        <v>2238</v>
      </c>
      <c r="S29" s="9" t="s">
        <v>2243</v>
      </c>
      <c r="T29" s="9" t="s">
        <v>2244</v>
      </c>
      <c r="U2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2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E540-3020392-D245401</v>
      </c>
      <c r="X2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E540-302039209-D245401</v>
      </c>
      <c r="Y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29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29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9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2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0" spans="1:31" hidden="1" x14ac:dyDescent="0.3">
      <c r="A30" s="6" t="s">
        <v>2277</v>
      </c>
      <c r="B30" s="6" t="s">
        <v>30</v>
      </c>
      <c r="C30" s="6" t="s">
        <v>1095</v>
      </c>
      <c r="D30" s="6" t="s">
        <v>1761</v>
      </c>
      <c r="E30" s="6" t="s">
        <v>2241</v>
      </c>
      <c r="F30" s="8">
        <v>0</v>
      </c>
      <c r="G30" s="6" t="s">
        <v>2237</v>
      </c>
      <c r="H30" s="8">
        <v>0</v>
      </c>
      <c r="I30" s="6" t="s">
        <v>2237</v>
      </c>
      <c r="J30" s="8">
        <v>0</v>
      </c>
      <c r="K30" s="6" t="s">
        <v>2237</v>
      </c>
      <c r="L30" s="8">
        <v>0</v>
      </c>
      <c r="M30" s="6" t="s">
        <v>2237</v>
      </c>
      <c r="N30" s="8">
        <v>0</v>
      </c>
      <c r="O30" s="6" t="s">
        <v>2237</v>
      </c>
      <c r="P30" s="6" t="s">
        <v>2242</v>
      </c>
      <c r="Q30" s="9" t="s">
        <v>2236</v>
      </c>
      <c r="R30" s="9" t="s">
        <v>2238</v>
      </c>
      <c r="S30" s="9" t="s">
        <v>2243</v>
      </c>
      <c r="T30" s="9" t="s">
        <v>2270</v>
      </c>
      <c r="U3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E540-3020392-D245401</v>
      </c>
      <c r="X3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E540-302039209-D245401</v>
      </c>
      <c r="Y30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E540-30203920962-D245401</v>
      </c>
      <c r="Z3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0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3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30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30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3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1" spans="1:31" hidden="1" x14ac:dyDescent="0.3">
      <c r="A31" s="6" t="s">
        <v>2278</v>
      </c>
      <c r="B31" s="6" t="s">
        <v>26</v>
      </c>
      <c r="C31" s="6" t="s">
        <v>1093</v>
      </c>
      <c r="D31" s="6" t="s">
        <v>1094</v>
      </c>
      <c r="E31" s="6" t="s">
        <v>2241</v>
      </c>
      <c r="F31" s="8">
        <v>43418</v>
      </c>
      <c r="G31" s="6" t="s">
        <v>2237</v>
      </c>
      <c r="H31" s="8">
        <v>43418</v>
      </c>
      <c r="I31" s="6" t="s">
        <v>2237</v>
      </c>
      <c r="J31" s="8">
        <v>0</v>
      </c>
      <c r="K31" s="6" t="s">
        <v>2237</v>
      </c>
      <c r="L31" s="8">
        <v>0</v>
      </c>
      <c r="M31" s="6" t="s">
        <v>2237</v>
      </c>
      <c r="N31" s="8">
        <v>43417.87</v>
      </c>
      <c r="O31" s="6" t="s">
        <v>2237</v>
      </c>
      <c r="P31" s="6" t="s">
        <v>2242</v>
      </c>
      <c r="Q31" s="9" t="s">
        <v>2236</v>
      </c>
      <c r="R31" s="9" t="s">
        <v>2238</v>
      </c>
      <c r="S31" s="9" t="s">
        <v>2243</v>
      </c>
      <c r="T31" s="9" t="s">
        <v>2244</v>
      </c>
      <c r="U3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E540-3020392-D245401</v>
      </c>
      <c r="X3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E540-302039207-D245401</v>
      </c>
      <c r="Y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1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31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1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3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2" spans="1:31" hidden="1" x14ac:dyDescent="0.3">
      <c r="A32" s="6" t="s">
        <v>2279</v>
      </c>
      <c r="B32" s="6" t="s">
        <v>30</v>
      </c>
      <c r="C32" s="6" t="s">
        <v>1093</v>
      </c>
      <c r="D32" s="6" t="s">
        <v>1760</v>
      </c>
      <c r="E32" s="6" t="s">
        <v>2241</v>
      </c>
      <c r="F32" s="8">
        <v>0</v>
      </c>
      <c r="G32" s="6" t="s">
        <v>2237</v>
      </c>
      <c r="H32" s="8">
        <v>0</v>
      </c>
      <c r="I32" s="6" t="s">
        <v>2237</v>
      </c>
      <c r="J32" s="8">
        <v>0</v>
      </c>
      <c r="K32" s="6" t="s">
        <v>2237</v>
      </c>
      <c r="L32" s="8">
        <v>0</v>
      </c>
      <c r="M32" s="6" t="s">
        <v>2237</v>
      </c>
      <c r="N32" s="8">
        <v>43417.87</v>
      </c>
      <c r="O32" s="6" t="s">
        <v>2237</v>
      </c>
      <c r="P32" s="6" t="s">
        <v>2242</v>
      </c>
      <c r="Q32" s="9" t="s">
        <v>2236</v>
      </c>
      <c r="R32" s="9" t="s">
        <v>2238</v>
      </c>
      <c r="S32" s="9" t="s">
        <v>2243</v>
      </c>
      <c r="T32" s="9" t="s">
        <v>2258</v>
      </c>
      <c r="U3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E540-3020392-D245401</v>
      </c>
      <c r="X3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E540-302039207-D245401</v>
      </c>
      <c r="Y32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E540-30203920759-D245401</v>
      </c>
      <c r="Z3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2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32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32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32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3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3" spans="1:31" hidden="1" x14ac:dyDescent="0.3">
      <c r="A33" s="6" t="s">
        <v>2280</v>
      </c>
      <c r="B33" s="6" t="s">
        <v>21</v>
      </c>
      <c r="C33" s="6" t="s">
        <v>876</v>
      </c>
      <c r="D33" s="6" t="s">
        <v>877</v>
      </c>
      <c r="E33" s="6" t="s">
        <v>2241</v>
      </c>
      <c r="F33" s="8">
        <v>800575</v>
      </c>
      <c r="G33" s="6" t="s">
        <v>2237</v>
      </c>
      <c r="H33" s="8">
        <v>800575</v>
      </c>
      <c r="I33" s="6" t="s">
        <v>2237</v>
      </c>
      <c r="J33" s="8">
        <v>0</v>
      </c>
      <c r="K33" s="6" t="s">
        <v>2237</v>
      </c>
      <c r="L33" s="8">
        <v>257969.84</v>
      </c>
      <c r="M33" s="6" t="s">
        <v>2237</v>
      </c>
      <c r="N33" s="8">
        <v>109485.1</v>
      </c>
      <c r="O33" s="6" t="s">
        <v>2237</v>
      </c>
      <c r="P33" s="6" t="s">
        <v>2242</v>
      </c>
      <c r="Q33" s="9" t="s">
        <v>2236</v>
      </c>
      <c r="R33" s="9" t="s">
        <v>2238</v>
      </c>
      <c r="S33" s="9" t="s">
        <v>2243</v>
      </c>
      <c r="T33" s="9" t="s">
        <v>2244</v>
      </c>
      <c r="U3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E540-3020386-D245401</v>
      </c>
      <c r="X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3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3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3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4" spans="1:31" hidden="1" x14ac:dyDescent="0.3">
      <c r="A34" s="6" t="s">
        <v>2281</v>
      </c>
      <c r="B34" s="6" t="s">
        <v>26</v>
      </c>
      <c r="C34" s="6" t="s">
        <v>1067</v>
      </c>
      <c r="D34" s="6" t="s">
        <v>1068</v>
      </c>
      <c r="E34" s="6" t="s">
        <v>2241</v>
      </c>
      <c r="F34" s="8">
        <v>781933</v>
      </c>
      <c r="G34" s="6" t="s">
        <v>2237</v>
      </c>
      <c r="H34" s="8">
        <v>781933</v>
      </c>
      <c r="I34" s="6" t="s">
        <v>2237</v>
      </c>
      <c r="J34" s="8">
        <v>0</v>
      </c>
      <c r="K34" s="6" t="s">
        <v>2237</v>
      </c>
      <c r="L34" s="8">
        <v>257969.84</v>
      </c>
      <c r="M34" s="6" t="s">
        <v>2237</v>
      </c>
      <c r="N34" s="8">
        <v>90927.03</v>
      </c>
      <c r="O34" s="6" t="s">
        <v>2237</v>
      </c>
      <c r="P34" s="6" t="s">
        <v>2242</v>
      </c>
      <c r="Q34" s="9" t="s">
        <v>2236</v>
      </c>
      <c r="R34" s="9" t="s">
        <v>2238</v>
      </c>
      <c r="S34" s="9" t="s">
        <v>2243</v>
      </c>
      <c r="T34" s="9" t="s">
        <v>2244</v>
      </c>
      <c r="U3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E540-3020386-D245401</v>
      </c>
      <c r="X3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E540-302038609-D245401</v>
      </c>
      <c r="Y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3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4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3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5" spans="1:31" hidden="1" x14ac:dyDescent="0.3">
      <c r="A35" s="6" t="s">
        <v>2282</v>
      </c>
      <c r="B35" s="6" t="s">
        <v>30</v>
      </c>
      <c r="C35" s="6" t="s">
        <v>1730</v>
      </c>
      <c r="D35" s="6" t="s">
        <v>1731</v>
      </c>
      <c r="E35" s="6" t="s">
        <v>2241</v>
      </c>
      <c r="F35" s="8">
        <v>0</v>
      </c>
      <c r="G35" s="6" t="s">
        <v>2237</v>
      </c>
      <c r="H35" s="8">
        <v>0</v>
      </c>
      <c r="I35" s="6" t="s">
        <v>2237</v>
      </c>
      <c r="J35" s="8">
        <v>0</v>
      </c>
      <c r="K35" s="6" t="s">
        <v>2237</v>
      </c>
      <c r="L35" s="8">
        <v>257969.84</v>
      </c>
      <c r="M35" s="6" t="s">
        <v>2237</v>
      </c>
      <c r="N35" s="8">
        <v>90927.03</v>
      </c>
      <c r="O35" s="6" t="s">
        <v>2237</v>
      </c>
      <c r="P35" s="6" t="s">
        <v>2242</v>
      </c>
      <c r="Q35" s="9" t="s">
        <v>2236</v>
      </c>
      <c r="R35" s="9" t="s">
        <v>2238</v>
      </c>
      <c r="S35" s="9" t="s">
        <v>2243</v>
      </c>
      <c r="T35" s="9" t="s">
        <v>2258</v>
      </c>
      <c r="U3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E540-3020386-D245401</v>
      </c>
      <c r="X3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E540-302038609-D245401</v>
      </c>
      <c r="Y35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E540-30203860962-D245401</v>
      </c>
      <c r="Z3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35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35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35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3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6" spans="1:31" hidden="1" x14ac:dyDescent="0.3">
      <c r="A36" s="6" t="s">
        <v>2283</v>
      </c>
      <c r="B36" s="6" t="s">
        <v>26</v>
      </c>
      <c r="C36" s="6" t="s">
        <v>1065</v>
      </c>
      <c r="D36" s="6" t="s">
        <v>1066</v>
      </c>
      <c r="E36" s="6" t="s">
        <v>2241</v>
      </c>
      <c r="F36" s="8">
        <v>18642</v>
      </c>
      <c r="G36" s="6" t="s">
        <v>2237</v>
      </c>
      <c r="H36" s="8">
        <v>18642</v>
      </c>
      <c r="I36" s="6" t="s">
        <v>2237</v>
      </c>
      <c r="J36" s="8">
        <v>0</v>
      </c>
      <c r="K36" s="6" t="s">
        <v>2237</v>
      </c>
      <c r="L36" s="8">
        <v>0</v>
      </c>
      <c r="M36" s="6" t="s">
        <v>2237</v>
      </c>
      <c r="N36" s="8">
        <v>18558.07</v>
      </c>
      <c r="O36" s="6" t="s">
        <v>2237</v>
      </c>
      <c r="P36" s="6" t="s">
        <v>2242</v>
      </c>
      <c r="Q36" s="9" t="s">
        <v>2236</v>
      </c>
      <c r="R36" s="9" t="s">
        <v>2238</v>
      </c>
      <c r="S36" s="9" t="s">
        <v>2243</v>
      </c>
      <c r="T36" s="9" t="s">
        <v>2244</v>
      </c>
      <c r="U3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E540-3020386-D245401</v>
      </c>
      <c r="X3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E540-302038607-D245401</v>
      </c>
      <c r="Y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6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36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6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3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7" spans="1:31" hidden="1" x14ac:dyDescent="0.3">
      <c r="A37" s="6" t="s">
        <v>2284</v>
      </c>
      <c r="B37" s="6" t="s">
        <v>30</v>
      </c>
      <c r="C37" s="6" t="s">
        <v>1728</v>
      </c>
      <c r="D37" s="6" t="s">
        <v>1729</v>
      </c>
      <c r="E37" s="6" t="s">
        <v>2241</v>
      </c>
      <c r="F37" s="8">
        <v>0</v>
      </c>
      <c r="G37" s="6" t="s">
        <v>2237</v>
      </c>
      <c r="H37" s="8">
        <v>0</v>
      </c>
      <c r="I37" s="6" t="s">
        <v>2237</v>
      </c>
      <c r="J37" s="8">
        <v>0</v>
      </c>
      <c r="K37" s="6" t="s">
        <v>2237</v>
      </c>
      <c r="L37" s="8">
        <v>0</v>
      </c>
      <c r="M37" s="6" t="s">
        <v>2237</v>
      </c>
      <c r="N37" s="8">
        <v>18558.07</v>
      </c>
      <c r="O37" s="6" t="s">
        <v>2237</v>
      </c>
      <c r="P37" s="6" t="s">
        <v>2242</v>
      </c>
      <c r="Q37" s="9" t="s">
        <v>2236</v>
      </c>
      <c r="R37" s="9" t="s">
        <v>2238</v>
      </c>
      <c r="S37" s="9" t="s">
        <v>2243</v>
      </c>
      <c r="T37" s="9" t="s">
        <v>2258</v>
      </c>
      <c r="U3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E540-3020386-D245401</v>
      </c>
      <c r="X37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E540-302038607-D245401</v>
      </c>
      <c r="Y37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E540-30203860759-D245401</v>
      </c>
      <c r="Z3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7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37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37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37" s="10" t="str">
        <f>IF(IFERROR(INDEX(WBS_Dictionary!N$2:N$1212, MATCH(Table2[[#This Row],[WBS_ID]], Table26[WBS CODE],0)), "") = "", "null", IFERROR(INDEX(WBS_Dictionary!N$2:N$1212, MATCH(Table2[[#This Row],[WBS_ID]], Table26[WBS CODE],0)), ""))</f>
        <v>Pad AWI 9</v>
      </c>
      <c r="AE3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8" spans="1:31" hidden="1" x14ac:dyDescent="0.3">
      <c r="A38" s="6" t="s">
        <v>2285</v>
      </c>
      <c r="B38" s="6" t="s">
        <v>21</v>
      </c>
      <c r="C38" s="6" t="s">
        <v>873</v>
      </c>
      <c r="D38" s="6" t="s">
        <v>874</v>
      </c>
      <c r="E38" s="6" t="s">
        <v>2241</v>
      </c>
      <c r="F38" s="8">
        <v>597016.81000000006</v>
      </c>
      <c r="G38" s="6" t="s">
        <v>2237</v>
      </c>
      <c r="H38" s="8">
        <v>597016.81000000006</v>
      </c>
      <c r="I38" s="6" t="s">
        <v>2237</v>
      </c>
      <c r="J38" s="8">
        <v>0</v>
      </c>
      <c r="K38" s="6" t="s">
        <v>2237</v>
      </c>
      <c r="L38" s="8">
        <v>20162.919999999998</v>
      </c>
      <c r="M38" s="6" t="s">
        <v>2237</v>
      </c>
      <c r="N38" s="8">
        <v>226016.39</v>
      </c>
      <c r="O38" s="6" t="s">
        <v>2237</v>
      </c>
      <c r="P38" s="6" t="s">
        <v>2242</v>
      </c>
      <c r="Q38" s="9" t="s">
        <v>2236</v>
      </c>
      <c r="R38" s="9" t="s">
        <v>2238</v>
      </c>
      <c r="S38" s="9" t="s">
        <v>2243</v>
      </c>
      <c r="T38" s="9" t="s">
        <v>2244</v>
      </c>
      <c r="U3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E540-3020385-D245401</v>
      </c>
      <c r="X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8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3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39" spans="1:31" hidden="1" x14ac:dyDescent="0.3">
      <c r="A39" s="6" t="s">
        <v>2286</v>
      </c>
      <c r="B39" s="6" t="s">
        <v>26</v>
      </c>
      <c r="C39" s="6" t="s">
        <v>1063</v>
      </c>
      <c r="D39" s="6" t="s">
        <v>1064</v>
      </c>
      <c r="E39" s="6" t="s">
        <v>2241</v>
      </c>
      <c r="F39" s="8">
        <v>532226.81000000006</v>
      </c>
      <c r="G39" s="6" t="s">
        <v>2237</v>
      </c>
      <c r="H39" s="8">
        <v>532226.81000000006</v>
      </c>
      <c r="I39" s="6" t="s">
        <v>2237</v>
      </c>
      <c r="J39" s="8">
        <v>0</v>
      </c>
      <c r="K39" s="6" t="s">
        <v>2237</v>
      </c>
      <c r="L39" s="8">
        <v>20162.919999999998</v>
      </c>
      <c r="M39" s="6" t="s">
        <v>2237</v>
      </c>
      <c r="N39" s="8">
        <v>212923.34</v>
      </c>
      <c r="O39" s="6" t="s">
        <v>2237</v>
      </c>
      <c r="P39" s="6" t="s">
        <v>2242</v>
      </c>
      <c r="Q39" s="9" t="s">
        <v>2236</v>
      </c>
      <c r="R39" s="9" t="s">
        <v>2238</v>
      </c>
      <c r="S39" s="9" t="s">
        <v>2243</v>
      </c>
      <c r="T39" s="9" t="s">
        <v>2244</v>
      </c>
      <c r="U3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3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E540-3020385-D245401</v>
      </c>
      <c r="X3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E540-302038509-D245401</v>
      </c>
      <c r="Y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3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39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9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3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0" spans="1:31" hidden="1" x14ac:dyDescent="0.3">
      <c r="A40" s="6" t="s">
        <v>2287</v>
      </c>
      <c r="B40" s="6" t="s">
        <v>30</v>
      </c>
      <c r="C40" s="6" t="s">
        <v>1726</v>
      </c>
      <c r="D40" s="6" t="s">
        <v>1727</v>
      </c>
      <c r="E40" s="6" t="s">
        <v>2241</v>
      </c>
      <c r="F40" s="8">
        <v>0</v>
      </c>
      <c r="G40" s="6" t="s">
        <v>2237</v>
      </c>
      <c r="H40" s="8">
        <v>0</v>
      </c>
      <c r="I40" s="6" t="s">
        <v>2237</v>
      </c>
      <c r="J40" s="8">
        <v>0</v>
      </c>
      <c r="K40" s="6" t="s">
        <v>2237</v>
      </c>
      <c r="L40" s="8">
        <v>20162.919999999998</v>
      </c>
      <c r="M40" s="6" t="s">
        <v>2237</v>
      </c>
      <c r="N40" s="8">
        <v>212923.34</v>
      </c>
      <c r="O40" s="6" t="s">
        <v>2237</v>
      </c>
      <c r="P40" s="6" t="s">
        <v>2242</v>
      </c>
      <c r="Q40" s="9" t="s">
        <v>2236</v>
      </c>
      <c r="R40" s="9" t="s">
        <v>2238</v>
      </c>
      <c r="S40" s="9" t="s">
        <v>2243</v>
      </c>
      <c r="T40" s="9" t="s">
        <v>2258</v>
      </c>
      <c r="U4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E540-3020385-D245401</v>
      </c>
      <c r="X4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E540-302038509-D245401</v>
      </c>
      <c r="Y40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E540-30203850962-D245401</v>
      </c>
      <c r="Z4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4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40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40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4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1" spans="1:31" hidden="1" x14ac:dyDescent="0.3">
      <c r="A41" s="6" t="s">
        <v>2288</v>
      </c>
      <c r="B41" s="6" t="s">
        <v>26</v>
      </c>
      <c r="C41" s="6" t="s">
        <v>1061</v>
      </c>
      <c r="D41" s="6" t="s">
        <v>1062</v>
      </c>
      <c r="E41" s="6" t="s">
        <v>2241</v>
      </c>
      <c r="F41" s="8">
        <v>64790</v>
      </c>
      <c r="G41" s="6" t="s">
        <v>2237</v>
      </c>
      <c r="H41" s="8">
        <v>64790</v>
      </c>
      <c r="I41" s="6" t="s">
        <v>2237</v>
      </c>
      <c r="J41" s="8">
        <v>0</v>
      </c>
      <c r="K41" s="6" t="s">
        <v>2237</v>
      </c>
      <c r="L41" s="8">
        <v>0</v>
      </c>
      <c r="M41" s="6" t="s">
        <v>2237</v>
      </c>
      <c r="N41" s="8">
        <v>13093.05</v>
      </c>
      <c r="O41" s="6" t="s">
        <v>2237</v>
      </c>
      <c r="P41" s="6" t="s">
        <v>2242</v>
      </c>
      <c r="Q41" s="9" t="s">
        <v>2236</v>
      </c>
      <c r="R41" s="9" t="s">
        <v>2238</v>
      </c>
      <c r="S41" s="9" t="s">
        <v>2243</v>
      </c>
      <c r="T41" s="9" t="s">
        <v>2244</v>
      </c>
      <c r="U4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E540-3020385-D245401</v>
      </c>
      <c r="X4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E540-302038507-D245401</v>
      </c>
      <c r="Y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41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1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4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2" spans="1:31" hidden="1" x14ac:dyDescent="0.3">
      <c r="A42" s="6" t="s">
        <v>2289</v>
      </c>
      <c r="B42" s="6" t="s">
        <v>30</v>
      </c>
      <c r="C42" s="6" t="s">
        <v>1724</v>
      </c>
      <c r="D42" s="6" t="s">
        <v>1725</v>
      </c>
      <c r="E42" s="6" t="s">
        <v>2241</v>
      </c>
      <c r="F42" s="8">
        <v>0</v>
      </c>
      <c r="G42" s="6" t="s">
        <v>2237</v>
      </c>
      <c r="H42" s="8">
        <v>0</v>
      </c>
      <c r="I42" s="6" t="s">
        <v>2237</v>
      </c>
      <c r="J42" s="8">
        <v>0</v>
      </c>
      <c r="K42" s="6" t="s">
        <v>2237</v>
      </c>
      <c r="L42" s="8">
        <v>0</v>
      </c>
      <c r="M42" s="6" t="s">
        <v>2237</v>
      </c>
      <c r="N42" s="8">
        <v>13093.05</v>
      </c>
      <c r="O42" s="6" t="s">
        <v>2237</v>
      </c>
      <c r="P42" s="6" t="s">
        <v>2242</v>
      </c>
      <c r="Q42" s="9" t="s">
        <v>2236</v>
      </c>
      <c r="R42" s="9" t="s">
        <v>2238</v>
      </c>
      <c r="S42" s="9" t="s">
        <v>2243</v>
      </c>
      <c r="T42" s="9" t="s">
        <v>2258</v>
      </c>
      <c r="U4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E540-3020385-D245401</v>
      </c>
      <c r="X4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E540-302038507-D245401</v>
      </c>
      <c r="Y42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E540-30203850759-D245401</v>
      </c>
      <c r="Z4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2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42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42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42" s="10" t="str">
        <f>IF(IFERROR(INDEX(WBS_Dictionary!N$2:N$1212, MATCH(Table2[[#This Row],[WBS_ID]], Table26[WBS CODE],0)), "") = "", "null", IFERROR(INDEX(WBS_Dictionary!N$2:N$1212, MATCH(Table2[[#This Row],[WBS_ID]], Table26[WBS CODE],0)), ""))</f>
        <v>Pad AWI 3</v>
      </c>
      <c r="AE4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3" spans="1:31" hidden="1" x14ac:dyDescent="0.3">
      <c r="A43" s="6" t="s">
        <v>2290</v>
      </c>
      <c r="B43" s="6" t="s">
        <v>21</v>
      </c>
      <c r="C43" s="6" t="s">
        <v>884</v>
      </c>
      <c r="D43" s="6" t="s">
        <v>885</v>
      </c>
      <c r="E43" s="6" t="s">
        <v>2241</v>
      </c>
      <c r="F43" s="8">
        <v>1330207</v>
      </c>
      <c r="G43" s="6" t="s">
        <v>2237</v>
      </c>
      <c r="H43" s="8">
        <v>1330207</v>
      </c>
      <c r="I43" s="6" t="s">
        <v>2237</v>
      </c>
      <c r="J43" s="8">
        <v>0</v>
      </c>
      <c r="K43" s="6" t="s">
        <v>2237</v>
      </c>
      <c r="L43" s="8">
        <v>489.28</v>
      </c>
      <c r="M43" s="6" t="s">
        <v>2237</v>
      </c>
      <c r="N43" s="8">
        <v>310395.38</v>
      </c>
      <c r="O43" s="6" t="s">
        <v>2237</v>
      </c>
      <c r="P43" s="6" t="s">
        <v>2242</v>
      </c>
      <c r="Q43" s="9" t="s">
        <v>2236</v>
      </c>
      <c r="R43" s="9" t="s">
        <v>2238</v>
      </c>
      <c r="S43" s="9" t="s">
        <v>2243</v>
      </c>
      <c r="T43" s="9" t="s">
        <v>2244</v>
      </c>
      <c r="U4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3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4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4" spans="1:31" hidden="1" x14ac:dyDescent="0.3">
      <c r="A44" s="6" t="s">
        <v>2291</v>
      </c>
      <c r="B44" s="6" t="s">
        <v>26</v>
      </c>
      <c r="C44" s="6" t="s">
        <v>1085</v>
      </c>
      <c r="D44" s="6" t="s">
        <v>1086</v>
      </c>
      <c r="E44" s="6" t="s">
        <v>2241</v>
      </c>
      <c r="F44" s="8">
        <v>339651</v>
      </c>
      <c r="G44" s="6" t="s">
        <v>2237</v>
      </c>
      <c r="H44" s="8">
        <v>339651</v>
      </c>
      <c r="I44" s="6" t="s">
        <v>2237</v>
      </c>
      <c r="J44" s="8">
        <v>0</v>
      </c>
      <c r="K44" s="6" t="s">
        <v>2237</v>
      </c>
      <c r="L44" s="8">
        <v>489.28</v>
      </c>
      <c r="M44" s="6" t="s">
        <v>2237</v>
      </c>
      <c r="N44" s="8">
        <v>0</v>
      </c>
      <c r="O44" s="6" t="s">
        <v>2237</v>
      </c>
      <c r="P44" s="6" t="s">
        <v>2242</v>
      </c>
      <c r="Q44" s="9" t="s">
        <v>2236</v>
      </c>
      <c r="R44" s="9" t="s">
        <v>2238</v>
      </c>
      <c r="S44" s="9" t="s">
        <v>2243</v>
      </c>
      <c r="T44" s="9" t="s">
        <v>2244</v>
      </c>
      <c r="U4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4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E540-302038909-D245401</v>
      </c>
      <c r="Y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4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4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4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5" spans="1:31" hidden="1" x14ac:dyDescent="0.3">
      <c r="A45" s="6" t="s">
        <v>2292</v>
      </c>
      <c r="B45" s="6" t="s">
        <v>30</v>
      </c>
      <c r="C45" s="6" t="s">
        <v>1751</v>
      </c>
      <c r="D45" s="6" t="s">
        <v>1752</v>
      </c>
      <c r="E45" s="6" t="s">
        <v>2241</v>
      </c>
      <c r="F45" s="8">
        <v>0</v>
      </c>
      <c r="G45" s="6" t="s">
        <v>2237</v>
      </c>
      <c r="H45" s="8">
        <v>0</v>
      </c>
      <c r="I45" s="6" t="s">
        <v>2237</v>
      </c>
      <c r="J45" s="8">
        <v>0</v>
      </c>
      <c r="K45" s="6" t="s">
        <v>2237</v>
      </c>
      <c r="L45" s="8">
        <v>489.28</v>
      </c>
      <c r="M45" s="6" t="s">
        <v>2237</v>
      </c>
      <c r="N45" s="8">
        <v>0</v>
      </c>
      <c r="O45" s="6" t="s">
        <v>2237</v>
      </c>
      <c r="P45" s="6" t="s">
        <v>2242</v>
      </c>
      <c r="Q45" s="9" t="s">
        <v>2236</v>
      </c>
      <c r="R45" s="9" t="s">
        <v>2238</v>
      </c>
      <c r="S45" s="9" t="s">
        <v>2243</v>
      </c>
      <c r="T45" s="9" t="s">
        <v>2270</v>
      </c>
      <c r="U4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4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E540-302038909-D245401</v>
      </c>
      <c r="Y45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E540-30203890963-D245401</v>
      </c>
      <c r="Z4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45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45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45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4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6" spans="1:31" hidden="1" x14ac:dyDescent="0.3">
      <c r="A46" s="6" t="s">
        <v>2293</v>
      </c>
      <c r="B46" s="6" t="s">
        <v>26</v>
      </c>
      <c r="C46" s="6" t="s">
        <v>1083</v>
      </c>
      <c r="D46" s="6" t="s">
        <v>1084</v>
      </c>
      <c r="E46" s="6" t="s">
        <v>2241</v>
      </c>
      <c r="F46" s="8">
        <v>902295</v>
      </c>
      <c r="G46" s="6" t="s">
        <v>2237</v>
      </c>
      <c r="H46" s="8">
        <v>902295</v>
      </c>
      <c r="I46" s="6" t="s">
        <v>2237</v>
      </c>
      <c r="J46" s="8">
        <v>0</v>
      </c>
      <c r="K46" s="6" t="s">
        <v>2237</v>
      </c>
      <c r="L46" s="8">
        <v>0</v>
      </c>
      <c r="M46" s="6" t="s">
        <v>2237</v>
      </c>
      <c r="N46" s="8">
        <v>221289.78</v>
      </c>
      <c r="O46" s="6" t="s">
        <v>2237</v>
      </c>
      <c r="P46" s="6" t="s">
        <v>2242</v>
      </c>
      <c r="Q46" s="9" t="s">
        <v>2236</v>
      </c>
      <c r="R46" s="9" t="s">
        <v>2238</v>
      </c>
      <c r="S46" s="9" t="s">
        <v>2243</v>
      </c>
      <c r="T46" s="9" t="s">
        <v>2244</v>
      </c>
      <c r="U4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4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E540-302038908-D245401</v>
      </c>
      <c r="Y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46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6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4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7" spans="1:31" hidden="1" x14ac:dyDescent="0.3">
      <c r="A47" s="6" t="s">
        <v>2294</v>
      </c>
      <c r="B47" s="6" t="s">
        <v>30</v>
      </c>
      <c r="C47" s="6" t="s">
        <v>1747</v>
      </c>
      <c r="D47" s="6" t="s">
        <v>1748</v>
      </c>
      <c r="E47" s="6" t="s">
        <v>2241</v>
      </c>
      <c r="F47" s="8">
        <v>0</v>
      </c>
      <c r="G47" s="6" t="s">
        <v>2237</v>
      </c>
      <c r="H47" s="8">
        <v>0</v>
      </c>
      <c r="I47" s="6" t="s">
        <v>2237</v>
      </c>
      <c r="J47" s="8">
        <v>0</v>
      </c>
      <c r="K47" s="6" t="s">
        <v>2237</v>
      </c>
      <c r="L47" s="8">
        <v>0</v>
      </c>
      <c r="M47" s="6" t="s">
        <v>2237</v>
      </c>
      <c r="N47" s="8">
        <v>44694</v>
      </c>
      <c r="O47" s="6" t="s">
        <v>2237</v>
      </c>
      <c r="P47" s="6" t="s">
        <v>2242</v>
      </c>
      <c r="Q47" s="9" t="s">
        <v>2236</v>
      </c>
      <c r="R47" s="9" t="s">
        <v>2238</v>
      </c>
      <c r="S47" s="9" t="s">
        <v>2243</v>
      </c>
      <c r="T47" s="9" t="s">
        <v>2258</v>
      </c>
      <c r="U4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47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E540-302038908-D245401</v>
      </c>
      <c r="Y47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E540-30203890821-D245401</v>
      </c>
      <c r="Z4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4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47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47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4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8" spans="1:31" hidden="1" x14ac:dyDescent="0.3">
      <c r="A48" s="6" t="s">
        <v>2295</v>
      </c>
      <c r="B48" s="6" t="s">
        <v>30</v>
      </c>
      <c r="C48" s="6" t="s">
        <v>1749</v>
      </c>
      <c r="D48" s="6" t="s">
        <v>1750</v>
      </c>
      <c r="E48" s="6" t="s">
        <v>2241</v>
      </c>
      <c r="F48" s="8">
        <v>0</v>
      </c>
      <c r="G48" s="6" t="s">
        <v>2237</v>
      </c>
      <c r="H48" s="8">
        <v>0</v>
      </c>
      <c r="I48" s="6" t="s">
        <v>2237</v>
      </c>
      <c r="J48" s="8">
        <v>0</v>
      </c>
      <c r="K48" s="6" t="s">
        <v>2237</v>
      </c>
      <c r="L48" s="8">
        <v>0</v>
      </c>
      <c r="M48" s="6" t="s">
        <v>2237</v>
      </c>
      <c r="N48" s="8">
        <v>176595.78</v>
      </c>
      <c r="O48" s="6" t="s">
        <v>2237</v>
      </c>
      <c r="P48" s="6" t="s">
        <v>2242</v>
      </c>
      <c r="Q48" s="9" t="s">
        <v>2236</v>
      </c>
      <c r="R48" s="9" t="s">
        <v>2238</v>
      </c>
      <c r="S48" s="9" t="s">
        <v>2243</v>
      </c>
      <c r="T48" s="9" t="s">
        <v>2258</v>
      </c>
      <c r="U4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48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E540-302038908-D245401</v>
      </c>
      <c r="Y48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E540-30203890860-D245401</v>
      </c>
      <c r="Z4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48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48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48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4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49" spans="1:31" hidden="1" x14ac:dyDescent="0.3">
      <c r="A49" s="6" t="s">
        <v>2296</v>
      </c>
      <c r="B49" s="6" t="s">
        <v>26</v>
      </c>
      <c r="C49" s="6" t="s">
        <v>1081</v>
      </c>
      <c r="D49" s="6" t="s">
        <v>1082</v>
      </c>
      <c r="E49" s="6" t="s">
        <v>2241</v>
      </c>
      <c r="F49" s="8">
        <v>88261</v>
      </c>
      <c r="G49" s="6" t="s">
        <v>2237</v>
      </c>
      <c r="H49" s="8">
        <v>88261</v>
      </c>
      <c r="I49" s="6" t="s">
        <v>2237</v>
      </c>
      <c r="J49" s="8">
        <v>0</v>
      </c>
      <c r="K49" s="6" t="s">
        <v>2237</v>
      </c>
      <c r="L49" s="8">
        <v>0</v>
      </c>
      <c r="M49" s="6" t="s">
        <v>2237</v>
      </c>
      <c r="N49" s="8">
        <v>89105.600000000006</v>
      </c>
      <c r="O49" s="6" t="s">
        <v>2237</v>
      </c>
      <c r="P49" s="6" t="s">
        <v>2242</v>
      </c>
      <c r="Q49" s="9" t="s">
        <v>2236</v>
      </c>
      <c r="R49" s="9" t="s">
        <v>2238</v>
      </c>
      <c r="S49" s="9" t="s">
        <v>2243</v>
      </c>
      <c r="T49" s="9" t="s">
        <v>2256</v>
      </c>
      <c r="U4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4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4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E540-302038907-D245401</v>
      </c>
      <c r="Y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4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49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9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4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0" spans="1:31" hidden="1" x14ac:dyDescent="0.3">
      <c r="A50" s="6" t="s">
        <v>2297</v>
      </c>
      <c r="B50" s="6" t="s">
        <v>30</v>
      </c>
      <c r="C50" s="6" t="s">
        <v>1081</v>
      </c>
      <c r="D50" s="6" t="s">
        <v>1746</v>
      </c>
      <c r="E50" s="6" t="s">
        <v>2241</v>
      </c>
      <c r="F50" s="8">
        <v>0</v>
      </c>
      <c r="G50" s="6" t="s">
        <v>2237</v>
      </c>
      <c r="H50" s="8">
        <v>0</v>
      </c>
      <c r="I50" s="6" t="s">
        <v>2237</v>
      </c>
      <c r="J50" s="8">
        <v>0</v>
      </c>
      <c r="K50" s="6" t="s">
        <v>2237</v>
      </c>
      <c r="L50" s="8">
        <v>0</v>
      </c>
      <c r="M50" s="6" t="s">
        <v>2237</v>
      </c>
      <c r="N50" s="8">
        <v>89105.600000000006</v>
      </c>
      <c r="O50" s="6" t="s">
        <v>2237</v>
      </c>
      <c r="P50" s="6" t="s">
        <v>2242</v>
      </c>
      <c r="Q50" s="9" t="s">
        <v>2236</v>
      </c>
      <c r="R50" s="9" t="s">
        <v>2238</v>
      </c>
      <c r="S50" s="9" t="s">
        <v>2243</v>
      </c>
      <c r="T50" s="9" t="s">
        <v>2258</v>
      </c>
      <c r="U5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E540-3020389-D245401</v>
      </c>
      <c r="X5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E540-302038907-D245401</v>
      </c>
      <c r="Y50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E540-30203890759-D245401</v>
      </c>
      <c r="Z5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0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50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50" s="10" t="str">
        <f>IF(IFERROR(INDEX(WBS_Dictionary!N$2:N$1212, MATCH(Table2[[#This Row],[WBS_ID]], Table26[WBS CODE],0)), "") = "", "null", IFERROR(INDEX(WBS_Dictionary!N$2:N$1212, MATCH(Table2[[#This Row],[WBS_ID]], Table26[WBS CODE],0)), ""))</f>
        <v>Pad AWI 23</v>
      </c>
      <c r="AE5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1" spans="1:31" hidden="1" x14ac:dyDescent="0.3">
      <c r="A51" s="6" t="s">
        <v>2298</v>
      </c>
      <c r="B51" s="6" t="s">
        <v>21</v>
      </c>
      <c r="C51" s="6" t="s">
        <v>882</v>
      </c>
      <c r="D51" s="6" t="s">
        <v>883</v>
      </c>
      <c r="E51" s="6" t="s">
        <v>2241</v>
      </c>
      <c r="F51" s="8">
        <v>891629</v>
      </c>
      <c r="G51" s="6" t="s">
        <v>2237</v>
      </c>
      <c r="H51" s="8">
        <v>891629</v>
      </c>
      <c r="I51" s="6" t="s">
        <v>2237</v>
      </c>
      <c r="J51" s="8">
        <v>0</v>
      </c>
      <c r="K51" s="6" t="s">
        <v>2237</v>
      </c>
      <c r="L51" s="8">
        <v>168809.19</v>
      </c>
      <c r="M51" s="6" t="s">
        <v>2237</v>
      </c>
      <c r="N51" s="8">
        <v>552402.93999999994</v>
      </c>
      <c r="O51" s="6" t="s">
        <v>2237</v>
      </c>
      <c r="P51" s="6" t="s">
        <v>2242</v>
      </c>
      <c r="Q51" s="9" t="s">
        <v>2236</v>
      </c>
      <c r="R51" s="9" t="s">
        <v>2238</v>
      </c>
      <c r="S51" s="9" t="s">
        <v>2243</v>
      </c>
      <c r="T51" s="9" t="s">
        <v>2244</v>
      </c>
      <c r="U5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1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2" spans="1:31" hidden="1" x14ac:dyDescent="0.3">
      <c r="A52" s="6" t="s">
        <v>2299</v>
      </c>
      <c r="B52" s="6" t="s">
        <v>26</v>
      </c>
      <c r="C52" s="6" t="s">
        <v>1079</v>
      </c>
      <c r="D52" s="6" t="s">
        <v>1080</v>
      </c>
      <c r="E52" s="6" t="s">
        <v>2241</v>
      </c>
      <c r="F52" s="8">
        <v>258884</v>
      </c>
      <c r="G52" s="6" t="s">
        <v>2237</v>
      </c>
      <c r="H52" s="8">
        <v>258884</v>
      </c>
      <c r="I52" s="6" t="s">
        <v>2237</v>
      </c>
      <c r="J52" s="8">
        <v>0</v>
      </c>
      <c r="K52" s="6" t="s">
        <v>2237</v>
      </c>
      <c r="L52" s="8">
        <v>168809.19</v>
      </c>
      <c r="M52" s="6" t="s">
        <v>2237</v>
      </c>
      <c r="N52" s="8">
        <v>100584.92</v>
      </c>
      <c r="O52" s="6" t="s">
        <v>2237</v>
      </c>
      <c r="P52" s="6" t="s">
        <v>2242</v>
      </c>
      <c r="Q52" s="9" t="s">
        <v>2236</v>
      </c>
      <c r="R52" s="9" t="s">
        <v>2238</v>
      </c>
      <c r="S52" s="9" t="s">
        <v>2243</v>
      </c>
      <c r="T52" s="9" t="s">
        <v>2256</v>
      </c>
      <c r="U5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E540-302038809-D245401</v>
      </c>
      <c r="Y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2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2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3" spans="1:31" hidden="1" x14ac:dyDescent="0.3">
      <c r="A53" s="6" t="s">
        <v>2300</v>
      </c>
      <c r="B53" s="6" t="s">
        <v>30</v>
      </c>
      <c r="C53" s="6" t="s">
        <v>1744</v>
      </c>
      <c r="D53" s="6" t="s">
        <v>1745</v>
      </c>
      <c r="E53" s="6" t="s">
        <v>2241</v>
      </c>
      <c r="F53" s="8">
        <v>0</v>
      </c>
      <c r="G53" s="6" t="s">
        <v>2237</v>
      </c>
      <c r="H53" s="8">
        <v>0</v>
      </c>
      <c r="I53" s="6" t="s">
        <v>2237</v>
      </c>
      <c r="J53" s="8">
        <v>0</v>
      </c>
      <c r="K53" s="6" t="s">
        <v>2237</v>
      </c>
      <c r="L53" s="8">
        <v>168809.19</v>
      </c>
      <c r="M53" s="6" t="s">
        <v>2237</v>
      </c>
      <c r="N53" s="8">
        <v>100584.92</v>
      </c>
      <c r="O53" s="6" t="s">
        <v>2237</v>
      </c>
      <c r="P53" s="6" t="s">
        <v>2242</v>
      </c>
      <c r="Q53" s="9" t="s">
        <v>2236</v>
      </c>
      <c r="R53" s="9" t="s">
        <v>2238</v>
      </c>
      <c r="S53" s="9" t="s">
        <v>2243</v>
      </c>
      <c r="T53" s="9" t="s">
        <v>2258</v>
      </c>
      <c r="U5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E540-302038809-D245401</v>
      </c>
      <c r="Y53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E540-30203880963-D245401</v>
      </c>
      <c r="Z5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3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53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53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4" spans="1:31" hidden="1" x14ac:dyDescent="0.3">
      <c r="A54" s="6" t="s">
        <v>2301</v>
      </c>
      <c r="B54" s="6" t="s">
        <v>26</v>
      </c>
      <c r="C54" s="6" t="s">
        <v>1077</v>
      </c>
      <c r="D54" s="6" t="s">
        <v>1078</v>
      </c>
      <c r="E54" s="6" t="s">
        <v>2241</v>
      </c>
      <c r="F54" s="8">
        <v>572445</v>
      </c>
      <c r="G54" s="6" t="s">
        <v>2237</v>
      </c>
      <c r="H54" s="8">
        <v>572445</v>
      </c>
      <c r="I54" s="6" t="s">
        <v>2237</v>
      </c>
      <c r="J54" s="8">
        <v>0</v>
      </c>
      <c r="K54" s="6" t="s">
        <v>2237</v>
      </c>
      <c r="L54" s="8">
        <v>0</v>
      </c>
      <c r="M54" s="6" t="s">
        <v>2237</v>
      </c>
      <c r="N54" s="8">
        <v>395245.87</v>
      </c>
      <c r="O54" s="6" t="s">
        <v>2237</v>
      </c>
      <c r="P54" s="6" t="s">
        <v>2242</v>
      </c>
      <c r="Q54" s="9" t="s">
        <v>2236</v>
      </c>
      <c r="R54" s="9" t="s">
        <v>2238</v>
      </c>
      <c r="S54" s="9" t="s">
        <v>2243</v>
      </c>
      <c r="T54" s="9" t="s">
        <v>2244</v>
      </c>
      <c r="U5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E540-302038808-D245401</v>
      </c>
      <c r="Y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4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5" spans="1:31" hidden="1" x14ac:dyDescent="0.3">
      <c r="A55" s="6" t="s">
        <v>2302</v>
      </c>
      <c r="B55" s="6" t="s">
        <v>30</v>
      </c>
      <c r="C55" s="6" t="s">
        <v>1740</v>
      </c>
      <c r="D55" s="6" t="s">
        <v>1741</v>
      </c>
      <c r="E55" s="6" t="s">
        <v>2241</v>
      </c>
      <c r="F55" s="8">
        <v>0</v>
      </c>
      <c r="G55" s="6" t="s">
        <v>2237</v>
      </c>
      <c r="H55" s="8">
        <v>0</v>
      </c>
      <c r="I55" s="6" t="s">
        <v>2237</v>
      </c>
      <c r="J55" s="8">
        <v>0</v>
      </c>
      <c r="K55" s="6" t="s">
        <v>2237</v>
      </c>
      <c r="L55" s="8">
        <v>0</v>
      </c>
      <c r="M55" s="6" t="s">
        <v>2237</v>
      </c>
      <c r="N55" s="8">
        <v>139326.81</v>
      </c>
      <c r="O55" s="6" t="s">
        <v>2237</v>
      </c>
      <c r="P55" s="6" t="s">
        <v>2242</v>
      </c>
      <c r="Q55" s="9" t="s">
        <v>2236</v>
      </c>
      <c r="R55" s="9" t="s">
        <v>2238</v>
      </c>
      <c r="S55" s="9" t="s">
        <v>2243</v>
      </c>
      <c r="T55" s="9" t="s">
        <v>2258</v>
      </c>
      <c r="U5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E540-302038808-D245401</v>
      </c>
      <c r="Y55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E540-30203880821-D245401</v>
      </c>
      <c r="Z5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55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55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6" spans="1:31" hidden="1" x14ac:dyDescent="0.3">
      <c r="A56" s="6" t="s">
        <v>2303</v>
      </c>
      <c r="B56" s="6" t="s">
        <v>30</v>
      </c>
      <c r="C56" s="6" t="s">
        <v>1742</v>
      </c>
      <c r="D56" s="6" t="s">
        <v>1743</v>
      </c>
      <c r="E56" s="6" t="s">
        <v>2241</v>
      </c>
      <c r="F56" s="8">
        <v>0</v>
      </c>
      <c r="G56" s="6" t="s">
        <v>2237</v>
      </c>
      <c r="H56" s="8">
        <v>0</v>
      </c>
      <c r="I56" s="6" t="s">
        <v>2237</v>
      </c>
      <c r="J56" s="8">
        <v>0</v>
      </c>
      <c r="K56" s="6" t="s">
        <v>2237</v>
      </c>
      <c r="L56" s="8">
        <v>0</v>
      </c>
      <c r="M56" s="6" t="s">
        <v>2237</v>
      </c>
      <c r="N56" s="8">
        <v>255919.06</v>
      </c>
      <c r="O56" s="6" t="s">
        <v>2237</v>
      </c>
      <c r="P56" s="6" t="s">
        <v>2242</v>
      </c>
      <c r="Q56" s="9" t="s">
        <v>2236</v>
      </c>
      <c r="R56" s="9" t="s">
        <v>2238</v>
      </c>
      <c r="S56" s="9" t="s">
        <v>2243</v>
      </c>
      <c r="T56" s="9" t="s">
        <v>2258</v>
      </c>
      <c r="U5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E540-302038808-D245401</v>
      </c>
      <c r="Y56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E540-30203880860-D245401</v>
      </c>
      <c r="Z5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6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56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56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7" spans="1:31" hidden="1" x14ac:dyDescent="0.3">
      <c r="A57" s="6" t="s">
        <v>2304</v>
      </c>
      <c r="B57" s="6" t="s">
        <v>26</v>
      </c>
      <c r="C57" s="6" t="s">
        <v>1075</v>
      </c>
      <c r="D57" s="6" t="s">
        <v>1076</v>
      </c>
      <c r="E57" s="6" t="s">
        <v>2241</v>
      </c>
      <c r="F57" s="8">
        <v>60300</v>
      </c>
      <c r="G57" s="6" t="s">
        <v>2237</v>
      </c>
      <c r="H57" s="8">
        <v>60300</v>
      </c>
      <c r="I57" s="6" t="s">
        <v>2237</v>
      </c>
      <c r="J57" s="8">
        <v>0</v>
      </c>
      <c r="K57" s="6" t="s">
        <v>2237</v>
      </c>
      <c r="L57" s="8">
        <v>0</v>
      </c>
      <c r="M57" s="6" t="s">
        <v>2237</v>
      </c>
      <c r="N57" s="8">
        <v>56572.15</v>
      </c>
      <c r="O57" s="6" t="s">
        <v>2237</v>
      </c>
      <c r="P57" s="6" t="s">
        <v>2242</v>
      </c>
      <c r="Q57" s="9" t="s">
        <v>2236</v>
      </c>
      <c r="R57" s="9" t="s">
        <v>2238</v>
      </c>
      <c r="S57" s="9" t="s">
        <v>2243</v>
      </c>
      <c r="T57" s="9" t="s">
        <v>2256</v>
      </c>
      <c r="U5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7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E540-302038807-D245401</v>
      </c>
      <c r="Y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7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8" spans="1:31" hidden="1" x14ac:dyDescent="0.3">
      <c r="A58" s="6" t="s">
        <v>2305</v>
      </c>
      <c r="B58" s="6" t="s">
        <v>30</v>
      </c>
      <c r="C58" s="6" t="s">
        <v>1075</v>
      </c>
      <c r="D58" s="6" t="s">
        <v>1739</v>
      </c>
      <c r="E58" s="6" t="s">
        <v>2241</v>
      </c>
      <c r="F58" s="8">
        <v>0</v>
      </c>
      <c r="G58" s="6" t="s">
        <v>2237</v>
      </c>
      <c r="H58" s="8">
        <v>0</v>
      </c>
      <c r="I58" s="6" t="s">
        <v>2237</v>
      </c>
      <c r="J58" s="8">
        <v>0</v>
      </c>
      <c r="K58" s="6" t="s">
        <v>2237</v>
      </c>
      <c r="L58" s="8">
        <v>0</v>
      </c>
      <c r="M58" s="6" t="s">
        <v>2237</v>
      </c>
      <c r="N58" s="8">
        <v>56572.15</v>
      </c>
      <c r="O58" s="6" t="s">
        <v>2237</v>
      </c>
      <c r="P58" s="6" t="s">
        <v>2242</v>
      </c>
      <c r="Q58" s="9" t="s">
        <v>2236</v>
      </c>
      <c r="R58" s="9" t="s">
        <v>2238</v>
      </c>
      <c r="S58" s="9" t="s">
        <v>2243</v>
      </c>
      <c r="T58" s="9" t="s">
        <v>2258</v>
      </c>
      <c r="U5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E540-3020388-D245401</v>
      </c>
      <c r="X58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E540-302038807-D245401</v>
      </c>
      <c r="Y58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E540-30203880759-D245401</v>
      </c>
      <c r="Z5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8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58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58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5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59" spans="1:31" hidden="1" x14ac:dyDescent="0.3">
      <c r="A59" s="6" t="s">
        <v>2306</v>
      </c>
      <c r="B59" s="6" t="s">
        <v>21</v>
      </c>
      <c r="C59" s="6" t="s">
        <v>879</v>
      </c>
      <c r="D59" s="6" t="s">
        <v>880</v>
      </c>
      <c r="E59" s="6" t="s">
        <v>2241</v>
      </c>
      <c r="F59" s="8">
        <v>867048.38</v>
      </c>
      <c r="G59" s="6" t="s">
        <v>2237</v>
      </c>
      <c r="H59" s="8">
        <v>867048.38</v>
      </c>
      <c r="I59" s="6" t="s">
        <v>2237</v>
      </c>
      <c r="J59" s="8">
        <v>0</v>
      </c>
      <c r="K59" s="6" t="s">
        <v>2237</v>
      </c>
      <c r="L59" s="8">
        <v>204701.68</v>
      </c>
      <c r="M59" s="6" t="s">
        <v>2237</v>
      </c>
      <c r="N59" s="8">
        <v>526616.99</v>
      </c>
      <c r="O59" s="6" t="s">
        <v>2237</v>
      </c>
      <c r="P59" s="6" t="s">
        <v>2242</v>
      </c>
      <c r="Q59" s="9" t="s">
        <v>2236</v>
      </c>
      <c r="R59" s="9" t="s">
        <v>2238</v>
      </c>
      <c r="S59" s="9" t="s">
        <v>2243</v>
      </c>
      <c r="T59" s="9" t="s">
        <v>2244</v>
      </c>
      <c r="U5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5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5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5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0" spans="1:31" hidden="1" x14ac:dyDescent="0.3">
      <c r="A60" s="6" t="s">
        <v>2307</v>
      </c>
      <c r="B60" s="6" t="s">
        <v>26</v>
      </c>
      <c r="C60" s="6" t="s">
        <v>1073</v>
      </c>
      <c r="D60" s="6" t="s">
        <v>1074</v>
      </c>
      <c r="E60" s="6" t="s">
        <v>2241</v>
      </c>
      <c r="F60" s="8">
        <v>391709</v>
      </c>
      <c r="G60" s="6" t="s">
        <v>2237</v>
      </c>
      <c r="H60" s="8">
        <v>391709</v>
      </c>
      <c r="I60" s="6" t="s">
        <v>2237</v>
      </c>
      <c r="J60" s="8">
        <v>0</v>
      </c>
      <c r="K60" s="6" t="s">
        <v>2237</v>
      </c>
      <c r="L60" s="8">
        <v>192074.11</v>
      </c>
      <c r="M60" s="6" t="s">
        <v>2237</v>
      </c>
      <c r="N60" s="8">
        <v>95636.14</v>
      </c>
      <c r="O60" s="6" t="s">
        <v>2237</v>
      </c>
      <c r="P60" s="6" t="s">
        <v>2242</v>
      </c>
      <c r="Q60" s="9" t="s">
        <v>2236</v>
      </c>
      <c r="R60" s="9" t="s">
        <v>2238</v>
      </c>
      <c r="S60" s="9" t="s">
        <v>2243</v>
      </c>
      <c r="T60" s="9" t="s">
        <v>2244</v>
      </c>
      <c r="U6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6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E540-302038709-D245401</v>
      </c>
      <c r="Y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6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6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1" spans="1:31" hidden="1" x14ac:dyDescent="0.3">
      <c r="A61" s="6" t="s">
        <v>2308</v>
      </c>
      <c r="B61" s="6" t="s">
        <v>30</v>
      </c>
      <c r="C61" s="6" t="s">
        <v>1737</v>
      </c>
      <c r="D61" s="6" t="s">
        <v>1738</v>
      </c>
      <c r="E61" s="6" t="s">
        <v>2241</v>
      </c>
      <c r="F61" s="8">
        <v>0</v>
      </c>
      <c r="G61" s="6" t="s">
        <v>2237</v>
      </c>
      <c r="H61" s="8">
        <v>0</v>
      </c>
      <c r="I61" s="6" t="s">
        <v>2237</v>
      </c>
      <c r="J61" s="8">
        <v>0</v>
      </c>
      <c r="K61" s="6" t="s">
        <v>2237</v>
      </c>
      <c r="L61" s="8">
        <v>192074.11</v>
      </c>
      <c r="M61" s="6" t="s">
        <v>2237</v>
      </c>
      <c r="N61" s="8">
        <v>95636.14</v>
      </c>
      <c r="O61" s="6" t="s">
        <v>2237</v>
      </c>
      <c r="P61" s="6" t="s">
        <v>2242</v>
      </c>
      <c r="Q61" s="9" t="s">
        <v>2236</v>
      </c>
      <c r="R61" s="9" t="s">
        <v>2238</v>
      </c>
      <c r="S61" s="9" t="s">
        <v>2243</v>
      </c>
      <c r="T61" s="9" t="s">
        <v>2258</v>
      </c>
      <c r="U6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6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E540-302038709-D245401</v>
      </c>
      <c r="Y61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E540-30203870963-D245401</v>
      </c>
      <c r="Z6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61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61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61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6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2" spans="1:31" hidden="1" x14ac:dyDescent="0.3">
      <c r="A62" s="6" t="s">
        <v>2309</v>
      </c>
      <c r="B62" s="6" t="s">
        <v>26</v>
      </c>
      <c r="C62" s="6" t="s">
        <v>1071</v>
      </c>
      <c r="D62" s="6" t="s">
        <v>1072</v>
      </c>
      <c r="E62" s="6" t="s">
        <v>2241</v>
      </c>
      <c r="F62" s="8">
        <v>384422</v>
      </c>
      <c r="G62" s="6" t="s">
        <v>2237</v>
      </c>
      <c r="H62" s="8">
        <v>384422</v>
      </c>
      <c r="I62" s="6" t="s">
        <v>2237</v>
      </c>
      <c r="J62" s="8">
        <v>0</v>
      </c>
      <c r="K62" s="6" t="s">
        <v>2237</v>
      </c>
      <c r="L62" s="8">
        <v>0</v>
      </c>
      <c r="M62" s="6" t="s">
        <v>2237</v>
      </c>
      <c r="N62" s="8">
        <v>352879.2</v>
      </c>
      <c r="O62" s="6" t="s">
        <v>2237</v>
      </c>
      <c r="P62" s="6" t="s">
        <v>2242</v>
      </c>
      <c r="Q62" s="9" t="s">
        <v>2236</v>
      </c>
      <c r="R62" s="9" t="s">
        <v>2238</v>
      </c>
      <c r="S62" s="9" t="s">
        <v>2243</v>
      </c>
      <c r="T62" s="9" t="s">
        <v>2256</v>
      </c>
      <c r="U6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6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E540-302038708-D245401</v>
      </c>
      <c r="Y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62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6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3" spans="1:31" hidden="1" x14ac:dyDescent="0.3">
      <c r="A63" s="6" t="s">
        <v>2310</v>
      </c>
      <c r="B63" s="6" t="s">
        <v>30</v>
      </c>
      <c r="C63" s="6" t="s">
        <v>1733</v>
      </c>
      <c r="D63" s="6" t="s">
        <v>1734</v>
      </c>
      <c r="E63" s="6" t="s">
        <v>2241</v>
      </c>
      <c r="F63" s="8">
        <v>0</v>
      </c>
      <c r="G63" s="6" t="s">
        <v>2237</v>
      </c>
      <c r="H63" s="8">
        <v>0</v>
      </c>
      <c r="I63" s="6" t="s">
        <v>2237</v>
      </c>
      <c r="J63" s="8">
        <v>0</v>
      </c>
      <c r="K63" s="6" t="s">
        <v>2237</v>
      </c>
      <c r="L63" s="8">
        <v>0</v>
      </c>
      <c r="M63" s="6" t="s">
        <v>2237</v>
      </c>
      <c r="N63" s="8">
        <v>16830.79</v>
      </c>
      <c r="O63" s="6" t="s">
        <v>2237</v>
      </c>
      <c r="P63" s="6" t="s">
        <v>2242</v>
      </c>
      <c r="Q63" s="9" t="s">
        <v>2236</v>
      </c>
      <c r="R63" s="9" t="s">
        <v>2238</v>
      </c>
      <c r="S63" s="9" t="s">
        <v>2243</v>
      </c>
      <c r="T63" s="9" t="s">
        <v>2258</v>
      </c>
      <c r="U6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6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E540-302038708-D245401</v>
      </c>
      <c r="Y63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E540-30203870821-D245401</v>
      </c>
      <c r="Z6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6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63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63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6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4" spans="1:31" hidden="1" x14ac:dyDescent="0.3">
      <c r="A64" s="6" t="s">
        <v>2311</v>
      </c>
      <c r="B64" s="6" t="s">
        <v>30</v>
      </c>
      <c r="C64" s="6" t="s">
        <v>1735</v>
      </c>
      <c r="D64" s="6" t="s">
        <v>1736</v>
      </c>
      <c r="E64" s="6" t="s">
        <v>2241</v>
      </c>
      <c r="F64" s="8">
        <v>0</v>
      </c>
      <c r="G64" s="6" t="s">
        <v>2237</v>
      </c>
      <c r="H64" s="8">
        <v>0</v>
      </c>
      <c r="I64" s="6" t="s">
        <v>2237</v>
      </c>
      <c r="J64" s="8">
        <v>0</v>
      </c>
      <c r="K64" s="6" t="s">
        <v>2237</v>
      </c>
      <c r="L64" s="8">
        <v>0</v>
      </c>
      <c r="M64" s="6" t="s">
        <v>2237</v>
      </c>
      <c r="N64" s="8">
        <v>336048.41</v>
      </c>
      <c r="O64" s="6" t="s">
        <v>2237</v>
      </c>
      <c r="P64" s="6" t="s">
        <v>2242</v>
      </c>
      <c r="Q64" s="9" t="s">
        <v>2236</v>
      </c>
      <c r="R64" s="9" t="s">
        <v>2238</v>
      </c>
      <c r="S64" s="9" t="s">
        <v>2243</v>
      </c>
      <c r="T64" s="9" t="s">
        <v>2258</v>
      </c>
      <c r="U6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6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E540-302038708-D245401</v>
      </c>
      <c r="Y64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E540-30203870860-D245401</v>
      </c>
      <c r="Z6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64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64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64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6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5" spans="1:31" hidden="1" x14ac:dyDescent="0.3">
      <c r="A65" s="6" t="s">
        <v>2312</v>
      </c>
      <c r="B65" s="6" t="s">
        <v>26</v>
      </c>
      <c r="C65" s="6" t="s">
        <v>1069</v>
      </c>
      <c r="D65" s="6" t="s">
        <v>1070</v>
      </c>
      <c r="E65" s="6" t="s">
        <v>2241</v>
      </c>
      <c r="F65" s="8">
        <v>90917.38</v>
      </c>
      <c r="G65" s="6" t="s">
        <v>2237</v>
      </c>
      <c r="H65" s="8">
        <v>90917.38</v>
      </c>
      <c r="I65" s="6" t="s">
        <v>2237</v>
      </c>
      <c r="J65" s="8">
        <v>0</v>
      </c>
      <c r="K65" s="6" t="s">
        <v>2237</v>
      </c>
      <c r="L65" s="8">
        <v>12627.57</v>
      </c>
      <c r="M65" s="6" t="s">
        <v>2237</v>
      </c>
      <c r="N65" s="8">
        <v>78101.649999999994</v>
      </c>
      <c r="O65" s="6" t="s">
        <v>2237</v>
      </c>
      <c r="P65" s="6" t="s">
        <v>2242</v>
      </c>
      <c r="Q65" s="9" t="s">
        <v>2236</v>
      </c>
      <c r="R65" s="9" t="s">
        <v>2238</v>
      </c>
      <c r="S65" s="9" t="s">
        <v>2243</v>
      </c>
      <c r="T65" s="9" t="s">
        <v>2256</v>
      </c>
      <c r="U6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6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E540-302038707-D245401</v>
      </c>
      <c r="Y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65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6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6" spans="1:31" hidden="1" x14ac:dyDescent="0.3">
      <c r="A66" s="6" t="s">
        <v>2313</v>
      </c>
      <c r="B66" s="6" t="s">
        <v>30</v>
      </c>
      <c r="C66" s="6" t="s">
        <v>1069</v>
      </c>
      <c r="D66" s="6" t="s">
        <v>1732</v>
      </c>
      <c r="E66" s="6" t="s">
        <v>2241</v>
      </c>
      <c r="F66" s="8">
        <v>0</v>
      </c>
      <c r="G66" s="6" t="s">
        <v>2237</v>
      </c>
      <c r="H66" s="8">
        <v>0</v>
      </c>
      <c r="I66" s="6" t="s">
        <v>2237</v>
      </c>
      <c r="J66" s="8">
        <v>0</v>
      </c>
      <c r="K66" s="6" t="s">
        <v>2237</v>
      </c>
      <c r="L66" s="8">
        <v>12627.57</v>
      </c>
      <c r="M66" s="6" t="s">
        <v>2237</v>
      </c>
      <c r="N66" s="8">
        <v>78101.649999999994</v>
      </c>
      <c r="O66" s="6" t="s">
        <v>2237</v>
      </c>
      <c r="P66" s="6" t="s">
        <v>2242</v>
      </c>
      <c r="Q66" s="9" t="s">
        <v>2236</v>
      </c>
      <c r="R66" s="9" t="s">
        <v>2238</v>
      </c>
      <c r="S66" s="9" t="s">
        <v>2243</v>
      </c>
      <c r="T66" s="9" t="s">
        <v>2258</v>
      </c>
      <c r="U6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E540-3020387-D245401</v>
      </c>
      <c r="X6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E540-302038707-D245401</v>
      </c>
      <c r="Y66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E540-30203870759-D245401</v>
      </c>
      <c r="Z6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66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66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66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6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7" spans="1:31" hidden="1" x14ac:dyDescent="0.3">
      <c r="A67" s="6" t="s">
        <v>2314</v>
      </c>
      <c r="B67" s="6" t="s">
        <v>21</v>
      </c>
      <c r="C67" s="6" t="s">
        <v>870</v>
      </c>
      <c r="D67" s="6" t="s">
        <v>871</v>
      </c>
      <c r="E67" s="6" t="s">
        <v>2241</v>
      </c>
      <c r="F67" s="8">
        <v>1073574</v>
      </c>
      <c r="G67" s="6" t="s">
        <v>2237</v>
      </c>
      <c r="H67" s="8">
        <v>1073574</v>
      </c>
      <c r="I67" s="6" t="s">
        <v>2237</v>
      </c>
      <c r="J67" s="8">
        <v>0</v>
      </c>
      <c r="K67" s="6" t="s">
        <v>2237</v>
      </c>
      <c r="L67" s="8">
        <v>326470.65000000002</v>
      </c>
      <c r="M67" s="6" t="s">
        <v>2237</v>
      </c>
      <c r="N67" s="8">
        <v>242887.8</v>
      </c>
      <c r="O67" s="6" t="s">
        <v>2237</v>
      </c>
      <c r="P67" s="6" t="s">
        <v>2242</v>
      </c>
      <c r="Q67" s="9" t="s">
        <v>2236</v>
      </c>
      <c r="R67" s="9" t="s">
        <v>2238</v>
      </c>
      <c r="S67" s="9" t="s">
        <v>2243</v>
      </c>
      <c r="T67" s="9" t="s">
        <v>2244</v>
      </c>
      <c r="U6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E540-3020384-D245401</v>
      </c>
      <c r="X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7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6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8" spans="1:31" hidden="1" x14ac:dyDescent="0.3">
      <c r="A68" s="6" t="s">
        <v>2315</v>
      </c>
      <c r="B68" s="6" t="s">
        <v>26</v>
      </c>
      <c r="C68" s="6" t="s">
        <v>1059</v>
      </c>
      <c r="D68" s="6" t="s">
        <v>1060</v>
      </c>
      <c r="E68" s="6" t="s">
        <v>2241</v>
      </c>
      <c r="F68" s="8">
        <v>1030172</v>
      </c>
      <c r="G68" s="6" t="s">
        <v>2237</v>
      </c>
      <c r="H68" s="8">
        <v>1030172</v>
      </c>
      <c r="I68" s="6" t="s">
        <v>2237</v>
      </c>
      <c r="J68" s="8">
        <v>0</v>
      </c>
      <c r="K68" s="6" t="s">
        <v>2237</v>
      </c>
      <c r="L68" s="8">
        <v>326470.65000000002</v>
      </c>
      <c r="M68" s="6" t="s">
        <v>2237</v>
      </c>
      <c r="N68" s="8">
        <v>231616.97</v>
      </c>
      <c r="O68" s="6" t="s">
        <v>2237</v>
      </c>
      <c r="P68" s="6" t="s">
        <v>2242</v>
      </c>
      <c r="Q68" s="9" t="s">
        <v>2236</v>
      </c>
      <c r="R68" s="9" t="s">
        <v>2238</v>
      </c>
      <c r="S68" s="9" t="s">
        <v>2243</v>
      </c>
      <c r="T68" s="9" t="s">
        <v>2244</v>
      </c>
      <c r="U6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E540-3020384-D245401</v>
      </c>
      <c r="X68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E540-302038409-D245401</v>
      </c>
      <c r="Y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68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6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69" spans="1:31" hidden="1" x14ac:dyDescent="0.3">
      <c r="A69" s="6" t="s">
        <v>2316</v>
      </c>
      <c r="B69" s="6" t="s">
        <v>30</v>
      </c>
      <c r="C69" s="6" t="s">
        <v>1722</v>
      </c>
      <c r="D69" s="6" t="s">
        <v>1723</v>
      </c>
      <c r="E69" s="6" t="s">
        <v>2241</v>
      </c>
      <c r="F69" s="8">
        <v>0</v>
      </c>
      <c r="G69" s="6" t="s">
        <v>2237</v>
      </c>
      <c r="H69" s="8">
        <v>0</v>
      </c>
      <c r="I69" s="6" t="s">
        <v>2237</v>
      </c>
      <c r="J69" s="8">
        <v>0</v>
      </c>
      <c r="K69" s="6" t="s">
        <v>2237</v>
      </c>
      <c r="L69" s="8">
        <v>326470.65000000002</v>
      </c>
      <c r="M69" s="6" t="s">
        <v>2237</v>
      </c>
      <c r="N69" s="8">
        <v>231616.97</v>
      </c>
      <c r="O69" s="6" t="s">
        <v>2237</v>
      </c>
      <c r="P69" s="6" t="s">
        <v>2242</v>
      </c>
      <c r="Q69" s="9" t="s">
        <v>2236</v>
      </c>
      <c r="R69" s="9" t="s">
        <v>2238</v>
      </c>
      <c r="S69" s="9" t="s">
        <v>2243</v>
      </c>
      <c r="T69" s="9" t="s">
        <v>2258</v>
      </c>
      <c r="U6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6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6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E540-3020384-D245401</v>
      </c>
      <c r="X6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E540-302038409-D245401</v>
      </c>
      <c r="Y69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E540-30203840962-D245401</v>
      </c>
      <c r="Z6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6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69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69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69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6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0" spans="1:31" hidden="1" x14ac:dyDescent="0.3">
      <c r="A70" s="6" t="s">
        <v>2317</v>
      </c>
      <c r="B70" s="6" t="s">
        <v>26</v>
      </c>
      <c r="C70" s="6" t="s">
        <v>1057</v>
      </c>
      <c r="D70" s="6" t="s">
        <v>1058</v>
      </c>
      <c r="E70" s="6" t="s">
        <v>2241</v>
      </c>
      <c r="F70" s="8">
        <v>43402</v>
      </c>
      <c r="G70" s="6" t="s">
        <v>2237</v>
      </c>
      <c r="H70" s="8">
        <v>43402</v>
      </c>
      <c r="I70" s="6" t="s">
        <v>2237</v>
      </c>
      <c r="J70" s="8">
        <v>0</v>
      </c>
      <c r="K70" s="6" t="s">
        <v>2237</v>
      </c>
      <c r="L70" s="8">
        <v>0</v>
      </c>
      <c r="M70" s="6" t="s">
        <v>2237</v>
      </c>
      <c r="N70" s="8">
        <v>11270.83</v>
      </c>
      <c r="O70" s="6" t="s">
        <v>2237</v>
      </c>
      <c r="P70" s="6" t="s">
        <v>2242</v>
      </c>
      <c r="Q70" s="9" t="s">
        <v>2236</v>
      </c>
      <c r="R70" s="9" t="s">
        <v>2238</v>
      </c>
      <c r="S70" s="9" t="s">
        <v>2243</v>
      </c>
      <c r="T70" s="9" t="s">
        <v>2244</v>
      </c>
      <c r="U7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E540-3020384-D245401</v>
      </c>
      <c r="X7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E540-302038407-D245401</v>
      </c>
      <c r="Y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70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7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1" spans="1:31" hidden="1" x14ac:dyDescent="0.3">
      <c r="A71" s="6" t="s">
        <v>2318</v>
      </c>
      <c r="B71" s="6" t="s">
        <v>30</v>
      </c>
      <c r="C71" s="6" t="s">
        <v>1720</v>
      </c>
      <c r="D71" s="6" t="s">
        <v>1721</v>
      </c>
      <c r="E71" s="6" t="s">
        <v>2241</v>
      </c>
      <c r="F71" s="8">
        <v>0</v>
      </c>
      <c r="G71" s="6" t="s">
        <v>2237</v>
      </c>
      <c r="H71" s="8">
        <v>0</v>
      </c>
      <c r="I71" s="6" t="s">
        <v>2237</v>
      </c>
      <c r="J71" s="8">
        <v>0</v>
      </c>
      <c r="K71" s="6" t="s">
        <v>2237</v>
      </c>
      <c r="L71" s="8">
        <v>0</v>
      </c>
      <c r="M71" s="6" t="s">
        <v>2237</v>
      </c>
      <c r="N71" s="8">
        <v>11270.83</v>
      </c>
      <c r="O71" s="6" t="s">
        <v>2237</v>
      </c>
      <c r="P71" s="6" t="s">
        <v>2242</v>
      </c>
      <c r="Q71" s="9" t="s">
        <v>2236</v>
      </c>
      <c r="R71" s="9" t="s">
        <v>2238</v>
      </c>
      <c r="S71" s="9" t="s">
        <v>2243</v>
      </c>
      <c r="T71" s="9" t="s">
        <v>2258</v>
      </c>
      <c r="U7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E540-3020384-D245401</v>
      </c>
      <c r="X7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E540-302038407-D245401</v>
      </c>
      <c r="Y71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E540-30203840759-D245401</v>
      </c>
      <c r="Z7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71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71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71" s="10" t="str">
        <f>IF(IFERROR(INDEX(WBS_Dictionary!N$2:N$1212, MATCH(Table2[[#This Row],[WBS_ID]], Table26[WBS CODE],0)), "") = "", "null", IFERROR(INDEX(WBS_Dictionary!N$2:N$1212, MATCH(Table2[[#This Row],[WBS_ID]], Table26[WBS CODE],0)), ""))</f>
        <v>Pad AWI 21</v>
      </c>
      <c r="AE7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2" spans="1:31" hidden="1" x14ac:dyDescent="0.3">
      <c r="A72" s="6" t="s">
        <v>2319</v>
      </c>
      <c r="B72" s="6" t="s">
        <v>21</v>
      </c>
      <c r="C72" s="6" t="s">
        <v>867</v>
      </c>
      <c r="D72" s="6" t="s">
        <v>868</v>
      </c>
      <c r="E72" s="6" t="s">
        <v>2241</v>
      </c>
      <c r="F72" s="8">
        <v>1609596</v>
      </c>
      <c r="G72" s="6" t="s">
        <v>2237</v>
      </c>
      <c r="H72" s="8">
        <v>1609596</v>
      </c>
      <c r="I72" s="6" t="s">
        <v>2237</v>
      </c>
      <c r="J72" s="8">
        <v>0</v>
      </c>
      <c r="K72" s="6" t="s">
        <v>2237</v>
      </c>
      <c r="L72" s="8">
        <v>518065.34</v>
      </c>
      <c r="M72" s="6" t="s">
        <v>2237</v>
      </c>
      <c r="N72" s="8">
        <v>226180.78</v>
      </c>
      <c r="O72" s="6" t="s">
        <v>2237</v>
      </c>
      <c r="P72" s="6" t="s">
        <v>2242</v>
      </c>
      <c r="Q72" s="9" t="s">
        <v>2236</v>
      </c>
      <c r="R72" s="9" t="s">
        <v>2238</v>
      </c>
      <c r="S72" s="9" t="s">
        <v>2243</v>
      </c>
      <c r="T72" s="9" t="s">
        <v>2244</v>
      </c>
      <c r="U7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E540-3020383-D245401</v>
      </c>
      <c r="X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2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7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3" spans="1:31" hidden="1" x14ac:dyDescent="0.3">
      <c r="A73" s="6" t="s">
        <v>2320</v>
      </c>
      <c r="B73" s="6" t="s">
        <v>26</v>
      </c>
      <c r="C73" s="6" t="s">
        <v>1055</v>
      </c>
      <c r="D73" s="6" t="s">
        <v>1056</v>
      </c>
      <c r="E73" s="6" t="s">
        <v>2241</v>
      </c>
      <c r="F73" s="8">
        <v>1536353</v>
      </c>
      <c r="G73" s="6" t="s">
        <v>2237</v>
      </c>
      <c r="H73" s="8">
        <v>1536353</v>
      </c>
      <c r="I73" s="6" t="s">
        <v>2237</v>
      </c>
      <c r="J73" s="8">
        <v>0</v>
      </c>
      <c r="K73" s="6" t="s">
        <v>2237</v>
      </c>
      <c r="L73" s="8">
        <v>518065.34</v>
      </c>
      <c r="M73" s="6" t="s">
        <v>2237</v>
      </c>
      <c r="N73" s="8">
        <v>201768.03</v>
      </c>
      <c r="O73" s="6" t="s">
        <v>2237</v>
      </c>
      <c r="P73" s="6" t="s">
        <v>2242</v>
      </c>
      <c r="Q73" s="9" t="s">
        <v>2236</v>
      </c>
      <c r="R73" s="9" t="s">
        <v>2238</v>
      </c>
      <c r="S73" s="9" t="s">
        <v>2243</v>
      </c>
      <c r="T73" s="9" t="s">
        <v>2244</v>
      </c>
      <c r="U7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E540-3020383-D245401</v>
      </c>
      <c r="X7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E540-302038309-D245401</v>
      </c>
      <c r="Y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3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73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7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4" spans="1:31" hidden="1" x14ac:dyDescent="0.3">
      <c r="A74" s="6" t="s">
        <v>2321</v>
      </c>
      <c r="B74" s="6" t="s">
        <v>30</v>
      </c>
      <c r="C74" s="6" t="s">
        <v>1718</v>
      </c>
      <c r="D74" s="6" t="s">
        <v>1719</v>
      </c>
      <c r="E74" s="6" t="s">
        <v>2241</v>
      </c>
      <c r="F74" s="8">
        <v>0</v>
      </c>
      <c r="G74" s="6" t="s">
        <v>2237</v>
      </c>
      <c r="H74" s="8">
        <v>0</v>
      </c>
      <c r="I74" s="6" t="s">
        <v>2237</v>
      </c>
      <c r="J74" s="8">
        <v>0</v>
      </c>
      <c r="K74" s="6" t="s">
        <v>2237</v>
      </c>
      <c r="L74" s="8">
        <v>518065.34</v>
      </c>
      <c r="M74" s="6" t="s">
        <v>2237</v>
      </c>
      <c r="N74" s="8">
        <v>201768.03</v>
      </c>
      <c r="O74" s="6" t="s">
        <v>2237</v>
      </c>
      <c r="P74" s="6" t="s">
        <v>2242</v>
      </c>
      <c r="Q74" s="9" t="s">
        <v>2236</v>
      </c>
      <c r="R74" s="9" t="s">
        <v>2238</v>
      </c>
      <c r="S74" s="9" t="s">
        <v>2243</v>
      </c>
      <c r="T74" s="9" t="s">
        <v>2258</v>
      </c>
      <c r="U7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E540-3020383-D245401</v>
      </c>
      <c r="X7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E540-302038309-D245401</v>
      </c>
      <c r="Y74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E540-30203830962-D245401</v>
      </c>
      <c r="Z7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7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74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74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7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5" spans="1:31" hidden="1" x14ac:dyDescent="0.3">
      <c r="A75" s="6" t="s">
        <v>2322</v>
      </c>
      <c r="B75" s="6" t="s">
        <v>26</v>
      </c>
      <c r="C75" s="6" t="s">
        <v>1053</v>
      </c>
      <c r="D75" s="6" t="s">
        <v>1054</v>
      </c>
      <c r="E75" s="6" t="s">
        <v>2241</v>
      </c>
      <c r="F75" s="8">
        <v>73243</v>
      </c>
      <c r="G75" s="6" t="s">
        <v>2237</v>
      </c>
      <c r="H75" s="8">
        <v>73243</v>
      </c>
      <c r="I75" s="6" t="s">
        <v>2237</v>
      </c>
      <c r="J75" s="8">
        <v>0</v>
      </c>
      <c r="K75" s="6" t="s">
        <v>2237</v>
      </c>
      <c r="L75" s="8">
        <v>0</v>
      </c>
      <c r="M75" s="6" t="s">
        <v>2237</v>
      </c>
      <c r="N75" s="8">
        <v>24412.75</v>
      </c>
      <c r="O75" s="6" t="s">
        <v>2237</v>
      </c>
      <c r="P75" s="6" t="s">
        <v>2242</v>
      </c>
      <c r="Q75" s="9" t="s">
        <v>2236</v>
      </c>
      <c r="R75" s="9" t="s">
        <v>2238</v>
      </c>
      <c r="S75" s="9" t="s">
        <v>2243</v>
      </c>
      <c r="T75" s="9" t="s">
        <v>2244</v>
      </c>
      <c r="U7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E540-3020383-D245401</v>
      </c>
      <c r="X7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E540-302038307-D245401</v>
      </c>
      <c r="Y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75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7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6" spans="1:31" hidden="1" x14ac:dyDescent="0.3">
      <c r="A76" s="6" t="s">
        <v>2323</v>
      </c>
      <c r="B76" s="6" t="s">
        <v>30</v>
      </c>
      <c r="C76" s="6" t="s">
        <v>1716</v>
      </c>
      <c r="D76" s="6" t="s">
        <v>1717</v>
      </c>
      <c r="E76" s="6" t="s">
        <v>2241</v>
      </c>
      <c r="F76" s="8">
        <v>0</v>
      </c>
      <c r="G76" s="6" t="s">
        <v>2237</v>
      </c>
      <c r="H76" s="8">
        <v>0</v>
      </c>
      <c r="I76" s="6" t="s">
        <v>2237</v>
      </c>
      <c r="J76" s="8">
        <v>0</v>
      </c>
      <c r="K76" s="6" t="s">
        <v>2237</v>
      </c>
      <c r="L76" s="8">
        <v>0</v>
      </c>
      <c r="M76" s="6" t="s">
        <v>2237</v>
      </c>
      <c r="N76" s="8">
        <v>24412.75</v>
      </c>
      <c r="O76" s="6" t="s">
        <v>2237</v>
      </c>
      <c r="P76" s="6" t="s">
        <v>2242</v>
      </c>
      <c r="Q76" s="9" t="s">
        <v>2236</v>
      </c>
      <c r="R76" s="9" t="s">
        <v>2238</v>
      </c>
      <c r="S76" s="9" t="s">
        <v>2243</v>
      </c>
      <c r="T76" s="9" t="s">
        <v>2258</v>
      </c>
      <c r="U7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E540-3020383-D245401</v>
      </c>
      <c r="X7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E540-302038307-D245401</v>
      </c>
      <c r="Y76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E540-30203830759-D245401</v>
      </c>
      <c r="Z7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6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76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76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76" s="10" t="str">
        <f>IF(IFERROR(INDEX(WBS_Dictionary!N$2:N$1212, MATCH(Table2[[#This Row],[WBS_ID]], Table26[WBS CODE],0)), "") = "", "null", IFERROR(INDEX(WBS_Dictionary!N$2:N$1212, MATCH(Table2[[#This Row],[WBS_ID]], Table26[WBS CODE],0)), ""))</f>
        <v>Pad AWI 2</v>
      </c>
      <c r="AE7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77" spans="1:31" hidden="1" x14ac:dyDescent="0.3">
      <c r="A77" s="6" t="s">
        <v>2324</v>
      </c>
      <c r="B77" s="6" t="s">
        <v>21</v>
      </c>
      <c r="C77" s="6" t="s">
        <v>865</v>
      </c>
      <c r="D77" s="6" t="s">
        <v>866</v>
      </c>
      <c r="E77" s="6" t="s">
        <v>2241</v>
      </c>
      <c r="F77" s="8">
        <v>2987092.43</v>
      </c>
      <c r="G77" s="6" t="s">
        <v>2237</v>
      </c>
      <c r="H77" s="8">
        <v>2987092.43</v>
      </c>
      <c r="I77" s="6" t="s">
        <v>2237</v>
      </c>
      <c r="J77" s="8">
        <v>0</v>
      </c>
      <c r="K77" s="6" t="s">
        <v>2237</v>
      </c>
      <c r="L77" s="8">
        <v>0</v>
      </c>
      <c r="M77" s="6" t="s">
        <v>2237</v>
      </c>
      <c r="N77" s="8">
        <v>1843582.92</v>
      </c>
      <c r="O77" s="6" t="s">
        <v>2237</v>
      </c>
      <c r="P77" s="6" t="s">
        <v>2236</v>
      </c>
      <c r="Q77" s="9" t="s">
        <v>2242</v>
      </c>
      <c r="R77" s="9" t="s">
        <v>2238</v>
      </c>
      <c r="S77" s="9" t="s">
        <v>2243</v>
      </c>
      <c r="T77" s="9" t="s">
        <v>2244</v>
      </c>
      <c r="U7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7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" spans="1:31" hidden="1" x14ac:dyDescent="0.3">
      <c r="A78" s="6" t="s">
        <v>2325</v>
      </c>
      <c r="B78" s="6" t="s">
        <v>26</v>
      </c>
      <c r="C78" s="6" t="s">
        <v>1051</v>
      </c>
      <c r="D78" s="6" t="s">
        <v>1052</v>
      </c>
      <c r="E78" s="6" t="s">
        <v>2241</v>
      </c>
      <c r="F78" s="8">
        <v>344287</v>
      </c>
      <c r="G78" s="6" t="s">
        <v>2237</v>
      </c>
      <c r="H78" s="8">
        <v>344287</v>
      </c>
      <c r="I78" s="6" t="s">
        <v>2237</v>
      </c>
      <c r="J78" s="8">
        <v>0</v>
      </c>
      <c r="K78" s="6" t="s">
        <v>2237</v>
      </c>
      <c r="L78" s="8">
        <v>0</v>
      </c>
      <c r="M78" s="6" t="s">
        <v>2237</v>
      </c>
      <c r="N78" s="8">
        <v>0</v>
      </c>
      <c r="O78" s="6" t="s">
        <v>2237</v>
      </c>
      <c r="P78" s="6" t="s">
        <v>2236</v>
      </c>
      <c r="Q78" s="9" t="s">
        <v>2242</v>
      </c>
      <c r="R78" s="9" t="s">
        <v>2238</v>
      </c>
      <c r="S78" s="9" t="s">
        <v>2243</v>
      </c>
      <c r="T78" s="9" t="s">
        <v>2244</v>
      </c>
      <c r="U7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78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E540-302037409-D245401</v>
      </c>
      <c r="Y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8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78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" spans="1:31" hidden="1" x14ac:dyDescent="0.3">
      <c r="A79" s="6" t="s">
        <v>2326</v>
      </c>
      <c r="B79" s="6" t="s">
        <v>30</v>
      </c>
      <c r="C79" s="6" t="s">
        <v>1714</v>
      </c>
      <c r="D79" s="6" t="s">
        <v>1715</v>
      </c>
      <c r="E79" s="6" t="s">
        <v>2241</v>
      </c>
      <c r="F79" s="8">
        <v>0</v>
      </c>
      <c r="G79" s="6" t="s">
        <v>2237</v>
      </c>
      <c r="H79" s="8">
        <v>0</v>
      </c>
      <c r="I79" s="6" t="s">
        <v>2237</v>
      </c>
      <c r="J79" s="8">
        <v>0</v>
      </c>
      <c r="K79" s="6" t="s">
        <v>2237</v>
      </c>
      <c r="L79" s="8">
        <v>0</v>
      </c>
      <c r="M79" s="6" t="s">
        <v>2237</v>
      </c>
      <c r="N79" s="8">
        <v>0</v>
      </c>
      <c r="O79" s="6" t="s">
        <v>2237</v>
      </c>
      <c r="P79" s="6" t="s">
        <v>2236</v>
      </c>
      <c r="Q79" s="9" t="s">
        <v>2242</v>
      </c>
      <c r="R79" s="9" t="s">
        <v>2238</v>
      </c>
      <c r="S79" s="9" t="s">
        <v>2243</v>
      </c>
      <c r="T79" s="9" t="s">
        <v>2327</v>
      </c>
      <c r="U7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7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7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7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E540-302037409-D245401</v>
      </c>
      <c r="Y79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E540-30203740960-D245401</v>
      </c>
      <c r="Z7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79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79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79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" spans="1:31" hidden="1" x14ac:dyDescent="0.3">
      <c r="A80" s="6" t="s">
        <v>2328</v>
      </c>
      <c r="B80" s="6" t="s">
        <v>30</v>
      </c>
      <c r="C80" s="6" t="s">
        <v>1712</v>
      </c>
      <c r="D80" s="6" t="s">
        <v>1713</v>
      </c>
      <c r="E80" s="6" t="s">
        <v>2241</v>
      </c>
      <c r="F80" s="8">
        <v>0</v>
      </c>
      <c r="G80" s="6" t="s">
        <v>2237</v>
      </c>
      <c r="H80" s="8">
        <v>0</v>
      </c>
      <c r="I80" s="6" t="s">
        <v>2237</v>
      </c>
      <c r="J80" s="8">
        <v>0</v>
      </c>
      <c r="K80" s="6" t="s">
        <v>2237</v>
      </c>
      <c r="L80" s="8">
        <v>0</v>
      </c>
      <c r="M80" s="6" t="s">
        <v>2237</v>
      </c>
      <c r="N80" s="8">
        <v>0</v>
      </c>
      <c r="O80" s="6" t="s">
        <v>2237</v>
      </c>
      <c r="P80" s="6" t="s">
        <v>2236</v>
      </c>
      <c r="Q80" s="9" t="s">
        <v>2242</v>
      </c>
      <c r="R80" s="9" t="s">
        <v>2238</v>
      </c>
      <c r="S80" s="9" t="s">
        <v>2243</v>
      </c>
      <c r="T80" s="9" t="s">
        <v>2327</v>
      </c>
      <c r="U8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E540-302037409-D245401</v>
      </c>
      <c r="Y80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E540-30203740903-D245401</v>
      </c>
      <c r="Z8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0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80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1" spans="1:31" hidden="1" x14ac:dyDescent="0.3">
      <c r="A81" s="6" t="s">
        <v>2329</v>
      </c>
      <c r="B81" s="6" t="s">
        <v>26</v>
      </c>
      <c r="C81" s="6" t="s">
        <v>1049</v>
      </c>
      <c r="D81" s="6" t="s">
        <v>1050</v>
      </c>
      <c r="E81" s="6" t="s">
        <v>2241</v>
      </c>
      <c r="F81" s="8">
        <v>344287</v>
      </c>
      <c r="G81" s="6" t="s">
        <v>2237</v>
      </c>
      <c r="H81" s="8">
        <v>344287</v>
      </c>
      <c r="I81" s="6" t="s">
        <v>2237</v>
      </c>
      <c r="J81" s="8">
        <v>0</v>
      </c>
      <c r="K81" s="6" t="s">
        <v>2237</v>
      </c>
      <c r="L81" s="8">
        <v>0</v>
      </c>
      <c r="M81" s="6" t="s">
        <v>2237</v>
      </c>
      <c r="N81" s="8">
        <v>0</v>
      </c>
      <c r="O81" s="6" t="s">
        <v>2237</v>
      </c>
      <c r="P81" s="6" t="s">
        <v>2236</v>
      </c>
      <c r="Q81" s="9" t="s">
        <v>2242</v>
      </c>
      <c r="R81" s="9" t="s">
        <v>2238</v>
      </c>
      <c r="S81" s="9" t="s">
        <v>2243</v>
      </c>
      <c r="T81" s="9" t="s">
        <v>2244</v>
      </c>
      <c r="U8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E540-302037408-D245401</v>
      </c>
      <c r="Y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1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1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2" spans="1:31" hidden="1" x14ac:dyDescent="0.3">
      <c r="A82" s="6" t="s">
        <v>2330</v>
      </c>
      <c r="B82" s="6" t="s">
        <v>30</v>
      </c>
      <c r="C82" s="6" t="s">
        <v>1710</v>
      </c>
      <c r="D82" s="6" t="s">
        <v>1711</v>
      </c>
      <c r="E82" s="6" t="s">
        <v>2241</v>
      </c>
      <c r="F82" s="8">
        <v>0</v>
      </c>
      <c r="G82" s="6" t="s">
        <v>2237</v>
      </c>
      <c r="H82" s="8">
        <v>0</v>
      </c>
      <c r="I82" s="6" t="s">
        <v>2237</v>
      </c>
      <c r="J82" s="8">
        <v>0</v>
      </c>
      <c r="K82" s="6" t="s">
        <v>2237</v>
      </c>
      <c r="L82" s="8">
        <v>0</v>
      </c>
      <c r="M82" s="6" t="s">
        <v>2237</v>
      </c>
      <c r="N82" s="8">
        <v>0</v>
      </c>
      <c r="O82" s="6" t="s">
        <v>2237</v>
      </c>
      <c r="P82" s="6" t="s">
        <v>2236</v>
      </c>
      <c r="Q82" s="9" t="s">
        <v>2242</v>
      </c>
      <c r="R82" s="9" t="s">
        <v>2238</v>
      </c>
      <c r="S82" s="9" t="s">
        <v>2243</v>
      </c>
      <c r="T82" s="9" t="s">
        <v>2327</v>
      </c>
      <c r="U8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E540-302037408-D245401</v>
      </c>
      <c r="Y82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E540-30203740860-D245401</v>
      </c>
      <c r="Z8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2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2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82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" spans="1:31" hidden="1" x14ac:dyDescent="0.3">
      <c r="A83" s="6" t="s">
        <v>2331</v>
      </c>
      <c r="B83" s="6" t="s">
        <v>30</v>
      </c>
      <c r="C83" s="6" t="s">
        <v>1708</v>
      </c>
      <c r="D83" s="6" t="s">
        <v>1709</v>
      </c>
      <c r="E83" s="6" t="s">
        <v>2241</v>
      </c>
      <c r="F83" s="8">
        <v>0</v>
      </c>
      <c r="G83" s="6" t="s">
        <v>2237</v>
      </c>
      <c r="H83" s="8">
        <v>0</v>
      </c>
      <c r="I83" s="6" t="s">
        <v>2237</v>
      </c>
      <c r="J83" s="8">
        <v>0</v>
      </c>
      <c r="K83" s="6" t="s">
        <v>2237</v>
      </c>
      <c r="L83" s="8">
        <v>0</v>
      </c>
      <c r="M83" s="6" t="s">
        <v>2237</v>
      </c>
      <c r="N83" s="8">
        <v>0</v>
      </c>
      <c r="O83" s="6" t="s">
        <v>2237</v>
      </c>
      <c r="P83" s="6" t="s">
        <v>2236</v>
      </c>
      <c r="Q83" s="9" t="s">
        <v>2242</v>
      </c>
      <c r="R83" s="9" t="s">
        <v>2238</v>
      </c>
      <c r="S83" s="9" t="s">
        <v>2243</v>
      </c>
      <c r="T83" s="9" t="s">
        <v>2327</v>
      </c>
      <c r="U8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E540-302037408-D245401</v>
      </c>
      <c r="Y83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E540-30203740803-D245401</v>
      </c>
      <c r="Z8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3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83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4" spans="1:31" hidden="1" x14ac:dyDescent="0.3">
      <c r="A84" s="6" t="s">
        <v>2332</v>
      </c>
      <c r="B84" s="6" t="s">
        <v>26</v>
      </c>
      <c r="C84" s="6" t="s">
        <v>1047</v>
      </c>
      <c r="D84" s="6" t="s">
        <v>1048</v>
      </c>
      <c r="E84" s="6" t="s">
        <v>2241</v>
      </c>
      <c r="F84" s="8">
        <v>321865</v>
      </c>
      <c r="G84" s="6" t="s">
        <v>2237</v>
      </c>
      <c r="H84" s="8">
        <v>321865</v>
      </c>
      <c r="I84" s="6" t="s">
        <v>2237</v>
      </c>
      <c r="J84" s="8">
        <v>0</v>
      </c>
      <c r="K84" s="6" t="s">
        <v>2237</v>
      </c>
      <c r="L84" s="8">
        <v>0</v>
      </c>
      <c r="M84" s="6" t="s">
        <v>2237</v>
      </c>
      <c r="N84" s="8">
        <v>0</v>
      </c>
      <c r="O84" s="6" t="s">
        <v>2237</v>
      </c>
      <c r="P84" s="6" t="s">
        <v>2236</v>
      </c>
      <c r="Q84" s="9" t="s">
        <v>2242</v>
      </c>
      <c r="R84" s="9" t="s">
        <v>2238</v>
      </c>
      <c r="S84" s="9" t="s">
        <v>2243</v>
      </c>
      <c r="T84" s="9" t="s">
        <v>2244</v>
      </c>
      <c r="U8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E540-302037407-D245401</v>
      </c>
      <c r="Y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4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4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5" spans="1:31" hidden="1" x14ac:dyDescent="0.3">
      <c r="A85" s="6" t="s">
        <v>2333</v>
      </c>
      <c r="B85" s="6" t="s">
        <v>30</v>
      </c>
      <c r="C85" s="6" t="s">
        <v>1706</v>
      </c>
      <c r="D85" s="6" t="s">
        <v>1707</v>
      </c>
      <c r="E85" s="6" t="s">
        <v>2241</v>
      </c>
      <c r="F85" s="8">
        <v>0</v>
      </c>
      <c r="G85" s="6" t="s">
        <v>2237</v>
      </c>
      <c r="H85" s="8">
        <v>0</v>
      </c>
      <c r="I85" s="6" t="s">
        <v>2237</v>
      </c>
      <c r="J85" s="8">
        <v>0</v>
      </c>
      <c r="K85" s="6" t="s">
        <v>2237</v>
      </c>
      <c r="L85" s="8">
        <v>0</v>
      </c>
      <c r="M85" s="6" t="s">
        <v>2237</v>
      </c>
      <c r="N85" s="8">
        <v>0</v>
      </c>
      <c r="O85" s="6" t="s">
        <v>2237</v>
      </c>
      <c r="P85" s="6" t="s">
        <v>2236</v>
      </c>
      <c r="Q85" s="9" t="s">
        <v>2242</v>
      </c>
      <c r="R85" s="9" t="s">
        <v>2238</v>
      </c>
      <c r="S85" s="9" t="s">
        <v>2243</v>
      </c>
      <c r="T85" s="9" t="s">
        <v>2327</v>
      </c>
      <c r="U8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E540-302037407-D245401</v>
      </c>
      <c r="Y85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E540-30203740760-D245401</v>
      </c>
      <c r="Z8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5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5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85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" spans="1:31" hidden="1" x14ac:dyDescent="0.3">
      <c r="A86" s="6" t="s">
        <v>2334</v>
      </c>
      <c r="B86" s="6" t="s">
        <v>30</v>
      </c>
      <c r="C86" s="6" t="s">
        <v>1704</v>
      </c>
      <c r="D86" s="6" t="s">
        <v>1705</v>
      </c>
      <c r="E86" s="6" t="s">
        <v>2241</v>
      </c>
      <c r="F86" s="8">
        <v>0</v>
      </c>
      <c r="G86" s="6" t="s">
        <v>2237</v>
      </c>
      <c r="H86" s="8">
        <v>0</v>
      </c>
      <c r="I86" s="6" t="s">
        <v>2237</v>
      </c>
      <c r="J86" s="8">
        <v>0</v>
      </c>
      <c r="K86" s="6" t="s">
        <v>2237</v>
      </c>
      <c r="L86" s="8">
        <v>0</v>
      </c>
      <c r="M86" s="6" t="s">
        <v>2237</v>
      </c>
      <c r="N86" s="8">
        <v>0</v>
      </c>
      <c r="O86" s="6" t="s">
        <v>2237</v>
      </c>
      <c r="P86" s="6" t="s">
        <v>2236</v>
      </c>
      <c r="Q86" s="9" t="s">
        <v>2242</v>
      </c>
      <c r="R86" s="9" t="s">
        <v>2238</v>
      </c>
      <c r="S86" s="9" t="s">
        <v>2243</v>
      </c>
      <c r="T86" s="9" t="s">
        <v>2327</v>
      </c>
      <c r="U8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E540-302037407-D245401</v>
      </c>
      <c r="Y86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E540-30203740703-D245401</v>
      </c>
      <c r="Z8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6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86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" spans="1:31" hidden="1" x14ac:dyDescent="0.3">
      <c r="A87" s="6" t="s">
        <v>2335</v>
      </c>
      <c r="B87" s="6" t="s">
        <v>26</v>
      </c>
      <c r="C87" s="6" t="s">
        <v>1045</v>
      </c>
      <c r="D87" s="6" t="s">
        <v>1046</v>
      </c>
      <c r="E87" s="6" t="s">
        <v>2241</v>
      </c>
      <c r="F87" s="8">
        <v>331778.43</v>
      </c>
      <c r="G87" s="6" t="s">
        <v>2237</v>
      </c>
      <c r="H87" s="8">
        <v>331778.43</v>
      </c>
      <c r="I87" s="6" t="s">
        <v>2237</v>
      </c>
      <c r="J87" s="8">
        <v>0</v>
      </c>
      <c r="K87" s="6" t="s">
        <v>2237</v>
      </c>
      <c r="L87" s="8">
        <v>0</v>
      </c>
      <c r="M87" s="6" t="s">
        <v>2237</v>
      </c>
      <c r="N87" s="8">
        <v>288015.57</v>
      </c>
      <c r="O87" s="6" t="s">
        <v>2237</v>
      </c>
      <c r="P87" s="6" t="s">
        <v>2236</v>
      </c>
      <c r="Q87" s="9" t="s">
        <v>2242</v>
      </c>
      <c r="R87" s="9" t="s">
        <v>2238</v>
      </c>
      <c r="S87" s="9" t="s">
        <v>2243</v>
      </c>
      <c r="T87" s="9" t="s">
        <v>2244</v>
      </c>
      <c r="U8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7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E540-302037406-D245401</v>
      </c>
      <c r="Y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7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7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" spans="1:31" hidden="1" x14ac:dyDescent="0.3">
      <c r="A88" s="6" t="s">
        <v>2336</v>
      </c>
      <c r="B88" s="6" t="s">
        <v>30</v>
      </c>
      <c r="C88" s="6" t="s">
        <v>1702</v>
      </c>
      <c r="D88" s="6" t="s">
        <v>1703</v>
      </c>
      <c r="E88" s="6" t="s">
        <v>2241</v>
      </c>
      <c r="F88" s="8">
        <v>0</v>
      </c>
      <c r="G88" s="6" t="s">
        <v>2237</v>
      </c>
      <c r="H88" s="8">
        <v>0</v>
      </c>
      <c r="I88" s="6" t="s">
        <v>2237</v>
      </c>
      <c r="J88" s="8">
        <v>0</v>
      </c>
      <c r="K88" s="6" t="s">
        <v>2237</v>
      </c>
      <c r="L88" s="8">
        <v>0</v>
      </c>
      <c r="M88" s="6" t="s">
        <v>2237</v>
      </c>
      <c r="N88" s="8">
        <v>67824.479999999996</v>
      </c>
      <c r="O88" s="6" t="s">
        <v>2237</v>
      </c>
      <c r="P88" s="6" t="s">
        <v>2236</v>
      </c>
      <c r="Q88" s="9" t="s">
        <v>2242</v>
      </c>
      <c r="R88" s="9" t="s">
        <v>2238</v>
      </c>
      <c r="S88" s="9" t="s">
        <v>2243</v>
      </c>
      <c r="T88" s="9" t="s">
        <v>2327</v>
      </c>
      <c r="U8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8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E540-302037406-D245401</v>
      </c>
      <c r="Y88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E540-30203740660-D245401</v>
      </c>
      <c r="Z8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8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8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88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" spans="1:31" hidden="1" x14ac:dyDescent="0.3">
      <c r="A89" s="6" t="s">
        <v>2337</v>
      </c>
      <c r="B89" s="6" t="s">
        <v>30</v>
      </c>
      <c r="C89" s="6" t="s">
        <v>1700</v>
      </c>
      <c r="D89" s="6" t="s">
        <v>1701</v>
      </c>
      <c r="E89" s="6" t="s">
        <v>2241</v>
      </c>
      <c r="F89" s="8">
        <v>0</v>
      </c>
      <c r="G89" s="6" t="s">
        <v>2237</v>
      </c>
      <c r="H89" s="8">
        <v>0</v>
      </c>
      <c r="I89" s="6" t="s">
        <v>2237</v>
      </c>
      <c r="J89" s="8">
        <v>0</v>
      </c>
      <c r="K89" s="6" t="s">
        <v>2237</v>
      </c>
      <c r="L89" s="8">
        <v>0</v>
      </c>
      <c r="M89" s="6" t="s">
        <v>2237</v>
      </c>
      <c r="N89" s="8">
        <v>220191.09</v>
      </c>
      <c r="O89" s="6" t="s">
        <v>2237</v>
      </c>
      <c r="P89" s="6" t="s">
        <v>2236</v>
      </c>
      <c r="Q89" s="9" t="s">
        <v>2242</v>
      </c>
      <c r="R89" s="9" t="s">
        <v>2238</v>
      </c>
      <c r="S89" s="9" t="s">
        <v>2243</v>
      </c>
      <c r="T89" s="9" t="s">
        <v>2327</v>
      </c>
      <c r="U8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8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8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8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E540-302037406-D245401</v>
      </c>
      <c r="Y89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E540-30203740603-D245401</v>
      </c>
      <c r="Z8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89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8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89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" spans="1:31" hidden="1" x14ac:dyDescent="0.3">
      <c r="A90" s="6" t="s">
        <v>2338</v>
      </c>
      <c r="B90" s="6" t="s">
        <v>26</v>
      </c>
      <c r="C90" s="6" t="s">
        <v>1043</v>
      </c>
      <c r="D90" s="6" t="s">
        <v>1044</v>
      </c>
      <c r="E90" s="6" t="s">
        <v>2241</v>
      </c>
      <c r="F90" s="8">
        <v>324470</v>
      </c>
      <c r="G90" s="6" t="s">
        <v>2237</v>
      </c>
      <c r="H90" s="8">
        <v>324470</v>
      </c>
      <c r="I90" s="6" t="s">
        <v>2237</v>
      </c>
      <c r="J90" s="8">
        <v>0</v>
      </c>
      <c r="K90" s="6" t="s">
        <v>2237</v>
      </c>
      <c r="L90" s="8">
        <v>0</v>
      </c>
      <c r="M90" s="6" t="s">
        <v>2237</v>
      </c>
      <c r="N90" s="8">
        <v>330514.27</v>
      </c>
      <c r="O90" s="6" t="s">
        <v>2237</v>
      </c>
      <c r="P90" s="6" t="s">
        <v>2236</v>
      </c>
      <c r="Q90" s="9" t="s">
        <v>2242</v>
      </c>
      <c r="R90" s="9" t="s">
        <v>2238</v>
      </c>
      <c r="S90" s="9" t="s">
        <v>2243</v>
      </c>
      <c r="T90" s="9" t="s">
        <v>2244</v>
      </c>
      <c r="U9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E540-302037405-D245401</v>
      </c>
      <c r="Y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0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0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" spans="1:31" hidden="1" x14ac:dyDescent="0.3">
      <c r="A91" s="6" t="s">
        <v>2339</v>
      </c>
      <c r="B91" s="6" t="s">
        <v>30</v>
      </c>
      <c r="C91" s="6" t="s">
        <v>1698</v>
      </c>
      <c r="D91" s="6" t="s">
        <v>1699</v>
      </c>
      <c r="E91" s="6" t="s">
        <v>2241</v>
      </c>
      <c r="F91" s="8">
        <v>0</v>
      </c>
      <c r="G91" s="6" t="s">
        <v>2237</v>
      </c>
      <c r="H91" s="8">
        <v>0</v>
      </c>
      <c r="I91" s="6" t="s">
        <v>2237</v>
      </c>
      <c r="J91" s="8">
        <v>0</v>
      </c>
      <c r="K91" s="6" t="s">
        <v>2237</v>
      </c>
      <c r="L91" s="8">
        <v>0</v>
      </c>
      <c r="M91" s="6" t="s">
        <v>2237</v>
      </c>
      <c r="N91" s="8">
        <v>131596.88</v>
      </c>
      <c r="O91" s="6" t="s">
        <v>2237</v>
      </c>
      <c r="P91" s="6" t="s">
        <v>2236</v>
      </c>
      <c r="Q91" s="9" t="s">
        <v>2242</v>
      </c>
      <c r="R91" s="9" t="s">
        <v>2238</v>
      </c>
      <c r="S91" s="9" t="s">
        <v>2243</v>
      </c>
      <c r="T91" s="9" t="s">
        <v>2327</v>
      </c>
      <c r="U9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E540-302037405-D245401</v>
      </c>
      <c r="Y91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E540-30203740560-D245401</v>
      </c>
      <c r="Z9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1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1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91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" spans="1:31" hidden="1" x14ac:dyDescent="0.3">
      <c r="A92" s="6" t="s">
        <v>2340</v>
      </c>
      <c r="B92" s="6" t="s">
        <v>30</v>
      </c>
      <c r="C92" s="6" t="s">
        <v>1696</v>
      </c>
      <c r="D92" s="6" t="s">
        <v>1697</v>
      </c>
      <c r="E92" s="6" t="s">
        <v>2241</v>
      </c>
      <c r="F92" s="8">
        <v>0</v>
      </c>
      <c r="G92" s="6" t="s">
        <v>2237</v>
      </c>
      <c r="H92" s="8">
        <v>0</v>
      </c>
      <c r="I92" s="6" t="s">
        <v>2237</v>
      </c>
      <c r="J92" s="8">
        <v>0</v>
      </c>
      <c r="K92" s="6" t="s">
        <v>2237</v>
      </c>
      <c r="L92" s="8">
        <v>0</v>
      </c>
      <c r="M92" s="6" t="s">
        <v>2237</v>
      </c>
      <c r="N92" s="8">
        <v>198917.39</v>
      </c>
      <c r="O92" s="6" t="s">
        <v>2237</v>
      </c>
      <c r="P92" s="6" t="s">
        <v>2236</v>
      </c>
      <c r="Q92" s="9" t="s">
        <v>2242</v>
      </c>
      <c r="R92" s="9" t="s">
        <v>2238</v>
      </c>
      <c r="S92" s="9" t="s">
        <v>2243</v>
      </c>
      <c r="T92" s="9" t="s">
        <v>2327</v>
      </c>
      <c r="U9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E540-302037405-D245401</v>
      </c>
      <c r="Y92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E540-30203740503-D245401</v>
      </c>
      <c r="Z9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2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92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" spans="1:31" hidden="1" x14ac:dyDescent="0.3">
      <c r="A93" s="6" t="s">
        <v>2341</v>
      </c>
      <c r="B93" s="6" t="s">
        <v>26</v>
      </c>
      <c r="C93" s="6" t="s">
        <v>1041</v>
      </c>
      <c r="D93" s="6" t="s">
        <v>1042</v>
      </c>
      <c r="E93" s="6" t="s">
        <v>2241</v>
      </c>
      <c r="F93" s="8">
        <v>324469</v>
      </c>
      <c r="G93" s="6" t="s">
        <v>2237</v>
      </c>
      <c r="H93" s="8">
        <v>324469</v>
      </c>
      <c r="I93" s="6" t="s">
        <v>2237</v>
      </c>
      <c r="J93" s="8">
        <v>0</v>
      </c>
      <c r="K93" s="6" t="s">
        <v>2237</v>
      </c>
      <c r="L93" s="8">
        <v>0</v>
      </c>
      <c r="M93" s="6" t="s">
        <v>2237</v>
      </c>
      <c r="N93" s="8">
        <v>274356.73</v>
      </c>
      <c r="O93" s="6" t="s">
        <v>2237</v>
      </c>
      <c r="P93" s="6" t="s">
        <v>2236</v>
      </c>
      <c r="Q93" s="9" t="s">
        <v>2242</v>
      </c>
      <c r="R93" s="9" t="s">
        <v>2238</v>
      </c>
      <c r="S93" s="9" t="s">
        <v>2243</v>
      </c>
      <c r="T93" s="9" t="s">
        <v>2244</v>
      </c>
      <c r="U9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E540-302037404-D245401</v>
      </c>
      <c r="Y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3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3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" spans="1:31" hidden="1" x14ac:dyDescent="0.3">
      <c r="A94" s="6" t="s">
        <v>2342</v>
      </c>
      <c r="B94" s="6" t="s">
        <v>30</v>
      </c>
      <c r="C94" s="6" t="s">
        <v>1694</v>
      </c>
      <c r="D94" s="6" t="s">
        <v>1695</v>
      </c>
      <c r="E94" s="6" t="s">
        <v>2241</v>
      </c>
      <c r="F94" s="8">
        <v>0</v>
      </c>
      <c r="G94" s="6" t="s">
        <v>2237</v>
      </c>
      <c r="H94" s="8">
        <v>0</v>
      </c>
      <c r="I94" s="6" t="s">
        <v>2237</v>
      </c>
      <c r="J94" s="8">
        <v>0</v>
      </c>
      <c r="K94" s="6" t="s">
        <v>2237</v>
      </c>
      <c r="L94" s="8">
        <v>0</v>
      </c>
      <c r="M94" s="6" t="s">
        <v>2237</v>
      </c>
      <c r="N94" s="8">
        <v>51256.19</v>
      </c>
      <c r="O94" s="6" t="s">
        <v>2237</v>
      </c>
      <c r="P94" s="6" t="s">
        <v>2236</v>
      </c>
      <c r="Q94" s="9" t="s">
        <v>2242</v>
      </c>
      <c r="R94" s="9" t="s">
        <v>2238</v>
      </c>
      <c r="S94" s="9" t="s">
        <v>2243</v>
      </c>
      <c r="T94" s="9" t="s">
        <v>2327</v>
      </c>
      <c r="U9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E540-302037404-D245401</v>
      </c>
      <c r="Y94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E540-30203740460-D245401</v>
      </c>
      <c r="Z9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4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4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94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" spans="1:31" hidden="1" x14ac:dyDescent="0.3">
      <c r="A95" s="6" t="s">
        <v>2343</v>
      </c>
      <c r="B95" s="6" t="s">
        <v>30</v>
      </c>
      <c r="C95" s="6" t="s">
        <v>1692</v>
      </c>
      <c r="D95" s="6" t="s">
        <v>1693</v>
      </c>
      <c r="E95" s="6" t="s">
        <v>2241</v>
      </c>
      <c r="F95" s="8">
        <v>0</v>
      </c>
      <c r="G95" s="6" t="s">
        <v>2237</v>
      </c>
      <c r="H95" s="8">
        <v>0</v>
      </c>
      <c r="I95" s="6" t="s">
        <v>2237</v>
      </c>
      <c r="J95" s="8">
        <v>0</v>
      </c>
      <c r="K95" s="6" t="s">
        <v>2237</v>
      </c>
      <c r="L95" s="8">
        <v>0</v>
      </c>
      <c r="M95" s="6" t="s">
        <v>2237</v>
      </c>
      <c r="N95" s="8">
        <v>223100.54</v>
      </c>
      <c r="O95" s="6" t="s">
        <v>2237</v>
      </c>
      <c r="P95" s="6" t="s">
        <v>2236</v>
      </c>
      <c r="Q95" s="9" t="s">
        <v>2242</v>
      </c>
      <c r="R95" s="9" t="s">
        <v>2238</v>
      </c>
      <c r="S95" s="9" t="s">
        <v>2243</v>
      </c>
      <c r="T95" s="9" t="s">
        <v>2327</v>
      </c>
      <c r="U9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5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5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5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E540-302037404-D245401</v>
      </c>
      <c r="Y95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E540-30203740403-D245401</v>
      </c>
      <c r="Z9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5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95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" spans="1:31" hidden="1" x14ac:dyDescent="0.3">
      <c r="A96" s="6" t="s">
        <v>2344</v>
      </c>
      <c r="B96" s="6" t="s">
        <v>26</v>
      </c>
      <c r="C96" s="6" t="s">
        <v>1039</v>
      </c>
      <c r="D96" s="6" t="s">
        <v>1040</v>
      </c>
      <c r="E96" s="6" t="s">
        <v>2241</v>
      </c>
      <c r="F96" s="8">
        <v>346892</v>
      </c>
      <c r="G96" s="6" t="s">
        <v>2237</v>
      </c>
      <c r="H96" s="8">
        <v>346892</v>
      </c>
      <c r="I96" s="6" t="s">
        <v>2237</v>
      </c>
      <c r="J96" s="8">
        <v>0</v>
      </c>
      <c r="K96" s="6" t="s">
        <v>2237</v>
      </c>
      <c r="L96" s="8">
        <v>0</v>
      </c>
      <c r="M96" s="6" t="s">
        <v>2237</v>
      </c>
      <c r="N96" s="8">
        <v>346614.92</v>
      </c>
      <c r="O96" s="6" t="s">
        <v>2237</v>
      </c>
      <c r="P96" s="6" t="s">
        <v>2236</v>
      </c>
      <c r="Q96" s="9" t="s">
        <v>2242</v>
      </c>
      <c r="R96" s="9" t="s">
        <v>2238</v>
      </c>
      <c r="S96" s="9" t="s">
        <v>2243</v>
      </c>
      <c r="T96" s="9" t="s">
        <v>2256</v>
      </c>
      <c r="U9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6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6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6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E540-302037403-D245401</v>
      </c>
      <c r="Y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6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6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" spans="1:31" hidden="1" x14ac:dyDescent="0.3">
      <c r="A97" s="6" t="s">
        <v>2345</v>
      </c>
      <c r="B97" s="6" t="s">
        <v>30</v>
      </c>
      <c r="C97" s="6" t="s">
        <v>1690</v>
      </c>
      <c r="D97" s="6" t="s">
        <v>1691</v>
      </c>
      <c r="E97" s="6" t="s">
        <v>2241</v>
      </c>
      <c r="F97" s="8">
        <v>0</v>
      </c>
      <c r="G97" s="6" t="s">
        <v>2237</v>
      </c>
      <c r="H97" s="8">
        <v>0</v>
      </c>
      <c r="I97" s="6" t="s">
        <v>2237</v>
      </c>
      <c r="J97" s="8">
        <v>0</v>
      </c>
      <c r="K97" s="6" t="s">
        <v>2237</v>
      </c>
      <c r="L97" s="8">
        <v>0</v>
      </c>
      <c r="M97" s="6" t="s">
        <v>2237</v>
      </c>
      <c r="N97" s="8">
        <v>127988.53</v>
      </c>
      <c r="O97" s="6" t="s">
        <v>2237</v>
      </c>
      <c r="P97" s="6" t="s">
        <v>2236</v>
      </c>
      <c r="Q97" s="9" t="s">
        <v>2242</v>
      </c>
      <c r="R97" s="9" t="s">
        <v>2238</v>
      </c>
      <c r="S97" s="9" t="s">
        <v>2243</v>
      </c>
      <c r="T97" s="9" t="s">
        <v>2327</v>
      </c>
      <c r="U9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7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7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7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E540-302037403-D245401</v>
      </c>
      <c r="Y97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E540-30203740360-D245401</v>
      </c>
      <c r="Z9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7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7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97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" spans="1:31" hidden="1" x14ac:dyDescent="0.3">
      <c r="A98" s="6" t="s">
        <v>2346</v>
      </c>
      <c r="B98" s="6" t="s">
        <v>30</v>
      </c>
      <c r="C98" s="6" t="s">
        <v>1688</v>
      </c>
      <c r="D98" s="6" t="s">
        <v>1689</v>
      </c>
      <c r="E98" s="6" t="s">
        <v>2241</v>
      </c>
      <c r="F98" s="8">
        <v>0</v>
      </c>
      <c r="G98" s="6" t="s">
        <v>2237</v>
      </c>
      <c r="H98" s="8">
        <v>0</v>
      </c>
      <c r="I98" s="6" t="s">
        <v>2237</v>
      </c>
      <c r="J98" s="8">
        <v>0</v>
      </c>
      <c r="K98" s="6" t="s">
        <v>2237</v>
      </c>
      <c r="L98" s="8">
        <v>0</v>
      </c>
      <c r="M98" s="6" t="s">
        <v>2237</v>
      </c>
      <c r="N98" s="8">
        <v>218626.39</v>
      </c>
      <c r="O98" s="6" t="s">
        <v>2237</v>
      </c>
      <c r="P98" s="6" t="s">
        <v>2236</v>
      </c>
      <c r="Q98" s="9" t="s">
        <v>2242</v>
      </c>
      <c r="R98" s="9" t="s">
        <v>2238</v>
      </c>
      <c r="S98" s="9" t="s">
        <v>2243</v>
      </c>
      <c r="T98" s="9" t="s">
        <v>2327</v>
      </c>
      <c r="U9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8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8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8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E540-302037403-D245401</v>
      </c>
      <c r="Y98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E540-30203740303-D245401</v>
      </c>
      <c r="Z9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8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98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" spans="1:31" hidden="1" x14ac:dyDescent="0.3">
      <c r="A99" s="6" t="s">
        <v>2347</v>
      </c>
      <c r="B99" s="6" t="s">
        <v>26</v>
      </c>
      <c r="C99" s="6" t="s">
        <v>1037</v>
      </c>
      <c r="D99" s="6" t="s">
        <v>1038</v>
      </c>
      <c r="E99" s="6" t="s">
        <v>2241</v>
      </c>
      <c r="F99" s="8">
        <v>324470</v>
      </c>
      <c r="G99" s="6" t="s">
        <v>2237</v>
      </c>
      <c r="H99" s="8">
        <v>324470</v>
      </c>
      <c r="I99" s="6" t="s">
        <v>2237</v>
      </c>
      <c r="J99" s="8">
        <v>0</v>
      </c>
      <c r="K99" s="6" t="s">
        <v>2237</v>
      </c>
      <c r="L99" s="8">
        <v>0</v>
      </c>
      <c r="M99" s="6" t="s">
        <v>2237</v>
      </c>
      <c r="N99" s="8">
        <v>310420.61</v>
      </c>
      <c r="O99" s="6" t="s">
        <v>2237</v>
      </c>
      <c r="P99" s="6" t="s">
        <v>2236</v>
      </c>
      <c r="Q99" s="9" t="s">
        <v>2242</v>
      </c>
      <c r="R99" s="9" t="s">
        <v>2238</v>
      </c>
      <c r="S99" s="9" t="s">
        <v>2243</v>
      </c>
      <c r="T99" s="9" t="s">
        <v>2244</v>
      </c>
      <c r="U9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99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99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99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E540-302037402-D245401</v>
      </c>
      <c r="Y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99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99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" spans="1:31" hidden="1" x14ac:dyDescent="0.3">
      <c r="A100" s="6" t="s">
        <v>2348</v>
      </c>
      <c r="B100" s="6" t="s">
        <v>30</v>
      </c>
      <c r="C100" s="6" t="s">
        <v>1686</v>
      </c>
      <c r="D100" s="6" t="s">
        <v>1687</v>
      </c>
      <c r="E100" s="6" t="s">
        <v>2241</v>
      </c>
      <c r="F100" s="8">
        <v>0</v>
      </c>
      <c r="G100" s="6" t="s">
        <v>2237</v>
      </c>
      <c r="H100" s="8">
        <v>0</v>
      </c>
      <c r="I100" s="6" t="s">
        <v>2237</v>
      </c>
      <c r="J100" s="8">
        <v>0</v>
      </c>
      <c r="K100" s="6" t="s">
        <v>2237</v>
      </c>
      <c r="L100" s="8">
        <v>0</v>
      </c>
      <c r="M100" s="6" t="s">
        <v>2237</v>
      </c>
      <c r="N100" s="8">
        <v>121598.7</v>
      </c>
      <c r="O100" s="6" t="s">
        <v>2237</v>
      </c>
      <c r="P100" s="6" t="s">
        <v>2236</v>
      </c>
      <c r="Q100" s="9" t="s">
        <v>2242</v>
      </c>
      <c r="R100" s="9" t="s">
        <v>2238</v>
      </c>
      <c r="S100" s="9" t="s">
        <v>2243</v>
      </c>
      <c r="T100" s="9" t="s">
        <v>2327</v>
      </c>
      <c r="U10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0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00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100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E540-302037402-D245401</v>
      </c>
      <c r="Y100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E540-30203740260-D245401</v>
      </c>
      <c r="Z10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00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00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100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" spans="1:31" hidden="1" x14ac:dyDescent="0.3">
      <c r="A101" s="6" t="s">
        <v>2349</v>
      </c>
      <c r="B101" s="6" t="s">
        <v>30</v>
      </c>
      <c r="C101" s="6" t="s">
        <v>1684</v>
      </c>
      <c r="D101" s="6" t="s">
        <v>1685</v>
      </c>
      <c r="E101" s="6" t="s">
        <v>2241</v>
      </c>
      <c r="F101" s="8">
        <v>0</v>
      </c>
      <c r="G101" s="6" t="s">
        <v>2237</v>
      </c>
      <c r="H101" s="8">
        <v>0</v>
      </c>
      <c r="I101" s="6" t="s">
        <v>2237</v>
      </c>
      <c r="J101" s="8">
        <v>0</v>
      </c>
      <c r="K101" s="6" t="s">
        <v>2237</v>
      </c>
      <c r="L101" s="8">
        <v>0</v>
      </c>
      <c r="M101" s="6" t="s">
        <v>2237</v>
      </c>
      <c r="N101" s="8">
        <v>188821.91</v>
      </c>
      <c r="O101" s="6" t="s">
        <v>2237</v>
      </c>
      <c r="P101" s="6" t="s">
        <v>2236</v>
      </c>
      <c r="Q101" s="9" t="s">
        <v>2242</v>
      </c>
      <c r="R101" s="9" t="s">
        <v>2238</v>
      </c>
      <c r="S101" s="9" t="s">
        <v>2243</v>
      </c>
      <c r="T101" s="9" t="s">
        <v>2327</v>
      </c>
      <c r="U10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1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01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101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E540-302037402-D245401</v>
      </c>
      <c r="Y101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E540-30203740203-D245401</v>
      </c>
      <c r="Z10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01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0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01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" spans="1:31" hidden="1" x14ac:dyDescent="0.3">
      <c r="A102" s="6" t="s">
        <v>2350</v>
      </c>
      <c r="B102" s="6" t="s">
        <v>26</v>
      </c>
      <c r="C102" s="6" t="s">
        <v>1035</v>
      </c>
      <c r="D102" s="6" t="s">
        <v>1036</v>
      </c>
      <c r="E102" s="6" t="s">
        <v>2241</v>
      </c>
      <c r="F102" s="8">
        <v>324574</v>
      </c>
      <c r="G102" s="6" t="s">
        <v>2237</v>
      </c>
      <c r="H102" s="8">
        <v>324574</v>
      </c>
      <c r="I102" s="6" t="s">
        <v>2237</v>
      </c>
      <c r="J102" s="8">
        <v>0</v>
      </c>
      <c r="K102" s="6" t="s">
        <v>2237</v>
      </c>
      <c r="L102" s="8">
        <v>0</v>
      </c>
      <c r="M102" s="6" t="s">
        <v>2237</v>
      </c>
      <c r="N102" s="8">
        <v>293660.82</v>
      </c>
      <c r="O102" s="6" t="s">
        <v>2237</v>
      </c>
      <c r="P102" s="6" t="s">
        <v>2236</v>
      </c>
      <c r="Q102" s="9" t="s">
        <v>2242</v>
      </c>
      <c r="R102" s="9" t="s">
        <v>2238</v>
      </c>
      <c r="S102" s="9" t="s">
        <v>2243</v>
      </c>
      <c r="T102" s="9" t="s">
        <v>2244</v>
      </c>
      <c r="U10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2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02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102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E540-302037401-D245401</v>
      </c>
      <c r="Y1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02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02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" spans="1:31" hidden="1" x14ac:dyDescent="0.3">
      <c r="A103" s="6" t="s">
        <v>2351</v>
      </c>
      <c r="B103" s="6" t="s">
        <v>30</v>
      </c>
      <c r="C103" s="6" t="s">
        <v>1682</v>
      </c>
      <c r="D103" s="6" t="s">
        <v>1683</v>
      </c>
      <c r="E103" s="6" t="s">
        <v>2241</v>
      </c>
      <c r="F103" s="8">
        <v>0</v>
      </c>
      <c r="G103" s="6" t="s">
        <v>2237</v>
      </c>
      <c r="H103" s="8">
        <v>0</v>
      </c>
      <c r="I103" s="6" t="s">
        <v>2237</v>
      </c>
      <c r="J103" s="8">
        <v>0</v>
      </c>
      <c r="K103" s="6" t="s">
        <v>2237</v>
      </c>
      <c r="L103" s="8">
        <v>0</v>
      </c>
      <c r="M103" s="6" t="s">
        <v>2237</v>
      </c>
      <c r="N103" s="8">
        <v>177723.6</v>
      </c>
      <c r="O103" s="6" t="s">
        <v>2237</v>
      </c>
      <c r="P103" s="6" t="s">
        <v>2236</v>
      </c>
      <c r="Q103" s="9" t="s">
        <v>2242</v>
      </c>
      <c r="R103" s="9" t="s">
        <v>2238</v>
      </c>
      <c r="S103" s="9" t="s">
        <v>2243</v>
      </c>
      <c r="T103" s="9" t="s">
        <v>2327</v>
      </c>
      <c r="U10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3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03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103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E540-302037401-D245401</v>
      </c>
      <c r="Y103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E540-30203740160-D245401</v>
      </c>
      <c r="Z10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03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03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103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" spans="1:31" hidden="1" x14ac:dyDescent="0.3">
      <c r="A104" s="6" t="s">
        <v>2352</v>
      </c>
      <c r="B104" s="6" t="s">
        <v>30</v>
      </c>
      <c r="C104" s="6" t="s">
        <v>1680</v>
      </c>
      <c r="D104" s="6" t="s">
        <v>1681</v>
      </c>
      <c r="E104" s="6" t="s">
        <v>2241</v>
      </c>
      <c r="F104" s="8">
        <v>0</v>
      </c>
      <c r="G104" s="6" t="s">
        <v>2237</v>
      </c>
      <c r="H104" s="8">
        <v>0</v>
      </c>
      <c r="I104" s="6" t="s">
        <v>2237</v>
      </c>
      <c r="J104" s="8">
        <v>0</v>
      </c>
      <c r="K104" s="6" t="s">
        <v>2237</v>
      </c>
      <c r="L104" s="8">
        <v>0</v>
      </c>
      <c r="M104" s="6" t="s">
        <v>2237</v>
      </c>
      <c r="N104" s="8">
        <v>115937.22</v>
      </c>
      <c r="O104" s="6" t="s">
        <v>2237</v>
      </c>
      <c r="P104" s="6" t="s">
        <v>2236</v>
      </c>
      <c r="Q104" s="9" t="s">
        <v>2242</v>
      </c>
      <c r="R104" s="9" t="s">
        <v>2238</v>
      </c>
      <c r="S104" s="9" t="s">
        <v>2243</v>
      </c>
      <c r="T104" s="9" t="s">
        <v>2327</v>
      </c>
      <c r="U10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4" s="10" t="str">
        <f>IF(IFERROR(INDEX(WBS_Dictionary!F$2:F$1212, MATCH(Table2[[#This Row],[WBS_ID]], Table26[WBS CODE],0)), "") = "", "null", IFERROR(INDEX(WBS_Dictionary!F$2:F$1212, MATCH(Table2[[#This Row],[WBS_ID]], Table26[WBS CODE],0)), ""))</f>
        <v>E540-30203-D245401</v>
      </c>
      <c r="W104" s="10" t="str">
        <f>IF(IFERROR(INDEX(WBS_Dictionary!G$2:G$1212, MATCH(Table2[[#This Row],[WBS_ID]], Table26[WBS CODE],0)), "") = "", "null", IFERROR(INDEX(WBS_Dictionary!G$2:G$1212, MATCH(Table2[[#This Row],[WBS_ID]], Table26[WBS CODE],0)), ""))</f>
        <v>E540-3020374-D245401</v>
      </c>
      <c r="X104" s="10" t="str">
        <f>IF(IFERROR(INDEX(WBS_Dictionary!H$2:H$1212, MATCH(Table2[[#This Row],[WBS_ID]], Table26[WBS CODE],0)), "") = "", "null", IFERROR(INDEX(WBS_Dictionary!H$2:H$1212, MATCH(Table2[[#This Row],[WBS_ID]], Table26[WBS CODE],0)), ""))</f>
        <v>E540-302037401-D245401</v>
      </c>
      <c r="Y104" s="10" t="str">
        <f>IF(IFERROR(INDEX(WBS_Dictionary!I$2:I$1212, MATCH(Table2[[#This Row],[WBS_ID]], Table26[WBS CODE],0)), "") = "", "null", IFERROR(INDEX(WBS_Dictionary!I$2:I$1212, MATCH(Table2[[#This Row],[WBS_ID]], Table26[WBS CODE],0)), ""))</f>
        <v>E540-30203740103-D245401</v>
      </c>
      <c r="Z10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04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04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" spans="1:31" hidden="1" x14ac:dyDescent="0.3">
      <c r="A105" s="6" t="s">
        <v>2353</v>
      </c>
      <c r="B105" s="6" t="s">
        <v>18</v>
      </c>
      <c r="C105" s="7" t="s">
        <v>261</v>
      </c>
      <c r="D105" s="6" t="s">
        <v>817</v>
      </c>
      <c r="E105" s="6" t="s">
        <v>2241</v>
      </c>
      <c r="F105" s="8">
        <v>3925978.16</v>
      </c>
      <c r="G105" s="6" t="s">
        <v>2237</v>
      </c>
      <c r="H105" s="8">
        <v>3925977.5</v>
      </c>
      <c r="I105" s="6" t="s">
        <v>2237</v>
      </c>
      <c r="J105" s="8">
        <v>0</v>
      </c>
      <c r="K105" s="6" t="s">
        <v>2237</v>
      </c>
      <c r="L105" s="8">
        <v>692365.02</v>
      </c>
      <c r="M105" s="6" t="s">
        <v>2237</v>
      </c>
      <c r="N105" s="8">
        <v>2032624.54</v>
      </c>
      <c r="O105" s="6" t="s">
        <v>2237</v>
      </c>
      <c r="P105" s="6" t="s">
        <v>2236</v>
      </c>
      <c r="Q105" s="9" t="s">
        <v>2242</v>
      </c>
      <c r="R105" s="9" t="s">
        <v>2238</v>
      </c>
      <c r="S105" s="9" t="s">
        <v>2243</v>
      </c>
      <c r="T105" s="9" t="s">
        <v>2244</v>
      </c>
      <c r="U10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" spans="1:31" hidden="1" x14ac:dyDescent="0.3">
      <c r="A106" s="6" t="s">
        <v>2354</v>
      </c>
      <c r="B106" s="6" t="s">
        <v>21</v>
      </c>
      <c r="C106" s="6" t="s">
        <v>861</v>
      </c>
      <c r="D106" s="6" t="s">
        <v>862</v>
      </c>
      <c r="E106" s="6" t="s">
        <v>2241</v>
      </c>
      <c r="F106" s="8">
        <v>113305</v>
      </c>
      <c r="G106" s="6" t="s">
        <v>2237</v>
      </c>
      <c r="H106" s="8">
        <v>113305</v>
      </c>
      <c r="I106" s="6" t="s">
        <v>2237</v>
      </c>
      <c r="J106" s="8">
        <v>0</v>
      </c>
      <c r="K106" s="6" t="s">
        <v>2237</v>
      </c>
      <c r="L106" s="8">
        <v>0</v>
      </c>
      <c r="M106" s="6" t="s">
        <v>2237</v>
      </c>
      <c r="N106" s="8">
        <v>13129.99</v>
      </c>
      <c r="O106" s="6" t="s">
        <v>2237</v>
      </c>
      <c r="P106" s="6" t="s">
        <v>2236</v>
      </c>
      <c r="Q106" s="9" t="s">
        <v>2242</v>
      </c>
      <c r="R106" s="9" t="s">
        <v>2238</v>
      </c>
      <c r="S106" s="9" t="s">
        <v>2243</v>
      </c>
      <c r="T106" s="9" t="s">
        <v>2244</v>
      </c>
      <c r="U10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0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E540-3012980-D245401</v>
      </c>
      <c r="X1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6" s="10" t="str">
        <f>IF(IFERROR(INDEX(WBS_Dictionary!K$2:K$1212, MATCH(Table2[[#This Row],[WBS_ID]], Table26[WBS CODE],0)), "") = "", "null", IFERROR(INDEX(WBS_Dictionary!K$2:K$1212, MATCH(Table2[[#This Row],[WBS_ID]], Table26[WBS CODE],0)), ""))</f>
        <v>Project Management Cost</v>
      </c>
      <c r="AB1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" spans="1:31" hidden="1" x14ac:dyDescent="0.3">
      <c r="A107" s="6" t="s">
        <v>2355</v>
      </c>
      <c r="B107" s="6" t="s">
        <v>26</v>
      </c>
      <c r="C107" s="6" t="s">
        <v>861</v>
      </c>
      <c r="D107" s="6" t="s">
        <v>1030</v>
      </c>
      <c r="E107" s="6" t="s">
        <v>2241</v>
      </c>
      <c r="F107" s="8">
        <v>113305</v>
      </c>
      <c r="G107" s="6" t="s">
        <v>2237</v>
      </c>
      <c r="H107" s="8">
        <v>0</v>
      </c>
      <c r="I107" s="6" t="s">
        <v>2237</v>
      </c>
      <c r="J107" s="8">
        <v>0</v>
      </c>
      <c r="K107" s="6" t="s">
        <v>2237</v>
      </c>
      <c r="L107" s="8">
        <v>0</v>
      </c>
      <c r="M107" s="6" t="s">
        <v>2237</v>
      </c>
      <c r="N107" s="8">
        <v>13129.99</v>
      </c>
      <c r="O107" s="6" t="s">
        <v>2237</v>
      </c>
      <c r="P107" s="6" t="s">
        <v>2236</v>
      </c>
      <c r="Q107" s="9" t="s">
        <v>2242</v>
      </c>
      <c r="R107" s="9" t="s">
        <v>2238</v>
      </c>
      <c r="S107" s="9" t="s">
        <v>2243</v>
      </c>
      <c r="T107" s="9" t="s">
        <v>2244</v>
      </c>
      <c r="U10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0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E540-3012980-D245401</v>
      </c>
      <c r="X10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E540-301298052-D245401</v>
      </c>
      <c r="Y1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7" s="10" t="str">
        <f>IF(IFERROR(INDEX(WBS_Dictionary!K$2:K$1212, MATCH(Table2[[#This Row],[WBS_ID]], Table26[WBS CODE],0)), "") = "", "null", IFERROR(INDEX(WBS_Dictionary!K$2:K$1212, MATCH(Table2[[#This Row],[WBS_ID]], Table26[WBS CODE],0)), ""))</f>
        <v>Project Management Cost</v>
      </c>
      <c r="AB107" s="10" t="str">
        <f>IF(IFERROR(INDEX(WBS_Dictionary!L$2:L$1212, MATCH(Table2[[#This Row],[WBS_ID]], Table26[WBS CODE],0)), "") = "", "null", IFERROR(INDEX(WBS_Dictionary!L$2:L$1212, MATCH(Table2[[#This Row],[WBS_ID]], Table26[WBS CODE],0)), ""))</f>
        <v>Project Management Cost</v>
      </c>
      <c r="AC1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" spans="1:31" hidden="1" x14ac:dyDescent="0.3">
      <c r="A108" s="6" t="s">
        <v>2356</v>
      </c>
      <c r="B108" s="6" t="s">
        <v>30</v>
      </c>
      <c r="C108" s="6" t="s">
        <v>861</v>
      </c>
      <c r="D108" s="6" t="s">
        <v>1676</v>
      </c>
      <c r="E108" s="6" t="s">
        <v>2241</v>
      </c>
      <c r="F108" s="8">
        <v>0</v>
      </c>
      <c r="G108" s="6" t="s">
        <v>2237</v>
      </c>
      <c r="H108" s="8">
        <v>0</v>
      </c>
      <c r="I108" s="6" t="s">
        <v>2237</v>
      </c>
      <c r="J108" s="8">
        <v>0</v>
      </c>
      <c r="K108" s="6" t="s">
        <v>2237</v>
      </c>
      <c r="L108" s="8">
        <v>0</v>
      </c>
      <c r="M108" s="6" t="s">
        <v>2237</v>
      </c>
      <c r="N108" s="8">
        <v>13129.99</v>
      </c>
      <c r="O108" s="6" t="s">
        <v>2237</v>
      </c>
      <c r="P108" s="6" t="s">
        <v>2236</v>
      </c>
      <c r="Q108" s="9" t="s">
        <v>2242</v>
      </c>
      <c r="R108" s="9" t="s">
        <v>2238</v>
      </c>
      <c r="S108" s="9" t="s">
        <v>2243</v>
      </c>
      <c r="T108" s="9" t="s">
        <v>2327</v>
      </c>
      <c r="U10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0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E540-3012980-D245401</v>
      </c>
      <c r="X10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E540-301298052-D245401</v>
      </c>
      <c r="Y108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E540-30129805264-D245401</v>
      </c>
      <c r="Z10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8" s="10" t="str">
        <f>IF(IFERROR(INDEX(WBS_Dictionary!K$2:K$1212, MATCH(Table2[[#This Row],[WBS_ID]], Table26[WBS CODE],0)), "") = "", "null", IFERROR(INDEX(WBS_Dictionary!K$2:K$1212, MATCH(Table2[[#This Row],[WBS_ID]], Table26[WBS CODE],0)), ""))</f>
        <v>Project Management Cost</v>
      </c>
      <c r="AB108" s="10" t="str">
        <f>IF(IFERROR(INDEX(WBS_Dictionary!L$2:L$1212, MATCH(Table2[[#This Row],[WBS_ID]], Table26[WBS CODE],0)), "") = "", "null", IFERROR(INDEX(WBS_Dictionary!L$2:L$1212, MATCH(Table2[[#This Row],[WBS_ID]], Table26[WBS CODE],0)), ""))</f>
        <v>Project Management Cost</v>
      </c>
      <c r="AC108" s="10" t="str">
        <f>IF(IFERROR(INDEX(WBS_Dictionary!M$2:M$1212, MATCH(Table2[[#This Row],[WBS_ID]], Table26[WBS CODE],0)), "") = "", "null", IFERROR(INDEX(WBS_Dictionary!M$2:M$1212, MATCH(Table2[[#This Row],[WBS_ID]], Table26[WBS CODE],0)), ""))</f>
        <v>Project Management Cost</v>
      </c>
      <c r="AD1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" spans="1:31" hidden="1" x14ac:dyDescent="0.3">
      <c r="A109" s="6" t="s">
        <v>2357</v>
      </c>
      <c r="B109" s="6" t="s">
        <v>21</v>
      </c>
      <c r="C109" s="6" t="s">
        <v>269</v>
      </c>
      <c r="D109" s="6" t="s">
        <v>864</v>
      </c>
      <c r="E109" s="6" t="s">
        <v>2241</v>
      </c>
      <c r="F109" s="8">
        <v>33400</v>
      </c>
      <c r="G109" s="6" t="s">
        <v>2237</v>
      </c>
      <c r="H109" s="8">
        <v>33400</v>
      </c>
      <c r="I109" s="6" t="s">
        <v>2237</v>
      </c>
      <c r="J109" s="8">
        <v>0</v>
      </c>
      <c r="K109" s="6" t="s">
        <v>2237</v>
      </c>
      <c r="L109" s="8">
        <v>0</v>
      </c>
      <c r="M109" s="6" t="s">
        <v>2237</v>
      </c>
      <c r="N109" s="8">
        <v>9138.2000000000007</v>
      </c>
      <c r="O109" s="6" t="s">
        <v>2237</v>
      </c>
      <c r="P109" s="6" t="s">
        <v>2236</v>
      </c>
      <c r="Q109" s="9" t="s">
        <v>2242</v>
      </c>
      <c r="R109" s="9" t="s">
        <v>2238</v>
      </c>
      <c r="S109" s="9" t="s">
        <v>2243</v>
      </c>
      <c r="T109" s="9" t="s">
        <v>2244</v>
      </c>
      <c r="U10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0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0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E540-3012982-D245401</v>
      </c>
      <c r="X1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9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" spans="1:31" hidden="1" x14ac:dyDescent="0.3">
      <c r="A110" s="6" t="s">
        <v>2358</v>
      </c>
      <c r="B110" s="6" t="s">
        <v>26</v>
      </c>
      <c r="C110" s="6" t="s">
        <v>1033</v>
      </c>
      <c r="D110" s="6" t="s">
        <v>1034</v>
      </c>
      <c r="E110" s="6" t="s">
        <v>2241</v>
      </c>
      <c r="F110" s="8">
        <v>13100</v>
      </c>
      <c r="G110" s="6" t="s">
        <v>2237</v>
      </c>
      <c r="H110" s="8">
        <v>13100</v>
      </c>
      <c r="I110" s="6" t="s">
        <v>2237</v>
      </c>
      <c r="J110" s="8">
        <v>0</v>
      </c>
      <c r="K110" s="6" t="s">
        <v>2237</v>
      </c>
      <c r="L110" s="8">
        <v>0</v>
      </c>
      <c r="M110" s="6" t="s">
        <v>2237</v>
      </c>
      <c r="N110" s="8">
        <v>5138.1400000000003</v>
      </c>
      <c r="O110" s="6" t="s">
        <v>2237</v>
      </c>
      <c r="P110" s="6" t="s">
        <v>2236</v>
      </c>
      <c r="Q110" s="9" t="s">
        <v>2242</v>
      </c>
      <c r="R110" s="9" t="s">
        <v>2238</v>
      </c>
      <c r="S110" s="9" t="s">
        <v>2243</v>
      </c>
      <c r="T110" s="9" t="s">
        <v>2244</v>
      </c>
      <c r="U11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1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E540-3012982-D245401</v>
      </c>
      <c r="X110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E540-301298265-D245401</v>
      </c>
      <c r="Y1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10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10" s="10" t="str">
        <f>IF(IFERROR(INDEX(WBS_Dictionary!L$2:L$1212, MATCH(Table2[[#This Row],[WBS_ID]], Table26[WBS CODE],0)), "") = "", "null", IFERROR(INDEX(WBS_Dictionary!L$2:L$1212, MATCH(Table2[[#This Row],[WBS_ID]], Table26[WBS CODE],0)), ""))</f>
        <v>Internet and IT Support Service</v>
      </c>
      <c r="AC1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" spans="1:31" hidden="1" x14ac:dyDescent="0.3">
      <c r="A111" s="6" t="s">
        <v>2359</v>
      </c>
      <c r="B111" s="6" t="s">
        <v>30</v>
      </c>
      <c r="C111" s="6" t="s">
        <v>1033</v>
      </c>
      <c r="D111" s="6" t="s">
        <v>1679</v>
      </c>
      <c r="E111" s="6" t="s">
        <v>2241</v>
      </c>
      <c r="F111" s="8">
        <v>0</v>
      </c>
      <c r="G111" s="6" t="s">
        <v>2237</v>
      </c>
      <c r="H111" s="8">
        <v>0</v>
      </c>
      <c r="I111" s="6" t="s">
        <v>2237</v>
      </c>
      <c r="J111" s="8">
        <v>0</v>
      </c>
      <c r="K111" s="6" t="s">
        <v>2237</v>
      </c>
      <c r="L111" s="8">
        <v>0</v>
      </c>
      <c r="M111" s="6" t="s">
        <v>2237</v>
      </c>
      <c r="N111" s="8">
        <v>5138.1400000000003</v>
      </c>
      <c r="O111" s="6" t="s">
        <v>2237</v>
      </c>
      <c r="P111" s="6" t="s">
        <v>2236</v>
      </c>
      <c r="Q111" s="9" t="s">
        <v>2242</v>
      </c>
      <c r="R111" s="9" t="s">
        <v>2238</v>
      </c>
      <c r="S111" s="9" t="s">
        <v>2243</v>
      </c>
      <c r="T111" s="9" t="s">
        <v>2327</v>
      </c>
      <c r="U11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1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E540-3012982-D245401</v>
      </c>
      <c r="X111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E540-301298265-D245401</v>
      </c>
      <c r="Y111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E540-30129826585-D245401</v>
      </c>
      <c r="Z11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11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11" s="10" t="str">
        <f>IF(IFERROR(INDEX(WBS_Dictionary!L$2:L$1212, MATCH(Table2[[#This Row],[WBS_ID]], Table26[WBS CODE],0)), "") = "", "null", IFERROR(INDEX(WBS_Dictionary!L$2:L$1212, MATCH(Table2[[#This Row],[WBS_ID]], Table26[WBS CODE],0)), ""))</f>
        <v>Internet and IT Support Service</v>
      </c>
      <c r="AC111" s="10" t="str">
        <f>IF(IFERROR(INDEX(WBS_Dictionary!M$2:M$1212, MATCH(Table2[[#This Row],[WBS_ID]], Table26[WBS CODE],0)), "") = "", "null", IFERROR(INDEX(WBS_Dictionary!M$2:M$1212, MATCH(Table2[[#This Row],[WBS_ID]], Table26[WBS CODE],0)), ""))</f>
        <v>Internet and IT Support Service</v>
      </c>
      <c r="AD1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" spans="1:31" hidden="1" x14ac:dyDescent="0.3">
      <c r="A112" s="6" t="s">
        <v>2360</v>
      </c>
      <c r="B112" s="6" t="s">
        <v>26</v>
      </c>
      <c r="C112" s="6" t="s">
        <v>266</v>
      </c>
      <c r="D112" s="6" t="s">
        <v>1032</v>
      </c>
      <c r="E112" s="6" t="s">
        <v>2241</v>
      </c>
      <c r="F112" s="8">
        <v>20300</v>
      </c>
      <c r="G112" s="6" t="s">
        <v>2237</v>
      </c>
      <c r="H112" s="8">
        <v>20300</v>
      </c>
      <c r="I112" s="6" t="s">
        <v>2237</v>
      </c>
      <c r="J112" s="8">
        <v>0</v>
      </c>
      <c r="K112" s="6" t="s">
        <v>2237</v>
      </c>
      <c r="L112" s="8">
        <v>0</v>
      </c>
      <c r="M112" s="6" t="s">
        <v>2237</v>
      </c>
      <c r="N112" s="8">
        <v>4000.06</v>
      </c>
      <c r="O112" s="6" t="s">
        <v>2237</v>
      </c>
      <c r="P112" s="6" t="s">
        <v>2236</v>
      </c>
      <c r="Q112" s="9" t="s">
        <v>2242</v>
      </c>
      <c r="R112" s="9" t="s">
        <v>2238</v>
      </c>
      <c r="S112" s="9" t="s">
        <v>2243</v>
      </c>
      <c r="T112" s="9" t="s">
        <v>2244</v>
      </c>
      <c r="U11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1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E540-3012982-D245401</v>
      </c>
      <c r="X11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E540-301298264-D245401</v>
      </c>
      <c r="Y1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12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12" s="10" t="str">
        <f>IF(IFERROR(INDEX(WBS_Dictionary!L$2:L$1212, MATCH(Table2[[#This Row],[WBS_ID]], Table26[WBS CODE],0)), "") = "", "null", IFERROR(INDEX(WBS_Dictionary!L$2:L$1212, MATCH(Table2[[#This Row],[WBS_ID]], Table26[WBS CODE],0)), ""))</f>
        <v>Hardware Supply</v>
      </c>
      <c r="AC1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" spans="1:31" hidden="1" x14ac:dyDescent="0.3">
      <c r="A113" s="6" t="s">
        <v>2361</v>
      </c>
      <c r="B113" s="6" t="s">
        <v>30</v>
      </c>
      <c r="C113" s="6" t="s">
        <v>266</v>
      </c>
      <c r="D113" s="6" t="s">
        <v>1678</v>
      </c>
      <c r="E113" s="6" t="s">
        <v>2241</v>
      </c>
      <c r="F113" s="8">
        <v>0</v>
      </c>
      <c r="G113" s="6" t="s">
        <v>2237</v>
      </c>
      <c r="H113" s="8">
        <v>0</v>
      </c>
      <c r="I113" s="6" t="s">
        <v>2237</v>
      </c>
      <c r="J113" s="8">
        <v>0</v>
      </c>
      <c r="K113" s="6" t="s">
        <v>2237</v>
      </c>
      <c r="L113" s="8">
        <v>0</v>
      </c>
      <c r="M113" s="6" t="s">
        <v>2237</v>
      </c>
      <c r="N113" s="8">
        <v>4000.06</v>
      </c>
      <c r="O113" s="6" t="s">
        <v>2237</v>
      </c>
      <c r="P113" s="6" t="s">
        <v>2236</v>
      </c>
      <c r="Q113" s="9" t="s">
        <v>2242</v>
      </c>
      <c r="R113" s="9" t="s">
        <v>2238</v>
      </c>
      <c r="S113" s="9" t="s">
        <v>2243</v>
      </c>
      <c r="T113" s="9" t="s">
        <v>2327</v>
      </c>
      <c r="U11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1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E540-3012982-D245401</v>
      </c>
      <c r="X113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E540-301298264-D245401</v>
      </c>
      <c r="Y113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E540-30129826460-D245401</v>
      </c>
      <c r="Z11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13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13" s="10" t="str">
        <f>IF(IFERROR(INDEX(WBS_Dictionary!L$2:L$1212, MATCH(Table2[[#This Row],[WBS_ID]], Table26[WBS CODE],0)), "") = "", "null", IFERROR(INDEX(WBS_Dictionary!L$2:L$1212, MATCH(Table2[[#This Row],[WBS_ID]], Table26[WBS CODE],0)), ""))</f>
        <v>Hardware Supply</v>
      </c>
      <c r="AC113" s="10" t="str">
        <f>IF(IFERROR(INDEX(WBS_Dictionary!M$2:M$1212, MATCH(Table2[[#This Row],[WBS_ID]], Table26[WBS CODE],0)), "") = "", "null", IFERROR(INDEX(WBS_Dictionary!M$2:M$1212, MATCH(Table2[[#This Row],[WBS_ID]], Table26[WBS CODE],0)), ""))</f>
        <v>Hardware Supply</v>
      </c>
      <c r="AD1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" spans="1:31" hidden="1" x14ac:dyDescent="0.3">
      <c r="A114" s="6" t="s">
        <v>2362</v>
      </c>
      <c r="B114" s="6" t="s">
        <v>21</v>
      </c>
      <c r="C114" s="6" t="s">
        <v>273</v>
      </c>
      <c r="D114" s="6" t="s">
        <v>855</v>
      </c>
      <c r="E114" s="6" t="s">
        <v>2241</v>
      </c>
      <c r="F114" s="8">
        <v>589692</v>
      </c>
      <c r="G114" s="6" t="s">
        <v>2237</v>
      </c>
      <c r="H114" s="8">
        <v>589692</v>
      </c>
      <c r="I114" s="6" t="s">
        <v>2237</v>
      </c>
      <c r="J114" s="8">
        <v>0</v>
      </c>
      <c r="K114" s="6" t="s">
        <v>2237</v>
      </c>
      <c r="L114" s="8">
        <v>123275.73</v>
      </c>
      <c r="M114" s="6" t="s">
        <v>2237</v>
      </c>
      <c r="N114" s="8">
        <v>475455.58</v>
      </c>
      <c r="O114" s="6" t="s">
        <v>2237</v>
      </c>
      <c r="P114" s="6" t="s">
        <v>2236</v>
      </c>
      <c r="Q114" s="9" t="s">
        <v>2242</v>
      </c>
      <c r="R114" s="9" t="s">
        <v>2238</v>
      </c>
      <c r="S114" s="9" t="s">
        <v>2243</v>
      </c>
      <c r="T114" s="9" t="s">
        <v>2244</v>
      </c>
      <c r="U11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1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E540-3012914-D245401</v>
      </c>
      <c r="X1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14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1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5" spans="1:31" hidden="1" x14ac:dyDescent="0.3">
      <c r="A115" s="6" t="s">
        <v>2363</v>
      </c>
      <c r="B115" s="6" t="s">
        <v>26</v>
      </c>
      <c r="C115" s="6" t="s">
        <v>273</v>
      </c>
      <c r="D115" s="6" t="s">
        <v>970</v>
      </c>
      <c r="E115" s="6" t="s">
        <v>2241</v>
      </c>
      <c r="F115" s="8">
        <v>589692</v>
      </c>
      <c r="G115" s="6" t="s">
        <v>2237</v>
      </c>
      <c r="H115" s="8">
        <v>589692</v>
      </c>
      <c r="I115" s="6" t="s">
        <v>2237</v>
      </c>
      <c r="J115" s="8">
        <v>0</v>
      </c>
      <c r="K115" s="6" t="s">
        <v>2237</v>
      </c>
      <c r="L115" s="8">
        <v>123275.73</v>
      </c>
      <c r="M115" s="6" t="s">
        <v>2237</v>
      </c>
      <c r="N115" s="8">
        <v>475455.58</v>
      </c>
      <c r="O115" s="6" t="s">
        <v>2237</v>
      </c>
      <c r="P115" s="6" t="s">
        <v>2236</v>
      </c>
      <c r="Q115" s="9" t="s">
        <v>2242</v>
      </c>
      <c r="R115" s="9" t="s">
        <v>2238</v>
      </c>
      <c r="S115" s="9" t="s">
        <v>2243</v>
      </c>
      <c r="T115" s="9" t="s">
        <v>2256</v>
      </c>
      <c r="U11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1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E540-3012914-D245401</v>
      </c>
      <c r="X11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E540-301291463-D245401</v>
      </c>
      <c r="Y1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15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115" s="10" t="str">
        <f>IF(IFERROR(INDEX(WBS_Dictionary!L$2:L$1212, MATCH(Table2[[#This Row],[WBS_ID]], Table26[WBS CODE],0)), "") = "", "null", IFERROR(INDEX(WBS_Dictionary!L$2:L$1212, MATCH(Table2[[#This Row],[WBS_ID]], Table26[WBS CODE],0)), ""))</f>
        <v>Drilling Facilities Support</v>
      </c>
      <c r="AC1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" spans="1:31" hidden="1" x14ac:dyDescent="0.3">
      <c r="A116" s="6" t="s">
        <v>2364</v>
      </c>
      <c r="B116" s="6" t="s">
        <v>30</v>
      </c>
      <c r="C116" s="6" t="s">
        <v>273</v>
      </c>
      <c r="D116" s="6" t="s">
        <v>1639</v>
      </c>
      <c r="E116" s="6" t="s">
        <v>2241</v>
      </c>
      <c r="F116" s="8">
        <v>0</v>
      </c>
      <c r="G116" s="6" t="s">
        <v>2237</v>
      </c>
      <c r="H116" s="8">
        <v>0</v>
      </c>
      <c r="I116" s="6" t="s">
        <v>2237</v>
      </c>
      <c r="J116" s="8">
        <v>0</v>
      </c>
      <c r="K116" s="6" t="s">
        <v>2237</v>
      </c>
      <c r="L116" s="8">
        <v>123275.73</v>
      </c>
      <c r="M116" s="6" t="s">
        <v>2237</v>
      </c>
      <c r="N116" s="8">
        <v>475455.58</v>
      </c>
      <c r="O116" s="6" t="s">
        <v>2237</v>
      </c>
      <c r="P116" s="6" t="s">
        <v>2236</v>
      </c>
      <c r="Q116" s="9" t="s">
        <v>2242</v>
      </c>
      <c r="R116" s="9" t="s">
        <v>2238</v>
      </c>
      <c r="S116" s="9" t="s">
        <v>2243</v>
      </c>
      <c r="T116" s="9" t="s">
        <v>2327</v>
      </c>
      <c r="U11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1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1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E540-3012914-D245401</v>
      </c>
      <c r="X11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E540-301291463-D245401</v>
      </c>
      <c r="Y116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E540-30129146321-D245401</v>
      </c>
      <c r="Z11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16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116" s="10" t="str">
        <f>IF(IFERROR(INDEX(WBS_Dictionary!L$2:L$1212, MATCH(Table2[[#This Row],[WBS_ID]], Table26[WBS CODE],0)), "") = "", "null", IFERROR(INDEX(WBS_Dictionary!L$2:L$1212, MATCH(Table2[[#This Row],[WBS_ID]], Table26[WBS CODE],0)), ""))</f>
        <v>Drilling Facilities Support</v>
      </c>
      <c r="AC116" s="10" t="str">
        <f>IF(IFERROR(INDEX(WBS_Dictionary!M$2:M$1212, MATCH(Table2[[#This Row],[WBS_ID]], Table26[WBS CODE],0)), "") = "", "null", IFERROR(INDEX(WBS_Dictionary!M$2:M$1212, MATCH(Table2[[#This Row],[WBS_ID]], Table26[WBS CODE],0)), ""))</f>
        <v>Drilling Facilities Support</v>
      </c>
      <c r="AD1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" spans="1:31" hidden="1" x14ac:dyDescent="0.3">
      <c r="A117" s="6" t="s">
        <v>2365</v>
      </c>
      <c r="B117" s="6" t="s">
        <v>2366</v>
      </c>
      <c r="C117" s="6" t="s">
        <v>2367</v>
      </c>
      <c r="D117" s="6" t="s">
        <v>2368</v>
      </c>
      <c r="E117" s="6" t="s">
        <v>2236</v>
      </c>
      <c r="F117" s="8">
        <v>0</v>
      </c>
      <c r="G117" s="6" t="s">
        <v>2237</v>
      </c>
      <c r="H117" s="8">
        <v>0</v>
      </c>
      <c r="I117" s="6" t="s">
        <v>2237</v>
      </c>
      <c r="J117" s="8">
        <v>0</v>
      </c>
      <c r="K117" s="6" t="s">
        <v>2237</v>
      </c>
      <c r="L117" s="8">
        <v>0</v>
      </c>
      <c r="M117" s="6" t="s">
        <v>2237</v>
      </c>
      <c r="N117" s="8">
        <v>3291.41</v>
      </c>
      <c r="O117" s="6" t="s">
        <v>2237</v>
      </c>
      <c r="P117" s="6" t="s">
        <v>2236</v>
      </c>
      <c r="Q117" s="9" t="s">
        <v>2236</v>
      </c>
      <c r="R117" s="9" t="s">
        <v>2236</v>
      </c>
      <c r="S117" s="9" t="s">
        <v>2236</v>
      </c>
      <c r="T117" s="9" t="s">
        <v>2369</v>
      </c>
      <c r="U1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8" spans="1:31" hidden="1" x14ac:dyDescent="0.3">
      <c r="A118" s="6" t="s">
        <v>2370</v>
      </c>
      <c r="B118" s="6" t="s">
        <v>2371</v>
      </c>
      <c r="C118" s="6" t="s">
        <v>2372</v>
      </c>
      <c r="D118" s="6" t="s">
        <v>2373</v>
      </c>
      <c r="E118" s="6" t="s">
        <v>2236</v>
      </c>
      <c r="F118" s="8">
        <v>0</v>
      </c>
      <c r="G118" s="6" t="s">
        <v>2237</v>
      </c>
      <c r="H118" s="8">
        <v>0</v>
      </c>
      <c r="I118" s="6" t="s">
        <v>2237</v>
      </c>
      <c r="J118" s="8">
        <v>0</v>
      </c>
      <c r="K118" s="6" t="s">
        <v>2237</v>
      </c>
      <c r="L118" s="8">
        <v>0</v>
      </c>
      <c r="M118" s="6" t="s">
        <v>2237</v>
      </c>
      <c r="N118" s="8">
        <v>0</v>
      </c>
      <c r="O118" s="6" t="s">
        <v>2237</v>
      </c>
      <c r="P118" s="6" t="s">
        <v>2236</v>
      </c>
      <c r="Q118" s="9" t="s">
        <v>2236</v>
      </c>
      <c r="R118" s="9" t="s">
        <v>2236</v>
      </c>
      <c r="S118" s="9" t="s">
        <v>2236</v>
      </c>
      <c r="T118" s="9" t="s">
        <v>2236</v>
      </c>
      <c r="U1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" spans="1:31" hidden="1" x14ac:dyDescent="0.3">
      <c r="A119" s="6" t="s">
        <v>2374</v>
      </c>
      <c r="B119" s="6" t="s">
        <v>2371</v>
      </c>
      <c r="C119" s="6" t="s">
        <v>2375</v>
      </c>
      <c r="D119" s="6" t="s">
        <v>2376</v>
      </c>
      <c r="E119" s="6" t="s">
        <v>2236</v>
      </c>
      <c r="F119" s="8">
        <v>0</v>
      </c>
      <c r="G119" s="6" t="s">
        <v>2237</v>
      </c>
      <c r="H119" s="8">
        <v>0</v>
      </c>
      <c r="I119" s="6" t="s">
        <v>2237</v>
      </c>
      <c r="J119" s="8">
        <v>0</v>
      </c>
      <c r="K119" s="6" t="s">
        <v>2237</v>
      </c>
      <c r="L119" s="8">
        <v>0</v>
      </c>
      <c r="M119" s="6" t="s">
        <v>2237</v>
      </c>
      <c r="N119" s="8">
        <v>0</v>
      </c>
      <c r="O119" s="6" t="s">
        <v>2237</v>
      </c>
      <c r="P119" s="6" t="s">
        <v>2236</v>
      </c>
      <c r="Q119" s="9" t="s">
        <v>2236</v>
      </c>
      <c r="R119" s="9" t="s">
        <v>2236</v>
      </c>
      <c r="S119" s="9" t="s">
        <v>2236</v>
      </c>
      <c r="T119" s="9" t="s">
        <v>2236</v>
      </c>
      <c r="U1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" spans="1:31" hidden="1" x14ac:dyDescent="0.3">
      <c r="A120" s="6" t="s">
        <v>2377</v>
      </c>
      <c r="B120" s="6" t="s">
        <v>2371</v>
      </c>
      <c r="C120" s="6" t="s">
        <v>2378</v>
      </c>
      <c r="D120" s="6" t="s">
        <v>2379</v>
      </c>
      <c r="E120" s="6" t="s">
        <v>2236</v>
      </c>
      <c r="F120" s="8">
        <v>0</v>
      </c>
      <c r="G120" s="6" t="s">
        <v>2237</v>
      </c>
      <c r="H120" s="8">
        <v>0</v>
      </c>
      <c r="I120" s="6" t="s">
        <v>2237</v>
      </c>
      <c r="J120" s="8">
        <v>0</v>
      </c>
      <c r="K120" s="6" t="s">
        <v>2237</v>
      </c>
      <c r="L120" s="8">
        <v>0</v>
      </c>
      <c r="M120" s="6" t="s">
        <v>2237</v>
      </c>
      <c r="N120" s="8">
        <v>0</v>
      </c>
      <c r="O120" s="6" t="s">
        <v>2237</v>
      </c>
      <c r="P120" s="6" t="s">
        <v>2236</v>
      </c>
      <c r="Q120" s="9" t="s">
        <v>2236</v>
      </c>
      <c r="R120" s="9" t="s">
        <v>2236</v>
      </c>
      <c r="S120" s="9" t="s">
        <v>2236</v>
      </c>
      <c r="T120" s="9" t="s">
        <v>2236</v>
      </c>
      <c r="U1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1" spans="1:31" hidden="1" x14ac:dyDescent="0.3">
      <c r="A121" s="6" t="s">
        <v>2380</v>
      </c>
      <c r="B121" s="6" t="s">
        <v>2371</v>
      </c>
      <c r="C121" s="6" t="s">
        <v>2381</v>
      </c>
      <c r="D121" s="6" t="s">
        <v>2382</v>
      </c>
      <c r="E121" s="6" t="s">
        <v>2236</v>
      </c>
      <c r="F121" s="8">
        <v>0</v>
      </c>
      <c r="G121" s="6" t="s">
        <v>2237</v>
      </c>
      <c r="H121" s="8">
        <v>0</v>
      </c>
      <c r="I121" s="6" t="s">
        <v>2237</v>
      </c>
      <c r="J121" s="8">
        <v>0</v>
      </c>
      <c r="K121" s="6" t="s">
        <v>2237</v>
      </c>
      <c r="L121" s="8">
        <v>0</v>
      </c>
      <c r="M121" s="6" t="s">
        <v>2237</v>
      </c>
      <c r="N121" s="8">
        <v>0</v>
      </c>
      <c r="O121" s="6" t="s">
        <v>2237</v>
      </c>
      <c r="P121" s="6" t="s">
        <v>2236</v>
      </c>
      <c r="Q121" s="9" t="s">
        <v>2236</v>
      </c>
      <c r="R121" s="9" t="s">
        <v>2236</v>
      </c>
      <c r="S121" s="9" t="s">
        <v>2236</v>
      </c>
      <c r="T121" s="9" t="s">
        <v>2236</v>
      </c>
      <c r="U1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" spans="1:31" hidden="1" x14ac:dyDescent="0.3">
      <c r="A122" s="6" t="s">
        <v>2383</v>
      </c>
      <c r="B122" s="6" t="s">
        <v>2371</v>
      </c>
      <c r="C122" s="6" t="s">
        <v>2384</v>
      </c>
      <c r="D122" s="6" t="s">
        <v>2385</v>
      </c>
      <c r="E122" s="6" t="s">
        <v>2236</v>
      </c>
      <c r="F122" s="8">
        <v>0</v>
      </c>
      <c r="G122" s="6" t="s">
        <v>2237</v>
      </c>
      <c r="H122" s="8">
        <v>0</v>
      </c>
      <c r="I122" s="6" t="s">
        <v>2237</v>
      </c>
      <c r="J122" s="8">
        <v>0</v>
      </c>
      <c r="K122" s="6" t="s">
        <v>2237</v>
      </c>
      <c r="L122" s="8">
        <v>0</v>
      </c>
      <c r="M122" s="6" t="s">
        <v>2237</v>
      </c>
      <c r="N122" s="8">
        <v>0</v>
      </c>
      <c r="O122" s="6" t="s">
        <v>2237</v>
      </c>
      <c r="P122" s="6" t="s">
        <v>2236</v>
      </c>
      <c r="Q122" s="9" t="s">
        <v>2236</v>
      </c>
      <c r="R122" s="9" t="s">
        <v>2236</v>
      </c>
      <c r="S122" s="9" t="s">
        <v>2236</v>
      </c>
      <c r="T122" s="9" t="s">
        <v>2236</v>
      </c>
      <c r="U1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" spans="1:31" hidden="1" x14ac:dyDescent="0.3">
      <c r="A123" s="6" t="s">
        <v>2386</v>
      </c>
      <c r="B123" s="6" t="s">
        <v>2371</v>
      </c>
      <c r="C123" s="6" t="s">
        <v>2387</v>
      </c>
      <c r="D123" s="6" t="s">
        <v>2388</v>
      </c>
      <c r="E123" s="6" t="s">
        <v>2236</v>
      </c>
      <c r="F123" s="8">
        <v>0</v>
      </c>
      <c r="G123" s="6" t="s">
        <v>2237</v>
      </c>
      <c r="H123" s="8">
        <v>0</v>
      </c>
      <c r="I123" s="6" t="s">
        <v>2237</v>
      </c>
      <c r="J123" s="8">
        <v>0</v>
      </c>
      <c r="K123" s="6" t="s">
        <v>2237</v>
      </c>
      <c r="L123" s="8">
        <v>0</v>
      </c>
      <c r="M123" s="6" t="s">
        <v>2237</v>
      </c>
      <c r="N123" s="8">
        <v>0</v>
      </c>
      <c r="O123" s="6" t="s">
        <v>2237</v>
      </c>
      <c r="P123" s="6" t="s">
        <v>2236</v>
      </c>
      <c r="Q123" s="9" t="s">
        <v>2236</v>
      </c>
      <c r="R123" s="9" t="s">
        <v>2236</v>
      </c>
      <c r="S123" s="9" t="s">
        <v>2236</v>
      </c>
      <c r="T123" s="9" t="s">
        <v>2236</v>
      </c>
      <c r="U1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4" spans="1:31" hidden="1" x14ac:dyDescent="0.3">
      <c r="A124" s="6" t="s">
        <v>2389</v>
      </c>
      <c r="B124" s="6" t="s">
        <v>2371</v>
      </c>
      <c r="C124" s="6" t="s">
        <v>2390</v>
      </c>
      <c r="D124" s="6" t="s">
        <v>2391</v>
      </c>
      <c r="E124" s="6" t="s">
        <v>2236</v>
      </c>
      <c r="F124" s="8">
        <v>0</v>
      </c>
      <c r="G124" s="6" t="s">
        <v>2237</v>
      </c>
      <c r="H124" s="8">
        <v>0</v>
      </c>
      <c r="I124" s="6" t="s">
        <v>2237</v>
      </c>
      <c r="J124" s="8">
        <v>0</v>
      </c>
      <c r="K124" s="6" t="s">
        <v>2237</v>
      </c>
      <c r="L124" s="8">
        <v>0</v>
      </c>
      <c r="M124" s="6" t="s">
        <v>2237</v>
      </c>
      <c r="N124" s="8">
        <v>0</v>
      </c>
      <c r="O124" s="6" t="s">
        <v>2237</v>
      </c>
      <c r="P124" s="6" t="s">
        <v>2236</v>
      </c>
      <c r="Q124" s="9" t="s">
        <v>2236</v>
      </c>
      <c r="R124" s="9" t="s">
        <v>2236</v>
      </c>
      <c r="S124" s="9" t="s">
        <v>2236</v>
      </c>
      <c r="T124" s="9" t="s">
        <v>2236</v>
      </c>
      <c r="U1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" spans="1:31" hidden="1" x14ac:dyDescent="0.3">
      <c r="A125" s="6" t="s">
        <v>2392</v>
      </c>
      <c r="B125" s="6" t="s">
        <v>2371</v>
      </c>
      <c r="C125" s="6" t="s">
        <v>2393</v>
      </c>
      <c r="D125" s="6" t="s">
        <v>2394</v>
      </c>
      <c r="E125" s="6" t="s">
        <v>2236</v>
      </c>
      <c r="F125" s="8">
        <v>0</v>
      </c>
      <c r="G125" s="6" t="s">
        <v>2237</v>
      </c>
      <c r="H125" s="8">
        <v>0</v>
      </c>
      <c r="I125" s="6" t="s">
        <v>2237</v>
      </c>
      <c r="J125" s="8">
        <v>0</v>
      </c>
      <c r="K125" s="6" t="s">
        <v>2237</v>
      </c>
      <c r="L125" s="8">
        <v>0</v>
      </c>
      <c r="M125" s="6" t="s">
        <v>2237</v>
      </c>
      <c r="N125" s="8">
        <v>0</v>
      </c>
      <c r="O125" s="6" t="s">
        <v>2237</v>
      </c>
      <c r="P125" s="6" t="s">
        <v>2236</v>
      </c>
      <c r="Q125" s="9" t="s">
        <v>2236</v>
      </c>
      <c r="R125" s="9" t="s">
        <v>2236</v>
      </c>
      <c r="S125" s="9" t="s">
        <v>2236</v>
      </c>
      <c r="T125" s="9" t="s">
        <v>2236</v>
      </c>
      <c r="U1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" spans="1:31" hidden="1" x14ac:dyDescent="0.3">
      <c r="A126" s="6" t="s">
        <v>2395</v>
      </c>
      <c r="B126" s="6" t="s">
        <v>21</v>
      </c>
      <c r="C126" s="6" t="s">
        <v>279</v>
      </c>
      <c r="D126" s="6" t="s">
        <v>863</v>
      </c>
      <c r="E126" s="6" t="s">
        <v>2241</v>
      </c>
      <c r="F126" s="8">
        <v>346328</v>
      </c>
      <c r="G126" s="6" t="s">
        <v>2237</v>
      </c>
      <c r="H126" s="8">
        <v>346328</v>
      </c>
      <c r="I126" s="6" t="s">
        <v>2237</v>
      </c>
      <c r="J126" s="8">
        <v>0</v>
      </c>
      <c r="K126" s="6" t="s">
        <v>2237</v>
      </c>
      <c r="L126" s="8">
        <v>33045.4</v>
      </c>
      <c r="M126" s="6" t="s">
        <v>2237</v>
      </c>
      <c r="N126" s="8">
        <v>320332</v>
      </c>
      <c r="O126" s="6" t="s">
        <v>2237</v>
      </c>
      <c r="P126" s="6" t="s">
        <v>2236</v>
      </c>
      <c r="Q126" s="9" t="s">
        <v>2242</v>
      </c>
      <c r="R126" s="9" t="s">
        <v>2238</v>
      </c>
      <c r="S126" s="9" t="s">
        <v>2243</v>
      </c>
      <c r="T126" s="9" t="s">
        <v>2244</v>
      </c>
      <c r="U12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2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2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E540-3012981-D245401</v>
      </c>
      <c r="X1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26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1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7" spans="1:31" hidden="1" x14ac:dyDescent="0.3">
      <c r="A127" s="6" t="s">
        <v>2396</v>
      </c>
      <c r="B127" s="6" t="s">
        <v>26</v>
      </c>
      <c r="C127" s="6" t="s">
        <v>279</v>
      </c>
      <c r="D127" s="6" t="s">
        <v>1031</v>
      </c>
      <c r="E127" s="6" t="s">
        <v>2241</v>
      </c>
      <c r="F127" s="8">
        <v>346328</v>
      </c>
      <c r="G127" s="6" t="s">
        <v>2237</v>
      </c>
      <c r="H127" s="8">
        <v>346328</v>
      </c>
      <c r="I127" s="6" t="s">
        <v>2237</v>
      </c>
      <c r="J127" s="8">
        <v>0</v>
      </c>
      <c r="K127" s="6" t="s">
        <v>2237</v>
      </c>
      <c r="L127" s="8">
        <v>33045.4</v>
      </c>
      <c r="M127" s="6" t="s">
        <v>2237</v>
      </c>
      <c r="N127" s="8">
        <v>320332</v>
      </c>
      <c r="O127" s="6" t="s">
        <v>2237</v>
      </c>
      <c r="P127" s="6" t="s">
        <v>2236</v>
      </c>
      <c r="Q127" s="9" t="s">
        <v>2242</v>
      </c>
      <c r="R127" s="9" t="s">
        <v>2238</v>
      </c>
      <c r="S127" s="9" t="s">
        <v>2243</v>
      </c>
      <c r="T127" s="9" t="s">
        <v>2256</v>
      </c>
      <c r="U12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2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2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E540-3012981-D245401</v>
      </c>
      <c r="X12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E540-301298160-D245401</v>
      </c>
      <c r="Y1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27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127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1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8" spans="1:31" hidden="1" x14ac:dyDescent="0.3">
      <c r="A128" s="6" t="s">
        <v>2397</v>
      </c>
      <c r="B128" s="6" t="s">
        <v>30</v>
      </c>
      <c r="C128" s="6" t="s">
        <v>279</v>
      </c>
      <c r="D128" s="6" t="s">
        <v>1677</v>
      </c>
      <c r="E128" s="6" t="s">
        <v>2241</v>
      </c>
      <c r="F128" s="8">
        <v>0</v>
      </c>
      <c r="G128" s="6" t="s">
        <v>2237</v>
      </c>
      <c r="H128" s="8">
        <v>0</v>
      </c>
      <c r="I128" s="6" t="s">
        <v>2237</v>
      </c>
      <c r="J128" s="8">
        <v>0</v>
      </c>
      <c r="K128" s="6" t="s">
        <v>2237</v>
      </c>
      <c r="L128" s="8">
        <v>33045.4</v>
      </c>
      <c r="M128" s="6" t="s">
        <v>2237</v>
      </c>
      <c r="N128" s="8">
        <v>320332</v>
      </c>
      <c r="O128" s="6" t="s">
        <v>2237</v>
      </c>
      <c r="P128" s="6" t="s">
        <v>2236</v>
      </c>
      <c r="Q128" s="9" t="s">
        <v>2242</v>
      </c>
      <c r="R128" s="9" t="s">
        <v>2238</v>
      </c>
      <c r="S128" s="9" t="s">
        <v>2243</v>
      </c>
      <c r="T128" s="9" t="s">
        <v>2327</v>
      </c>
      <c r="U12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2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2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E540-3012981-D245401</v>
      </c>
      <c r="X12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E540-301298160-D245401</v>
      </c>
      <c r="Y128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E540-30129816043-D245401</v>
      </c>
      <c r="Z12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28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128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128" s="10" t="str">
        <f>IF(IFERROR(INDEX(WBS_Dictionary!M$2:M$1212, MATCH(Table2[[#This Row],[WBS_ID]], Table26[WBS CODE],0)), "") = "", "null", IFERROR(INDEX(WBS_Dictionary!M$2:M$1212, MATCH(Table2[[#This Row],[WBS_ID]], Table26[WBS CODE],0)), ""))</f>
        <v>Drilling Operation Water Support</v>
      </c>
      <c r="AD1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9" spans="1:31" hidden="1" x14ac:dyDescent="0.3">
      <c r="A129" s="6" t="s">
        <v>2398</v>
      </c>
      <c r="B129" s="6" t="s">
        <v>21</v>
      </c>
      <c r="C129" s="6" t="s">
        <v>283</v>
      </c>
      <c r="D129" s="6" t="s">
        <v>860</v>
      </c>
      <c r="E129" s="6" t="s">
        <v>2241</v>
      </c>
      <c r="F129" s="8">
        <v>562531.16</v>
      </c>
      <c r="G129" s="6" t="s">
        <v>2237</v>
      </c>
      <c r="H129" s="8">
        <v>562530.5</v>
      </c>
      <c r="I129" s="6" t="s">
        <v>2237</v>
      </c>
      <c r="J129" s="8">
        <v>0</v>
      </c>
      <c r="K129" s="6" t="s">
        <v>2237</v>
      </c>
      <c r="L129" s="8">
        <v>0</v>
      </c>
      <c r="M129" s="6" t="s">
        <v>2237</v>
      </c>
      <c r="N129" s="8">
        <v>131647.73000000001</v>
      </c>
      <c r="O129" s="6" t="s">
        <v>2237</v>
      </c>
      <c r="P129" s="6" t="s">
        <v>2236</v>
      </c>
      <c r="Q129" s="9" t="s">
        <v>2242</v>
      </c>
      <c r="R129" s="9" t="s">
        <v>2238</v>
      </c>
      <c r="S129" s="9" t="s">
        <v>2243</v>
      </c>
      <c r="T129" s="9" t="s">
        <v>2244</v>
      </c>
      <c r="U12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2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2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29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30" spans="1:31" x14ac:dyDescent="0.3">
      <c r="A130" s="6" t="s">
        <v>2399</v>
      </c>
      <c r="B130" s="6" t="s">
        <v>26</v>
      </c>
      <c r="C130" s="6" t="s">
        <v>2400</v>
      </c>
      <c r="D130" s="6" t="s">
        <v>1029</v>
      </c>
      <c r="E130" s="6" t="s">
        <v>2241</v>
      </c>
      <c r="F130" s="8">
        <v>82932</v>
      </c>
      <c r="G130" s="6" t="s">
        <v>2237</v>
      </c>
      <c r="H130" s="8">
        <v>82932</v>
      </c>
      <c r="I130" s="6" t="s">
        <v>2237</v>
      </c>
      <c r="J130" s="8">
        <v>0</v>
      </c>
      <c r="K130" s="6" t="s">
        <v>2237</v>
      </c>
      <c r="L130" s="8">
        <v>0</v>
      </c>
      <c r="M130" s="6" t="s">
        <v>2237</v>
      </c>
      <c r="N130" s="8">
        <v>0</v>
      </c>
      <c r="O130" s="6" t="s">
        <v>2237</v>
      </c>
      <c r="P130" s="6" t="s">
        <v>2236</v>
      </c>
      <c r="Q130" s="9" t="s">
        <v>2242</v>
      </c>
      <c r="R130" s="9" t="s">
        <v>2238</v>
      </c>
      <c r="S130" s="9" t="s">
        <v>2243</v>
      </c>
      <c r="T130" s="9" t="s">
        <v>2244</v>
      </c>
      <c r="U13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0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E540-301297909-D245401</v>
      </c>
      <c r="Y1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0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0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0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13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1" spans="1:31" x14ac:dyDescent="0.3">
      <c r="A131" s="6" t="s">
        <v>2401</v>
      </c>
      <c r="B131" s="6" t="s">
        <v>30</v>
      </c>
      <c r="C131" s="6" t="s">
        <v>2400</v>
      </c>
      <c r="D131" s="6" t="s">
        <v>1675</v>
      </c>
      <c r="E131" s="6" t="s">
        <v>2241</v>
      </c>
      <c r="F131" s="8">
        <v>0</v>
      </c>
      <c r="G131" s="6" t="s">
        <v>2237</v>
      </c>
      <c r="H131" s="8">
        <v>0</v>
      </c>
      <c r="I131" s="6" t="s">
        <v>2237</v>
      </c>
      <c r="J131" s="8">
        <v>0</v>
      </c>
      <c r="K131" s="6" t="s">
        <v>2237</v>
      </c>
      <c r="L131" s="8">
        <v>0</v>
      </c>
      <c r="M131" s="6" t="s">
        <v>2237</v>
      </c>
      <c r="N131" s="8">
        <v>0</v>
      </c>
      <c r="O131" s="6" t="s">
        <v>2237</v>
      </c>
      <c r="P131" s="6" t="s">
        <v>2236</v>
      </c>
      <c r="Q131" s="9" t="s">
        <v>2242</v>
      </c>
      <c r="R131" s="9" t="s">
        <v>2238</v>
      </c>
      <c r="S131" s="9" t="s">
        <v>2243</v>
      </c>
      <c r="T131" s="9" t="s">
        <v>2327</v>
      </c>
      <c r="U13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1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E540-301297909-D245401</v>
      </c>
      <c r="Y131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E540-30129790909-D245401</v>
      </c>
      <c r="Z13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1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1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1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31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13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2" spans="1:31" x14ac:dyDescent="0.3">
      <c r="A132" s="6" t="s">
        <v>2402</v>
      </c>
      <c r="B132" s="6" t="s">
        <v>26</v>
      </c>
      <c r="C132" s="6" t="s">
        <v>1026</v>
      </c>
      <c r="D132" s="6" t="s">
        <v>1027</v>
      </c>
      <c r="E132" s="6" t="s">
        <v>2241</v>
      </c>
      <c r="F132" s="8">
        <v>82932</v>
      </c>
      <c r="G132" s="6" t="s">
        <v>2237</v>
      </c>
      <c r="H132" s="8">
        <v>82932</v>
      </c>
      <c r="I132" s="6" t="s">
        <v>2237</v>
      </c>
      <c r="J132" s="8">
        <v>0</v>
      </c>
      <c r="K132" s="6" t="s">
        <v>2237</v>
      </c>
      <c r="L132" s="8">
        <v>0</v>
      </c>
      <c r="M132" s="6" t="s">
        <v>2237</v>
      </c>
      <c r="N132" s="8">
        <v>37796.480000000003</v>
      </c>
      <c r="O132" s="6" t="s">
        <v>2237</v>
      </c>
      <c r="P132" s="6" t="s">
        <v>2236</v>
      </c>
      <c r="Q132" s="9" t="s">
        <v>2242</v>
      </c>
      <c r="R132" s="9" t="s">
        <v>2238</v>
      </c>
      <c r="S132" s="9" t="s">
        <v>2243</v>
      </c>
      <c r="T132" s="9" t="s">
        <v>2244</v>
      </c>
      <c r="U13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E540-301297908-D245401</v>
      </c>
      <c r="Y1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2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2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2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13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3" spans="1:31" x14ac:dyDescent="0.3">
      <c r="A133" s="6" t="s">
        <v>2403</v>
      </c>
      <c r="B133" s="6" t="s">
        <v>30</v>
      </c>
      <c r="C133" s="6" t="s">
        <v>1026</v>
      </c>
      <c r="D133" s="6" t="s">
        <v>1674</v>
      </c>
      <c r="E133" s="6" t="s">
        <v>2241</v>
      </c>
      <c r="F133" s="8">
        <v>0</v>
      </c>
      <c r="G133" s="6" t="s">
        <v>2237</v>
      </c>
      <c r="H133" s="8">
        <v>0</v>
      </c>
      <c r="I133" s="6" t="s">
        <v>2237</v>
      </c>
      <c r="J133" s="8">
        <v>0</v>
      </c>
      <c r="K133" s="6" t="s">
        <v>2237</v>
      </c>
      <c r="L133" s="8">
        <v>0</v>
      </c>
      <c r="M133" s="6" t="s">
        <v>2237</v>
      </c>
      <c r="N133" s="8">
        <v>37796.480000000003</v>
      </c>
      <c r="O133" s="6" t="s">
        <v>2237</v>
      </c>
      <c r="P133" s="6" t="s">
        <v>2236</v>
      </c>
      <c r="Q133" s="9" t="s">
        <v>2242</v>
      </c>
      <c r="R133" s="9" t="s">
        <v>2238</v>
      </c>
      <c r="S133" s="9" t="s">
        <v>2243</v>
      </c>
      <c r="T133" s="9" t="s">
        <v>2327</v>
      </c>
      <c r="U13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3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E540-301297908-D245401</v>
      </c>
      <c r="Y133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E540-30129790808-D245401</v>
      </c>
      <c r="Z13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3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3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3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33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13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4" spans="1:31" x14ac:dyDescent="0.3">
      <c r="A134" s="6" t="s">
        <v>2404</v>
      </c>
      <c r="B134" s="6" t="s">
        <v>26</v>
      </c>
      <c r="C134" s="6" t="s">
        <v>1024</v>
      </c>
      <c r="D134" s="6" t="s">
        <v>1025</v>
      </c>
      <c r="E134" s="6" t="s">
        <v>2241</v>
      </c>
      <c r="F134" s="8">
        <v>38467</v>
      </c>
      <c r="G134" s="6" t="s">
        <v>2237</v>
      </c>
      <c r="H134" s="8">
        <v>38467</v>
      </c>
      <c r="I134" s="6" t="s">
        <v>2237</v>
      </c>
      <c r="J134" s="8">
        <v>0</v>
      </c>
      <c r="K134" s="6" t="s">
        <v>2237</v>
      </c>
      <c r="L134" s="8">
        <v>0</v>
      </c>
      <c r="M134" s="6" t="s">
        <v>2237</v>
      </c>
      <c r="N134" s="8">
        <v>14315.08</v>
      </c>
      <c r="O134" s="6" t="s">
        <v>2237</v>
      </c>
      <c r="P134" s="6" t="s">
        <v>2236</v>
      </c>
      <c r="Q134" s="9" t="s">
        <v>2242</v>
      </c>
      <c r="R134" s="9" t="s">
        <v>2238</v>
      </c>
      <c r="S134" s="9" t="s">
        <v>2243</v>
      </c>
      <c r="T134" s="9" t="s">
        <v>2244</v>
      </c>
      <c r="U13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4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E540-301297907-D245401</v>
      </c>
      <c r="Y1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4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4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4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13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5" spans="1:31" x14ac:dyDescent="0.3">
      <c r="A135" s="6" t="s">
        <v>2405</v>
      </c>
      <c r="B135" s="6" t="s">
        <v>30</v>
      </c>
      <c r="C135" s="6" t="s">
        <v>1024</v>
      </c>
      <c r="D135" s="6" t="s">
        <v>1673</v>
      </c>
      <c r="E135" s="6" t="s">
        <v>2241</v>
      </c>
      <c r="F135" s="8">
        <v>0</v>
      </c>
      <c r="G135" s="6" t="s">
        <v>2237</v>
      </c>
      <c r="H135" s="8">
        <v>0</v>
      </c>
      <c r="I135" s="6" t="s">
        <v>2237</v>
      </c>
      <c r="J135" s="8">
        <v>0</v>
      </c>
      <c r="K135" s="6" t="s">
        <v>2237</v>
      </c>
      <c r="L135" s="8">
        <v>0</v>
      </c>
      <c r="M135" s="6" t="s">
        <v>2237</v>
      </c>
      <c r="N135" s="8">
        <v>14315.08</v>
      </c>
      <c r="O135" s="6" t="s">
        <v>2237</v>
      </c>
      <c r="P135" s="6" t="s">
        <v>2236</v>
      </c>
      <c r="Q135" s="9" t="s">
        <v>2242</v>
      </c>
      <c r="R135" s="9" t="s">
        <v>2238</v>
      </c>
      <c r="S135" s="9" t="s">
        <v>2243</v>
      </c>
      <c r="T135" s="9" t="s">
        <v>2327</v>
      </c>
      <c r="U13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E540-301297907-D245401</v>
      </c>
      <c r="Y135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E540-30129790707-D245401</v>
      </c>
      <c r="Z13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5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5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5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35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13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6" spans="1:31" x14ac:dyDescent="0.3">
      <c r="A136" s="6" t="s">
        <v>2406</v>
      </c>
      <c r="B136" s="6" t="s">
        <v>26</v>
      </c>
      <c r="C136" s="6" t="s">
        <v>1022</v>
      </c>
      <c r="D136" s="6" t="s">
        <v>1023</v>
      </c>
      <c r="E136" s="6" t="s">
        <v>2241</v>
      </c>
      <c r="F136" s="8">
        <v>38467</v>
      </c>
      <c r="G136" s="6" t="s">
        <v>2237</v>
      </c>
      <c r="H136" s="8">
        <v>38467</v>
      </c>
      <c r="I136" s="6" t="s">
        <v>2237</v>
      </c>
      <c r="J136" s="8">
        <v>0</v>
      </c>
      <c r="K136" s="6" t="s">
        <v>2237</v>
      </c>
      <c r="L136" s="8">
        <v>0</v>
      </c>
      <c r="M136" s="6" t="s">
        <v>2237</v>
      </c>
      <c r="N136" s="8">
        <v>19416.27</v>
      </c>
      <c r="O136" s="6" t="s">
        <v>2237</v>
      </c>
      <c r="P136" s="6" t="s">
        <v>2236</v>
      </c>
      <c r="Q136" s="9" t="s">
        <v>2242</v>
      </c>
      <c r="R136" s="9" t="s">
        <v>2238</v>
      </c>
      <c r="S136" s="9" t="s">
        <v>2243</v>
      </c>
      <c r="T136" s="9" t="s">
        <v>2244</v>
      </c>
      <c r="U13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E540-301297906-D245401</v>
      </c>
      <c r="Y1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6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6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6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13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7" spans="1:31" x14ac:dyDescent="0.3">
      <c r="A137" s="6" t="s">
        <v>2407</v>
      </c>
      <c r="B137" s="6" t="s">
        <v>30</v>
      </c>
      <c r="C137" s="6" t="s">
        <v>1022</v>
      </c>
      <c r="D137" s="6" t="s">
        <v>1672</v>
      </c>
      <c r="E137" s="6" t="s">
        <v>2241</v>
      </c>
      <c r="F137" s="8">
        <v>0</v>
      </c>
      <c r="G137" s="6" t="s">
        <v>2237</v>
      </c>
      <c r="H137" s="8">
        <v>0</v>
      </c>
      <c r="I137" s="6" t="s">
        <v>2237</v>
      </c>
      <c r="J137" s="8">
        <v>0</v>
      </c>
      <c r="K137" s="6" t="s">
        <v>2237</v>
      </c>
      <c r="L137" s="8">
        <v>0</v>
      </c>
      <c r="M137" s="6" t="s">
        <v>2237</v>
      </c>
      <c r="N137" s="8">
        <v>19416.27</v>
      </c>
      <c r="O137" s="6" t="s">
        <v>2237</v>
      </c>
      <c r="P137" s="6" t="s">
        <v>2236</v>
      </c>
      <c r="Q137" s="9" t="s">
        <v>2242</v>
      </c>
      <c r="R137" s="9" t="s">
        <v>2238</v>
      </c>
      <c r="S137" s="9" t="s">
        <v>2243</v>
      </c>
      <c r="T137" s="9" t="s">
        <v>2327</v>
      </c>
      <c r="U13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E540-301297906-D245401</v>
      </c>
      <c r="Y137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E540-30129790606-D245401</v>
      </c>
      <c r="Z13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7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7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7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37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1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8" spans="1:31" x14ac:dyDescent="0.3">
      <c r="A138" s="6" t="s">
        <v>2408</v>
      </c>
      <c r="B138" s="6" t="s">
        <v>26</v>
      </c>
      <c r="C138" s="6" t="s">
        <v>1020</v>
      </c>
      <c r="D138" s="6" t="s">
        <v>1021</v>
      </c>
      <c r="E138" s="6" t="s">
        <v>2241</v>
      </c>
      <c r="F138" s="8">
        <v>82932</v>
      </c>
      <c r="G138" s="6" t="s">
        <v>2237</v>
      </c>
      <c r="H138" s="8">
        <v>82932</v>
      </c>
      <c r="I138" s="6" t="s">
        <v>2237</v>
      </c>
      <c r="J138" s="8">
        <v>0</v>
      </c>
      <c r="K138" s="6" t="s">
        <v>2237</v>
      </c>
      <c r="L138" s="8">
        <v>0</v>
      </c>
      <c r="M138" s="6" t="s">
        <v>2237</v>
      </c>
      <c r="N138" s="8">
        <v>0</v>
      </c>
      <c r="O138" s="6" t="s">
        <v>2237</v>
      </c>
      <c r="P138" s="6" t="s">
        <v>2236</v>
      </c>
      <c r="Q138" s="9" t="s">
        <v>2242</v>
      </c>
      <c r="R138" s="9" t="s">
        <v>2238</v>
      </c>
      <c r="S138" s="9" t="s">
        <v>2243</v>
      </c>
      <c r="T138" s="9" t="s">
        <v>2244</v>
      </c>
      <c r="U13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E540-301297905-D245401</v>
      </c>
      <c r="Y1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8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8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8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1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9" spans="1:31" x14ac:dyDescent="0.3">
      <c r="A139" s="6" t="s">
        <v>2409</v>
      </c>
      <c r="B139" s="6" t="s">
        <v>30</v>
      </c>
      <c r="C139" s="6" t="s">
        <v>1020</v>
      </c>
      <c r="D139" s="6" t="s">
        <v>1671</v>
      </c>
      <c r="E139" s="6" t="s">
        <v>2241</v>
      </c>
      <c r="F139" s="8">
        <v>0</v>
      </c>
      <c r="G139" s="6" t="s">
        <v>2237</v>
      </c>
      <c r="H139" s="8">
        <v>0</v>
      </c>
      <c r="I139" s="6" t="s">
        <v>2237</v>
      </c>
      <c r="J139" s="8">
        <v>0</v>
      </c>
      <c r="K139" s="6" t="s">
        <v>2237</v>
      </c>
      <c r="L139" s="8">
        <v>0</v>
      </c>
      <c r="M139" s="6" t="s">
        <v>2237</v>
      </c>
      <c r="N139" s="8">
        <v>0</v>
      </c>
      <c r="O139" s="6" t="s">
        <v>2237</v>
      </c>
      <c r="P139" s="6" t="s">
        <v>2236</v>
      </c>
      <c r="Q139" s="9" t="s">
        <v>2242</v>
      </c>
      <c r="R139" s="9" t="s">
        <v>2238</v>
      </c>
      <c r="S139" s="9" t="s">
        <v>2243</v>
      </c>
      <c r="T139" s="9" t="s">
        <v>2327</v>
      </c>
      <c r="U13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3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3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39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E540-301297905-D245401</v>
      </c>
      <c r="Y139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E540-30129790505-D245401</v>
      </c>
      <c r="Z13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39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39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39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39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1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0" spans="1:31" x14ac:dyDescent="0.3">
      <c r="A140" s="6" t="s">
        <v>2410</v>
      </c>
      <c r="B140" s="6" t="s">
        <v>26</v>
      </c>
      <c r="C140" s="6" t="s">
        <v>1018</v>
      </c>
      <c r="D140" s="6" t="s">
        <v>1019</v>
      </c>
      <c r="E140" s="6" t="s">
        <v>2241</v>
      </c>
      <c r="F140" s="8">
        <v>82931.5</v>
      </c>
      <c r="G140" s="6" t="s">
        <v>2237</v>
      </c>
      <c r="H140" s="8">
        <v>82931.5</v>
      </c>
      <c r="I140" s="6" t="s">
        <v>2237</v>
      </c>
      <c r="J140" s="8">
        <v>0</v>
      </c>
      <c r="K140" s="6" t="s">
        <v>2237</v>
      </c>
      <c r="L140" s="8">
        <v>0</v>
      </c>
      <c r="M140" s="6" t="s">
        <v>2237</v>
      </c>
      <c r="N140" s="8">
        <v>42256.93</v>
      </c>
      <c r="O140" s="6" t="s">
        <v>2237</v>
      </c>
      <c r="P140" s="6" t="s">
        <v>2236</v>
      </c>
      <c r="Q140" s="9" t="s">
        <v>2242</v>
      </c>
      <c r="R140" s="9" t="s">
        <v>2238</v>
      </c>
      <c r="S140" s="9" t="s">
        <v>2243</v>
      </c>
      <c r="T140" s="9" t="s">
        <v>2244</v>
      </c>
      <c r="U14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0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E540-301297904-D245401</v>
      </c>
      <c r="Y1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0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0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0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1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1" spans="1:31" x14ac:dyDescent="0.3">
      <c r="A141" s="6" t="s">
        <v>2411</v>
      </c>
      <c r="B141" s="6" t="s">
        <v>30</v>
      </c>
      <c r="C141" s="6" t="s">
        <v>1018</v>
      </c>
      <c r="D141" s="6" t="s">
        <v>1670</v>
      </c>
      <c r="E141" s="6" t="s">
        <v>2241</v>
      </c>
      <c r="F141" s="8">
        <v>0</v>
      </c>
      <c r="G141" s="6" t="s">
        <v>2237</v>
      </c>
      <c r="H141" s="8">
        <v>0</v>
      </c>
      <c r="I141" s="6" t="s">
        <v>2237</v>
      </c>
      <c r="J141" s="8">
        <v>0</v>
      </c>
      <c r="K141" s="6" t="s">
        <v>2237</v>
      </c>
      <c r="L141" s="8">
        <v>0</v>
      </c>
      <c r="M141" s="6" t="s">
        <v>2237</v>
      </c>
      <c r="N141" s="8">
        <v>42256.93</v>
      </c>
      <c r="O141" s="6" t="s">
        <v>2237</v>
      </c>
      <c r="P141" s="6" t="s">
        <v>2236</v>
      </c>
      <c r="Q141" s="9" t="s">
        <v>2242</v>
      </c>
      <c r="R141" s="9" t="s">
        <v>2238</v>
      </c>
      <c r="S141" s="9" t="s">
        <v>2243</v>
      </c>
      <c r="T141" s="9" t="s">
        <v>2327</v>
      </c>
      <c r="U14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1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E540-301297904-D245401</v>
      </c>
      <c r="Y141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E540-30129790404-D245401</v>
      </c>
      <c r="Z14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1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1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1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41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1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2" spans="1:31" x14ac:dyDescent="0.3">
      <c r="A142" s="6" t="s">
        <v>2412</v>
      </c>
      <c r="B142" s="6" t="s">
        <v>26</v>
      </c>
      <c r="C142" s="6" t="s">
        <v>1016</v>
      </c>
      <c r="D142" s="6" t="s">
        <v>1017</v>
      </c>
      <c r="E142" s="6" t="s">
        <v>2241</v>
      </c>
      <c r="F142" s="8">
        <v>38467.33</v>
      </c>
      <c r="G142" s="6" t="s">
        <v>2237</v>
      </c>
      <c r="H142" s="8">
        <v>38467</v>
      </c>
      <c r="I142" s="6" t="s">
        <v>2237</v>
      </c>
      <c r="J142" s="8">
        <v>0</v>
      </c>
      <c r="K142" s="6" t="s">
        <v>2237</v>
      </c>
      <c r="L142" s="8">
        <v>0</v>
      </c>
      <c r="M142" s="6" t="s">
        <v>2237</v>
      </c>
      <c r="N142" s="8">
        <v>17862.97</v>
      </c>
      <c r="O142" s="6" t="s">
        <v>2237</v>
      </c>
      <c r="P142" s="6" t="s">
        <v>2236</v>
      </c>
      <c r="Q142" s="9" t="s">
        <v>2242</v>
      </c>
      <c r="R142" s="9" t="s">
        <v>2238</v>
      </c>
      <c r="S142" s="9" t="s">
        <v>2243</v>
      </c>
      <c r="T142" s="9" t="s">
        <v>2244</v>
      </c>
      <c r="U14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E540-301297903-D245401</v>
      </c>
      <c r="Y1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2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2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2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1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3" spans="1:31" x14ac:dyDescent="0.3">
      <c r="A143" s="6" t="s">
        <v>2413</v>
      </c>
      <c r="B143" s="6" t="s">
        <v>30</v>
      </c>
      <c r="C143" s="6" t="s">
        <v>1016</v>
      </c>
      <c r="D143" s="6" t="s">
        <v>1669</v>
      </c>
      <c r="E143" s="6" t="s">
        <v>2241</v>
      </c>
      <c r="F143" s="8">
        <v>0</v>
      </c>
      <c r="G143" s="6" t="s">
        <v>2237</v>
      </c>
      <c r="H143" s="8">
        <v>0</v>
      </c>
      <c r="I143" s="6" t="s">
        <v>2237</v>
      </c>
      <c r="J143" s="8">
        <v>0</v>
      </c>
      <c r="K143" s="6" t="s">
        <v>2237</v>
      </c>
      <c r="L143" s="8">
        <v>0</v>
      </c>
      <c r="M143" s="6" t="s">
        <v>2237</v>
      </c>
      <c r="N143" s="8">
        <v>17862.97</v>
      </c>
      <c r="O143" s="6" t="s">
        <v>2237</v>
      </c>
      <c r="P143" s="6" t="s">
        <v>2236</v>
      </c>
      <c r="Q143" s="9" t="s">
        <v>2242</v>
      </c>
      <c r="R143" s="9" t="s">
        <v>2238</v>
      </c>
      <c r="S143" s="9" t="s">
        <v>2243</v>
      </c>
      <c r="T143" s="9" t="s">
        <v>2327</v>
      </c>
      <c r="U14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3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E540-301297903-D245401</v>
      </c>
      <c r="Y143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E540-30129790303-D245401</v>
      </c>
      <c r="Z14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3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3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3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43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1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" spans="1:31" x14ac:dyDescent="0.3">
      <c r="A144" s="6" t="s">
        <v>2414</v>
      </c>
      <c r="B144" s="6" t="s">
        <v>26</v>
      </c>
      <c r="C144" s="6" t="s">
        <v>1014</v>
      </c>
      <c r="D144" s="6" t="s">
        <v>1015</v>
      </c>
      <c r="E144" s="6" t="s">
        <v>2241</v>
      </c>
      <c r="F144" s="8">
        <v>38467.33</v>
      </c>
      <c r="G144" s="6" t="s">
        <v>2237</v>
      </c>
      <c r="H144" s="8">
        <v>38467</v>
      </c>
      <c r="I144" s="6" t="s">
        <v>2237</v>
      </c>
      <c r="J144" s="8">
        <v>0</v>
      </c>
      <c r="K144" s="6" t="s">
        <v>2237</v>
      </c>
      <c r="L144" s="8">
        <v>0</v>
      </c>
      <c r="M144" s="6" t="s">
        <v>2237</v>
      </c>
      <c r="N144" s="8">
        <v>0</v>
      </c>
      <c r="O144" s="6" t="s">
        <v>2237</v>
      </c>
      <c r="P144" s="6" t="s">
        <v>2236</v>
      </c>
      <c r="Q144" s="9" t="s">
        <v>2242</v>
      </c>
      <c r="R144" s="9" t="s">
        <v>2238</v>
      </c>
      <c r="S144" s="9" t="s">
        <v>2243</v>
      </c>
      <c r="T144" s="9" t="s">
        <v>2244</v>
      </c>
      <c r="U14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4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E540-301297902-D245401</v>
      </c>
      <c r="Y1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4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4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4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1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5" spans="1:31" x14ac:dyDescent="0.3">
      <c r="A145" s="6" t="s">
        <v>2415</v>
      </c>
      <c r="B145" s="6" t="s">
        <v>30</v>
      </c>
      <c r="C145" s="6" t="s">
        <v>1014</v>
      </c>
      <c r="D145" s="6" t="s">
        <v>1668</v>
      </c>
      <c r="E145" s="6" t="s">
        <v>2241</v>
      </c>
      <c r="F145" s="8">
        <v>0</v>
      </c>
      <c r="G145" s="6" t="s">
        <v>2237</v>
      </c>
      <c r="H145" s="8">
        <v>0</v>
      </c>
      <c r="I145" s="6" t="s">
        <v>2237</v>
      </c>
      <c r="J145" s="8">
        <v>0</v>
      </c>
      <c r="K145" s="6" t="s">
        <v>2237</v>
      </c>
      <c r="L145" s="8">
        <v>0</v>
      </c>
      <c r="M145" s="6" t="s">
        <v>2237</v>
      </c>
      <c r="N145" s="8">
        <v>0</v>
      </c>
      <c r="O145" s="6" t="s">
        <v>2237</v>
      </c>
      <c r="P145" s="6" t="s">
        <v>2236</v>
      </c>
      <c r="Q145" s="9" t="s">
        <v>2242</v>
      </c>
      <c r="R145" s="9" t="s">
        <v>2238</v>
      </c>
      <c r="S145" s="9" t="s">
        <v>2243</v>
      </c>
      <c r="T145" s="9" t="s">
        <v>2327</v>
      </c>
      <c r="U14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E540-301297902-D245401</v>
      </c>
      <c r="Y145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E540-30129790202-D245401</v>
      </c>
      <c r="Z14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5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5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5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45" s="10" t="str">
        <f>IF(IFERROR(INDEX(WBS_Dictionary!N$2:N$1212, MATCH(Table2[[#This Row],[WBS_ID]], Table26[WBS CODE],0)), "") = "", "null", IFERROR(INDEX(WBS_Dictionary!N$2:N$1212, MATCH(Table2[[#This Row],[WBS_ID]], Table26[WBS CODE],0)), ""))</f>
        <v>AWI 2-7</v>
      </c>
      <c r="AE14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6" spans="1:31" x14ac:dyDescent="0.3">
      <c r="A146" s="6" t="s">
        <v>2416</v>
      </c>
      <c r="B146" s="6" t="s">
        <v>26</v>
      </c>
      <c r="C146" s="6" t="s">
        <v>1012</v>
      </c>
      <c r="D146" s="6" t="s">
        <v>1013</v>
      </c>
      <c r="E146" s="6" t="s">
        <v>2241</v>
      </c>
      <c r="F146" s="8">
        <v>76935</v>
      </c>
      <c r="G146" s="6" t="s">
        <v>2237</v>
      </c>
      <c r="H146" s="8">
        <v>76935</v>
      </c>
      <c r="I146" s="6" t="s">
        <v>2237</v>
      </c>
      <c r="J146" s="8">
        <v>0</v>
      </c>
      <c r="K146" s="6" t="s">
        <v>2237</v>
      </c>
      <c r="L146" s="8">
        <v>0</v>
      </c>
      <c r="M146" s="6" t="s">
        <v>2237</v>
      </c>
      <c r="N146" s="8">
        <v>0</v>
      </c>
      <c r="O146" s="6" t="s">
        <v>2237</v>
      </c>
      <c r="P146" s="6" t="s">
        <v>2236</v>
      </c>
      <c r="Q146" s="9" t="s">
        <v>2242</v>
      </c>
      <c r="R146" s="9" t="s">
        <v>2238</v>
      </c>
      <c r="S146" s="9" t="s">
        <v>2243</v>
      </c>
      <c r="T146" s="9" t="s">
        <v>2244</v>
      </c>
      <c r="U14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E540-301297901-D245401</v>
      </c>
      <c r="Y1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6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6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1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7" spans="1:31" x14ac:dyDescent="0.3">
      <c r="A147" s="6" t="s">
        <v>2417</v>
      </c>
      <c r="B147" s="6" t="s">
        <v>30</v>
      </c>
      <c r="C147" s="6" t="s">
        <v>1012</v>
      </c>
      <c r="D147" s="6" t="s">
        <v>1667</v>
      </c>
      <c r="E147" s="6" t="s">
        <v>2241</v>
      </c>
      <c r="F147" s="8">
        <v>0</v>
      </c>
      <c r="G147" s="6" t="s">
        <v>2237</v>
      </c>
      <c r="H147" s="8">
        <v>0</v>
      </c>
      <c r="I147" s="6" t="s">
        <v>2237</v>
      </c>
      <c r="J147" s="8">
        <v>0</v>
      </c>
      <c r="K147" s="6" t="s">
        <v>2237</v>
      </c>
      <c r="L147" s="8">
        <v>0</v>
      </c>
      <c r="M147" s="6" t="s">
        <v>2237</v>
      </c>
      <c r="N147" s="8">
        <v>0</v>
      </c>
      <c r="O147" s="6" t="s">
        <v>2237</v>
      </c>
      <c r="P147" s="6" t="s">
        <v>2236</v>
      </c>
      <c r="Q147" s="9" t="s">
        <v>2242</v>
      </c>
      <c r="R147" s="9" t="s">
        <v>2238</v>
      </c>
      <c r="S147" s="9" t="s">
        <v>2243</v>
      </c>
      <c r="T147" s="9" t="s">
        <v>2327</v>
      </c>
      <c r="U14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E540-3012979-D245401</v>
      </c>
      <c r="X14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E540-301297901-D245401</v>
      </c>
      <c r="Y147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E540-30129790101-D245401</v>
      </c>
      <c r="Z14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7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47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47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47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1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8" spans="1:31" hidden="1" x14ac:dyDescent="0.3">
      <c r="A148" s="6" t="s">
        <v>2418</v>
      </c>
      <c r="B148" s="6" t="s">
        <v>21</v>
      </c>
      <c r="C148" s="6" t="s">
        <v>304</v>
      </c>
      <c r="D148" s="6" t="s">
        <v>859</v>
      </c>
      <c r="E148" s="6" t="s">
        <v>2241</v>
      </c>
      <c r="F148" s="8">
        <v>277723</v>
      </c>
      <c r="G148" s="6" t="s">
        <v>2237</v>
      </c>
      <c r="H148" s="8">
        <v>277723</v>
      </c>
      <c r="I148" s="6" t="s">
        <v>2237</v>
      </c>
      <c r="J148" s="8">
        <v>0</v>
      </c>
      <c r="K148" s="6" t="s">
        <v>2237</v>
      </c>
      <c r="L148" s="8">
        <v>5154.1499999999996</v>
      </c>
      <c r="M148" s="6" t="s">
        <v>2237</v>
      </c>
      <c r="N148" s="8">
        <v>136878.32</v>
      </c>
      <c r="O148" s="6" t="s">
        <v>2237</v>
      </c>
      <c r="P148" s="6" t="s">
        <v>2236</v>
      </c>
      <c r="Q148" s="9" t="s">
        <v>2242</v>
      </c>
      <c r="R148" s="9" t="s">
        <v>2238</v>
      </c>
      <c r="S148" s="9" t="s">
        <v>2243</v>
      </c>
      <c r="T148" s="9" t="s">
        <v>2244</v>
      </c>
      <c r="U14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E540-3012978-D245401</v>
      </c>
      <c r="X1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8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" spans="1:31" hidden="1" x14ac:dyDescent="0.3">
      <c r="A149" s="6" t="s">
        <v>2419</v>
      </c>
      <c r="B149" s="6" t="s">
        <v>26</v>
      </c>
      <c r="C149" s="6" t="s">
        <v>307</v>
      </c>
      <c r="D149" s="6" t="s">
        <v>1010</v>
      </c>
      <c r="E149" s="6" t="s">
        <v>2241</v>
      </c>
      <c r="F149" s="8">
        <v>112089</v>
      </c>
      <c r="G149" s="6" t="s">
        <v>2237</v>
      </c>
      <c r="H149" s="8">
        <v>112089</v>
      </c>
      <c r="I149" s="6" t="s">
        <v>2237</v>
      </c>
      <c r="J149" s="8">
        <v>0</v>
      </c>
      <c r="K149" s="6" t="s">
        <v>2237</v>
      </c>
      <c r="L149" s="8">
        <v>0</v>
      </c>
      <c r="M149" s="6" t="s">
        <v>2237</v>
      </c>
      <c r="N149" s="8">
        <v>23682.080000000002</v>
      </c>
      <c r="O149" s="6" t="s">
        <v>2237</v>
      </c>
      <c r="P149" s="6" t="s">
        <v>2236</v>
      </c>
      <c r="Q149" s="9" t="s">
        <v>2242</v>
      </c>
      <c r="R149" s="9" t="s">
        <v>2238</v>
      </c>
      <c r="S149" s="9" t="s">
        <v>2243</v>
      </c>
      <c r="T149" s="9" t="s">
        <v>2244</v>
      </c>
      <c r="U14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4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4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E540-3012978-D245401</v>
      </c>
      <c r="X149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E540-301297856-D245401</v>
      </c>
      <c r="Y1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9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49" s="10" t="str">
        <f>IF(IFERROR(INDEX(WBS_Dictionary!L$2:L$1212, MATCH(Table2[[#This Row],[WBS_ID]], Table26[WBS CODE],0)), "") = "", "null", IFERROR(INDEX(WBS_Dictionary!L$2:L$1212, MATCH(Table2[[#This Row],[WBS_ID]], Table26[WBS CODE],0)), ""))</f>
        <v>Security</v>
      </c>
      <c r="AC1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" spans="1:31" hidden="1" x14ac:dyDescent="0.3">
      <c r="A150" s="6" t="s">
        <v>2420</v>
      </c>
      <c r="B150" s="6" t="s">
        <v>30</v>
      </c>
      <c r="C150" s="6" t="s">
        <v>307</v>
      </c>
      <c r="D150" s="6" t="s">
        <v>1665</v>
      </c>
      <c r="E150" s="6" t="s">
        <v>2241</v>
      </c>
      <c r="F150" s="8">
        <v>0</v>
      </c>
      <c r="G150" s="6" t="s">
        <v>2237</v>
      </c>
      <c r="H150" s="8">
        <v>0</v>
      </c>
      <c r="I150" s="6" t="s">
        <v>2237</v>
      </c>
      <c r="J150" s="8">
        <v>0</v>
      </c>
      <c r="K150" s="6" t="s">
        <v>2237</v>
      </c>
      <c r="L150" s="8">
        <v>0</v>
      </c>
      <c r="M150" s="6" t="s">
        <v>2237</v>
      </c>
      <c r="N150" s="8">
        <v>23682.080000000002</v>
      </c>
      <c r="O150" s="6" t="s">
        <v>2237</v>
      </c>
      <c r="P150" s="6" t="s">
        <v>2236</v>
      </c>
      <c r="Q150" s="9" t="s">
        <v>2242</v>
      </c>
      <c r="R150" s="9" t="s">
        <v>2238</v>
      </c>
      <c r="S150" s="9" t="s">
        <v>2243</v>
      </c>
      <c r="T150" s="9" t="s">
        <v>2327</v>
      </c>
      <c r="U15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E540-3012978-D245401</v>
      </c>
      <c r="X150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E540-301297856-D245401</v>
      </c>
      <c r="Y150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E540-30129785627-D245401</v>
      </c>
      <c r="Z15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0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50" s="10" t="str">
        <f>IF(IFERROR(INDEX(WBS_Dictionary!L$2:L$1212, MATCH(Table2[[#This Row],[WBS_ID]], Table26[WBS CODE],0)), "") = "", "null", IFERROR(INDEX(WBS_Dictionary!L$2:L$1212, MATCH(Table2[[#This Row],[WBS_ID]], Table26[WBS CODE],0)), ""))</f>
        <v>Security</v>
      </c>
      <c r="AC150" s="10" t="str">
        <f>IF(IFERROR(INDEX(WBS_Dictionary!M$2:M$1212, MATCH(Table2[[#This Row],[WBS_ID]], Table26[WBS CODE],0)), "") = "", "null", IFERROR(INDEX(WBS_Dictionary!M$2:M$1212, MATCH(Table2[[#This Row],[WBS_ID]], Table26[WBS CODE],0)), ""))</f>
        <v>Security</v>
      </c>
      <c r="AD1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" spans="1:31" hidden="1" x14ac:dyDescent="0.3">
      <c r="A151" s="6" t="s">
        <v>2421</v>
      </c>
      <c r="B151" s="6" t="s">
        <v>26</v>
      </c>
      <c r="C151" s="6" t="s">
        <v>310</v>
      </c>
      <c r="D151" s="6" t="s">
        <v>1011</v>
      </c>
      <c r="E151" s="6" t="s">
        <v>2241</v>
      </c>
      <c r="F151" s="8">
        <v>165634</v>
      </c>
      <c r="G151" s="6" t="s">
        <v>2237</v>
      </c>
      <c r="H151" s="8">
        <v>165634</v>
      </c>
      <c r="I151" s="6" t="s">
        <v>2237</v>
      </c>
      <c r="J151" s="8">
        <v>0</v>
      </c>
      <c r="K151" s="6" t="s">
        <v>2237</v>
      </c>
      <c r="L151" s="8">
        <v>5154.1499999999996</v>
      </c>
      <c r="M151" s="6" t="s">
        <v>2237</v>
      </c>
      <c r="N151" s="8">
        <v>113196.24</v>
      </c>
      <c r="O151" s="6" t="s">
        <v>2237</v>
      </c>
      <c r="P151" s="6" t="s">
        <v>2236</v>
      </c>
      <c r="Q151" s="9" t="s">
        <v>2242</v>
      </c>
      <c r="R151" s="9" t="s">
        <v>2238</v>
      </c>
      <c r="S151" s="9" t="s">
        <v>2243</v>
      </c>
      <c r="T151" s="9" t="s">
        <v>2244</v>
      </c>
      <c r="U15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E540-3012978-D245401</v>
      </c>
      <c r="X151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E540-301297862-D245401</v>
      </c>
      <c r="Y1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1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51" s="10" t="str">
        <f>IF(IFERROR(INDEX(WBS_Dictionary!L$2:L$1212, MATCH(Table2[[#This Row],[WBS_ID]], Table26[WBS CODE],0)), "") = "", "null", IFERROR(INDEX(WBS_Dictionary!L$2:L$1212, MATCH(Table2[[#This Row],[WBS_ID]], Table26[WBS CODE],0)), ""))</f>
        <v>PGPA</v>
      </c>
      <c r="AC1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" spans="1:31" hidden="1" x14ac:dyDescent="0.3">
      <c r="A152" s="6" t="s">
        <v>2422</v>
      </c>
      <c r="B152" s="6" t="s">
        <v>30</v>
      </c>
      <c r="C152" s="6" t="s">
        <v>310</v>
      </c>
      <c r="D152" s="6" t="s">
        <v>1666</v>
      </c>
      <c r="E152" s="6" t="s">
        <v>2241</v>
      </c>
      <c r="F152" s="8">
        <v>0</v>
      </c>
      <c r="G152" s="6" t="s">
        <v>2237</v>
      </c>
      <c r="H152" s="8">
        <v>0</v>
      </c>
      <c r="I152" s="6" t="s">
        <v>2237</v>
      </c>
      <c r="J152" s="8">
        <v>0</v>
      </c>
      <c r="K152" s="6" t="s">
        <v>2237</v>
      </c>
      <c r="L152" s="8">
        <v>5154.1499999999996</v>
      </c>
      <c r="M152" s="6" t="s">
        <v>2237</v>
      </c>
      <c r="N152" s="8">
        <v>113196.24</v>
      </c>
      <c r="O152" s="6" t="s">
        <v>2237</v>
      </c>
      <c r="P152" s="6" t="s">
        <v>2236</v>
      </c>
      <c r="Q152" s="9" t="s">
        <v>2242</v>
      </c>
      <c r="R152" s="9" t="s">
        <v>2238</v>
      </c>
      <c r="S152" s="9" t="s">
        <v>2243</v>
      </c>
      <c r="T152" s="9" t="s">
        <v>2327</v>
      </c>
      <c r="U15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E540-3012978-D245401</v>
      </c>
      <c r="X15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E540-301297862-D245401</v>
      </c>
      <c r="Y152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E540-30129786227-D245401</v>
      </c>
      <c r="Z15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2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52" s="10" t="str">
        <f>IF(IFERROR(INDEX(WBS_Dictionary!L$2:L$1212, MATCH(Table2[[#This Row],[WBS_ID]], Table26[WBS CODE],0)), "") = "", "null", IFERROR(INDEX(WBS_Dictionary!L$2:L$1212, MATCH(Table2[[#This Row],[WBS_ID]], Table26[WBS CODE],0)), ""))</f>
        <v>PGPA</v>
      </c>
      <c r="AC152" s="10" t="str">
        <f>IF(IFERROR(INDEX(WBS_Dictionary!M$2:M$1212, MATCH(Table2[[#This Row],[WBS_ID]], Table26[WBS CODE],0)), "") = "", "null", IFERROR(INDEX(WBS_Dictionary!M$2:M$1212, MATCH(Table2[[#This Row],[WBS_ID]], Table26[WBS CODE],0)), ""))</f>
        <v>PGPA</v>
      </c>
      <c r="AD1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" spans="1:31" hidden="1" x14ac:dyDescent="0.3">
      <c r="A153" s="6" t="s">
        <v>2423</v>
      </c>
      <c r="B153" s="6" t="s">
        <v>21</v>
      </c>
      <c r="C153" s="6" t="s">
        <v>313</v>
      </c>
      <c r="D153" s="6" t="s">
        <v>858</v>
      </c>
      <c r="E153" s="6" t="s">
        <v>2241</v>
      </c>
      <c r="F153" s="8">
        <v>805846</v>
      </c>
      <c r="G153" s="6" t="s">
        <v>2237</v>
      </c>
      <c r="H153" s="8">
        <v>805846</v>
      </c>
      <c r="I153" s="6" t="s">
        <v>2237</v>
      </c>
      <c r="J153" s="8">
        <v>0</v>
      </c>
      <c r="K153" s="6" t="s">
        <v>2237</v>
      </c>
      <c r="L153" s="8">
        <v>12375.31</v>
      </c>
      <c r="M153" s="6" t="s">
        <v>2237</v>
      </c>
      <c r="N153" s="8">
        <v>381082.77</v>
      </c>
      <c r="O153" s="6" t="s">
        <v>2237</v>
      </c>
      <c r="P153" s="6" t="s">
        <v>2236</v>
      </c>
      <c r="Q153" s="9" t="s">
        <v>2242</v>
      </c>
      <c r="R153" s="9" t="s">
        <v>2238</v>
      </c>
      <c r="S153" s="9" t="s">
        <v>2243</v>
      </c>
      <c r="T153" s="9" t="s">
        <v>2244</v>
      </c>
      <c r="U15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3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" spans="1:31" hidden="1" x14ac:dyDescent="0.3">
      <c r="A154" s="6" t="s">
        <v>2424</v>
      </c>
      <c r="B154" s="6" t="s">
        <v>26</v>
      </c>
      <c r="C154" s="6" t="s">
        <v>319</v>
      </c>
      <c r="D154" s="6" t="s">
        <v>1009</v>
      </c>
      <c r="E154" s="6" t="s">
        <v>2241</v>
      </c>
      <c r="F154" s="8">
        <v>52283</v>
      </c>
      <c r="G154" s="6" t="s">
        <v>2237</v>
      </c>
      <c r="H154" s="8">
        <v>52283</v>
      </c>
      <c r="I154" s="6" t="s">
        <v>2237</v>
      </c>
      <c r="J154" s="8">
        <v>0</v>
      </c>
      <c r="K154" s="6" t="s">
        <v>2237</v>
      </c>
      <c r="L154" s="8">
        <v>12375.31</v>
      </c>
      <c r="M154" s="6" t="s">
        <v>2237</v>
      </c>
      <c r="N154" s="8">
        <v>6855.03</v>
      </c>
      <c r="O154" s="6" t="s">
        <v>2237</v>
      </c>
      <c r="P154" s="6" t="s">
        <v>2236</v>
      </c>
      <c r="Q154" s="9" t="s">
        <v>2242</v>
      </c>
      <c r="R154" s="9" t="s">
        <v>2238</v>
      </c>
      <c r="S154" s="9" t="s">
        <v>2243</v>
      </c>
      <c r="T154" s="9" t="s">
        <v>2244</v>
      </c>
      <c r="U15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54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E540-301297759-D245401</v>
      </c>
      <c r="Y1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4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54" s="10" t="str">
        <f>IF(IFERROR(INDEX(WBS_Dictionary!L$2:L$1212, MATCH(Table2[[#This Row],[WBS_ID]], Table26[WBS CODE],0)), "") = "", "null", IFERROR(INDEX(WBS_Dictionary!L$2:L$1212, MATCH(Table2[[#This Row],[WBS_ID]], Table26[WBS CODE],0)), ""))</f>
        <v>Environmental Monitoring</v>
      </c>
      <c r="AC1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" spans="1:31" hidden="1" x14ac:dyDescent="0.3">
      <c r="A155" s="6" t="s">
        <v>2425</v>
      </c>
      <c r="B155" s="6" t="s">
        <v>30</v>
      </c>
      <c r="C155" s="6" t="s">
        <v>1663</v>
      </c>
      <c r="D155" s="6" t="s">
        <v>1664</v>
      </c>
      <c r="E155" s="6" t="s">
        <v>2241</v>
      </c>
      <c r="F155" s="8">
        <v>0</v>
      </c>
      <c r="G155" s="6" t="s">
        <v>2237</v>
      </c>
      <c r="H155" s="8">
        <v>0</v>
      </c>
      <c r="I155" s="6" t="s">
        <v>2237</v>
      </c>
      <c r="J155" s="8">
        <v>0</v>
      </c>
      <c r="K155" s="6" t="s">
        <v>2237</v>
      </c>
      <c r="L155" s="8">
        <v>12375.31</v>
      </c>
      <c r="M155" s="6" t="s">
        <v>2237</v>
      </c>
      <c r="N155" s="8">
        <v>6855.03</v>
      </c>
      <c r="O155" s="6" t="s">
        <v>2237</v>
      </c>
      <c r="P155" s="6" t="s">
        <v>2236</v>
      </c>
      <c r="Q155" s="9" t="s">
        <v>2242</v>
      </c>
      <c r="R155" s="9" t="s">
        <v>2238</v>
      </c>
      <c r="S155" s="9" t="s">
        <v>2243</v>
      </c>
      <c r="T155" s="9" t="s">
        <v>2327</v>
      </c>
      <c r="U15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5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E540-301297759-D245401</v>
      </c>
      <c r="Y155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E540-30129775929-D245401</v>
      </c>
      <c r="Z15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5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55" s="10" t="str">
        <f>IF(IFERROR(INDEX(WBS_Dictionary!L$2:L$1212, MATCH(Table2[[#This Row],[WBS_ID]], Table26[WBS CODE],0)), "") = "", "null", IFERROR(INDEX(WBS_Dictionary!L$2:L$1212, MATCH(Table2[[#This Row],[WBS_ID]], Table26[WBS CODE],0)), ""))</f>
        <v>Environmental Monitoring</v>
      </c>
      <c r="AC155" s="10" t="str">
        <f>IF(IFERROR(INDEX(WBS_Dictionary!M$2:M$1212, MATCH(Table2[[#This Row],[WBS_ID]], Table26[WBS CODE],0)), "") = "", "null", IFERROR(INDEX(WBS_Dictionary!M$2:M$1212, MATCH(Table2[[#This Row],[WBS_ID]], Table26[WBS CODE],0)), ""))</f>
        <v>Sampling and Lab Analysis</v>
      </c>
      <c r="AD1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" spans="1:31" hidden="1" x14ac:dyDescent="0.3">
      <c r="A156" s="6" t="s">
        <v>2426</v>
      </c>
      <c r="B156" s="6" t="s">
        <v>26</v>
      </c>
      <c r="C156" s="6" t="s">
        <v>322</v>
      </c>
      <c r="D156" s="6" t="s">
        <v>1007</v>
      </c>
      <c r="E156" s="6" t="s">
        <v>2241</v>
      </c>
      <c r="F156" s="8">
        <v>81136</v>
      </c>
      <c r="G156" s="6" t="s">
        <v>2237</v>
      </c>
      <c r="H156" s="8">
        <v>81136</v>
      </c>
      <c r="I156" s="6" t="s">
        <v>2237</v>
      </c>
      <c r="J156" s="8">
        <v>0</v>
      </c>
      <c r="K156" s="6" t="s">
        <v>2237</v>
      </c>
      <c r="L156" s="8">
        <v>0</v>
      </c>
      <c r="M156" s="6" t="s">
        <v>2237</v>
      </c>
      <c r="N156" s="8">
        <v>951.75</v>
      </c>
      <c r="O156" s="6" t="s">
        <v>2237</v>
      </c>
      <c r="P156" s="6" t="s">
        <v>2236</v>
      </c>
      <c r="Q156" s="9" t="s">
        <v>2242</v>
      </c>
      <c r="R156" s="9" t="s">
        <v>2238</v>
      </c>
      <c r="S156" s="9" t="s">
        <v>2243</v>
      </c>
      <c r="T156" s="9" t="s">
        <v>2244</v>
      </c>
      <c r="U15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5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E540-301297757-D245401</v>
      </c>
      <c r="Y1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6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56" s="10" t="str">
        <f>IF(IFERROR(INDEX(WBS_Dictionary!L$2:L$1212, MATCH(Table2[[#This Row],[WBS_ID]], Table26[WBS CODE],0)), "") = "", "null", IFERROR(INDEX(WBS_Dictionary!L$2:L$1212, MATCH(Table2[[#This Row],[WBS_ID]], Table26[WBS CODE],0)), ""))</f>
        <v>Hazardous Waste</v>
      </c>
      <c r="AC1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" spans="1:31" hidden="1" x14ac:dyDescent="0.3">
      <c r="A157" s="6" t="s">
        <v>2427</v>
      </c>
      <c r="B157" s="6" t="s">
        <v>30</v>
      </c>
      <c r="C157" s="6" t="s">
        <v>322</v>
      </c>
      <c r="D157" s="6" t="s">
        <v>1658</v>
      </c>
      <c r="E157" s="6" t="s">
        <v>2241</v>
      </c>
      <c r="F157" s="8">
        <v>0</v>
      </c>
      <c r="G157" s="6" t="s">
        <v>2237</v>
      </c>
      <c r="H157" s="8">
        <v>0</v>
      </c>
      <c r="I157" s="6" t="s">
        <v>2237</v>
      </c>
      <c r="J157" s="8">
        <v>0</v>
      </c>
      <c r="K157" s="6" t="s">
        <v>2237</v>
      </c>
      <c r="L157" s="8">
        <v>0</v>
      </c>
      <c r="M157" s="6" t="s">
        <v>2237</v>
      </c>
      <c r="N157" s="8">
        <v>951.75</v>
      </c>
      <c r="O157" s="6" t="s">
        <v>2237</v>
      </c>
      <c r="P157" s="6" t="s">
        <v>2236</v>
      </c>
      <c r="Q157" s="9" t="s">
        <v>2242</v>
      </c>
      <c r="R157" s="9" t="s">
        <v>2238</v>
      </c>
      <c r="S157" s="9" t="s">
        <v>2243</v>
      </c>
      <c r="T157" s="9" t="s">
        <v>2327</v>
      </c>
      <c r="U15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5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E540-301297757-D245401</v>
      </c>
      <c r="Y157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E540-30129775736-D245401</v>
      </c>
      <c r="Z15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7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57" s="10" t="str">
        <f>IF(IFERROR(INDEX(WBS_Dictionary!L$2:L$1212, MATCH(Table2[[#This Row],[WBS_ID]], Table26[WBS CODE],0)), "") = "", "null", IFERROR(INDEX(WBS_Dictionary!L$2:L$1212, MATCH(Table2[[#This Row],[WBS_ID]], Table26[WBS CODE],0)), ""))</f>
        <v>Hazardous Waste</v>
      </c>
      <c r="AC157" s="10" t="str">
        <f>IF(IFERROR(INDEX(WBS_Dictionary!M$2:M$1212, MATCH(Table2[[#This Row],[WBS_ID]], Table26[WBS CODE],0)), "") = "", "null", IFERROR(INDEX(WBS_Dictionary!M$2:M$1212, MATCH(Table2[[#This Row],[WBS_ID]], Table26[WBS CODE],0)), ""))</f>
        <v>Hazardous Waste</v>
      </c>
      <c r="AD1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" spans="1:31" hidden="1" x14ac:dyDescent="0.3">
      <c r="A158" s="6" t="s">
        <v>2428</v>
      </c>
      <c r="B158" s="6" t="s">
        <v>26</v>
      </c>
      <c r="C158" s="6" t="s">
        <v>325</v>
      </c>
      <c r="D158" s="6" t="s">
        <v>1008</v>
      </c>
      <c r="E158" s="6" t="s">
        <v>2241</v>
      </c>
      <c r="F158" s="8">
        <v>672427</v>
      </c>
      <c r="G158" s="6" t="s">
        <v>2237</v>
      </c>
      <c r="H158" s="8">
        <v>672427</v>
      </c>
      <c r="I158" s="6" t="s">
        <v>2237</v>
      </c>
      <c r="J158" s="8">
        <v>0</v>
      </c>
      <c r="K158" s="6" t="s">
        <v>2237</v>
      </c>
      <c r="L158" s="8">
        <v>0</v>
      </c>
      <c r="M158" s="6" t="s">
        <v>2237</v>
      </c>
      <c r="N158" s="8">
        <v>373275.99</v>
      </c>
      <c r="O158" s="6" t="s">
        <v>2237</v>
      </c>
      <c r="P158" s="6" t="s">
        <v>2236</v>
      </c>
      <c r="Q158" s="9" t="s">
        <v>2242</v>
      </c>
      <c r="R158" s="9" t="s">
        <v>2238</v>
      </c>
      <c r="S158" s="9" t="s">
        <v>2243</v>
      </c>
      <c r="T158" s="9" t="s">
        <v>2244</v>
      </c>
      <c r="U15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5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E540-301297758-D245401</v>
      </c>
      <c r="Y1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8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58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1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" spans="1:31" hidden="1" x14ac:dyDescent="0.3">
      <c r="A159" s="6" t="s">
        <v>2429</v>
      </c>
      <c r="B159" s="6" t="s">
        <v>30</v>
      </c>
      <c r="C159" s="6" t="s">
        <v>1659</v>
      </c>
      <c r="D159" s="6" t="s">
        <v>1660</v>
      </c>
      <c r="E159" s="6" t="s">
        <v>2241</v>
      </c>
      <c r="F159" s="8">
        <v>0</v>
      </c>
      <c r="G159" s="6" t="s">
        <v>2237</v>
      </c>
      <c r="H159" s="8">
        <v>0</v>
      </c>
      <c r="I159" s="6" t="s">
        <v>2237</v>
      </c>
      <c r="J159" s="8">
        <v>0</v>
      </c>
      <c r="K159" s="6" t="s">
        <v>2237</v>
      </c>
      <c r="L159" s="8">
        <v>0</v>
      </c>
      <c r="M159" s="6" t="s">
        <v>2237</v>
      </c>
      <c r="N159" s="8">
        <v>197118.96</v>
      </c>
      <c r="O159" s="6" t="s">
        <v>2237</v>
      </c>
      <c r="P159" s="6" t="s">
        <v>2236</v>
      </c>
      <c r="Q159" s="9" t="s">
        <v>2242</v>
      </c>
      <c r="R159" s="9" t="s">
        <v>2238</v>
      </c>
      <c r="S159" s="9" t="s">
        <v>2243</v>
      </c>
      <c r="T159" s="9" t="s">
        <v>2327</v>
      </c>
      <c r="U15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5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5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59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E540-301297758-D245401</v>
      </c>
      <c r="Y159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E540-30129775816-D245401</v>
      </c>
      <c r="Z15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59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59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159" s="10" t="str">
        <f>IF(IFERROR(INDEX(WBS_Dictionary!M$2:M$1212, MATCH(Table2[[#This Row],[WBS_ID]], Table26[WBS CODE],0)), "") = "", "null", IFERROR(INDEX(WBS_Dictionary!M$2:M$1212, MATCH(Table2[[#This Row],[WBS_ID]], Table26[WBS CODE],0)), ""))</f>
        <v>Drill Cutting - Transport &amp; Process</v>
      </c>
      <c r="AD1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" spans="1:31" hidden="1" x14ac:dyDescent="0.3">
      <c r="A160" s="6" t="s">
        <v>2430</v>
      </c>
      <c r="B160" s="6" t="s">
        <v>30</v>
      </c>
      <c r="C160" s="6" t="s">
        <v>1661</v>
      </c>
      <c r="D160" s="6" t="s">
        <v>1662</v>
      </c>
      <c r="E160" s="6" t="s">
        <v>2241</v>
      </c>
      <c r="F160" s="8">
        <v>0</v>
      </c>
      <c r="G160" s="6" t="s">
        <v>2237</v>
      </c>
      <c r="H160" s="8">
        <v>0</v>
      </c>
      <c r="I160" s="6" t="s">
        <v>2237</v>
      </c>
      <c r="J160" s="8">
        <v>0</v>
      </c>
      <c r="K160" s="6" t="s">
        <v>2237</v>
      </c>
      <c r="L160" s="8">
        <v>0</v>
      </c>
      <c r="M160" s="6" t="s">
        <v>2237</v>
      </c>
      <c r="N160" s="8">
        <v>176157.03</v>
      </c>
      <c r="O160" s="6" t="s">
        <v>2237</v>
      </c>
      <c r="P160" s="6" t="s">
        <v>2236</v>
      </c>
      <c r="Q160" s="9" t="s">
        <v>2242</v>
      </c>
      <c r="R160" s="9" t="s">
        <v>2238</v>
      </c>
      <c r="S160" s="9" t="s">
        <v>2243</v>
      </c>
      <c r="T160" s="9" t="s">
        <v>2327</v>
      </c>
      <c r="U16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E540-3012977-D245401</v>
      </c>
      <c r="X160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E540-301297758-D245401</v>
      </c>
      <c r="Y160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E540-30129775817-D245401</v>
      </c>
      <c r="Z16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0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60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160" s="10" t="str">
        <f>IF(IFERROR(INDEX(WBS_Dictionary!M$2:M$1212, MATCH(Table2[[#This Row],[WBS_ID]], Table26[WBS CODE],0)), "") = "", "null", IFERROR(INDEX(WBS_Dictionary!M$2:M$1212, MATCH(Table2[[#This Row],[WBS_ID]], Table26[WBS CODE],0)), ""))</f>
        <v>Drill Cutting - Transport &amp; Process</v>
      </c>
      <c r="AD1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" spans="1:31" hidden="1" x14ac:dyDescent="0.3">
      <c r="A161" s="6" t="s">
        <v>2431</v>
      </c>
      <c r="B161" s="6" t="s">
        <v>21</v>
      </c>
      <c r="C161" s="6" t="s">
        <v>332</v>
      </c>
      <c r="D161" s="6" t="s">
        <v>857</v>
      </c>
      <c r="E161" s="6" t="s">
        <v>2241</v>
      </c>
      <c r="F161" s="8">
        <v>235065</v>
      </c>
      <c r="G161" s="6" t="s">
        <v>2237</v>
      </c>
      <c r="H161" s="8">
        <v>235065</v>
      </c>
      <c r="I161" s="6" t="s">
        <v>2237</v>
      </c>
      <c r="J161" s="8">
        <v>0</v>
      </c>
      <c r="K161" s="6" t="s">
        <v>2237</v>
      </c>
      <c r="L161" s="8">
        <v>15006.71</v>
      </c>
      <c r="M161" s="6" t="s">
        <v>2237</v>
      </c>
      <c r="N161" s="8">
        <v>147941.46</v>
      </c>
      <c r="O161" s="6" t="s">
        <v>2237</v>
      </c>
      <c r="P161" s="6" t="s">
        <v>2236</v>
      </c>
      <c r="Q161" s="9" t="s">
        <v>2242</v>
      </c>
      <c r="R161" s="9" t="s">
        <v>2238</v>
      </c>
      <c r="S161" s="9" t="s">
        <v>2243</v>
      </c>
      <c r="T161" s="9" t="s">
        <v>2244</v>
      </c>
      <c r="U16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1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" spans="1:31" x14ac:dyDescent="0.3">
      <c r="A162" s="6" t="s">
        <v>2432</v>
      </c>
      <c r="B162" s="6" t="s">
        <v>26</v>
      </c>
      <c r="C162" s="6" t="s">
        <v>2433</v>
      </c>
      <c r="D162" s="6" t="s">
        <v>1006</v>
      </c>
      <c r="E162" s="6" t="s">
        <v>2241</v>
      </c>
      <c r="F162" s="8">
        <v>28213</v>
      </c>
      <c r="G162" s="6" t="s">
        <v>2237</v>
      </c>
      <c r="H162" s="8">
        <v>28213</v>
      </c>
      <c r="I162" s="6" t="s">
        <v>2237</v>
      </c>
      <c r="J162" s="8">
        <v>0</v>
      </c>
      <c r="K162" s="6" t="s">
        <v>2237</v>
      </c>
      <c r="L162" s="8">
        <v>0</v>
      </c>
      <c r="M162" s="6" t="s">
        <v>2237</v>
      </c>
      <c r="N162" s="8">
        <v>17172.900000000001</v>
      </c>
      <c r="O162" s="6" t="s">
        <v>2237</v>
      </c>
      <c r="P162" s="6" t="s">
        <v>2236</v>
      </c>
      <c r="Q162" s="9" t="s">
        <v>2242</v>
      </c>
      <c r="R162" s="9" t="s">
        <v>2238</v>
      </c>
      <c r="S162" s="9" t="s">
        <v>2243</v>
      </c>
      <c r="T162" s="9" t="s">
        <v>2244</v>
      </c>
      <c r="U16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E540-301297609-D245401</v>
      </c>
      <c r="Y1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2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2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16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63" spans="1:31" x14ac:dyDescent="0.3">
      <c r="A163" s="6" t="s">
        <v>2434</v>
      </c>
      <c r="B163" s="6" t="s">
        <v>30</v>
      </c>
      <c r="C163" s="6" t="s">
        <v>2433</v>
      </c>
      <c r="D163" s="6" t="s">
        <v>1657</v>
      </c>
      <c r="E163" s="6" t="s">
        <v>2241</v>
      </c>
      <c r="F163" s="8">
        <v>0</v>
      </c>
      <c r="G163" s="6" t="s">
        <v>2237</v>
      </c>
      <c r="H163" s="8">
        <v>0</v>
      </c>
      <c r="I163" s="6" t="s">
        <v>2237</v>
      </c>
      <c r="J163" s="8">
        <v>0</v>
      </c>
      <c r="K163" s="6" t="s">
        <v>2237</v>
      </c>
      <c r="L163" s="8">
        <v>0</v>
      </c>
      <c r="M163" s="6" t="s">
        <v>2237</v>
      </c>
      <c r="N163" s="8">
        <v>17172.900000000001</v>
      </c>
      <c r="O163" s="6" t="s">
        <v>2237</v>
      </c>
      <c r="P163" s="6" t="s">
        <v>2236</v>
      </c>
      <c r="Q163" s="9" t="s">
        <v>2242</v>
      </c>
      <c r="R163" s="9" t="s">
        <v>2238</v>
      </c>
      <c r="S163" s="9" t="s">
        <v>2243</v>
      </c>
      <c r="T163" s="9" t="s">
        <v>2327</v>
      </c>
      <c r="U16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3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E540-301297609-D245401</v>
      </c>
      <c r="Y163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E540-30129760909-D245401</v>
      </c>
      <c r="Z16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3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3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3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63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16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64" spans="1:31" x14ac:dyDescent="0.3">
      <c r="A164" s="6" t="s">
        <v>2435</v>
      </c>
      <c r="B164" s="6" t="s">
        <v>26</v>
      </c>
      <c r="C164" s="6" t="s">
        <v>1003</v>
      </c>
      <c r="D164" s="6" t="s">
        <v>1004</v>
      </c>
      <c r="E164" s="6" t="s">
        <v>2241</v>
      </c>
      <c r="F164" s="8">
        <v>28213</v>
      </c>
      <c r="G164" s="6" t="s">
        <v>2237</v>
      </c>
      <c r="H164" s="8">
        <v>28213</v>
      </c>
      <c r="I164" s="6" t="s">
        <v>2237</v>
      </c>
      <c r="J164" s="8">
        <v>0</v>
      </c>
      <c r="K164" s="6" t="s">
        <v>2237</v>
      </c>
      <c r="L164" s="8">
        <v>0</v>
      </c>
      <c r="M164" s="6" t="s">
        <v>2237</v>
      </c>
      <c r="N164" s="8">
        <v>17152.37</v>
      </c>
      <c r="O164" s="6" t="s">
        <v>2237</v>
      </c>
      <c r="P164" s="6" t="s">
        <v>2236</v>
      </c>
      <c r="Q164" s="9" t="s">
        <v>2242</v>
      </c>
      <c r="R164" s="9" t="s">
        <v>2238</v>
      </c>
      <c r="S164" s="9" t="s">
        <v>2243</v>
      </c>
      <c r="T164" s="9" t="s">
        <v>2244</v>
      </c>
      <c r="U16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4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E540-301297608-D245401</v>
      </c>
      <c r="Y1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4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4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16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65" spans="1:31" x14ac:dyDescent="0.3">
      <c r="A165" s="6" t="s">
        <v>2436</v>
      </c>
      <c r="B165" s="6" t="s">
        <v>30</v>
      </c>
      <c r="C165" s="6" t="s">
        <v>1003</v>
      </c>
      <c r="D165" s="6" t="s">
        <v>1656</v>
      </c>
      <c r="E165" s="6" t="s">
        <v>2241</v>
      </c>
      <c r="F165" s="8">
        <v>0</v>
      </c>
      <c r="G165" s="6" t="s">
        <v>2237</v>
      </c>
      <c r="H165" s="8">
        <v>0</v>
      </c>
      <c r="I165" s="6" t="s">
        <v>2237</v>
      </c>
      <c r="J165" s="8">
        <v>0</v>
      </c>
      <c r="K165" s="6" t="s">
        <v>2237</v>
      </c>
      <c r="L165" s="8">
        <v>0</v>
      </c>
      <c r="M165" s="6" t="s">
        <v>2237</v>
      </c>
      <c r="N165" s="8">
        <v>17152.37</v>
      </c>
      <c r="O165" s="6" t="s">
        <v>2237</v>
      </c>
      <c r="P165" s="6" t="s">
        <v>2236</v>
      </c>
      <c r="Q165" s="9" t="s">
        <v>2242</v>
      </c>
      <c r="R165" s="9" t="s">
        <v>2238</v>
      </c>
      <c r="S165" s="9" t="s">
        <v>2243</v>
      </c>
      <c r="T165" s="9" t="s">
        <v>2327</v>
      </c>
      <c r="U16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E540-301297608-D245401</v>
      </c>
      <c r="Y165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E540-30129760808-D245401</v>
      </c>
      <c r="Z16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5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5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5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65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16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66" spans="1:31" x14ac:dyDescent="0.3">
      <c r="A166" s="6" t="s">
        <v>2437</v>
      </c>
      <c r="B166" s="6" t="s">
        <v>26</v>
      </c>
      <c r="C166" s="6" t="s">
        <v>1001</v>
      </c>
      <c r="D166" s="6" t="s">
        <v>1002</v>
      </c>
      <c r="E166" s="6" t="s">
        <v>2241</v>
      </c>
      <c r="F166" s="8">
        <v>23000</v>
      </c>
      <c r="G166" s="6" t="s">
        <v>2237</v>
      </c>
      <c r="H166" s="8">
        <v>23000</v>
      </c>
      <c r="I166" s="6" t="s">
        <v>2237</v>
      </c>
      <c r="J166" s="8">
        <v>0</v>
      </c>
      <c r="K166" s="6" t="s">
        <v>2237</v>
      </c>
      <c r="L166" s="8">
        <v>0</v>
      </c>
      <c r="M166" s="6" t="s">
        <v>2237</v>
      </c>
      <c r="N166" s="8">
        <v>17371.810000000001</v>
      </c>
      <c r="O166" s="6" t="s">
        <v>2237</v>
      </c>
      <c r="P166" s="6" t="s">
        <v>2236</v>
      </c>
      <c r="Q166" s="9" t="s">
        <v>2242</v>
      </c>
      <c r="R166" s="9" t="s">
        <v>2238</v>
      </c>
      <c r="S166" s="9" t="s">
        <v>2243</v>
      </c>
      <c r="T166" s="9" t="s">
        <v>2244</v>
      </c>
      <c r="U16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E540-301297607-D245401</v>
      </c>
      <c r="Y1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6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6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1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67" spans="1:31" x14ac:dyDescent="0.3">
      <c r="A167" s="6" t="s">
        <v>2438</v>
      </c>
      <c r="B167" s="6" t="s">
        <v>30</v>
      </c>
      <c r="C167" s="6" t="s">
        <v>1001</v>
      </c>
      <c r="D167" s="6" t="s">
        <v>1655</v>
      </c>
      <c r="E167" s="6" t="s">
        <v>2241</v>
      </c>
      <c r="F167" s="8">
        <v>0</v>
      </c>
      <c r="G167" s="6" t="s">
        <v>2237</v>
      </c>
      <c r="H167" s="8">
        <v>0</v>
      </c>
      <c r="I167" s="6" t="s">
        <v>2237</v>
      </c>
      <c r="J167" s="8">
        <v>0</v>
      </c>
      <c r="K167" s="6" t="s">
        <v>2237</v>
      </c>
      <c r="L167" s="8">
        <v>0</v>
      </c>
      <c r="M167" s="6" t="s">
        <v>2237</v>
      </c>
      <c r="N167" s="8">
        <v>17371.810000000001</v>
      </c>
      <c r="O167" s="6" t="s">
        <v>2237</v>
      </c>
      <c r="P167" s="6" t="s">
        <v>2236</v>
      </c>
      <c r="Q167" s="9" t="s">
        <v>2242</v>
      </c>
      <c r="R167" s="9" t="s">
        <v>2238</v>
      </c>
      <c r="S167" s="9" t="s">
        <v>2243</v>
      </c>
      <c r="T167" s="9" t="s">
        <v>2327</v>
      </c>
      <c r="U16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E540-301297607-D245401</v>
      </c>
      <c r="Y167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E540-30129760707-D245401</v>
      </c>
      <c r="Z16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7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7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7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67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16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68" spans="1:31" x14ac:dyDescent="0.3">
      <c r="A168" s="6" t="s">
        <v>2439</v>
      </c>
      <c r="B168" s="6" t="s">
        <v>26</v>
      </c>
      <c r="C168" s="6" t="s">
        <v>999</v>
      </c>
      <c r="D168" s="6" t="s">
        <v>1000</v>
      </c>
      <c r="E168" s="6" t="s">
        <v>2241</v>
      </c>
      <c r="F168" s="8">
        <v>23000</v>
      </c>
      <c r="G168" s="6" t="s">
        <v>2237</v>
      </c>
      <c r="H168" s="8">
        <v>23000</v>
      </c>
      <c r="I168" s="6" t="s">
        <v>2237</v>
      </c>
      <c r="J168" s="8">
        <v>0</v>
      </c>
      <c r="K168" s="6" t="s">
        <v>2237</v>
      </c>
      <c r="L168" s="8">
        <v>0</v>
      </c>
      <c r="M168" s="6" t="s">
        <v>2237</v>
      </c>
      <c r="N168" s="8">
        <v>17142.7</v>
      </c>
      <c r="O168" s="6" t="s">
        <v>2237</v>
      </c>
      <c r="P168" s="6" t="s">
        <v>2236</v>
      </c>
      <c r="Q168" s="9" t="s">
        <v>2242</v>
      </c>
      <c r="R168" s="9" t="s">
        <v>2238</v>
      </c>
      <c r="S168" s="9" t="s">
        <v>2243</v>
      </c>
      <c r="T168" s="9" t="s">
        <v>2244</v>
      </c>
      <c r="U16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E540-301297606-D245401</v>
      </c>
      <c r="Y1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8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8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16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69" spans="1:31" x14ac:dyDescent="0.3">
      <c r="A169" s="6" t="s">
        <v>2440</v>
      </c>
      <c r="B169" s="6" t="s">
        <v>30</v>
      </c>
      <c r="C169" s="6" t="s">
        <v>999</v>
      </c>
      <c r="D169" s="6" t="s">
        <v>1654</v>
      </c>
      <c r="E169" s="6" t="s">
        <v>2241</v>
      </c>
      <c r="F169" s="8">
        <v>0</v>
      </c>
      <c r="G169" s="6" t="s">
        <v>2237</v>
      </c>
      <c r="H169" s="8">
        <v>0</v>
      </c>
      <c r="I169" s="6" t="s">
        <v>2237</v>
      </c>
      <c r="J169" s="8">
        <v>0</v>
      </c>
      <c r="K169" s="6" t="s">
        <v>2237</v>
      </c>
      <c r="L169" s="8">
        <v>0</v>
      </c>
      <c r="M169" s="6" t="s">
        <v>2237</v>
      </c>
      <c r="N169" s="8">
        <v>17142.7</v>
      </c>
      <c r="O169" s="6" t="s">
        <v>2237</v>
      </c>
      <c r="P169" s="6" t="s">
        <v>2236</v>
      </c>
      <c r="Q169" s="9" t="s">
        <v>2242</v>
      </c>
      <c r="R169" s="9" t="s">
        <v>2238</v>
      </c>
      <c r="S169" s="9" t="s">
        <v>2243</v>
      </c>
      <c r="T169" s="9" t="s">
        <v>2327</v>
      </c>
      <c r="U16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6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6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69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E540-301297606-D245401</v>
      </c>
      <c r="Y169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E540-30129760606-D245401</v>
      </c>
      <c r="Z16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69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69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69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69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16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0" spans="1:31" x14ac:dyDescent="0.3">
      <c r="A170" s="6" t="s">
        <v>2441</v>
      </c>
      <c r="B170" s="6" t="s">
        <v>26</v>
      </c>
      <c r="C170" s="6" t="s">
        <v>997</v>
      </c>
      <c r="D170" s="6" t="s">
        <v>998</v>
      </c>
      <c r="E170" s="6" t="s">
        <v>2241</v>
      </c>
      <c r="F170" s="8">
        <v>28213</v>
      </c>
      <c r="G170" s="6" t="s">
        <v>2237</v>
      </c>
      <c r="H170" s="8">
        <v>28213</v>
      </c>
      <c r="I170" s="6" t="s">
        <v>2237</v>
      </c>
      <c r="J170" s="8">
        <v>0</v>
      </c>
      <c r="K170" s="6" t="s">
        <v>2237</v>
      </c>
      <c r="L170" s="8">
        <v>0</v>
      </c>
      <c r="M170" s="6" t="s">
        <v>2237</v>
      </c>
      <c r="N170" s="8">
        <v>17168.77</v>
      </c>
      <c r="O170" s="6" t="s">
        <v>2237</v>
      </c>
      <c r="P170" s="6" t="s">
        <v>2236</v>
      </c>
      <c r="Q170" s="9" t="s">
        <v>2242</v>
      </c>
      <c r="R170" s="9" t="s">
        <v>2238</v>
      </c>
      <c r="S170" s="9" t="s">
        <v>2243</v>
      </c>
      <c r="T170" s="9" t="s">
        <v>2244</v>
      </c>
      <c r="U17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0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E540-301297605-D245401</v>
      </c>
      <c r="Y1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0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0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17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1" spans="1:31" x14ac:dyDescent="0.3">
      <c r="A171" s="6" t="s">
        <v>2442</v>
      </c>
      <c r="B171" s="6" t="s">
        <v>30</v>
      </c>
      <c r="C171" s="6" t="s">
        <v>997</v>
      </c>
      <c r="D171" s="6" t="s">
        <v>1653</v>
      </c>
      <c r="E171" s="6" t="s">
        <v>2241</v>
      </c>
      <c r="F171" s="8">
        <v>0</v>
      </c>
      <c r="G171" s="6" t="s">
        <v>2237</v>
      </c>
      <c r="H171" s="8">
        <v>0</v>
      </c>
      <c r="I171" s="6" t="s">
        <v>2237</v>
      </c>
      <c r="J171" s="8">
        <v>0</v>
      </c>
      <c r="K171" s="6" t="s">
        <v>2237</v>
      </c>
      <c r="L171" s="8">
        <v>0</v>
      </c>
      <c r="M171" s="6" t="s">
        <v>2237</v>
      </c>
      <c r="N171" s="8">
        <v>17168.77</v>
      </c>
      <c r="O171" s="6" t="s">
        <v>2237</v>
      </c>
      <c r="P171" s="6" t="s">
        <v>2236</v>
      </c>
      <c r="Q171" s="9" t="s">
        <v>2242</v>
      </c>
      <c r="R171" s="9" t="s">
        <v>2238</v>
      </c>
      <c r="S171" s="9" t="s">
        <v>2243</v>
      </c>
      <c r="T171" s="9" t="s">
        <v>2327</v>
      </c>
      <c r="U17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1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E540-301297605-D245401</v>
      </c>
      <c r="Y171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E540-30129760505-D245401</v>
      </c>
      <c r="Z17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1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1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1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71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17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2" spans="1:31" x14ac:dyDescent="0.3">
      <c r="A172" s="6" t="s">
        <v>2443</v>
      </c>
      <c r="B172" s="6" t="s">
        <v>26</v>
      </c>
      <c r="C172" s="6" t="s">
        <v>995</v>
      </c>
      <c r="D172" s="6" t="s">
        <v>996</v>
      </c>
      <c r="E172" s="6" t="s">
        <v>2241</v>
      </c>
      <c r="F172" s="8">
        <v>28213</v>
      </c>
      <c r="G172" s="6" t="s">
        <v>2237</v>
      </c>
      <c r="H172" s="8">
        <v>28213</v>
      </c>
      <c r="I172" s="6" t="s">
        <v>2237</v>
      </c>
      <c r="J172" s="8">
        <v>0</v>
      </c>
      <c r="K172" s="6" t="s">
        <v>2237</v>
      </c>
      <c r="L172" s="8">
        <v>8334.92</v>
      </c>
      <c r="M172" s="6" t="s">
        <v>2237</v>
      </c>
      <c r="N172" s="8">
        <v>17171.07</v>
      </c>
      <c r="O172" s="6" t="s">
        <v>2237</v>
      </c>
      <c r="P172" s="6" t="s">
        <v>2236</v>
      </c>
      <c r="Q172" s="9" t="s">
        <v>2242</v>
      </c>
      <c r="R172" s="9" t="s">
        <v>2238</v>
      </c>
      <c r="S172" s="9" t="s">
        <v>2243</v>
      </c>
      <c r="T172" s="9" t="s">
        <v>2256</v>
      </c>
      <c r="U17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E540-301297604-D245401</v>
      </c>
      <c r="Y1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2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2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17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3" spans="1:31" x14ac:dyDescent="0.3">
      <c r="A173" s="6" t="s">
        <v>2444</v>
      </c>
      <c r="B173" s="6" t="s">
        <v>30</v>
      </c>
      <c r="C173" s="6" t="s">
        <v>995</v>
      </c>
      <c r="D173" s="6" t="s">
        <v>1652</v>
      </c>
      <c r="E173" s="6" t="s">
        <v>2241</v>
      </c>
      <c r="F173" s="8">
        <v>0</v>
      </c>
      <c r="G173" s="6" t="s">
        <v>2237</v>
      </c>
      <c r="H173" s="8">
        <v>0</v>
      </c>
      <c r="I173" s="6" t="s">
        <v>2237</v>
      </c>
      <c r="J173" s="8">
        <v>0</v>
      </c>
      <c r="K173" s="6" t="s">
        <v>2237</v>
      </c>
      <c r="L173" s="8">
        <v>8334.92</v>
      </c>
      <c r="M173" s="6" t="s">
        <v>2237</v>
      </c>
      <c r="N173" s="8">
        <v>17171.07</v>
      </c>
      <c r="O173" s="6" t="s">
        <v>2237</v>
      </c>
      <c r="P173" s="6" t="s">
        <v>2236</v>
      </c>
      <c r="Q173" s="9" t="s">
        <v>2242</v>
      </c>
      <c r="R173" s="9" t="s">
        <v>2238</v>
      </c>
      <c r="S173" s="9" t="s">
        <v>2243</v>
      </c>
      <c r="T173" s="9" t="s">
        <v>2327</v>
      </c>
      <c r="U17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3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E540-301297604-D245401</v>
      </c>
      <c r="Y173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E540-30129760404-D245401</v>
      </c>
      <c r="Z17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3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3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3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73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17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4" spans="1:31" x14ac:dyDescent="0.3">
      <c r="A174" s="6" t="s">
        <v>2445</v>
      </c>
      <c r="B174" s="6" t="s">
        <v>26</v>
      </c>
      <c r="C174" s="6" t="s">
        <v>993</v>
      </c>
      <c r="D174" s="6" t="s">
        <v>994</v>
      </c>
      <c r="E174" s="6" t="s">
        <v>2241</v>
      </c>
      <c r="F174" s="8">
        <v>23000</v>
      </c>
      <c r="G174" s="6" t="s">
        <v>2237</v>
      </c>
      <c r="H174" s="8">
        <v>23000</v>
      </c>
      <c r="I174" s="6" t="s">
        <v>2237</v>
      </c>
      <c r="J174" s="8">
        <v>0</v>
      </c>
      <c r="K174" s="6" t="s">
        <v>2237</v>
      </c>
      <c r="L174" s="8">
        <v>0</v>
      </c>
      <c r="M174" s="6" t="s">
        <v>2237</v>
      </c>
      <c r="N174" s="8">
        <v>17332.72</v>
      </c>
      <c r="O174" s="6" t="s">
        <v>2237</v>
      </c>
      <c r="P174" s="6" t="s">
        <v>2236</v>
      </c>
      <c r="Q174" s="9" t="s">
        <v>2242</v>
      </c>
      <c r="R174" s="9" t="s">
        <v>2238</v>
      </c>
      <c r="S174" s="9" t="s">
        <v>2243</v>
      </c>
      <c r="T174" s="9" t="s">
        <v>2244</v>
      </c>
      <c r="U17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4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E540-301297603-D245401</v>
      </c>
      <c r="Y1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4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4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17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5" spans="1:31" x14ac:dyDescent="0.3">
      <c r="A175" s="6" t="s">
        <v>2446</v>
      </c>
      <c r="B175" s="6" t="s">
        <v>30</v>
      </c>
      <c r="C175" s="6" t="s">
        <v>993</v>
      </c>
      <c r="D175" s="6" t="s">
        <v>1651</v>
      </c>
      <c r="E175" s="6" t="s">
        <v>2241</v>
      </c>
      <c r="F175" s="8">
        <v>0</v>
      </c>
      <c r="G175" s="6" t="s">
        <v>2237</v>
      </c>
      <c r="H175" s="8">
        <v>0</v>
      </c>
      <c r="I175" s="6" t="s">
        <v>2237</v>
      </c>
      <c r="J175" s="8">
        <v>0</v>
      </c>
      <c r="K175" s="6" t="s">
        <v>2237</v>
      </c>
      <c r="L175" s="8">
        <v>0</v>
      </c>
      <c r="M175" s="6" t="s">
        <v>2237</v>
      </c>
      <c r="N175" s="8">
        <v>17332.72</v>
      </c>
      <c r="O175" s="6" t="s">
        <v>2237</v>
      </c>
      <c r="P175" s="6" t="s">
        <v>2236</v>
      </c>
      <c r="Q175" s="9" t="s">
        <v>2242</v>
      </c>
      <c r="R175" s="9" t="s">
        <v>2238</v>
      </c>
      <c r="S175" s="9" t="s">
        <v>2243</v>
      </c>
      <c r="T175" s="9" t="s">
        <v>2327</v>
      </c>
      <c r="U17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E540-301297603-D245401</v>
      </c>
      <c r="Y175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E540-30129760303-D245401</v>
      </c>
      <c r="Z17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5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5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5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75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17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6" spans="1:31" x14ac:dyDescent="0.3">
      <c r="A176" s="6" t="s">
        <v>2447</v>
      </c>
      <c r="B176" s="6" t="s">
        <v>26</v>
      </c>
      <c r="C176" s="6" t="s">
        <v>991</v>
      </c>
      <c r="D176" s="6" t="s">
        <v>992</v>
      </c>
      <c r="E176" s="6" t="s">
        <v>2241</v>
      </c>
      <c r="F176" s="8">
        <v>28213</v>
      </c>
      <c r="G176" s="6" t="s">
        <v>2237</v>
      </c>
      <c r="H176" s="8">
        <v>28213</v>
      </c>
      <c r="I176" s="6" t="s">
        <v>2237</v>
      </c>
      <c r="J176" s="8">
        <v>0</v>
      </c>
      <c r="K176" s="6" t="s">
        <v>2237</v>
      </c>
      <c r="L176" s="8">
        <v>6671.79</v>
      </c>
      <c r="M176" s="6" t="s">
        <v>2237</v>
      </c>
      <c r="N176" s="8">
        <v>7060.13</v>
      </c>
      <c r="O176" s="6" t="s">
        <v>2237</v>
      </c>
      <c r="P176" s="6" t="s">
        <v>2236</v>
      </c>
      <c r="Q176" s="9" t="s">
        <v>2242</v>
      </c>
      <c r="R176" s="9" t="s">
        <v>2238</v>
      </c>
      <c r="S176" s="9" t="s">
        <v>2243</v>
      </c>
      <c r="T176" s="9" t="s">
        <v>2244</v>
      </c>
      <c r="U17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E540-301297602-D245401</v>
      </c>
      <c r="Y1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6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6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1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7" spans="1:31" x14ac:dyDescent="0.3">
      <c r="A177" s="6" t="s">
        <v>2448</v>
      </c>
      <c r="B177" s="6" t="s">
        <v>30</v>
      </c>
      <c r="C177" s="6" t="s">
        <v>991</v>
      </c>
      <c r="D177" s="6" t="s">
        <v>1650</v>
      </c>
      <c r="E177" s="6" t="s">
        <v>2241</v>
      </c>
      <c r="F177" s="8">
        <v>0</v>
      </c>
      <c r="G177" s="6" t="s">
        <v>2237</v>
      </c>
      <c r="H177" s="8">
        <v>0</v>
      </c>
      <c r="I177" s="6" t="s">
        <v>2237</v>
      </c>
      <c r="J177" s="8">
        <v>0</v>
      </c>
      <c r="K177" s="6" t="s">
        <v>2237</v>
      </c>
      <c r="L177" s="8">
        <v>6671.79</v>
      </c>
      <c r="M177" s="6" t="s">
        <v>2237</v>
      </c>
      <c r="N177" s="8">
        <v>7060.13</v>
      </c>
      <c r="O177" s="6" t="s">
        <v>2237</v>
      </c>
      <c r="P177" s="6" t="s">
        <v>2236</v>
      </c>
      <c r="Q177" s="9" t="s">
        <v>2242</v>
      </c>
      <c r="R177" s="9" t="s">
        <v>2238</v>
      </c>
      <c r="S177" s="9" t="s">
        <v>2243</v>
      </c>
      <c r="T177" s="9" t="s">
        <v>2327</v>
      </c>
      <c r="U17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E540-301297602-D245401</v>
      </c>
      <c r="Y177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E540-30129760202-D245401</v>
      </c>
      <c r="Z17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7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7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7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77" s="10" t="str">
        <f>IF(IFERROR(INDEX(WBS_Dictionary!N$2:N$1212, MATCH(Table2[[#This Row],[WBS_ID]], Table26[WBS CODE],0)), "") = "", "null", IFERROR(INDEX(WBS_Dictionary!N$2:N$1212, MATCH(Table2[[#This Row],[WBS_ID]], Table26[WBS CODE],0)), ""))</f>
        <v>AWI 2-7</v>
      </c>
      <c r="AE1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8" spans="1:31" x14ac:dyDescent="0.3">
      <c r="A178" s="6" t="s">
        <v>2449</v>
      </c>
      <c r="B178" s="6" t="s">
        <v>26</v>
      </c>
      <c r="C178" s="6" t="s">
        <v>989</v>
      </c>
      <c r="D178" s="6" t="s">
        <v>990</v>
      </c>
      <c r="E178" s="6" t="s">
        <v>2241</v>
      </c>
      <c r="F178" s="8">
        <v>25000</v>
      </c>
      <c r="G178" s="6" t="s">
        <v>2237</v>
      </c>
      <c r="H178" s="8">
        <v>25000</v>
      </c>
      <c r="I178" s="6" t="s">
        <v>2237</v>
      </c>
      <c r="J178" s="8">
        <v>0</v>
      </c>
      <c r="K178" s="6" t="s">
        <v>2237</v>
      </c>
      <c r="L178" s="8">
        <v>0</v>
      </c>
      <c r="M178" s="6" t="s">
        <v>2237</v>
      </c>
      <c r="N178" s="8">
        <v>20368.990000000002</v>
      </c>
      <c r="O178" s="6" t="s">
        <v>2237</v>
      </c>
      <c r="P178" s="6" t="s">
        <v>2236</v>
      </c>
      <c r="Q178" s="9" t="s">
        <v>2242</v>
      </c>
      <c r="R178" s="9" t="s">
        <v>2238</v>
      </c>
      <c r="S178" s="9" t="s">
        <v>2243</v>
      </c>
      <c r="T178" s="9" t="s">
        <v>2256</v>
      </c>
      <c r="U17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E540-301297601-D245401</v>
      </c>
      <c r="Y1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8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8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1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79" spans="1:31" x14ac:dyDescent="0.3">
      <c r="A179" s="6" t="s">
        <v>2450</v>
      </c>
      <c r="B179" s="6" t="s">
        <v>30</v>
      </c>
      <c r="C179" s="6" t="s">
        <v>989</v>
      </c>
      <c r="D179" s="6" t="s">
        <v>1649</v>
      </c>
      <c r="E179" s="6" t="s">
        <v>2241</v>
      </c>
      <c r="F179" s="8">
        <v>0</v>
      </c>
      <c r="G179" s="6" t="s">
        <v>2237</v>
      </c>
      <c r="H179" s="8">
        <v>0</v>
      </c>
      <c r="I179" s="6" t="s">
        <v>2237</v>
      </c>
      <c r="J179" s="8">
        <v>0</v>
      </c>
      <c r="K179" s="6" t="s">
        <v>2237</v>
      </c>
      <c r="L179" s="8">
        <v>0</v>
      </c>
      <c r="M179" s="6" t="s">
        <v>2237</v>
      </c>
      <c r="N179" s="8">
        <v>20368.990000000002</v>
      </c>
      <c r="O179" s="6" t="s">
        <v>2237</v>
      </c>
      <c r="P179" s="6" t="s">
        <v>2236</v>
      </c>
      <c r="Q179" s="9" t="s">
        <v>2242</v>
      </c>
      <c r="R179" s="9" t="s">
        <v>2238</v>
      </c>
      <c r="S179" s="9" t="s">
        <v>2243</v>
      </c>
      <c r="T179" s="9" t="s">
        <v>2327</v>
      </c>
      <c r="U17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7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7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E540-3012976-D245401</v>
      </c>
      <c r="X179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E540-301297601-D245401</v>
      </c>
      <c r="Y179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E540-30129760101-D245401</v>
      </c>
      <c r="Z17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9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79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79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79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17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0" spans="1:31" hidden="1" x14ac:dyDescent="0.3">
      <c r="A180" s="6" t="s">
        <v>2451</v>
      </c>
      <c r="B180" s="6" t="s">
        <v>21</v>
      </c>
      <c r="C180" s="6" t="s">
        <v>352</v>
      </c>
      <c r="D180" s="6" t="s">
        <v>856</v>
      </c>
      <c r="E180" s="6" t="s">
        <v>2241</v>
      </c>
      <c r="F180" s="8">
        <v>962088</v>
      </c>
      <c r="G180" s="6" t="s">
        <v>2237</v>
      </c>
      <c r="H180" s="8">
        <v>962088</v>
      </c>
      <c r="I180" s="6" t="s">
        <v>2237</v>
      </c>
      <c r="J180" s="8">
        <v>0</v>
      </c>
      <c r="K180" s="6" t="s">
        <v>2237</v>
      </c>
      <c r="L180" s="8">
        <v>503507.72</v>
      </c>
      <c r="M180" s="6" t="s">
        <v>2237</v>
      </c>
      <c r="N180" s="8">
        <v>417018.49</v>
      </c>
      <c r="O180" s="6" t="s">
        <v>2237</v>
      </c>
      <c r="P180" s="6" t="s">
        <v>2236</v>
      </c>
      <c r="Q180" s="9" t="s">
        <v>2242</v>
      </c>
      <c r="R180" s="9" t="s">
        <v>2238</v>
      </c>
      <c r="S180" s="9" t="s">
        <v>2243</v>
      </c>
      <c r="T180" s="9" t="s">
        <v>2244</v>
      </c>
      <c r="U18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0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" spans="1:31" x14ac:dyDescent="0.3">
      <c r="A181" s="6" t="s">
        <v>2452</v>
      </c>
      <c r="B181" s="6" t="s">
        <v>26</v>
      </c>
      <c r="C181" s="6" t="s">
        <v>2453</v>
      </c>
      <c r="D181" s="6" t="s">
        <v>988</v>
      </c>
      <c r="E181" s="6" t="s">
        <v>2241</v>
      </c>
      <c r="F181" s="8">
        <v>134272</v>
      </c>
      <c r="G181" s="6" t="s">
        <v>2237</v>
      </c>
      <c r="H181" s="8">
        <v>134272</v>
      </c>
      <c r="I181" s="6" t="s">
        <v>2237</v>
      </c>
      <c r="J181" s="8">
        <v>0</v>
      </c>
      <c r="K181" s="6" t="s">
        <v>2237</v>
      </c>
      <c r="L181" s="8">
        <v>46979.33</v>
      </c>
      <c r="M181" s="6" t="s">
        <v>2237</v>
      </c>
      <c r="N181" s="8">
        <v>65485.01</v>
      </c>
      <c r="O181" s="6" t="s">
        <v>2237</v>
      </c>
      <c r="P181" s="6" t="s">
        <v>2236</v>
      </c>
      <c r="Q181" s="9" t="s">
        <v>2242</v>
      </c>
      <c r="R181" s="9" t="s">
        <v>2238</v>
      </c>
      <c r="S181" s="9" t="s">
        <v>2243</v>
      </c>
      <c r="T181" s="9" t="s">
        <v>2256</v>
      </c>
      <c r="U18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1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E540-301297509-D245401</v>
      </c>
      <c r="Y1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1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1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18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2" spans="1:31" x14ac:dyDescent="0.3">
      <c r="A182" s="6" t="s">
        <v>2454</v>
      </c>
      <c r="B182" s="6" t="s">
        <v>30</v>
      </c>
      <c r="C182" s="6" t="s">
        <v>2453</v>
      </c>
      <c r="D182" s="6" t="s">
        <v>1648</v>
      </c>
      <c r="E182" s="6" t="s">
        <v>2241</v>
      </c>
      <c r="F182" s="8">
        <v>0</v>
      </c>
      <c r="G182" s="6" t="s">
        <v>2237</v>
      </c>
      <c r="H182" s="8">
        <v>0</v>
      </c>
      <c r="I182" s="6" t="s">
        <v>2237</v>
      </c>
      <c r="J182" s="8">
        <v>0</v>
      </c>
      <c r="K182" s="6" t="s">
        <v>2237</v>
      </c>
      <c r="L182" s="8">
        <v>46979.33</v>
      </c>
      <c r="M182" s="6" t="s">
        <v>2237</v>
      </c>
      <c r="N182" s="8">
        <v>65485.01</v>
      </c>
      <c r="O182" s="6" t="s">
        <v>2237</v>
      </c>
      <c r="P182" s="6" t="s">
        <v>2236</v>
      </c>
      <c r="Q182" s="9" t="s">
        <v>2242</v>
      </c>
      <c r="R182" s="9" t="s">
        <v>2238</v>
      </c>
      <c r="S182" s="9" t="s">
        <v>2243</v>
      </c>
      <c r="T182" s="9" t="s">
        <v>2327</v>
      </c>
      <c r="U18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E540-301297509-D245401</v>
      </c>
      <c r="Y182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E540-30129750909-D245401</v>
      </c>
      <c r="Z18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2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2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2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82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1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3" spans="1:31" x14ac:dyDescent="0.3">
      <c r="A183" s="6" t="s">
        <v>2455</v>
      </c>
      <c r="B183" s="6" t="s">
        <v>26</v>
      </c>
      <c r="C183" s="6" t="s">
        <v>985</v>
      </c>
      <c r="D183" s="6" t="s">
        <v>986</v>
      </c>
      <c r="E183" s="6" t="s">
        <v>2241</v>
      </c>
      <c r="F183" s="8">
        <v>134272</v>
      </c>
      <c r="G183" s="6" t="s">
        <v>2237</v>
      </c>
      <c r="H183" s="8">
        <v>134272</v>
      </c>
      <c r="I183" s="6" t="s">
        <v>2237</v>
      </c>
      <c r="J183" s="8">
        <v>0</v>
      </c>
      <c r="K183" s="6" t="s">
        <v>2237</v>
      </c>
      <c r="L183" s="8">
        <v>65699.490000000005</v>
      </c>
      <c r="M183" s="6" t="s">
        <v>2237</v>
      </c>
      <c r="N183" s="8">
        <v>67713.929999999993</v>
      </c>
      <c r="O183" s="6" t="s">
        <v>2237</v>
      </c>
      <c r="P183" s="6" t="s">
        <v>2236</v>
      </c>
      <c r="Q183" s="9" t="s">
        <v>2242</v>
      </c>
      <c r="R183" s="9" t="s">
        <v>2238</v>
      </c>
      <c r="S183" s="9" t="s">
        <v>2243</v>
      </c>
      <c r="T183" s="9" t="s">
        <v>2256</v>
      </c>
      <c r="U18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3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E540-301297508-D245401</v>
      </c>
      <c r="Y1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3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3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1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4" spans="1:31" x14ac:dyDescent="0.3">
      <c r="A184" s="6" t="s">
        <v>2456</v>
      </c>
      <c r="B184" s="6" t="s">
        <v>30</v>
      </c>
      <c r="C184" s="6" t="s">
        <v>985</v>
      </c>
      <c r="D184" s="6" t="s">
        <v>1647</v>
      </c>
      <c r="E184" s="6" t="s">
        <v>2241</v>
      </c>
      <c r="F184" s="8">
        <v>0</v>
      </c>
      <c r="G184" s="6" t="s">
        <v>2237</v>
      </c>
      <c r="H184" s="8">
        <v>0</v>
      </c>
      <c r="I184" s="6" t="s">
        <v>2237</v>
      </c>
      <c r="J184" s="8">
        <v>0</v>
      </c>
      <c r="K184" s="6" t="s">
        <v>2237</v>
      </c>
      <c r="L184" s="8">
        <v>65699.490000000005</v>
      </c>
      <c r="M184" s="6" t="s">
        <v>2237</v>
      </c>
      <c r="N184" s="8">
        <v>67713.929999999993</v>
      </c>
      <c r="O184" s="6" t="s">
        <v>2237</v>
      </c>
      <c r="P184" s="6" t="s">
        <v>2236</v>
      </c>
      <c r="Q184" s="9" t="s">
        <v>2242</v>
      </c>
      <c r="R184" s="9" t="s">
        <v>2238</v>
      </c>
      <c r="S184" s="9" t="s">
        <v>2243</v>
      </c>
      <c r="T184" s="9" t="s">
        <v>2327</v>
      </c>
      <c r="U18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4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E540-301297508-D245401</v>
      </c>
      <c r="Y184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E540-30129750808-D245401</v>
      </c>
      <c r="Z18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4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4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4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84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1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5" spans="1:31" x14ac:dyDescent="0.3">
      <c r="A185" s="6" t="s">
        <v>2457</v>
      </c>
      <c r="B185" s="6" t="s">
        <v>26</v>
      </c>
      <c r="C185" s="6" t="s">
        <v>983</v>
      </c>
      <c r="D185" s="6" t="s">
        <v>984</v>
      </c>
      <c r="E185" s="6" t="s">
        <v>2241</v>
      </c>
      <c r="F185" s="8">
        <v>85000</v>
      </c>
      <c r="G185" s="6" t="s">
        <v>2237</v>
      </c>
      <c r="H185" s="8">
        <v>85000</v>
      </c>
      <c r="I185" s="6" t="s">
        <v>2237</v>
      </c>
      <c r="J185" s="8">
        <v>0</v>
      </c>
      <c r="K185" s="6" t="s">
        <v>2237</v>
      </c>
      <c r="L185" s="8">
        <v>60277.77</v>
      </c>
      <c r="M185" s="6" t="s">
        <v>2237</v>
      </c>
      <c r="N185" s="8">
        <v>13651.73</v>
      </c>
      <c r="O185" s="6" t="s">
        <v>2237</v>
      </c>
      <c r="P185" s="6" t="s">
        <v>2236</v>
      </c>
      <c r="Q185" s="9" t="s">
        <v>2242</v>
      </c>
      <c r="R185" s="9" t="s">
        <v>2238</v>
      </c>
      <c r="S185" s="9" t="s">
        <v>2243</v>
      </c>
      <c r="T185" s="9" t="s">
        <v>2256</v>
      </c>
      <c r="U18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E540-301297507-D245401</v>
      </c>
      <c r="Y1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5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5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18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6" spans="1:31" x14ac:dyDescent="0.3">
      <c r="A186" s="6" t="s">
        <v>2458</v>
      </c>
      <c r="B186" s="6" t="s">
        <v>30</v>
      </c>
      <c r="C186" s="6" t="s">
        <v>983</v>
      </c>
      <c r="D186" s="6" t="s">
        <v>1646</v>
      </c>
      <c r="E186" s="6" t="s">
        <v>2241</v>
      </c>
      <c r="F186" s="8">
        <v>0</v>
      </c>
      <c r="G186" s="6" t="s">
        <v>2237</v>
      </c>
      <c r="H186" s="8">
        <v>0</v>
      </c>
      <c r="I186" s="6" t="s">
        <v>2237</v>
      </c>
      <c r="J186" s="8">
        <v>0</v>
      </c>
      <c r="K186" s="6" t="s">
        <v>2237</v>
      </c>
      <c r="L186" s="8">
        <v>60277.77</v>
      </c>
      <c r="M186" s="6" t="s">
        <v>2237</v>
      </c>
      <c r="N186" s="8">
        <v>13651.73</v>
      </c>
      <c r="O186" s="6" t="s">
        <v>2237</v>
      </c>
      <c r="P186" s="6" t="s">
        <v>2236</v>
      </c>
      <c r="Q186" s="9" t="s">
        <v>2242</v>
      </c>
      <c r="R186" s="9" t="s">
        <v>2238</v>
      </c>
      <c r="S186" s="9" t="s">
        <v>2243</v>
      </c>
      <c r="T186" s="9" t="s">
        <v>2327</v>
      </c>
      <c r="U18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E540-301297507-D245401</v>
      </c>
      <c r="Y186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E540-30129750707-D245401</v>
      </c>
      <c r="Z18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6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6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6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86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18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7" spans="1:31" x14ac:dyDescent="0.3">
      <c r="A187" s="6" t="s">
        <v>2459</v>
      </c>
      <c r="B187" s="6" t="s">
        <v>26</v>
      </c>
      <c r="C187" s="6" t="s">
        <v>981</v>
      </c>
      <c r="D187" s="6" t="s">
        <v>982</v>
      </c>
      <c r="E187" s="6" t="s">
        <v>2241</v>
      </c>
      <c r="F187" s="8">
        <v>85000</v>
      </c>
      <c r="G187" s="6" t="s">
        <v>2237</v>
      </c>
      <c r="H187" s="8">
        <v>85000</v>
      </c>
      <c r="I187" s="6" t="s">
        <v>2237</v>
      </c>
      <c r="J187" s="8">
        <v>0</v>
      </c>
      <c r="K187" s="6" t="s">
        <v>2237</v>
      </c>
      <c r="L187" s="8">
        <v>39908.61</v>
      </c>
      <c r="M187" s="6" t="s">
        <v>2237</v>
      </c>
      <c r="N187" s="8">
        <v>48443.99</v>
      </c>
      <c r="O187" s="6" t="s">
        <v>2237</v>
      </c>
      <c r="P187" s="6" t="s">
        <v>2236</v>
      </c>
      <c r="Q187" s="9" t="s">
        <v>2242</v>
      </c>
      <c r="R187" s="9" t="s">
        <v>2238</v>
      </c>
      <c r="S187" s="9" t="s">
        <v>2243</v>
      </c>
      <c r="T187" s="9" t="s">
        <v>2256</v>
      </c>
      <c r="U18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E540-301297506-D245401</v>
      </c>
      <c r="Y1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7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7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18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8" spans="1:31" x14ac:dyDescent="0.3">
      <c r="A188" s="6" t="s">
        <v>2460</v>
      </c>
      <c r="B188" s="6" t="s">
        <v>30</v>
      </c>
      <c r="C188" s="6" t="s">
        <v>981</v>
      </c>
      <c r="D188" s="6" t="s">
        <v>1645</v>
      </c>
      <c r="E188" s="6" t="s">
        <v>2241</v>
      </c>
      <c r="F188" s="8">
        <v>0</v>
      </c>
      <c r="G188" s="6" t="s">
        <v>2237</v>
      </c>
      <c r="H188" s="8">
        <v>0</v>
      </c>
      <c r="I188" s="6" t="s">
        <v>2237</v>
      </c>
      <c r="J188" s="8">
        <v>0</v>
      </c>
      <c r="K188" s="6" t="s">
        <v>2237</v>
      </c>
      <c r="L188" s="8">
        <v>39908.61</v>
      </c>
      <c r="M188" s="6" t="s">
        <v>2237</v>
      </c>
      <c r="N188" s="8">
        <v>48443.99</v>
      </c>
      <c r="O188" s="6" t="s">
        <v>2237</v>
      </c>
      <c r="P188" s="6" t="s">
        <v>2236</v>
      </c>
      <c r="Q188" s="9" t="s">
        <v>2242</v>
      </c>
      <c r="R188" s="9" t="s">
        <v>2238</v>
      </c>
      <c r="S188" s="9" t="s">
        <v>2243</v>
      </c>
      <c r="T188" s="9" t="s">
        <v>2327</v>
      </c>
      <c r="U18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E540-301297506-D245401</v>
      </c>
      <c r="Y188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E540-30129750606-D245401</v>
      </c>
      <c r="Z18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8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8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8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88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18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89" spans="1:31" x14ac:dyDescent="0.3">
      <c r="A189" s="6" t="s">
        <v>2461</v>
      </c>
      <c r="B189" s="6" t="s">
        <v>26</v>
      </c>
      <c r="C189" s="6" t="s">
        <v>979</v>
      </c>
      <c r="D189" s="6" t="s">
        <v>980</v>
      </c>
      <c r="E189" s="6" t="s">
        <v>2241</v>
      </c>
      <c r="F189" s="8">
        <v>134272</v>
      </c>
      <c r="G189" s="6" t="s">
        <v>2237</v>
      </c>
      <c r="H189" s="8">
        <v>134272</v>
      </c>
      <c r="I189" s="6" t="s">
        <v>2237</v>
      </c>
      <c r="J189" s="8">
        <v>0</v>
      </c>
      <c r="K189" s="6" t="s">
        <v>2237</v>
      </c>
      <c r="L189" s="8">
        <v>102414.84</v>
      </c>
      <c r="M189" s="6" t="s">
        <v>2237</v>
      </c>
      <c r="N189" s="8">
        <v>10171.11</v>
      </c>
      <c r="O189" s="6" t="s">
        <v>2237</v>
      </c>
      <c r="P189" s="6" t="s">
        <v>2236</v>
      </c>
      <c r="Q189" s="9" t="s">
        <v>2242</v>
      </c>
      <c r="R189" s="9" t="s">
        <v>2238</v>
      </c>
      <c r="S189" s="9" t="s">
        <v>2243</v>
      </c>
      <c r="T189" s="9" t="s">
        <v>2256</v>
      </c>
      <c r="U18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89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89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89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E540-301297505-D245401</v>
      </c>
      <c r="Y1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89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89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18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0" spans="1:31" x14ac:dyDescent="0.3">
      <c r="A190" s="6" t="s">
        <v>2462</v>
      </c>
      <c r="B190" s="6" t="s">
        <v>30</v>
      </c>
      <c r="C190" s="6" t="s">
        <v>979</v>
      </c>
      <c r="D190" s="6" t="s">
        <v>1644</v>
      </c>
      <c r="E190" s="6" t="s">
        <v>2241</v>
      </c>
      <c r="F190" s="8">
        <v>0</v>
      </c>
      <c r="G190" s="6" t="s">
        <v>2237</v>
      </c>
      <c r="H190" s="8">
        <v>0</v>
      </c>
      <c r="I190" s="6" t="s">
        <v>2237</v>
      </c>
      <c r="J190" s="8">
        <v>0</v>
      </c>
      <c r="K190" s="6" t="s">
        <v>2237</v>
      </c>
      <c r="L190" s="8">
        <v>102414.84</v>
      </c>
      <c r="M190" s="6" t="s">
        <v>2237</v>
      </c>
      <c r="N190" s="8">
        <v>10171.11</v>
      </c>
      <c r="O190" s="6" t="s">
        <v>2237</v>
      </c>
      <c r="P190" s="6" t="s">
        <v>2236</v>
      </c>
      <c r="Q190" s="9" t="s">
        <v>2242</v>
      </c>
      <c r="R190" s="9" t="s">
        <v>2238</v>
      </c>
      <c r="S190" s="9" t="s">
        <v>2243</v>
      </c>
      <c r="T190" s="9" t="s">
        <v>2327</v>
      </c>
      <c r="U19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0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0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0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E540-301297505-D245401</v>
      </c>
      <c r="Y190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E540-30129750505-D245401</v>
      </c>
      <c r="Z19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0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0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0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90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19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1" spans="1:31" x14ac:dyDescent="0.3">
      <c r="A191" s="6" t="s">
        <v>2463</v>
      </c>
      <c r="B191" s="6" t="s">
        <v>26</v>
      </c>
      <c r="C191" s="6" t="s">
        <v>977</v>
      </c>
      <c r="D191" s="6" t="s">
        <v>978</v>
      </c>
      <c r="E191" s="6" t="s">
        <v>2241</v>
      </c>
      <c r="F191" s="8">
        <v>134272</v>
      </c>
      <c r="G191" s="6" t="s">
        <v>2237</v>
      </c>
      <c r="H191" s="8">
        <v>134272</v>
      </c>
      <c r="I191" s="6" t="s">
        <v>2237</v>
      </c>
      <c r="J191" s="8">
        <v>0</v>
      </c>
      <c r="K191" s="6" t="s">
        <v>2237</v>
      </c>
      <c r="L191" s="8">
        <v>0</v>
      </c>
      <c r="M191" s="6" t="s">
        <v>2237</v>
      </c>
      <c r="N191" s="8">
        <v>140459.48000000001</v>
      </c>
      <c r="O191" s="6" t="s">
        <v>2237</v>
      </c>
      <c r="P191" s="6" t="s">
        <v>2236</v>
      </c>
      <c r="Q191" s="9" t="s">
        <v>2242</v>
      </c>
      <c r="R191" s="9" t="s">
        <v>2238</v>
      </c>
      <c r="S191" s="9" t="s">
        <v>2243</v>
      </c>
      <c r="T191" s="9" t="s">
        <v>2256</v>
      </c>
      <c r="U19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1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1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1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E540-301297504-D245401</v>
      </c>
      <c r="Y1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1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1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19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2" spans="1:31" x14ac:dyDescent="0.3">
      <c r="A192" s="6" t="s">
        <v>2464</v>
      </c>
      <c r="B192" s="6" t="s">
        <v>30</v>
      </c>
      <c r="C192" s="6" t="s">
        <v>977</v>
      </c>
      <c r="D192" s="6" t="s">
        <v>1643</v>
      </c>
      <c r="E192" s="6" t="s">
        <v>2241</v>
      </c>
      <c r="F192" s="8">
        <v>0</v>
      </c>
      <c r="G192" s="6" t="s">
        <v>2237</v>
      </c>
      <c r="H192" s="8">
        <v>0</v>
      </c>
      <c r="I192" s="6" t="s">
        <v>2237</v>
      </c>
      <c r="J192" s="8">
        <v>0</v>
      </c>
      <c r="K192" s="6" t="s">
        <v>2237</v>
      </c>
      <c r="L192" s="8">
        <v>0</v>
      </c>
      <c r="M192" s="6" t="s">
        <v>2237</v>
      </c>
      <c r="N192" s="8">
        <v>140459.48000000001</v>
      </c>
      <c r="O192" s="6" t="s">
        <v>2237</v>
      </c>
      <c r="P192" s="6" t="s">
        <v>2236</v>
      </c>
      <c r="Q192" s="9" t="s">
        <v>2242</v>
      </c>
      <c r="R192" s="9" t="s">
        <v>2238</v>
      </c>
      <c r="S192" s="9" t="s">
        <v>2243</v>
      </c>
      <c r="T192" s="9" t="s">
        <v>2327</v>
      </c>
      <c r="U19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2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2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2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E540-301297504-D245401</v>
      </c>
      <c r="Y192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E540-30129750404-D245401</v>
      </c>
      <c r="Z19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2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2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2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92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19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3" spans="1:31" x14ac:dyDescent="0.3">
      <c r="A193" s="6" t="s">
        <v>2465</v>
      </c>
      <c r="B193" s="6" t="s">
        <v>26</v>
      </c>
      <c r="C193" s="6" t="s">
        <v>975</v>
      </c>
      <c r="D193" s="6" t="s">
        <v>976</v>
      </c>
      <c r="E193" s="6" t="s">
        <v>2241</v>
      </c>
      <c r="F193" s="8">
        <v>85000</v>
      </c>
      <c r="G193" s="6" t="s">
        <v>2237</v>
      </c>
      <c r="H193" s="8">
        <v>85000</v>
      </c>
      <c r="I193" s="6" t="s">
        <v>2237</v>
      </c>
      <c r="J193" s="8">
        <v>0</v>
      </c>
      <c r="K193" s="6" t="s">
        <v>2237</v>
      </c>
      <c r="L193" s="8">
        <v>12043.36</v>
      </c>
      <c r="M193" s="6" t="s">
        <v>2237</v>
      </c>
      <c r="N193" s="8">
        <v>71093.240000000005</v>
      </c>
      <c r="O193" s="6" t="s">
        <v>2237</v>
      </c>
      <c r="P193" s="6" t="s">
        <v>2236</v>
      </c>
      <c r="Q193" s="9" t="s">
        <v>2242</v>
      </c>
      <c r="R193" s="9" t="s">
        <v>2238</v>
      </c>
      <c r="S193" s="9" t="s">
        <v>2243</v>
      </c>
      <c r="T193" s="9" t="s">
        <v>2256</v>
      </c>
      <c r="U19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3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3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3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E540-301297503-D245401</v>
      </c>
      <c r="Y1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3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3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19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4" spans="1:31" x14ac:dyDescent="0.3">
      <c r="A194" s="6" t="s">
        <v>2466</v>
      </c>
      <c r="B194" s="6" t="s">
        <v>30</v>
      </c>
      <c r="C194" s="6" t="s">
        <v>975</v>
      </c>
      <c r="D194" s="6" t="s">
        <v>1642</v>
      </c>
      <c r="E194" s="6" t="s">
        <v>2241</v>
      </c>
      <c r="F194" s="8">
        <v>0</v>
      </c>
      <c r="G194" s="6" t="s">
        <v>2237</v>
      </c>
      <c r="H194" s="8">
        <v>0</v>
      </c>
      <c r="I194" s="6" t="s">
        <v>2237</v>
      </c>
      <c r="J194" s="8">
        <v>0</v>
      </c>
      <c r="K194" s="6" t="s">
        <v>2237</v>
      </c>
      <c r="L194" s="8">
        <v>12043.36</v>
      </c>
      <c r="M194" s="6" t="s">
        <v>2237</v>
      </c>
      <c r="N194" s="8">
        <v>71093.240000000005</v>
      </c>
      <c r="O194" s="6" t="s">
        <v>2237</v>
      </c>
      <c r="P194" s="6" t="s">
        <v>2236</v>
      </c>
      <c r="Q194" s="9" t="s">
        <v>2242</v>
      </c>
      <c r="R194" s="9" t="s">
        <v>2238</v>
      </c>
      <c r="S194" s="9" t="s">
        <v>2243</v>
      </c>
      <c r="T194" s="9" t="s">
        <v>2327</v>
      </c>
      <c r="U19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4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4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4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E540-301297503-D245401</v>
      </c>
      <c r="Y194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E540-30129750303-D245401</v>
      </c>
      <c r="Z19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4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4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4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94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19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" spans="1:31" x14ac:dyDescent="0.3">
      <c r="A195" s="6" t="s">
        <v>2467</v>
      </c>
      <c r="B195" s="6" t="s">
        <v>26</v>
      </c>
      <c r="C195" s="6" t="s">
        <v>973</v>
      </c>
      <c r="D195" s="6" t="s">
        <v>974</v>
      </c>
      <c r="E195" s="6" t="s">
        <v>2241</v>
      </c>
      <c r="F195" s="8">
        <v>85000</v>
      </c>
      <c r="G195" s="6" t="s">
        <v>2237</v>
      </c>
      <c r="H195" s="8">
        <v>85000</v>
      </c>
      <c r="I195" s="6" t="s">
        <v>2237</v>
      </c>
      <c r="J195" s="8">
        <v>0</v>
      </c>
      <c r="K195" s="6" t="s">
        <v>2237</v>
      </c>
      <c r="L195" s="8">
        <v>88092.160000000003</v>
      </c>
      <c r="M195" s="6" t="s">
        <v>2237</v>
      </c>
      <c r="N195" s="8">
        <v>0</v>
      </c>
      <c r="O195" s="6" t="s">
        <v>2237</v>
      </c>
      <c r="P195" s="6" t="s">
        <v>2236</v>
      </c>
      <c r="Q195" s="9" t="s">
        <v>2242</v>
      </c>
      <c r="R195" s="9" t="s">
        <v>2238</v>
      </c>
      <c r="S195" s="9" t="s">
        <v>2243</v>
      </c>
      <c r="T195" s="9" t="s">
        <v>2256</v>
      </c>
      <c r="U19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5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5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5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E540-301297502-D245401</v>
      </c>
      <c r="Y1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5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5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19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6" spans="1:31" x14ac:dyDescent="0.3">
      <c r="A196" s="6" t="s">
        <v>2468</v>
      </c>
      <c r="B196" s="6" t="s">
        <v>30</v>
      </c>
      <c r="C196" s="6" t="s">
        <v>973</v>
      </c>
      <c r="D196" s="6" t="s">
        <v>1641</v>
      </c>
      <c r="E196" s="6" t="s">
        <v>2241</v>
      </c>
      <c r="F196" s="8">
        <v>0</v>
      </c>
      <c r="G196" s="6" t="s">
        <v>2237</v>
      </c>
      <c r="H196" s="8">
        <v>0</v>
      </c>
      <c r="I196" s="6" t="s">
        <v>2237</v>
      </c>
      <c r="J196" s="8">
        <v>0</v>
      </c>
      <c r="K196" s="6" t="s">
        <v>2237</v>
      </c>
      <c r="L196" s="8">
        <v>88092.160000000003</v>
      </c>
      <c r="M196" s="6" t="s">
        <v>2237</v>
      </c>
      <c r="N196" s="8">
        <v>0</v>
      </c>
      <c r="O196" s="6" t="s">
        <v>2237</v>
      </c>
      <c r="P196" s="6" t="s">
        <v>2236</v>
      </c>
      <c r="Q196" s="9" t="s">
        <v>2242</v>
      </c>
      <c r="R196" s="9" t="s">
        <v>2238</v>
      </c>
      <c r="S196" s="9" t="s">
        <v>2243</v>
      </c>
      <c r="T196" s="9" t="s">
        <v>2327</v>
      </c>
      <c r="U19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6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6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6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E540-301297502-D245401</v>
      </c>
      <c r="Y196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E540-30129750202-D245401</v>
      </c>
      <c r="Z19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6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6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96" s="10" t="str">
        <f>IF(IFERROR(INDEX(WBS_Dictionary!N$2:N$1212, MATCH(Table2[[#This Row],[WBS_ID]], Table26[WBS CODE],0)), "") = "", "null", IFERROR(INDEX(WBS_Dictionary!N$2:N$1212, MATCH(Table2[[#This Row],[WBS_ID]], Table26[WBS CODE],0)), ""))</f>
        <v>AWI 2-7</v>
      </c>
      <c r="AE19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7" spans="1:31" x14ac:dyDescent="0.3">
      <c r="A197" s="6" t="s">
        <v>2469</v>
      </c>
      <c r="B197" s="6" t="s">
        <v>26</v>
      </c>
      <c r="C197" s="6" t="s">
        <v>971</v>
      </c>
      <c r="D197" s="6" t="s">
        <v>972</v>
      </c>
      <c r="E197" s="6" t="s">
        <v>2241</v>
      </c>
      <c r="F197" s="8">
        <v>85000</v>
      </c>
      <c r="G197" s="6" t="s">
        <v>2237</v>
      </c>
      <c r="H197" s="8">
        <v>85000</v>
      </c>
      <c r="I197" s="6" t="s">
        <v>2237</v>
      </c>
      <c r="J197" s="8">
        <v>0</v>
      </c>
      <c r="K197" s="6" t="s">
        <v>2237</v>
      </c>
      <c r="L197" s="8">
        <v>88092.160000000003</v>
      </c>
      <c r="M197" s="6" t="s">
        <v>2237</v>
      </c>
      <c r="N197" s="8">
        <v>0</v>
      </c>
      <c r="O197" s="6" t="s">
        <v>2237</v>
      </c>
      <c r="P197" s="6" t="s">
        <v>2236</v>
      </c>
      <c r="Q197" s="9" t="s">
        <v>2242</v>
      </c>
      <c r="R197" s="9" t="s">
        <v>2238</v>
      </c>
      <c r="S197" s="9" t="s">
        <v>2243</v>
      </c>
      <c r="T197" s="9" t="s">
        <v>2256</v>
      </c>
      <c r="U19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7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7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7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E540-301297501-D245401</v>
      </c>
      <c r="Y1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7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7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19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" spans="1:31" x14ac:dyDescent="0.3">
      <c r="A198" s="6" t="s">
        <v>2470</v>
      </c>
      <c r="B198" s="6" t="s">
        <v>30</v>
      </c>
      <c r="C198" s="6" t="s">
        <v>971</v>
      </c>
      <c r="D198" s="6" t="s">
        <v>1640</v>
      </c>
      <c r="E198" s="6" t="s">
        <v>2241</v>
      </c>
      <c r="F198" s="8">
        <v>0</v>
      </c>
      <c r="G198" s="6" t="s">
        <v>2237</v>
      </c>
      <c r="H198" s="8">
        <v>0</v>
      </c>
      <c r="I198" s="6" t="s">
        <v>2237</v>
      </c>
      <c r="J198" s="8">
        <v>0</v>
      </c>
      <c r="K198" s="6" t="s">
        <v>2237</v>
      </c>
      <c r="L198" s="8">
        <v>88092.160000000003</v>
      </c>
      <c r="M198" s="6" t="s">
        <v>2237</v>
      </c>
      <c r="N198" s="8">
        <v>0</v>
      </c>
      <c r="O198" s="6" t="s">
        <v>2237</v>
      </c>
      <c r="P198" s="6" t="s">
        <v>2236</v>
      </c>
      <c r="Q198" s="9" t="s">
        <v>2242</v>
      </c>
      <c r="R198" s="9" t="s">
        <v>2238</v>
      </c>
      <c r="S198" s="9" t="s">
        <v>2243</v>
      </c>
      <c r="T198" s="9" t="s">
        <v>2327</v>
      </c>
      <c r="U19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8" s="10" t="str">
        <f>IF(IFERROR(INDEX(WBS_Dictionary!F$2:F$1212, MATCH(Table2[[#This Row],[WBS_ID]], Table26[WBS CODE],0)), "") = "", "null", IFERROR(INDEX(WBS_Dictionary!F$2:F$1212, MATCH(Table2[[#This Row],[WBS_ID]], Table26[WBS CODE],0)), ""))</f>
        <v>E540-30129-D245401</v>
      </c>
      <c r="W198" s="10" t="str">
        <f>IF(IFERROR(INDEX(WBS_Dictionary!G$2:G$1212, MATCH(Table2[[#This Row],[WBS_ID]], Table26[WBS CODE],0)), "") = "", "null", IFERROR(INDEX(WBS_Dictionary!G$2:G$1212, MATCH(Table2[[#This Row],[WBS_ID]], Table26[WBS CODE],0)), ""))</f>
        <v>E540-3012975-D245401</v>
      </c>
      <c r="X198" s="10" t="str">
        <f>IF(IFERROR(INDEX(WBS_Dictionary!H$2:H$1212, MATCH(Table2[[#This Row],[WBS_ID]], Table26[WBS CODE],0)), "") = "", "null", IFERROR(INDEX(WBS_Dictionary!H$2:H$1212, MATCH(Table2[[#This Row],[WBS_ID]], Table26[WBS CODE],0)), ""))</f>
        <v>E540-301297501-D245401</v>
      </c>
      <c r="Y198" s="10" t="str">
        <f>IF(IFERROR(INDEX(WBS_Dictionary!I$2:I$1212, MATCH(Table2[[#This Row],[WBS_ID]], Table26[WBS CODE],0)), "") = "", "null", IFERROR(INDEX(WBS_Dictionary!I$2:I$1212, MATCH(Table2[[#This Row],[WBS_ID]], Table26[WBS CODE],0)), ""))</f>
        <v>E540-30129750101-D245401</v>
      </c>
      <c r="Z19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8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8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98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19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9" spans="1:31" hidden="1" x14ac:dyDescent="0.3">
      <c r="A199" s="6" t="s">
        <v>2471</v>
      </c>
      <c r="B199" s="6" t="s">
        <v>18</v>
      </c>
      <c r="C199" s="7" t="s">
        <v>373</v>
      </c>
      <c r="D199" s="6" t="s">
        <v>816</v>
      </c>
      <c r="E199" s="6" t="s">
        <v>2241</v>
      </c>
      <c r="F199" s="8">
        <v>55462428.829999998</v>
      </c>
      <c r="G199" s="6" t="s">
        <v>2237</v>
      </c>
      <c r="H199" s="8">
        <v>53160953.829999998</v>
      </c>
      <c r="I199" s="6" t="s">
        <v>2237</v>
      </c>
      <c r="J199" s="8">
        <v>0</v>
      </c>
      <c r="K199" s="6" t="s">
        <v>2237</v>
      </c>
      <c r="L199" s="8">
        <v>6901041.75</v>
      </c>
      <c r="M199" s="6" t="s">
        <v>2237</v>
      </c>
      <c r="N199" s="8">
        <v>31868376.550000001</v>
      </c>
      <c r="O199" s="6" t="s">
        <v>2237</v>
      </c>
      <c r="P199" s="6" t="s">
        <v>2236</v>
      </c>
      <c r="Q199" s="9" t="s">
        <v>2242</v>
      </c>
      <c r="R199" s="9" t="s">
        <v>2238</v>
      </c>
      <c r="S199" s="9" t="s">
        <v>2243</v>
      </c>
      <c r="T199" s="9" t="s">
        <v>2244</v>
      </c>
      <c r="U19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19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1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" spans="1:31" x14ac:dyDescent="0.3">
      <c r="A200" s="6" t="s">
        <v>2472</v>
      </c>
      <c r="B200" s="6" t="s">
        <v>21</v>
      </c>
      <c r="C200" s="6" t="s">
        <v>2473</v>
      </c>
      <c r="D200" s="6" t="s">
        <v>846</v>
      </c>
      <c r="E200" s="6" t="s">
        <v>2241</v>
      </c>
      <c r="F200" s="8">
        <v>3784504</v>
      </c>
      <c r="G200" s="6" t="s">
        <v>2237</v>
      </c>
      <c r="H200" s="8">
        <v>3784504</v>
      </c>
      <c r="I200" s="6" t="s">
        <v>2237</v>
      </c>
      <c r="J200" s="8">
        <v>0</v>
      </c>
      <c r="K200" s="6" t="s">
        <v>2237</v>
      </c>
      <c r="L200" s="8">
        <v>1663694.72</v>
      </c>
      <c r="M200" s="6" t="s">
        <v>2237</v>
      </c>
      <c r="N200" s="8">
        <v>45127.74</v>
      </c>
      <c r="O200" s="6" t="s">
        <v>2237</v>
      </c>
      <c r="P200" s="6" t="s">
        <v>2236</v>
      </c>
      <c r="Q200" s="9" t="s">
        <v>2242</v>
      </c>
      <c r="R200" s="9" t="s">
        <v>2238</v>
      </c>
      <c r="S200" s="9" t="s">
        <v>2243</v>
      </c>
      <c r="T200" s="9" t="s">
        <v>2244</v>
      </c>
      <c r="U20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1" spans="1:31" x14ac:dyDescent="0.3">
      <c r="A201" s="6" t="s">
        <v>2474</v>
      </c>
      <c r="B201" s="6" t="s">
        <v>26</v>
      </c>
      <c r="C201" s="6" t="s">
        <v>2475</v>
      </c>
      <c r="D201" s="6" t="s">
        <v>949</v>
      </c>
      <c r="E201" s="6" t="s">
        <v>2241</v>
      </c>
      <c r="F201" s="8">
        <v>3242224</v>
      </c>
      <c r="G201" s="6" t="s">
        <v>2237</v>
      </c>
      <c r="H201" s="8">
        <v>3242224</v>
      </c>
      <c r="I201" s="6" t="s">
        <v>2237</v>
      </c>
      <c r="J201" s="8">
        <v>0</v>
      </c>
      <c r="K201" s="6" t="s">
        <v>2237</v>
      </c>
      <c r="L201" s="8">
        <v>1663694.72</v>
      </c>
      <c r="M201" s="6" t="s">
        <v>2237</v>
      </c>
      <c r="N201" s="8">
        <v>25260.17</v>
      </c>
      <c r="O201" s="6" t="s">
        <v>2237</v>
      </c>
      <c r="P201" s="6" t="s">
        <v>2236</v>
      </c>
      <c r="Q201" s="9" t="s">
        <v>2242</v>
      </c>
      <c r="R201" s="9" t="s">
        <v>2238</v>
      </c>
      <c r="S201" s="9" t="s">
        <v>2243</v>
      </c>
      <c r="T201" s="9" t="s">
        <v>2244</v>
      </c>
      <c r="U20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2" spans="1:31" x14ac:dyDescent="0.3">
      <c r="A202" s="6" t="s">
        <v>2476</v>
      </c>
      <c r="B202" s="6" t="s">
        <v>30</v>
      </c>
      <c r="C202" s="6" t="s">
        <v>2477</v>
      </c>
      <c r="D202" s="6" t="s">
        <v>1588</v>
      </c>
      <c r="E202" s="6" t="s">
        <v>2241</v>
      </c>
      <c r="F202" s="8">
        <v>0</v>
      </c>
      <c r="G202" s="6" t="s">
        <v>2237</v>
      </c>
      <c r="H202" s="8">
        <v>0</v>
      </c>
      <c r="I202" s="6" t="s">
        <v>2237</v>
      </c>
      <c r="J202" s="8">
        <v>0</v>
      </c>
      <c r="K202" s="6" t="s">
        <v>2237</v>
      </c>
      <c r="L202" s="8">
        <v>492984.12</v>
      </c>
      <c r="M202" s="6" t="s">
        <v>2237</v>
      </c>
      <c r="N202" s="8">
        <v>0</v>
      </c>
      <c r="O202" s="6" t="s">
        <v>2237</v>
      </c>
      <c r="P202" s="6" t="s">
        <v>2236</v>
      </c>
      <c r="Q202" s="9" t="s">
        <v>2242</v>
      </c>
      <c r="R202" s="9" t="s">
        <v>2238</v>
      </c>
      <c r="S202" s="9" t="s">
        <v>2243</v>
      </c>
      <c r="T202" s="9" t="s">
        <v>2327</v>
      </c>
      <c r="U20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E540-30101090245-D245401</v>
      </c>
      <c r="Z2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2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202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3" spans="1:31" x14ac:dyDescent="0.3">
      <c r="A203" s="6" t="s">
        <v>2478</v>
      </c>
      <c r="B203" s="6" t="s">
        <v>30</v>
      </c>
      <c r="C203" s="6" t="s">
        <v>2479</v>
      </c>
      <c r="D203" s="6" t="s">
        <v>1586</v>
      </c>
      <c r="E203" s="6" t="s">
        <v>2241</v>
      </c>
      <c r="F203" s="8">
        <v>0</v>
      </c>
      <c r="G203" s="6" t="s">
        <v>2237</v>
      </c>
      <c r="H203" s="8">
        <v>0</v>
      </c>
      <c r="I203" s="6" t="s">
        <v>2237</v>
      </c>
      <c r="J203" s="8">
        <v>0</v>
      </c>
      <c r="K203" s="6" t="s">
        <v>2237</v>
      </c>
      <c r="L203" s="8">
        <v>1787.16</v>
      </c>
      <c r="M203" s="6" t="s">
        <v>2237</v>
      </c>
      <c r="N203" s="8">
        <v>3114.37</v>
      </c>
      <c r="O203" s="6" t="s">
        <v>2237</v>
      </c>
      <c r="P203" s="6" t="s">
        <v>2236</v>
      </c>
      <c r="Q203" s="9" t="s">
        <v>2242</v>
      </c>
      <c r="R203" s="9" t="s">
        <v>2238</v>
      </c>
      <c r="S203" s="9" t="s">
        <v>2243</v>
      </c>
      <c r="T203" s="9" t="s">
        <v>2327</v>
      </c>
      <c r="U20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E540-30101090224-D245401</v>
      </c>
      <c r="Z2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3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03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4" spans="1:31" x14ac:dyDescent="0.3">
      <c r="A204" s="6" t="s">
        <v>2480</v>
      </c>
      <c r="B204" s="6" t="s">
        <v>30</v>
      </c>
      <c r="C204" s="6" t="s">
        <v>2481</v>
      </c>
      <c r="D204" s="6" t="s">
        <v>1600</v>
      </c>
      <c r="E204" s="6" t="s">
        <v>2241</v>
      </c>
      <c r="F204" s="8">
        <v>0</v>
      </c>
      <c r="G204" s="6" t="s">
        <v>2237</v>
      </c>
      <c r="H204" s="8">
        <v>0</v>
      </c>
      <c r="I204" s="6" t="s">
        <v>2237</v>
      </c>
      <c r="J204" s="8">
        <v>0</v>
      </c>
      <c r="K204" s="6" t="s">
        <v>2237</v>
      </c>
      <c r="L204" s="8">
        <v>31009.3</v>
      </c>
      <c r="M204" s="6" t="s">
        <v>2237</v>
      </c>
      <c r="N204" s="8">
        <v>6359.84</v>
      </c>
      <c r="O204" s="6" t="s">
        <v>2237</v>
      </c>
      <c r="P204" s="6" t="s">
        <v>2236</v>
      </c>
      <c r="Q204" s="9" t="s">
        <v>2242</v>
      </c>
      <c r="R204" s="9" t="s">
        <v>2238</v>
      </c>
      <c r="S204" s="9" t="s">
        <v>2243</v>
      </c>
      <c r="T204" s="9" t="s">
        <v>2327</v>
      </c>
      <c r="U20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E540-30101090298-D245401</v>
      </c>
      <c r="Z2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4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04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5" spans="1:31" x14ac:dyDescent="0.3">
      <c r="A205" s="6" t="s">
        <v>2482</v>
      </c>
      <c r="B205" s="6" t="s">
        <v>30</v>
      </c>
      <c r="C205" s="6" t="s">
        <v>2483</v>
      </c>
      <c r="D205" s="6" t="s">
        <v>1598</v>
      </c>
      <c r="E205" s="6" t="s">
        <v>2241</v>
      </c>
      <c r="F205" s="8">
        <v>0</v>
      </c>
      <c r="G205" s="6" t="s">
        <v>2237</v>
      </c>
      <c r="H205" s="8">
        <v>0</v>
      </c>
      <c r="I205" s="6" t="s">
        <v>2237</v>
      </c>
      <c r="J205" s="8">
        <v>0</v>
      </c>
      <c r="K205" s="6" t="s">
        <v>2237</v>
      </c>
      <c r="L205" s="8">
        <v>0</v>
      </c>
      <c r="M205" s="6" t="s">
        <v>2237</v>
      </c>
      <c r="N205" s="8">
        <v>0</v>
      </c>
      <c r="O205" s="6" t="s">
        <v>2237</v>
      </c>
      <c r="P205" s="6" t="s">
        <v>2236</v>
      </c>
      <c r="Q205" s="9" t="s">
        <v>2242</v>
      </c>
      <c r="R205" s="9" t="s">
        <v>2238</v>
      </c>
      <c r="S205" s="9" t="s">
        <v>2243</v>
      </c>
      <c r="T205" s="9" t="s">
        <v>2327</v>
      </c>
      <c r="U20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E540-30101090297-D245401</v>
      </c>
      <c r="Z2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5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05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6" spans="1:31" x14ac:dyDescent="0.3">
      <c r="A206" s="6" t="s">
        <v>2484</v>
      </c>
      <c r="B206" s="6" t="s">
        <v>30</v>
      </c>
      <c r="C206" s="6" t="s">
        <v>2485</v>
      </c>
      <c r="D206" s="6" t="s">
        <v>1596</v>
      </c>
      <c r="E206" s="6" t="s">
        <v>2241</v>
      </c>
      <c r="F206" s="8">
        <v>0</v>
      </c>
      <c r="G206" s="6" t="s">
        <v>2237</v>
      </c>
      <c r="H206" s="8">
        <v>0</v>
      </c>
      <c r="I206" s="6" t="s">
        <v>2237</v>
      </c>
      <c r="J206" s="8">
        <v>0</v>
      </c>
      <c r="K206" s="6" t="s">
        <v>2237</v>
      </c>
      <c r="L206" s="8">
        <v>0</v>
      </c>
      <c r="M206" s="6" t="s">
        <v>2237</v>
      </c>
      <c r="N206" s="8">
        <v>0</v>
      </c>
      <c r="O206" s="6" t="s">
        <v>2237</v>
      </c>
      <c r="P206" s="6" t="s">
        <v>2236</v>
      </c>
      <c r="Q206" s="9" t="s">
        <v>2242</v>
      </c>
      <c r="R206" s="9" t="s">
        <v>2238</v>
      </c>
      <c r="S206" s="9" t="s">
        <v>2243</v>
      </c>
      <c r="T206" s="9" t="s">
        <v>2327</v>
      </c>
      <c r="U20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E540-30101090296-D245401</v>
      </c>
      <c r="Z2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6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06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7" spans="1:31" x14ac:dyDescent="0.3">
      <c r="A207" s="6" t="s">
        <v>2486</v>
      </c>
      <c r="B207" s="6" t="s">
        <v>30</v>
      </c>
      <c r="C207" s="6" t="s">
        <v>2487</v>
      </c>
      <c r="D207" s="6" t="s">
        <v>1594</v>
      </c>
      <c r="E207" s="6" t="s">
        <v>2241</v>
      </c>
      <c r="F207" s="8">
        <v>0</v>
      </c>
      <c r="G207" s="6" t="s">
        <v>2237</v>
      </c>
      <c r="H207" s="8">
        <v>0</v>
      </c>
      <c r="I207" s="6" t="s">
        <v>2237</v>
      </c>
      <c r="J207" s="8">
        <v>0</v>
      </c>
      <c r="K207" s="6" t="s">
        <v>2237</v>
      </c>
      <c r="L207" s="8">
        <v>0</v>
      </c>
      <c r="M207" s="6" t="s">
        <v>2237</v>
      </c>
      <c r="N207" s="8">
        <v>0</v>
      </c>
      <c r="O207" s="6" t="s">
        <v>2237</v>
      </c>
      <c r="P207" s="6" t="s">
        <v>2236</v>
      </c>
      <c r="Q207" s="9" t="s">
        <v>2242</v>
      </c>
      <c r="R207" s="9" t="s">
        <v>2238</v>
      </c>
      <c r="S207" s="9" t="s">
        <v>2243</v>
      </c>
      <c r="T207" s="9" t="s">
        <v>2327</v>
      </c>
      <c r="U20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E540-30101090295-D245401</v>
      </c>
      <c r="Z2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7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07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8" spans="1:31" x14ac:dyDescent="0.3">
      <c r="A208" s="6" t="s">
        <v>2488</v>
      </c>
      <c r="B208" s="6" t="s">
        <v>30</v>
      </c>
      <c r="C208" s="6" t="s">
        <v>2489</v>
      </c>
      <c r="D208" s="6" t="s">
        <v>1592</v>
      </c>
      <c r="E208" s="6" t="s">
        <v>2241</v>
      </c>
      <c r="F208" s="8">
        <v>0</v>
      </c>
      <c r="G208" s="6" t="s">
        <v>2237</v>
      </c>
      <c r="H208" s="8">
        <v>0</v>
      </c>
      <c r="I208" s="6" t="s">
        <v>2237</v>
      </c>
      <c r="J208" s="8">
        <v>0</v>
      </c>
      <c r="K208" s="6" t="s">
        <v>2237</v>
      </c>
      <c r="L208" s="8">
        <v>28349.41</v>
      </c>
      <c r="M208" s="6" t="s">
        <v>2237</v>
      </c>
      <c r="N208" s="8">
        <v>0</v>
      </c>
      <c r="O208" s="6" t="s">
        <v>2237</v>
      </c>
      <c r="P208" s="6" t="s">
        <v>2236</v>
      </c>
      <c r="Q208" s="9" t="s">
        <v>2242</v>
      </c>
      <c r="R208" s="9" t="s">
        <v>2238</v>
      </c>
      <c r="S208" s="9" t="s">
        <v>2243</v>
      </c>
      <c r="T208" s="9" t="s">
        <v>2327</v>
      </c>
      <c r="U20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E540-30101090294-D245401</v>
      </c>
      <c r="Z2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8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08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9" spans="1:31" x14ac:dyDescent="0.3">
      <c r="A209" s="6" t="s">
        <v>2490</v>
      </c>
      <c r="B209" s="6" t="s">
        <v>30</v>
      </c>
      <c r="C209" s="6" t="s">
        <v>2491</v>
      </c>
      <c r="D209" s="6" t="s">
        <v>1584</v>
      </c>
      <c r="E209" s="6" t="s">
        <v>2241</v>
      </c>
      <c r="F209" s="8">
        <v>0</v>
      </c>
      <c r="G209" s="6" t="s">
        <v>2237</v>
      </c>
      <c r="H209" s="8">
        <v>0</v>
      </c>
      <c r="I209" s="6" t="s">
        <v>2237</v>
      </c>
      <c r="J209" s="8">
        <v>0</v>
      </c>
      <c r="K209" s="6" t="s">
        <v>2237</v>
      </c>
      <c r="L209" s="8">
        <v>11845.91</v>
      </c>
      <c r="M209" s="6" t="s">
        <v>2237</v>
      </c>
      <c r="N209" s="8">
        <v>0</v>
      </c>
      <c r="O209" s="6" t="s">
        <v>2237</v>
      </c>
      <c r="P209" s="6" t="s">
        <v>2236</v>
      </c>
      <c r="Q209" s="9" t="s">
        <v>2242</v>
      </c>
      <c r="R209" s="9" t="s">
        <v>2238</v>
      </c>
      <c r="S209" s="9" t="s">
        <v>2243</v>
      </c>
      <c r="T209" s="9" t="s">
        <v>2327</v>
      </c>
      <c r="U20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0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0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0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0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E540-30101090220-D245401</v>
      </c>
      <c r="Z2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0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0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09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09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0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0" spans="1:31" x14ac:dyDescent="0.3">
      <c r="A210" s="6" t="s">
        <v>2492</v>
      </c>
      <c r="B210" s="6" t="s">
        <v>30</v>
      </c>
      <c r="C210" s="6" t="s">
        <v>2493</v>
      </c>
      <c r="D210" s="6" t="s">
        <v>1582</v>
      </c>
      <c r="E210" s="6" t="s">
        <v>2241</v>
      </c>
      <c r="F210" s="8">
        <v>0</v>
      </c>
      <c r="G210" s="6" t="s">
        <v>2237</v>
      </c>
      <c r="H210" s="8">
        <v>0</v>
      </c>
      <c r="I210" s="6" t="s">
        <v>2237</v>
      </c>
      <c r="J210" s="8">
        <v>0</v>
      </c>
      <c r="K210" s="6" t="s">
        <v>2237</v>
      </c>
      <c r="L210" s="8">
        <v>0</v>
      </c>
      <c r="M210" s="6" t="s">
        <v>2237</v>
      </c>
      <c r="N210" s="8">
        <v>0</v>
      </c>
      <c r="O210" s="6" t="s">
        <v>2237</v>
      </c>
      <c r="P210" s="6" t="s">
        <v>2236</v>
      </c>
      <c r="Q210" s="9" t="s">
        <v>2242</v>
      </c>
      <c r="R210" s="9" t="s">
        <v>2238</v>
      </c>
      <c r="S210" s="9" t="s">
        <v>2243</v>
      </c>
      <c r="T210" s="9" t="s">
        <v>2327</v>
      </c>
      <c r="U21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E540-30101090217-D245401</v>
      </c>
      <c r="Z2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0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10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1" spans="1:31" x14ac:dyDescent="0.3">
      <c r="A211" s="6" t="s">
        <v>2494</v>
      </c>
      <c r="B211" s="6" t="s">
        <v>30</v>
      </c>
      <c r="C211" s="6" t="s">
        <v>2495</v>
      </c>
      <c r="D211" s="6" t="s">
        <v>1580</v>
      </c>
      <c r="E211" s="6" t="s">
        <v>2241</v>
      </c>
      <c r="F211" s="8">
        <v>0</v>
      </c>
      <c r="G211" s="6" t="s">
        <v>2237</v>
      </c>
      <c r="H211" s="8">
        <v>0</v>
      </c>
      <c r="I211" s="6" t="s">
        <v>2237</v>
      </c>
      <c r="J211" s="8">
        <v>0</v>
      </c>
      <c r="K211" s="6" t="s">
        <v>2237</v>
      </c>
      <c r="L211" s="8">
        <v>79301.899999999994</v>
      </c>
      <c r="M211" s="6" t="s">
        <v>2237</v>
      </c>
      <c r="N211" s="8">
        <v>15785.96</v>
      </c>
      <c r="O211" s="6" t="s">
        <v>2237</v>
      </c>
      <c r="P211" s="6" t="s">
        <v>2236</v>
      </c>
      <c r="Q211" s="9" t="s">
        <v>2242</v>
      </c>
      <c r="R211" s="9" t="s">
        <v>2238</v>
      </c>
      <c r="S211" s="9" t="s">
        <v>2243</v>
      </c>
      <c r="T211" s="9" t="s">
        <v>2327</v>
      </c>
      <c r="U21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E540-30101090216-D245401</v>
      </c>
      <c r="Z2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1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11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2" spans="1:31" x14ac:dyDescent="0.3">
      <c r="A212" s="6" t="s">
        <v>2496</v>
      </c>
      <c r="B212" s="6" t="s">
        <v>30</v>
      </c>
      <c r="C212" s="6" t="s">
        <v>2497</v>
      </c>
      <c r="D212" s="6" t="s">
        <v>1578</v>
      </c>
      <c r="E212" s="6" t="s">
        <v>2241</v>
      </c>
      <c r="F212" s="8">
        <v>0</v>
      </c>
      <c r="G212" s="6" t="s">
        <v>2237</v>
      </c>
      <c r="H212" s="8">
        <v>0</v>
      </c>
      <c r="I212" s="6" t="s">
        <v>2237</v>
      </c>
      <c r="J212" s="8">
        <v>0</v>
      </c>
      <c r="K212" s="6" t="s">
        <v>2237</v>
      </c>
      <c r="L212" s="8">
        <v>349.17</v>
      </c>
      <c r="M212" s="6" t="s">
        <v>2237</v>
      </c>
      <c r="N212" s="8">
        <v>0</v>
      </c>
      <c r="O212" s="6" t="s">
        <v>2237</v>
      </c>
      <c r="P212" s="6" t="s">
        <v>2236</v>
      </c>
      <c r="Q212" s="9" t="s">
        <v>2242</v>
      </c>
      <c r="R212" s="9" t="s">
        <v>2238</v>
      </c>
      <c r="S212" s="9" t="s">
        <v>2243</v>
      </c>
      <c r="T212" s="9" t="s">
        <v>2327</v>
      </c>
      <c r="U21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E540-30101090215-D245401</v>
      </c>
      <c r="Z2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2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12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3" spans="1:31" x14ac:dyDescent="0.3">
      <c r="A213" s="6" t="s">
        <v>2498</v>
      </c>
      <c r="B213" s="6" t="s">
        <v>30</v>
      </c>
      <c r="C213" s="6" t="s">
        <v>2499</v>
      </c>
      <c r="D213" s="6" t="s">
        <v>1576</v>
      </c>
      <c r="E213" s="6" t="s">
        <v>2241</v>
      </c>
      <c r="F213" s="8">
        <v>0</v>
      </c>
      <c r="G213" s="6" t="s">
        <v>2237</v>
      </c>
      <c r="H213" s="8">
        <v>0</v>
      </c>
      <c r="I213" s="6" t="s">
        <v>2237</v>
      </c>
      <c r="J213" s="8">
        <v>0</v>
      </c>
      <c r="K213" s="6" t="s">
        <v>2237</v>
      </c>
      <c r="L213" s="8">
        <v>0</v>
      </c>
      <c r="M213" s="6" t="s">
        <v>2237</v>
      </c>
      <c r="N213" s="8">
        <v>0</v>
      </c>
      <c r="O213" s="6" t="s">
        <v>2237</v>
      </c>
      <c r="P213" s="6" t="s">
        <v>2236</v>
      </c>
      <c r="Q213" s="9" t="s">
        <v>2242</v>
      </c>
      <c r="R213" s="9" t="s">
        <v>2238</v>
      </c>
      <c r="S213" s="9" t="s">
        <v>2243</v>
      </c>
      <c r="T213" s="9" t="s">
        <v>2327</v>
      </c>
      <c r="U21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E540-30101090214-D245401</v>
      </c>
      <c r="Z2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3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13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4" spans="1:31" x14ac:dyDescent="0.3">
      <c r="A214" s="6" t="s">
        <v>2500</v>
      </c>
      <c r="B214" s="6" t="s">
        <v>30</v>
      </c>
      <c r="C214" s="6" t="s">
        <v>2501</v>
      </c>
      <c r="D214" s="6" t="s">
        <v>1574</v>
      </c>
      <c r="E214" s="6" t="s">
        <v>2241</v>
      </c>
      <c r="F214" s="8">
        <v>0</v>
      </c>
      <c r="G214" s="6" t="s">
        <v>2237</v>
      </c>
      <c r="H214" s="8">
        <v>0</v>
      </c>
      <c r="I214" s="6" t="s">
        <v>2237</v>
      </c>
      <c r="J214" s="8">
        <v>0</v>
      </c>
      <c r="K214" s="6" t="s">
        <v>2237</v>
      </c>
      <c r="L214" s="8">
        <v>3937.5</v>
      </c>
      <c r="M214" s="6" t="s">
        <v>2237</v>
      </c>
      <c r="N214" s="8">
        <v>0</v>
      </c>
      <c r="O214" s="6" t="s">
        <v>2237</v>
      </c>
      <c r="P214" s="6" t="s">
        <v>2236</v>
      </c>
      <c r="Q214" s="9" t="s">
        <v>2242</v>
      </c>
      <c r="R214" s="9" t="s">
        <v>2238</v>
      </c>
      <c r="S214" s="9" t="s">
        <v>2243</v>
      </c>
      <c r="T214" s="9" t="s">
        <v>2327</v>
      </c>
      <c r="U21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E540-30101090213-D245401</v>
      </c>
      <c r="Z2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4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14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5" spans="1:31" x14ac:dyDescent="0.3">
      <c r="A215" s="6" t="s">
        <v>2502</v>
      </c>
      <c r="B215" s="6" t="s">
        <v>30</v>
      </c>
      <c r="C215" s="6" t="s">
        <v>2503</v>
      </c>
      <c r="D215" s="6" t="s">
        <v>1590</v>
      </c>
      <c r="E215" s="6" t="s">
        <v>2241</v>
      </c>
      <c r="F215" s="8">
        <v>0</v>
      </c>
      <c r="G215" s="6" t="s">
        <v>2237</v>
      </c>
      <c r="H215" s="8">
        <v>0</v>
      </c>
      <c r="I215" s="6" t="s">
        <v>2237</v>
      </c>
      <c r="J215" s="8">
        <v>0</v>
      </c>
      <c r="K215" s="6" t="s">
        <v>2237</v>
      </c>
      <c r="L215" s="8">
        <v>0</v>
      </c>
      <c r="M215" s="6" t="s">
        <v>2237</v>
      </c>
      <c r="N215" s="8">
        <v>0</v>
      </c>
      <c r="O215" s="6" t="s">
        <v>2237</v>
      </c>
      <c r="P215" s="6" t="s">
        <v>2236</v>
      </c>
      <c r="Q215" s="9" t="s">
        <v>2242</v>
      </c>
      <c r="R215" s="9" t="s">
        <v>2238</v>
      </c>
      <c r="S215" s="9" t="s">
        <v>2243</v>
      </c>
      <c r="T215" s="9" t="s">
        <v>2327</v>
      </c>
      <c r="U21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E540-30101090247-D245401</v>
      </c>
      <c r="Z2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5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15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6" spans="1:31" x14ac:dyDescent="0.3">
      <c r="A216" s="6" t="s">
        <v>2504</v>
      </c>
      <c r="B216" s="6" t="s">
        <v>30</v>
      </c>
      <c r="C216" s="6" t="s">
        <v>2505</v>
      </c>
      <c r="D216" s="6" t="s">
        <v>1572</v>
      </c>
      <c r="E216" s="6" t="s">
        <v>2241</v>
      </c>
      <c r="F216" s="8">
        <v>0</v>
      </c>
      <c r="G216" s="6" t="s">
        <v>2237</v>
      </c>
      <c r="H216" s="8">
        <v>0</v>
      </c>
      <c r="I216" s="6" t="s">
        <v>2237</v>
      </c>
      <c r="J216" s="8">
        <v>0</v>
      </c>
      <c r="K216" s="6" t="s">
        <v>2237</v>
      </c>
      <c r="L216" s="8">
        <v>374463.88</v>
      </c>
      <c r="M216" s="6" t="s">
        <v>2237</v>
      </c>
      <c r="N216" s="8">
        <v>0</v>
      </c>
      <c r="O216" s="6" t="s">
        <v>2237</v>
      </c>
      <c r="P216" s="6" t="s">
        <v>2236</v>
      </c>
      <c r="Q216" s="9" t="s">
        <v>2242</v>
      </c>
      <c r="R216" s="9" t="s">
        <v>2238</v>
      </c>
      <c r="S216" s="9" t="s">
        <v>2243</v>
      </c>
      <c r="T216" s="9" t="s">
        <v>2327</v>
      </c>
      <c r="U21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E540-30101090212-D245401</v>
      </c>
      <c r="Z2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6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16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7" spans="1:31" x14ac:dyDescent="0.3">
      <c r="A217" s="6" t="s">
        <v>2506</v>
      </c>
      <c r="B217" s="6" t="s">
        <v>30</v>
      </c>
      <c r="C217" s="6" t="s">
        <v>2507</v>
      </c>
      <c r="D217" s="6" t="s">
        <v>1570</v>
      </c>
      <c r="E217" s="6" t="s">
        <v>2241</v>
      </c>
      <c r="F217" s="8">
        <v>0</v>
      </c>
      <c r="G217" s="6" t="s">
        <v>2237</v>
      </c>
      <c r="H217" s="8">
        <v>0</v>
      </c>
      <c r="I217" s="6" t="s">
        <v>2237</v>
      </c>
      <c r="J217" s="8">
        <v>0</v>
      </c>
      <c r="K217" s="6" t="s">
        <v>2237</v>
      </c>
      <c r="L217" s="8">
        <v>52781.99</v>
      </c>
      <c r="M217" s="6" t="s">
        <v>2237</v>
      </c>
      <c r="N217" s="8">
        <v>0</v>
      </c>
      <c r="O217" s="6" t="s">
        <v>2237</v>
      </c>
      <c r="P217" s="6" t="s">
        <v>2236</v>
      </c>
      <c r="Q217" s="9" t="s">
        <v>2242</v>
      </c>
      <c r="R217" s="9" t="s">
        <v>2238</v>
      </c>
      <c r="S217" s="9" t="s">
        <v>2243</v>
      </c>
      <c r="T217" s="9" t="s">
        <v>2327</v>
      </c>
      <c r="U21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E540-30101090211-D245401</v>
      </c>
      <c r="Z2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7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17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8" spans="1:31" x14ac:dyDescent="0.3">
      <c r="A218" s="6" t="s">
        <v>2508</v>
      </c>
      <c r="B218" s="6" t="s">
        <v>30</v>
      </c>
      <c r="C218" s="6" t="s">
        <v>2509</v>
      </c>
      <c r="D218" s="6" t="s">
        <v>1568</v>
      </c>
      <c r="E218" s="6" t="s">
        <v>2241</v>
      </c>
      <c r="F218" s="8">
        <v>0</v>
      </c>
      <c r="G218" s="6" t="s">
        <v>2237</v>
      </c>
      <c r="H218" s="8">
        <v>0</v>
      </c>
      <c r="I218" s="6" t="s">
        <v>2237</v>
      </c>
      <c r="J218" s="8">
        <v>0</v>
      </c>
      <c r="K218" s="6" t="s">
        <v>2237</v>
      </c>
      <c r="L218" s="8">
        <v>50865.5</v>
      </c>
      <c r="M218" s="6" t="s">
        <v>2237</v>
      </c>
      <c r="N218" s="8">
        <v>0</v>
      </c>
      <c r="O218" s="6" t="s">
        <v>2237</v>
      </c>
      <c r="P218" s="6" t="s">
        <v>2236</v>
      </c>
      <c r="Q218" s="9" t="s">
        <v>2242</v>
      </c>
      <c r="R218" s="9" t="s">
        <v>2238</v>
      </c>
      <c r="S218" s="9" t="s">
        <v>2243</v>
      </c>
      <c r="T218" s="9" t="s">
        <v>2327</v>
      </c>
      <c r="U21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E540-30101090210-D245401</v>
      </c>
      <c r="Z2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8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18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9" spans="1:31" x14ac:dyDescent="0.3">
      <c r="A219" s="6" t="s">
        <v>2510</v>
      </c>
      <c r="B219" s="6" t="s">
        <v>30</v>
      </c>
      <c r="C219" s="6" t="s">
        <v>2511</v>
      </c>
      <c r="D219" s="6" t="s">
        <v>1566</v>
      </c>
      <c r="E219" s="6" t="s">
        <v>2241</v>
      </c>
      <c r="F219" s="8">
        <v>0</v>
      </c>
      <c r="G219" s="6" t="s">
        <v>2237</v>
      </c>
      <c r="H219" s="8">
        <v>0</v>
      </c>
      <c r="I219" s="6" t="s">
        <v>2237</v>
      </c>
      <c r="J219" s="8">
        <v>0</v>
      </c>
      <c r="K219" s="6" t="s">
        <v>2237</v>
      </c>
      <c r="L219" s="8">
        <v>35732.800000000003</v>
      </c>
      <c r="M219" s="6" t="s">
        <v>2237</v>
      </c>
      <c r="N219" s="8">
        <v>0</v>
      </c>
      <c r="O219" s="6" t="s">
        <v>2237</v>
      </c>
      <c r="P219" s="6" t="s">
        <v>2236</v>
      </c>
      <c r="Q219" s="9" t="s">
        <v>2242</v>
      </c>
      <c r="R219" s="9" t="s">
        <v>2238</v>
      </c>
      <c r="S219" s="9" t="s">
        <v>2243</v>
      </c>
      <c r="T219" s="9" t="s">
        <v>2327</v>
      </c>
      <c r="U21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1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1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1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1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E540-30101090209-D245401</v>
      </c>
      <c r="Z2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1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1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19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19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1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0" spans="1:31" x14ac:dyDescent="0.3">
      <c r="A220" s="6" t="s">
        <v>2512</v>
      </c>
      <c r="B220" s="6" t="s">
        <v>30</v>
      </c>
      <c r="C220" s="6" t="s">
        <v>2513</v>
      </c>
      <c r="D220" s="6" t="s">
        <v>1564</v>
      </c>
      <c r="E220" s="6" t="s">
        <v>2241</v>
      </c>
      <c r="F220" s="8">
        <v>0</v>
      </c>
      <c r="G220" s="6" t="s">
        <v>2237</v>
      </c>
      <c r="H220" s="8">
        <v>0</v>
      </c>
      <c r="I220" s="6" t="s">
        <v>2237</v>
      </c>
      <c r="J220" s="8">
        <v>0</v>
      </c>
      <c r="K220" s="6" t="s">
        <v>2237</v>
      </c>
      <c r="L220" s="8">
        <v>83417</v>
      </c>
      <c r="M220" s="6" t="s">
        <v>2237</v>
      </c>
      <c r="N220" s="8">
        <v>0</v>
      </c>
      <c r="O220" s="6" t="s">
        <v>2237</v>
      </c>
      <c r="P220" s="6" t="s">
        <v>2236</v>
      </c>
      <c r="Q220" s="9" t="s">
        <v>2242</v>
      </c>
      <c r="R220" s="9" t="s">
        <v>2238</v>
      </c>
      <c r="S220" s="9" t="s">
        <v>2243</v>
      </c>
      <c r="T220" s="9" t="s">
        <v>2327</v>
      </c>
      <c r="U22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2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E540-30101090208-D245401</v>
      </c>
      <c r="Z2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0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20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1" spans="1:31" x14ac:dyDescent="0.3">
      <c r="A221" s="6" t="s">
        <v>2514</v>
      </c>
      <c r="B221" s="6" t="s">
        <v>30</v>
      </c>
      <c r="C221" s="6" t="s">
        <v>2515</v>
      </c>
      <c r="D221" s="6" t="s">
        <v>1562</v>
      </c>
      <c r="E221" s="6" t="s">
        <v>2241</v>
      </c>
      <c r="F221" s="8">
        <v>0</v>
      </c>
      <c r="G221" s="6" t="s">
        <v>2237</v>
      </c>
      <c r="H221" s="8">
        <v>0</v>
      </c>
      <c r="I221" s="6" t="s">
        <v>2237</v>
      </c>
      <c r="J221" s="8">
        <v>0</v>
      </c>
      <c r="K221" s="6" t="s">
        <v>2237</v>
      </c>
      <c r="L221" s="8">
        <v>0</v>
      </c>
      <c r="M221" s="6" t="s">
        <v>2237</v>
      </c>
      <c r="N221" s="8">
        <v>0</v>
      </c>
      <c r="O221" s="6" t="s">
        <v>2237</v>
      </c>
      <c r="P221" s="6" t="s">
        <v>2236</v>
      </c>
      <c r="Q221" s="9" t="s">
        <v>2242</v>
      </c>
      <c r="R221" s="9" t="s">
        <v>2238</v>
      </c>
      <c r="S221" s="9" t="s">
        <v>2243</v>
      </c>
      <c r="T221" s="9" t="s">
        <v>2327</v>
      </c>
      <c r="U22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2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E540-30101090207-D245401</v>
      </c>
      <c r="Z2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1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21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2" spans="1:31" x14ac:dyDescent="0.3">
      <c r="A222" s="6" t="s">
        <v>2516</v>
      </c>
      <c r="B222" s="6" t="s">
        <v>30</v>
      </c>
      <c r="C222" s="6" t="s">
        <v>2517</v>
      </c>
      <c r="D222" s="6" t="s">
        <v>1560</v>
      </c>
      <c r="E222" s="6" t="s">
        <v>2241</v>
      </c>
      <c r="F222" s="8">
        <v>0</v>
      </c>
      <c r="G222" s="6" t="s">
        <v>2237</v>
      </c>
      <c r="H222" s="8">
        <v>0</v>
      </c>
      <c r="I222" s="6" t="s">
        <v>2237</v>
      </c>
      <c r="J222" s="8">
        <v>0</v>
      </c>
      <c r="K222" s="6" t="s">
        <v>2237</v>
      </c>
      <c r="L222" s="8">
        <v>416869.08</v>
      </c>
      <c r="M222" s="6" t="s">
        <v>2237</v>
      </c>
      <c r="N222" s="8">
        <v>0</v>
      </c>
      <c r="O222" s="6" t="s">
        <v>2237</v>
      </c>
      <c r="P222" s="6" t="s">
        <v>2236</v>
      </c>
      <c r="Q222" s="9" t="s">
        <v>2242</v>
      </c>
      <c r="R222" s="9" t="s">
        <v>2238</v>
      </c>
      <c r="S222" s="9" t="s">
        <v>2243</v>
      </c>
      <c r="T222" s="9" t="s">
        <v>2327</v>
      </c>
      <c r="U22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2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E540-30101090205-D245401</v>
      </c>
      <c r="Z2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2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22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" spans="1:31" x14ac:dyDescent="0.3">
      <c r="A223" s="6" t="s">
        <v>2518</v>
      </c>
      <c r="B223" s="6" t="s">
        <v>30</v>
      </c>
      <c r="C223" s="6" t="s">
        <v>2519</v>
      </c>
      <c r="D223" s="6" t="s">
        <v>1558</v>
      </c>
      <c r="E223" s="6" t="s">
        <v>2241</v>
      </c>
      <c r="F223" s="8">
        <v>0</v>
      </c>
      <c r="G223" s="6" t="s">
        <v>2237</v>
      </c>
      <c r="H223" s="8">
        <v>0</v>
      </c>
      <c r="I223" s="6" t="s">
        <v>2237</v>
      </c>
      <c r="J223" s="8">
        <v>0</v>
      </c>
      <c r="K223" s="6" t="s">
        <v>2237</v>
      </c>
      <c r="L223" s="8">
        <v>0</v>
      </c>
      <c r="M223" s="6" t="s">
        <v>2237</v>
      </c>
      <c r="N223" s="8">
        <v>0</v>
      </c>
      <c r="O223" s="6" t="s">
        <v>2237</v>
      </c>
      <c r="P223" s="6" t="s">
        <v>2236</v>
      </c>
      <c r="Q223" s="9" t="s">
        <v>2242</v>
      </c>
      <c r="R223" s="9" t="s">
        <v>2238</v>
      </c>
      <c r="S223" s="9" t="s">
        <v>2243</v>
      </c>
      <c r="T223" s="9" t="s">
        <v>2327</v>
      </c>
      <c r="U22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E540-301010902-D245401</v>
      </c>
      <c r="Y22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E540-30101090204-D245401</v>
      </c>
      <c r="Z2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23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" spans="1:31" x14ac:dyDescent="0.3">
      <c r="A224" s="6" t="s">
        <v>2520</v>
      </c>
      <c r="B224" s="6" t="s">
        <v>26</v>
      </c>
      <c r="C224" s="6" t="s">
        <v>2521</v>
      </c>
      <c r="D224" s="6" t="s">
        <v>947</v>
      </c>
      <c r="E224" s="6" t="s">
        <v>2241</v>
      </c>
      <c r="F224" s="8">
        <v>44000</v>
      </c>
      <c r="G224" s="6" t="s">
        <v>2237</v>
      </c>
      <c r="H224" s="8">
        <v>44000</v>
      </c>
      <c r="I224" s="6" t="s">
        <v>2237</v>
      </c>
      <c r="J224" s="8">
        <v>0</v>
      </c>
      <c r="K224" s="6" t="s">
        <v>2237</v>
      </c>
      <c r="L224" s="8">
        <v>0</v>
      </c>
      <c r="M224" s="6" t="s">
        <v>2237</v>
      </c>
      <c r="N224" s="8">
        <v>3627.98</v>
      </c>
      <c r="O224" s="6" t="s">
        <v>2237</v>
      </c>
      <c r="P224" s="6" t="s">
        <v>2236</v>
      </c>
      <c r="Q224" s="9" t="s">
        <v>2242</v>
      </c>
      <c r="R224" s="9" t="s">
        <v>2238</v>
      </c>
      <c r="S224" s="9" t="s">
        <v>2243</v>
      </c>
      <c r="T224" s="9" t="s">
        <v>2244</v>
      </c>
      <c r="U22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E540-301010901-D245401</v>
      </c>
      <c r="Y2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4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" spans="1:31" x14ac:dyDescent="0.3">
      <c r="A225" s="6" t="s">
        <v>2522</v>
      </c>
      <c r="B225" s="6" t="s">
        <v>30</v>
      </c>
      <c r="C225" s="6" t="s">
        <v>2523</v>
      </c>
      <c r="D225" s="6" t="s">
        <v>1556</v>
      </c>
      <c r="E225" s="6" t="s">
        <v>2241</v>
      </c>
      <c r="F225" s="8">
        <v>0</v>
      </c>
      <c r="G225" s="6" t="s">
        <v>2237</v>
      </c>
      <c r="H225" s="8">
        <v>0</v>
      </c>
      <c r="I225" s="6" t="s">
        <v>2237</v>
      </c>
      <c r="J225" s="8">
        <v>0</v>
      </c>
      <c r="K225" s="6" t="s">
        <v>2237</v>
      </c>
      <c r="L225" s="8">
        <v>0</v>
      </c>
      <c r="M225" s="6" t="s">
        <v>2237</v>
      </c>
      <c r="N225" s="8">
        <v>3627.98</v>
      </c>
      <c r="O225" s="6" t="s">
        <v>2237</v>
      </c>
      <c r="P225" s="6" t="s">
        <v>2236</v>
      </c>
      <c r="Q225" s="9" t="s">
        <v>2242</v>
      </c>
      <c r="R225" s="9" t="s">
        <v>2238</v>
      </c>
      <c r="S225" s="9" t="s">
        <v>2243</v>
      </c>
      <c r="T225" s="9" t="s">
        <v>2327</v>
      </c>
      <c r="U22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E540-301010901-D245401</v>
      </c>
      <c r="Y22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E540-30101090160-D245401</v>
      </c>
      <c r="Z2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25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25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" spans="1:31" x14ac:dyDescent="0.3">
      <c r="A226" s="6" t="s">
        <v>2524</v>
      </c>
      <c r="B226" s="6" t="s">
        <v>26</v>
      </c>
      <c r="C226" s="6" t="s">
        <v>2525</v>
      </c>
      <c r="D226" s="6" t="s">
        <v>951</v>
      </c>
      <c r="E226" s="6" t="s">
        <v>2241</v>
      </c>
      <c r="F226" s="8">
        <v>498280</v>
      </c>
      <c r="G226" s="6" t="s">
        <v>2237</v>
      </c>
      <c r="H226" s="8">
        <v>498280</v>
      </c>
      <c r="I226" s="6" t="s">
        <v>2237</v>
      </c>
      <c r="J226" s="8">
        <v>0</v>
      </c>
      <c r="K226" s="6" t="s">
        <v>2237</v>
      </c>
      <c r="L226" s="8">
        <v>0</v>
      </c>
      <c r="M226" s="6" t="s">
        <v>2237</v>
      </c>
      <c r="N226" s="8">
        <v>16239.59</v>
      </c>
      <c r="O226" s="6" t="s">
        <v>2237</v>
      </c>
      <c r="P226" s="6" t="s">
        <v>2236</v>
      </c>
      <c r="Q226" s="9" t="s">
        <v>2242</v>
      </c>
      <c r="R226" s="9" t="s">
        <v>2238</v>
      </c>
      <c r="S226" s="9" t="s">
        <v>2243</v>
      </c>
      <c r="T226" s="9" t="s">
        <v>2244</v>
      </c>
      <c r="U22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E540-301010961-D245401</v>
      </c>
      <c r="Y2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6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" spans="1:31" x14ac:dyDescent="0.3">
      <c r="A227" s="6" t="s">
        <v>2526</v>
      </c>
      <c r="B227" s="6" t="s">
        <v>30</v>
      </c>
      <c r="C227" s="6" t="s">
        <v>2527</v>
      </c>
      <c r="D227" s="6" t="s">
        <v>1608</v>
      </c>
      <c r="E227" s="6" t="s">
        <v>2241</v>
      </c>
      <c r="F227" s="8">
        <v>0</v>
      </c>
      <c r="G227" s="6" t="s">
        <v>2237</v>
      </c>
      <c r="H227" s="8">
        <v>0</v>
      </c>
      <c r="I227" s="6" t="s">
        <v>2237</v>
      </c>
      <c r="J227" s="8">
        <v>0</v>
      </c>
      <c r="K227" s="6" t="s">
        <v>2237</v>
      </c>
      <c r="L227" s="8">
        <v>0</v>
      </c>
      <c r="M227" s="6" t="s">
        <v>2237</v>
      </c>
      <c r="N227" s="8">
        <v>0</v>
      </c>
      <c r="O227" s="6" t="s">
        <v>2237</v>
      </c>
      <c r="P227" s="6" t="s">
        <v>2236</v>
      </c>
      <c r="Q227" s="9" t="s">
        <v>2242</v>
      </c>
      <c r="R227" s="9" t="s">
        <v>2238</v>
      </c>
      <c r="S227" s="9" t="s">
        <v>2243</v>
      </c>
      <c r="T227" s="9" t="s">
        <v>2327</v>
      </c>
      <c r="U22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E540-301010961-D245401</v>
      </c>
      <c r="Y22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E540-30101096162-D245401</v>
      </c>
      <c r="Z22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7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27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" spans="1:31" x14ac:dyDescent="0.3">
      <c r="A228" s="6" t="s">
        <v>2528</v>
      </c>
      <c r="B228" s="6" t="s">
        <v>30</v>
      </c>
      <c r="C228" s="6" t="s">
        <v>2529</v>
      </c>
      <c r="D228" s="6" t="s">
        <v>1610</v>
      </c>
      <c r="E228" s="6" t="s">
        <v>2241</v>
      </c>
      <c r="F228" s="8">
        <v>0</v>
      </c>
      <c r="G228" s="6" t="s">
        <v>2237</v>
      </c>
      <c r="H228" s="8">
        <v>0</v>
      </c>
      <c r="I228" s="6" t="s">
        <v>2237</v>
      </c>
      <c r="J228" s="8">
        <v>0</v>
      </c>
      <c r="K228" s="6" t="s">
        <v>2237</v>
      </c>
      <c r="L228" s="8">
        <v>0</v>
      </c>
      <c r="M228" s="6" t="s">
        <v>2237</v>
      </c>
      <c r="N228" s="8">
        <v>0</v>
      </c>
      <c r="O228" s="6" t="s">
        <v>2237</v>
      </c>
      <c r="P228" s="6" t="s">
        <v>2236</v>
      </c>
      <c r="Q228" s="9" t="s">
        <v>2242</v>
      </c>
      <c r="R228" s="9" t="s">
        <v>2238</v>
      </c>
      <c r="S228" s="9" t="s">
        <v>2243</v>
      </c>
      <c r="T228" s="9" t="s">
        <v>2327</v>
      </c>
      <c r="U22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E540-301010961-D245401</v>
      </c>
      <c r="Y22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E540-30101096193-D245401</v>
      </c>
      <c r="Z22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8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28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" spans="1:31" x14ac:dyDescent="0.3">
      <c r="A229" s="6" t="s">
        <v>2530</v>
      </c>
      <c r="B229" s="6" t="s">
        <v>30</v>
      </c>
      <c r="C229" s="6" t="s">
        <v>2531</v>
      </c>
      <c r="D229" s="6" t="s">
        <v>1606</v>
      </c>
      <c r="E229" s="6" t="s">
        <v>2241</v>
      </c>
      <c r="F229" s="8">
        <v>0</v>
      </c>
      <c r="G229" s="6" t="s">
        <v>2237</v>
      </c>
      <c r="H229" s="8">
        <v>0</v>
      </c>
      <c r="I229" s="6" t="s">
        <v>2237</v>
      </c>
      <c r="J229" s="8">
        <v>0</v>
      </c>
      <c r="K229" s="6" t="s">
        <v>2237</v>
      </c>
      <c r="L229" s="8">
        <v>0</v>
      </c>
      <c r="M229" s="6" t="s">
        <v>2237</v>
      </c>
      <c r="N229" s="8">
        <v>0</v>
      </c>
      <c r="O229" s="6" t="s">
        <v>2237</v>
      </c>
      <c r="P229" s="6" t="s">
        <v>2236</v>
      </c>
      <c r="Q229" s="9" t="s">
        <v>2242</v>
      </c>
      <c r="R229" s="9" t="s">
        <v>2238</v>
      </c>
      <c r="S229" s="9" t="s">
        <v>2243</v>
      </c>
      <c r="T229" s="9" t="s">
        <v>2327</v>
      </c>
      <c r="U22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2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2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2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E540-301010961-D245401</v>
      </c>
      <c r="Y22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E540-30101096118-D245401</v>
      </c>
      <c r="Z22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9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29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2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" spans="1:31" x14ac:dyDescent="0.3">
      <c r="A230" s="6" t="s">
        <v>2532</v>
      </c>
      <c r="B230" s="6" t="s">
        <v>30</v>
      </c>
      <c r="C230" s="6" t="s">
        <v>2533</v>
      </c>
      <c r="D230" s="6" t="s">
        <v>1604</v>
      </c>
      <c r="E230" s="6" t="s">
        <v>2241</v>
      </c>
      <c r="F230" s="8">
        <v>0</v>
      </c>
      <c r="G230" s="6" t="s">
        <v>2237</v>
      </c>
      <c r="H230" s="8">
        <v>0</v>
      </c>
      <c r="I230" s="6" t="s">
        <v>2237</v>
      </c>
      <c r="J230" s="8">
        <v>0</v>
      </c>
      <c r="K230" s="6" t="s">
        <v>2237</v>
      </c>
      <c r="L230" s="8">
        <v>0</v>
      </c>
      <c r="M230" s="6" t="s">
        <v>2237</v>
      </c>
      <c r="N230" s="8">
        <v>0</v>
      </c>
      <c r="O230" s="6" t="s">
        <v>2237</v>
      </c>
      <c r="P230" s="6" t="s">
        <v>2236</v>
      </c>
      <c r="Q230" s="9" t="s">
        <v>2242</v>
      </c>
      <c r="R230" s="9" t="s">
        <v>2238</v>
      </c>
      <c r="S230" s="9" t="s">
        <v>2243</v>
      </c>
      <c r="T230" s="9" t="s">
        <v>2327</v>
      </c>
      <c r="U23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3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E540-301010961-D245401</v>
      </c>
      <c r="Y23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E540-30101096102-D245401</v>
      </c>
      <c r="Z23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0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230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3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" spans="1:31" x14ac:dyDescent="0.3">
      <c r="A231" s="6" t="s">
        <v>2534</v>
      </c>
      <c r="B231" s="6" t="s">
        <v>30</v>
      </c>
      <c r="C231" s="6" t="s">
        <v>2535</v>
      </c>
      <c r="D231" s="6" t="s">
        <v>1602</v>
      </c>
      <c r="E231" s="6" t="s">
        <v>2241</v>
      </c>
      <c r="F231" s="8">
        <v>0</v>
      </c>
      <c r="G231" s="6" t="s">
        <v>2237</v>
      </c>
      <c r="H231" s="8">
        <v>0</v>
      </c>
      <c r="I231" s="6" t="s">
        <v>2237</v>
      </c>
      <c r="J231" s="8">
        <v>0</v>
      </c>
      <c r="K231" s="6" t="s">
        <v>2237</v>
      </c>
      <c r="L231" s="8">
        <v>0</v>
      </c>
      <c r="M231" s="6" t="s">
        <v>2237</v>
      </c>
      <c r="N231" s="8">
        <v>16239.59</v>
      </c>
      <c r="O231" s="6" t="s">
        <v>2237</v>
      </c>
      <c r="P231" s="6" t="s">
        <v>2236</v>
      </c>
      <c r="Q231" s="9" t="s">
        <v>2242</v>
      </c>
      <c r="R231" s="9" t="s">
        <v>2238</v>
      </c>
      <c r="S231" s="9" t="s">
        <v>2243</v>
      </c>
      <c r="T231" s="9" t="s">
        <v>2327</v>
      </c>
      <c r="U23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E540-3010109-D245401</v>
      </c>
      <c r="X23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E540-301010961-D245401</v>
      </c>
      <c r="Y23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E540-30101096101-D245401</v>
      </c>
      <c r="Z23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1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31" s="10" t="str">
        <f>IF(IFERROR(INDEX(WBS_Dictionary!N$2:N$1212, MATCH(Table2[[#This Row],[WBS_ID]], Table26[WBS CODE],0)), "") = "", "null", IFERROR(INDEX(WBS_Dictionary!N$2:N$1212, MATCH(Table2[[#This Row],[WBS_ID]], Table26[WBS CODE],0)), ""))</f>
        <v>AWI 9-10 RD</v>
      </c>
      <c r="AE23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" spans="1:31" x14ac:dyDescent="0.3">
      <c r="A232" s="6" t="s">
        <v>2536</v>
      </c>
      <c r="B232" s="6" t="s">
        <v>21</v>
      </c>
      <c r="C232" s="6" t="s">
        <v>842</v>
      </c>
      <c r="D232" s="6" t="s">
        <v>843</v>
      </c>
      <c r="E232" s="6" t="s">
        <v>2241</v>
      </c>
      <c r="F232" s="8">
        <v>6399559</v>
      </c>
      <c r="G232" s="6" t="s">
        <v>2237</v>
      </c>
      <c r="H232" s="8">
        <v>6399559</v>
      </c>
      <c r="I232" s="6" t="s">
        <v>2237</v>
      </c>
      <c r="J232" s="8">
        <v>0</v>
      </c>
      <c r="K232" s="6" t="s">
        <v>2237</v>
      </c>
      <c r="L232" s="8">
        <v>845386.94</v>
      </c>
      <c r="M232" s="6" t="s">
        <v>2237</v>
      </c>
      <c r="N232" s="8">
        <v>4325740.79</v>
      </c>
      <c r="O232" s="6" t="s">
        <v>2237</v>
      </c>
      <c r="P232" s="6" t="s">
        <v>2236</v>
      </c>
      <c r="Q232" s="9" t="s">
        <v>2242</v>
      </c>
      <c r="R232" s="9" t="s">
        <v>2238</v>
      </c>
      <c r="S232" s="9" t="s">
        <v>2243</v>
      </c>
      <c r="T232" s="9" t="s">
        <v>2244</v>
      </c>
      <c r="U23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2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" spans="1:31" x14ac:dyDescent="0.3">
      <c r="A233" s="6" t="s">
        <v>2537</v>
      </c>
      <c r="B233" s="6" t="s">
        <v>26</v>
      </c>
      <c r="C233" s="6" t="s">
        <v>942</v>
      </c>
      <c r="D233" s="6" t="s">
        <v>943</v>
      </c>
      <c r="E233" s="6" t="s">
        <v>2241</v>
      </c>
      <c r="F233" s="8">
        <v>4617656</v>
      </c>
      <c r="G233" s="6" t="s">
        <v>2237</v>
      </c>
      <c r="H233" s="8">
        <v>4617656</v>
      </c>
      <c r="I233" s="6" t="s">
        <v>2237</v>
      </c>
      <c r="J233" s="8">
        <v>0</v>
      </c>
      <c r="K233" s="6" t="s">
        <v>2237</v>
      </c>
      <c r="L233" s="8">
        <v>845386.94</v>
      </c>
      <c r="M233" s="6" t="s">
        <v>2237</v>
      </c>
      <c r="N233" s="8">
        <v>3083552.88</v>
      </c>
      <c r="O233" s="6" t="s">
        <v>2237</v>
      </c>
      <c r="P233" s="6" t="s">
        <v>2236</v>
      </c>
      <c r="Q233" s="9" t="s">
        <v>2242</v>
      </c>
      <c r="R233" s="9" t="s">
        <v>2238</v>
      </c>
      <c r="S233" s="9" t="s">
        <v>2243</v>
      </c>
      <c r="T233" s="9" t="s">
        <v>2256</v>
      </c>
      <c r="U23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3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" spans="1:31" x14ac:dyDescent="0.3">
      <c r="A234" s="6" t="s">
        <v>2538</v>
      </c>
      <c r="B234" s="6" t="s">
        <v>30</v>
      </c>
      <c r="C234" s="6" t="s">
        <v>1531</v>
      </c>
      <c r="D234" s="6" t="s">
        <v>1532</v>
      </c>
      <c r="E234" s="6" t="s">
        <v>2241</v>
      </c>
      <c r="F234" s="8">
        <v>0</v>
      </c>
      <c r="G234" s="6" t="s">
        <v>2237</v>
      </c>
      <c r="H234" s="8">
        <v>0</v>
      </c>
      <c r="I234" s="6" t="s">
        <v>2237</v>
      </c>
      <c r="J234" s="8">
        <v>0</v>
      </c>
      <c r="K234" s="6" t="s">
        <v>2237</v>
      </c>
      <c r="L234" s="8">
        <v>117140.05</v>
      </c>
      <c r="M234" s="6" t="s">
        <v>2237</v>
      </c>
      <c r="N234" s="8">
        <v>535788.29</v>
      </c>
      <c r="O234" s="6" t="s">
        <v>2237</v>
      </c>
      <c r="P234" s="6" t="s">
        <v>2236</v>
      </c>
      <c r="Q234" s="9" t="s">
        <v>2242</v>
      </c>
      <c r="R234" s="9" t="s">
        <v>2238</v>
      </c>
      <c r="S234" s="9" t="s">
        <v>2243</v>
      </c>
      <c r="T234" s="9" t="s">
        <v>2327</v>
      </c>
      <c r="U23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3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E540-30101080245-D245401</v>
      </c>
      <c r="Z23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4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234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" spans="1:31" x14ac:dyDescent="0.3">
      <c r="A235" s="6" t="s">
        <v>2539</v>
      </c>
      <c r="B235" s="6" t="s">
        <v>30</v>
      </c>
      <c r="C235" s="6" t="s">
        <v>1529</v>
      </c>
      <c r="D235" s="6" t="s">
        <v>1530</v>
      </c>
      <c r="E235" s="6" t="s">
        <v>2241</v>
      </c>
      <c r="F235" s="8">
        <v>0</v>
      </c>
      <c r="G235" s="6" t="s">
        <v>2237</v>
      </c>
      <c r="H235" s="8">
        <v>0</v>
      </c>
      <c r="I235" s="6" t="s">
        <v>2237</v>
      </c>
      <c r="J235" s="8">
        <v>0</v>
      </c>
      <c r="K235" s="6" t="s">
        <v>2237</v>
      </c>
      <c r="L235" s="8">
        <v>8671.34</v>
      </c>
      <c r="M235" s="6" t="s">
        <v>2237</v>
      </c>
      <c r="N235" s="8">
        <v>5090.54</v>
      </c>
      <c r="O235" s="6" t="s">
        <v>2237</v>
      </c>
      <c r="P235" s="6" t="s">
        <v>2236</v>
      </c>
      <c r="Q235" s="9" t="s">
        <v>2242</v>
      </c>
      <c r="R235" s="9" t="s">
        <v>2238</v>
      </c>
      <c r="S235" s="9" t="s">
        <v>2243</v>
      </c>
      <c r="T235" s="9" t="s">
        <v>2327</v>
      </c>
      <c r="U23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3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E540-30101080224-D245401</v>
      </c>
      <c r="Z23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35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" spans="1:31" x14ac:dyDescent="0.3">
      <c r="A236" s="6" t="s">
        <v>2540</v>
      </c>
      <c r="B236" s="6" t="s">
        <v>30</v>
      </c>
      <c r="C236" s="6" t="s">
        <v>1543</v>
      </c>
      <c r="D236" s="6" t="s">
        <v>1544</v>
      </c>
      <c r="E236" s="6" t="s">
        <v>2241</v>
      </c>
      <c r="F236" s="8">
        <v>0</v>
      </c>
      <c r="G236" s="6" t="s">
        <v>2237</v>
      </c>
      <c r="H236" s="8">
        <v>0</v>
      </c>
      <c r="I236" s="6" t="s">
        <v>2237</v>
      </c>
      <c r="J236" s="8">
        <v>0</v>
      </c>
      <c r="K236" s="6" t="s">
        <v>2237</v>
      </c>
      <c r="L236" s="8">
        <v>33273.54</v>
      </c>
      <c r="M236" s="6" t="s">
        <v>2237</v>
      </c>
      <c r="N236" s="8">
        <v>34147.78</v>
      </c>
      <c r="O236" s="6" t="s">
        <v>2237</v>
      </c>
      <c r="P236" s="6" t="s">
        <v>2236</v>
      </c>
      <c r="Q236" s="9" t="s">
        <v>2242</v>
      </c>
      <c r="R236" s="9" t="s">
        <v>2238</v>
      </c>
      <c r="S236" s="9" t="s">
        <v>2243</v>
      </c>
      <c r="T236" s="9" t="s">
        <v>2327</v>
      </c>
      <c r="U23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3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E540-30101080298-D245401</v>
      </c>
      <c r="Z23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36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" spans="1:31" x14ac:dyDescent="0.3">
      <c r="A237" s="6" t="s">
        <v>2541</v>
      </c>
      <c r="B237" s="6" t="s">
        <v>30</v>
      </c>
      <c r="C237" s="6" t="s">
        <v>1541</v>
      </c>
      <c r="D237" s="6" t="s">
        <v>1542</v>
      </c>
      <c r="E237" s="6" t="s">
        <v>2241</v>
      </c>
      <c r="F237" s="8">
        <v>0</v>
      </c>
      <c r="G237" s="6" t="s">
        <v>2237</v>
      </c>
      <c r="H237" s="8">
        <v>0</v>
      </c>
      <c r="I237" s="6" t="s">
        <v>2237</v>
      </c>
      <c r="J237" s="8">
        <v>0</v>
      </c>
      <c r="K237" s="6" t="s">
        <v>2237</v>
      </c>
      <c r="L237" s="8">
        <v>0</v>
      </c>
      <c r="M237" s="6" t="s">
        <v>2237</v>
      </c>
      <c r="N237" s="8">
        <v>0</v>
      </c>
      <c r="O237" s="6" t="s">
        <v>2237</v>
      </c>
      <c r="P237" s="6" t="s">
        <v>2236</v>
      </c>
      <c r="Q237" s="9" t="s">
        <v>2242</v>
      </c>
      <c r="R237" s="9" t="s">
        <v>2238</v>
      </c>
      <c r="S237" s="9" t="s">
        <v>2243</v>
      </c>
      <c r="T237" s="9" t="s">
        <v>2327</v>
      </c>
      <c r="U23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3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E540-30101080297-D245401</v>
      </c>
      <c r="Z23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7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37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8" spans="1:31" x14ac:dyDescent="0.3">
      <c r="A238" s="6" t="s">
        <v>2542</v>
      </c>
      <c r="B238" s="6" t="s">
        <v>30</v>
      </c>
      <c r="C238" s="6" t="s">
        <v>1539</v>
      </c>
      <c r="D238" s="6" t="s">
        <v>1540</v>
      </c>
      <c r="E238" s="6" t="s">
        <v>2241</v>
      </c>
      <c r="F238" s="8">
        <v>0</v>
      </c>
      <c r="G238" s="6" t="s">
        <v>2237</v>
      </c>
      <c r="H238" s="8">
        <v>0</v>
      </c>
      <c r="I238" s="6" t="s">
        <v>2237</v>
      </c>
      <c r="J238" s="8">
        <v>0</v>
      </c>
      <c r="K238" s="6" t="s">
        <v>2237</v>
      </c>
      <c r="L238" s="8">
        <v>0</v>
      </c>
      <c r="M238" s="6" t="s">
        <v>2237</v>
      </c>
      <c r="N238" s="8">
        <v>0</v>
      </c>
      <c r="O238" s="6" t="s">
        <v>2237</v>
      </c>
      <c r="P238" s="6" t="s">
        <v>2236</v>
      </c>
      <c r="Q238" s="9" t="s">
        <v>2242</v>
      </c>
      <c r="R238" s="9" t="s">
        <v>2238</v>
      </c>
      <c r="S238" s="9" t="s">
        <v>2243</v>
      </c>
      <c r="T238" s="9" t="s">
        <v>2327</v>
      </c>
      <c r="U23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3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E540-30101080296-D245401</v>
      </c>
      <c r="Z23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8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38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9" spans="1:31" x14ac:dyDescent="0.3">
      <c r="A239" s="6" t="s">
        <v>2543</v>
      </c>
      <c r="B239" s="6" t="s">
        <v>30</v>
      </c>
      <c r="C239" s="6" t="s">
        <v>1537</v>
      </c>
      <c r="D239" s="6" t="s">
        <v>1538</v>
      </c>
      <c r="E239" s="6" t="s">
        <v>2241</v>
      </c>
      <c r="F239" s="8">
        <v>0</v>
      </c>
      <c r="G239" s="6" t="s">
        <v>2237</v>
      </c>
      <c r="H239" s="8">
        <v>0</v>
      </c>
      <c r="I239" s="6" t="s">
        <v>2237</v>
      </c>
      <c r="J239" s="8">
        <v>0</v>
      </c>
      <c r="K239" s="6" t="s">
        <v>2237</v>
      </c>
      <c r="L239" s="8">
        <v>0</v>
      </c>
      <c r="M239" s="6" t="s">
        <v>2237</v>
      </c>
      <c r="N239" s="8">
        <v>0</v>
      </c>
      <c r="O239" s="6" t="s">
        <v>2237</v>
      </c>
      <c r="P239" s="6" t="s">
        <v>2236</v>
      </c>
      <c r="Q239" s="9" t="s">
        <v>2242</v>
      </c>
      <c r="R239" s="9" t="s">
        <v>2238</v>
      </c>
      <c r="S239" s="9" t="s">
        <v>2243</v>
      </c>
      <c r="T239" s="9" t="s">
        <v>2327</v>
      </c>
      <c r="U23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3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3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3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3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E540-30101080295-D245401</v>
      </c>
      <c r="Z23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9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39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" spans="1:31" x14ac:dyDescent="0.3">
      <c r="A240" s="6" t="s">
        <v>2544</v>
      </c>
      <c r="B240" s="6" t="s">
        <v>30</v>
      </c>
      <c r="C240" s="6" t="s">
        <v>1535</v>
      </c>
      <c r="D240" s="6" t="s">
        <v>1536</v>
      </c>
      <c r="E240" s="6" t="s">
        <v>2241</v>
      </c>
      <c r="F240" s="8">
        <v>0</v>
      </c>
      <c r="G240" s="6" t="s">
        <v>2237</v>
      </c>
      <c r="H240" s="8">
        <v>0</v>
      </c>
      <c r="I240" s="6" t="s">
        <v>2237</v>
      </c>
      <c r="J240" s="8">
        <v>0</v>
      </c>
      <c r="K240" s="6" t="s">
        <v>2237</v>
      </c>
      <c r="L240" s="8">
        <v>28390.7</v>
      </c>
      <c r="M240" s="6" t="s">
        <v>2237</v>
      </c>
      <c r="N240" s="8">
        <v>12618.12</v>
      </c>
      <c r="O240" s="6" t="s">
        <v>2237</v>
      </c>
      <c r="P240" s="6" t="s">
        <v>2236</v>
      </c>
      <c r="Q240" s="9" t="s">
        <v>2242</v>
      </c>
      <c r="R240" s="9" t="s">
        <v>2238</v>
      </c>
      <c r="S240" s="9" t="s">
        <v>2243</v>
      </c>
      <c r="T240" s="9" t="s">
        <v>2327</v>
      </c>
      <c r="U24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E540-30101080294-D245401</v>
      </c>
      <c r="Z24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40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" spans="1:31" x14ac:dyDescent="0.3">
      <c r="A241" s="6" t="s">
        <v>2545</v>
      </c>
      <c r="B241" s="6" t="s">
        <v>30</v>
      </c>
      <c r="C241" s="6" t="s">
        <v>2546</v>
      </c>
      <c r="D241" s="6" t="s">
        <v>1528</v>
      </c>
      <c r="E241" s="6" t="s">
        <v>2241</v>
      </c>
      <c r="F241" s="8">
        <v>0</v>
      </c>
      <c r="G241" s="6" t="s">
        <v>2237</v>
      </c>
      <c r="H241" s="8">
        <v>0</v>
      </c>
      <c r="I241" s="6" t="s">
        <v>2237</v>
      </c>
      <c r="J241" s="8">
        <v>0</v>
      </c>
      <c r="K241" s="6" t="s">
        <v>2237</v>
      </c>
      <c r="L241" s="8">
        <v>3465.01</v>
      </c>
      <c r="M241" s="6" t="s">
        <v>2237</v>
      </c>
      <c r="N241" s="8">
        <v>9851.2900000000009</v>
      </c>
      <c r="O241" s="6" t="s">
        <v>2237</v>
      </c>
      <c r="P241" s="6" t="s">
        <v>2236</v>
      </c>
      <c r="Q241" s="9" t="s">
        <v>2242</v>
      </c>
      <c r="R241" s="9" t="s">
        <v>2238</v>
      </c>
      <c r="S241" s="9" t="s">
        <v>2243</v>
      </c>
      <c r="T241" s="9" t="s">
        <v>2327</v>
      </c>
      <c r="U24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E540-30101080220-D245401</v>
      </c>
      <c r="Z24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41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" spans="1:31" x14ac:dyDescent="0.3">
      <c r="A242" s="6" t="s">
        <v>2547</v>
      </c>
      <c r="B242" s="6" t="s">
        <v>30</v>
      </c>
      <c r="C242" s="6" t="s">
        <v>1525</v>
      </c>
      <c r="D242" s="6" t="s">
        <v>1526</v>
      </c>
      <c r="E242" s="6" t="s">
        <v>2241</v>
      </c>
      <c r="F242" s="8">
        <v>0</v>
      </c>
      <c r="G242" s="6" t="s">
        <v>2237</v>
      </c>
      <c r="H242" s="8">
        <v>0</v>
      </c>
      <c r="I242" s="6" t="s">
        <v>2237</v>
      </c>
      <c r="J242" s="8">
        <v>0</v>
      </c>
      <c r="K242" s="6" t="s">
        <v>2237</v>
      </c>
      <c r="L242" s="8">
        <v>0</v>
      </c>
      <c r="M242" s="6" t="s">
        <v>2237</v>
      </c>
      <c r="N242" s="8">
        <v>0</v>
      </c>
      <c r="O242" s="6" t="s">
        <v>2237</v>
      </c>
      <c r="P242" s="6" t="s">
        <v>2236</v>
      </c>
      <c r="Q242" s="9" t="s">
        <v>2242</v>
      </c>
      <c r="R242" s="9" t="s">
        <v>2238</v>
      </c>
      <c r="S242" s="9" t="s">
        <v>2243</v>
      </c>
      <c r="T242" s="9" t="s">
        <v>2327</v>
      </c>
      <c r="U24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E540-30101080217-D245401</v>
      </c>
      <c r="Z24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2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42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3" spans="1:31" x14ac:dyDescent="0.3">
      <c r="A243" s="6" t="s">
        <v>2548</v>
      </c>
      <c r="B243" s="6" t="s">
        <v>30</v>
      </c>
      <c r="C243" s="6" t="s">
        <v>1523</v>
      </c>
      <c r="D243" s="6" t="s">
        <v>1524</v>
      </c>
      <c r="E243" s="6" t="s">
        <v>2241</v>
      </c>
      <c r="F243" s="8">
        <v>0</v>
      </c>
      <c r="G243" s="6" t="s">
        <v>2237</v>
      </c>
      <c r="H243" s="8">
        <v>0</v>
      </c>
      <c r="I243" s="6" t="s">
        <v>2237</v>
      </c>
      <c r="J243" s="8">
        <v>0</v>
      </c>
      <c r="K243" s="6" t="s">
        <v>2237</v>
      </c>
      <c r="L243" s="8">
        <v>41516.9</v>
      </c>
      <c r="M243" s="6" t="s">
        <v>2237</v>
      </c>
      <c r="N243" s="8">
        <v>74352.56</v>
      </c>
      <c r="O243" s="6" t="s">
        <v>2237</v>
      </c>
      <c r="P243" s="6" t="s">
        <v>2236</v>
      </c>
      <c r="Q243" s="9" t="s">
        <v>2242</v>
      </c>
      <c r="R243" s="9" t="s">
        <v>2238</v>
      </c>
      <c r="S243" s="9" t="s">
        <v>2243</v>
      </c>
      <c r="T243" s="9" t="s">
        <v>2327</v>
      </c>
      <c r="U24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E540-30101080216-D245401</v>
      </c>
      <c r="Z24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3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43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4" spans="1:31" x14ac:dyDescent="0.3">
      <c r="A244" s="6" t="s">
        <v>2549</v>
      </c>
      <c r="B244" s="6" t="s">
        <v>30</v>
      </c>
      <c r="C244" s="6" t="s">
        <v>1521</v>
      </c>
      <c r="D244" s="6" t="s">
        <v>1522</v>
      </c>
      <c r="E244" s="6" t="s">
        <v>2241</v>
      </c>
      <c r="F244" s="8">
        <v>0</v>
      </c>
      <c r="G244" s="6" t="s">
        <v>2237</v>
      </c>
      <c r="H244" s="8">
        <v>0</v>
      </c>
      <c r="I244" s="6" t="s">
        <v>2237</v>
      </c>
      <c r="J244" s="8">
        <v>0</v>
      </c>
      <c r="K244" s="6" t="s">
        <v>2237</v>
      </c>
      <c r="L244" s="8">
        <v>0</v>
      </c>
      <c r="M244" s="6" t="s">
        <v>2237</v>
      </c>
      <c r="N244" s="8">
        <v>56306.36</v>
      </c>
      <c r="O244" s="6" t="s">
        <v>2237</v>
      </c>
      <c r="P244" s="6" t="s">
        <v>2236</v>
      </c>
      <c r="Q244" s="9" t="s">
        <v>2242</v>
      </c>
      <c r="R244" s="9" t="s">
        <v>2238</v>
      </c>
      <c r="S244" s="9" t="s">
        <v>2243</v>
      </c>
      <c r="T244" s="9" t="s">
        <v>2327</v>
      </c>
      <c r="U24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E540-30101080215-D245401</v>
      </c>
      <c r="Z24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4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44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5" spans="1:31" x14ac:dyDescent="0.3">
      <c r="A245" s="6" t="s">
        <v>2550</v>
      </c>
      <c r="B245" s="6" t="s">
        <v>30</v>
      </c>
      <c r="C245" s="6" t="s">
        <v>1519</v>
      </c>
      <c r="D245" s="6" t="s">
        <v>1520</v>
      </c>
      <c r="E245" s="6" t="s">
        <v>2241</v>
      </c>
      <c r="F245" s="8">
        <v>0</v>
      </c>
      <c r="G245" s="6" t="s">
        <v>2237</v>
      </c>
      <c r="H245" s="8">
        <v>0</v>
      </c>
      <c r="I245" s="6" t="s">
        <v>2237</v>
      </c>
      <c r="J245" s="8">
        <v>0</v>
      </c>
      <c r="K245" s="6" t="s">
        <v>2237</v>
      </c>
      <c r="L245" s="8">
        <v>0</v>
      </c>
      <c r="M245" s="6" t="s">
        <v>2237</v>
      </c>
      <c r="N245" s="8">
        <v>0</v>
      </c>
      <c r="O245" s="6" t="s">
        <v>2237</v>
      </c>
      <c r="P245" s="6" t="s">
        <v>2236</v>
      </c>
      <c r="Q245" s="9" t="s">
        <v>2242</v>
      </c>
      <c r="R245" s="9" t="s">
        <v>2238</v>
      </c>
      <c r="S245" s="9" t="s">
        <v>2243</v>
      </c>
      <c r="T245" s="9" t="s">
        <v>2327</v>
      </c>
      <c r="U24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E540-30101080214-D245401</v>
      </c>
      <c r="Z24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5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45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6" spans="1:31" x14ac:dyDescent="0.3">
      <c r="A246" s="6" t="s">
        <v>2551</v>
      </c>
      <c r="B246" s="6" t="s">
        <v>30</v>
      </c>
      <c r="C246" s="6" t="s">
        <v>1517</v>
      </c>
      <c r="D246" s="6" t="s">
        <v>1518</v>
      </c>
      <c r="E246" s="6" t="s">
        <v>2241</v>
      </c>
      <c r="F246" s="8">
        <v>0</v>
      </c>
      <c r="G246" s="6" t="s">
        <v>2237</v>
      </c>
      <c r="H246" s="8">
        <v>0</v>
      </c>
      <c r="I246" s="6" t="s">
        <v>2237</v>
      </c>
      <c r="J246" s="8">
        <v>0</v>
      </c>
      <c r="K246" s="6" t="s">
        <v>2237</v>
      </c>
      <c r="L246" s="8">
        <v>3937.5</v>
      </c>
      <c r="M246" s="6" t="s">
        <v>2237</v>
      </c>
      <c r="N246" s="8">
        <v>45900</v>
      </c>
      <c r="O246" s="6" t="s">
        <v>2237</v>
      </c>
      <c r="P246" s="6" t="s">
        <v>2236</v>
      </c>
      <c r="Q246" s="9" t="s">
        <v>2242</v>
      </c>
      <c r="R246" s="9" t="s">
        <v>2238</v>
      </c>
      <c r="S246" s="9" t="s">
        <v>2243</v>
      </c>
      <c r="T246" s="9" t="s">
        <v>2327</v>
      </c>
      <c r="U24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E540-30101080213-D245401</v>
      </c>
      <c r="Z24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6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46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7" spans="1:31" x14ac:dyDescent="0.3">
      <c r="A247" s="6" t="s">
        <v>2552</v>
      </c>
      <c r="B247" s="6" t="s">
        <v>30</v>
      </c>
      <c r="C247" s="6" t="s">
        <v>1533</v>
      </c>
      <c r="D247" s="6" t="s">
        <v>1534</v>
      </c>
      <c r="E247" s="6" t="s">
        <v>2241</v>
      </c>
      <c r="F247" s="8">
        <v>0</v>
      </c>
      <c r="G247" s="6" t="s">
        <v>2237</v>
      </c>
      <c r="H247" s="8">
        <v>0</v>
      </c>
      <c r="I247" s="6" t="s">
        <v>2237</v>
      </c>
      <c r="J247" s="8">
        <v>0</v>
      </c>
      <c r="K247" s="6" t="s">
        <v>2237</v>
      </c>
      <c r="L247" s="8">
        <v>0</v>
      </c>
      <c r="M247" s="6" t="s">
        <v>2237</v>
      </c>
      <c r="N247" s="8">
        <v>0</v>
      </c>
      <c r="O247" s="6" t="s">
        <v>2237</v>
      </c>
      <c r="P247" s="6" t="s">
        <v>2236</v>
      </c>
      <c r="Q247" s="9" t="s">
        <v>2242</v>
      </c>
      <c r="R247" s="9" t="s">
        <v>2238</v>
      </c>
      <c r="S247" s="9" t="s">
        <v>2243</v>
      </c>
      <c r="T247" s="9" t="s">
        <v>2327</v>
      </c>
      <c r="U24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E540-30101080247-D245401</v>
      </c>
      <c r="Z24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7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47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8" spans="1:31" x14ac:dyDescent="0.3">
      <c r="A248" s="6" t="s">
        <v>2553</v>
      </c>
      <c r="B248" s="6" t="s">
        <v>30</v>
      </c>
      <c r="C248" s="6" t="s">
        <v>1515</v>
      </c>
      <c r="D248" s="6" t="s">
        <v>1516</v>
      </c>
      <c r="E248" s="6" t="s">
        <v>2241</v>
      </c>
      <c r="F248" s="8">
        <v>0</v>
      </c>
      <c r="G248" s="6" t="s">
        <v>2237</v>
      </c>
      <c r="H248" s="8">
        <v>0</v>
      </c>
      <c r="I248" s="6" t="s">
        <v>2237</v>
      </c>
      <c r="J248" s="8">
        <v>0</v>
      </c>
      <c r="K248" s="6" t="s">
        <v>2237</v>
      </c>
      <c r="L248" s="8">
        <v>384949.57</v>
      </c>
      <c r="M248" s="6" t="s">
        <v>2237</v>
      </c>
      <c r="N248" s="8">
        <v>556572.63</v>
      </c>
      <c r="O248" s="6" t="s">
        <v>2237</v>
      </c>
      <c r="P248" s="6" t="s">
        <v>2236</v>
      </c>
      <c r="Q248" s="9" t="s">
        <v>2242</v>
      </c>
      <c r="R248" s="9" t="s">
        <v>2238</v>
      </c>
      <c r="S248" s="9" t="s">
        <v>2243</v>
      </c>
      <c r="T248" s="9" t="s">
        <v>2327</v>
      </c>
      <c r="U24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E540-30101080212-D245401</v>
      </c>
      <c r="Z24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8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48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9" spans="1:31" x14ac:dyDescent="0.3">
      <c r="A249" s="6" t="s">
        <v>2554</v>
      </c>
      <c r="B249" s="6" t="s">
        <v>30</v>
      </c>
      <c r="C249" s="6" t="s">
        <v>1513</v>
      </c>
      <c r="D249" s="6" t="s">
        <v>1514</v>
      </c>
      <c r="E249" s="6" t="s">
        <v>2241</v>
      </c>
      <c r="F249" s="8">
        <v>0</v>
      </c>
      <c r="G249" s="6" t="s">
        <v>2237</v>
      </c>
      <c r="H249" s="8">
        <v>0</v>
      </c>
      <c r="I249" s="6" t="s">
        <v>2237</v>
      </c>
      <c r="J249" s="8">
        <v>0</v>
      </c>
      <c r="K249" s="6" t="s">
        <v>2237</v>
      </c>
      <c r="L249" s="8">
        <v>31556.799999999999</v>
      </c>
      <c r="M249" s="6" t="s">
        <v>2237</v>
      </c>
      <c r="N249" s="8">
        <v>65679.520000000004</v>
      </c>
      <c r="O249" s="6" t="s">
        <v>2237</v>
      </c>
      <c r="P249" s="6" t="s">
        <v>2236</v>
      </c>
      <c r="Q249" s="9" t="s">
        <v>2242</v>
      </c>
      <c r="R249" s="9" t="s">
        <v>2238</v>
      </c>
      <c r="S249" s="9" t="s">
        <v>2243</v>
      </c>
      <c r="T249" s="9" t="s">
        <v>2327</v>
      </c>
      <c r="U24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4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4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4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4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E540-30101080211-D245401</v>
      </c>
      <c r="Z24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9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49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0" spans="1:31" x14ac:dyDescent="0.3">
      <c r="A250" s="6" t="s">
        <v>2555</v>
      </c>
      <c r="B250" s="6" t="s">
        <v>30</v>
      </c>
      <c r="C250" s="6" t="s">
        <v>1511</v>
      </c>
      <c r="D250" s="6" t="s">
        <v>1512</v>
      </c>
      <c r="E250" s="6" t="s">
        <v>2241</v>
      </c>
      <c r="F250" s="8">
        <v>0</v>
      </c>
      <c r="G250" s="6" t="s">
        <v>2237</v>
      </c>
      <c r="H250" s="8">
        <v>0</v>
      </c>
      <c r="I250" s="6" t="s">
        <v>2237</v>
      </c>
      <c r="J250" s="8">
        <v>0</v>
      </c>
      <c r="K250" s="6" t="s">
        <v>2237</v>
      </c>
      <c r="L250" s="8">
        <v>49609.5</v>
      </c>
      <c r="M250" s="6" t="s">
        <v>2237</v>
      </c>
      <c r="N250" s="8">
        <v>305864.51</v>
      </c>
      <c r="O250" s="6" t="s">
        <v>2237</v>
      </c>
      <c r="P250" s="6" t="s">
        <v>2236</v>
      </c>
      <c r="Q250" s="9" t="s">
        <v>2242</v>
      </c>
      <c r="R250" s="9" t="s">
        <v>2238</v>
      </c>
      <c r="S250" s="9" t="s">
        <v>2243</v>
      </c>
      <c r="T250" s="9" t="s">
        <v>2327</v>
      </c>
      <c r="U25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5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E540-30101080210-D245401</v>
      </c>
      <c r="Z25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50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50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1" spans="1:31" x14ac:dyDescent="0.3">
      <c r="A251" s="6" t="s">
        <v>2556</v>
      </c>
      <c r="B251" s="6" t="s">
        <v>30</v>
      </c>
      <c r="C251" s="6" t="s">
        <v>1509</v>
      </c>
      <c r="D251" s="6" t="s">
        <v>1510</v>
      </c>
      <c r="E251" s="6" t="s">
        <v>2241</v>
      </c>
      <c r="F251" s="8">
        <v>0</v>
      </c>
      <c r="G251" s="6" t="s">
        <v>2237</v>
      </c>
      <c r="H251" s="8">
        <v>0</v>
      </c>
      <c r="I251" s="6" t="s">
        <v>2237</v>
      </c>
      <c r="J251" s="8">
        <v>0</v>
      </c>
      <c r="K251" s="6" t="s">
        <v>2237</v>
      </c>
      <c r="L251" s="8">
        <v>742</v>
      </c>
      <c r="M251" s="6" t="s">
        <v>2237</v>
      </c>
      <c r="N251" s="8">
        <v>286869.75</v>
      </c>
      <c r="O251" s="6" t="s">
        <v>2237</v>
      </c>
      <c r="P251" s="6" t="s">
        <v>2236</v>
      </c>
      <c r="Q251" s="9" t="s">
        <v>2242</v>
      </c>
      <c r="R251" s="9" t="s">
        <v>2238</v>
      </c>
      <c r="S251" s="9" t="s">
        <v>2243</v>
      </c>
      <c r="T251" s="9" t="s">
        <v>2327</v>
      </c>
      <c r="U25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5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E540-30101080209-D245401</v>
      </c>
      <c r="Z25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51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51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2" spans="1:31" x14ac:dyDescent="0.3">
      <c r="A252" s="6" t="s">
        <v>2557</v>
      </c>
      <c r="B252" s="6" t="s">
        <v>30</v>
      </c>
      <c r="C252" s="6" t="s">
        <v>1507</v>
      </c>
      <c r="D252" s="6" t="s">
        <v>1508</v>
      </c>
      <c r="E252" s="6" t="s">
        <v>2241</v>
      </c>
      <c r="F252" s="8">
        <v>0</v>
      </c>
      <c r="G252" s="6" t="s">
        <v>2237</v>
      </c>
      <c r="H252" s="8">
        <v>0</v>
      </c>
      <c r="I252" s="6" t="s">
        <v>2237</v>
      </c>
      <c r="J252" s="8">
        <v>0</v>
      </c>
      <c r="K252" s="6" t="s">
        <v>2237</v>
      </c>
      <c r="L252" s="8">
        <v>68442</v>
      </c>
      <c r="M252" s="6" t="s">
        <v>2237</v>
      </c>
      <c r="N252" s="8">
        <v>241956</v>
      </c>
      <c r="O252" s="6" t="s">
        <v>2237</v>
      </c>
      <c r="P252" s="6" t="s">
        <v>2236</v>
      </c>
      <c r="Q252" s="9" t="s">
        <v>2242</v>
      </c>
      <c r="R252" s="9" t="s">
        <v>2238</v>
      </c>
      <c r="S252" s="9" t="s">
        <v>2243</v>
      </c>
      <c r="T252" s="9" t="s">
        <v>2327</v>
      </c>
      <c r="U25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5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E540-30101080208-D245401</v>
      </c>
      <c r="Z25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52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52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3" spans="1:31" x14ac:dyDescent="0.3">
      <c r="A253" s="6" t="s">
        <v>2558</v>
      </c>
      <c r="B253" s="6" t="s">
        <v>30</v>
      </c>
      <c r="C253" s="6" t="s">
        <v>1505</v>
      </c>
      <c r="D253" s="6" t="s">
        <v>1506</v>
      </c>
      <c r="E253" s="6" t="s">
        <v>2241</v>
      </c>
      <c r="F253" s="8">
        <v>0</v>
      </c>
      <c r="G253" s="6" t="s">
        <v>2237</v>
      </c>
      <c r="H253" s="8">
        <v>0</v>
      </c>
      <c r="I253" s="6" t="s">
        <v>2237</v>
      </c>
      <c r="J253" s="8">
        <v>0</v>
      </c>
      <c r="K253" s="6" t="s">
        <v>2237</v>
      </c>
      <c r="L253" s="8">
        <v>0</v>
      </c>
      <c r="M253" s="6" t="s">
        <v>2237</v>
      </c>
      <c r="N253" s="8">
        <v>410447</v>
      </c>
      <c r="O253" s="6" t="s">
        <v>2237</v>
      </c>
      <c r="P253" s="6" t="s">
        <v>2236</v>
      </c>
      <c r="Q253" s="9" t="s">
        <v>2242</v>
      </c>
      <c r="R253" s="9" t="s">
        <v>2238</v>
      </c>
      <c r="S253" s="9" t="s">
        <v>2243</v>
      </c>
      <c r="T253" s="9" t="s">
        <v>2327</v>
      </c>
      <c r="U25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5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E540-30101080207-D245401</v>
      </c>
      <c r="Z25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53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53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4" spans="1:31" x14ac:dyDescent="0.3">
      <c r="A254" s="6" t="s">
        <v>2559</v>
      </c>
      <c r="B254" s="6" t="s">
        <v>30</v>
      </c>
      <c r="C254" s="6" t="s">
        <v>1503</v>
      </c>
      <c r="D254" s="6" t="s">
        <v>1504</v>
      </c>
      <c r="E254" s="6" t="s">
        <v>2241</v>
      </c>
      <c r="F254" s="8">
        <v>0</v>
      </c>
      <c r="G254" s="6" t="s">
        <v>2237</v>
      </c>
      <c r="H254" s="8">
        <v>0</v>
      </c>
      <c r="I254" s="6" t="s">
        <v>2237</v>
      </c>
      <c r="J254" s="8">
        <v>0</v>
      </c>
      <c r="K254" s="6" t="s">
        <v>2237</v>
      </c>
      <c r="L254" s="8">
        <v>73692.03</v>
      </c>
      <c r="M254" s="6" t="s">
        <v>2237</v>
      </c>
      <c r="N254" s="8">
        <v>441013.53</v>
      </c>
      <c r="O254" s="6" t="s">
        <v>2237</v>
      </c>
      <c r="P254" s="6" t="s">
        <v>2236</v>
      </c>
      <c r="Q254" s="9" t="s">
        <v>2242</v>
      </c>
      <c r="R254" s="9" t="s">
        <v>2238</v>
      </c>
      <c r="S254" s="9" t="s">
        <v>2243</v>
      </c>
      <c r="T254" s="9" t="s">
        <v>2327</v>
      </c>
      <c r="U25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5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E540-30101080205-D245401</v>
      </c>
      <c r="Z25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54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54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5" spans="1:31" x14ac:dyDescent="0.3">
      <c r="A255" s="6" t="s">
        <v>2560</v>
      </c>
      <c r="B255" s="6" t="s">
        <v>30</v>
      </c>
      <c r="C255" s="6" t="s">
        <v>1501</v>
      </c>
      <c r="D255" s="6" t="s">
        <v>1502</v>
      </c>
      <c r="E255" s="6" t="s">
        <v>2241</v>
      </c>
      <c r="F255" s="8">
        <v>0</v>
      </c>
      <c r="G255" s="6" t="s">
        <v>2237</v>
      </c>
      <c r="H255" s="8">
        <v>0</v>
      </c>
      <c r="I255" s="6" t="s">
        <v>2237</v>
      </c>
      <c r="J255" s="8">
        <v>0</v>
      </c>
      <c r="K255" s="6" t="s">
        <v>2237</v>
      </c>
      <c r="L255" s="8">
        <v>0</v>
      </c>
      <c r="M255" s="6" t="s">
        <v>2237</v>
      </c>
      <c r="N255" s="8">
        <v>1095</v>
      </c>
      <c r="O255" s="6" t="s">
        <v>2237</v>
      </c>
      <c r="P255" s="6" t="s">
        <v>2236</v>
      </c>
      <c r="Q255" s="9" t="s">
        <v>2242</v>
      </c>
      <c r="R255" s="9" t="s">
        <v>2238</v>
      </c>
      <c r="S255" s="9" t="s">
        <v>2243</v>
      </c>
      <c r="T255" s="9" t="s">
        <v>2327</v>
      </c>
      <c r="U25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E540-301010802-D245401</v>
      </c>
      <c r="Y25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E540-30101080204-D245401</v>
      </c>
      <c r="Z25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55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55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6" spans="1:31" x14ac:dyDescent="0.3">
      <c r="A256" s="6" t="s">
        <v>2561</v>
      </c>
      <c r="B256" s="6" t="s">
        <v>26</v>
      </c>
      <c r="C256" s="6" t="s">
        <v>940</v>
      </c>
      <c r="D256" s="6" t="s">
        <v>941</v>
      </c>
      <c r="E256" s="6" t="s">
        <v>2241</v>
      </c>
      <c r="F256" s="8">
        <v>44000</v>
      </c>
      <c r="G256" s="6" t="s">
        <v>2237</v>
      </c>
      <c r="H256" s="8">
        <v>44000</v>
      </c>
      <c r="I256" s="6" t="s">
        <v>2237</v>
      </c>
      <c r="J256" s="8">
        <v>0</v>
      </c>
      <c r="K256" s="6" t="s">
        <v>2237</v>
      </c>
      <c r="L256" s="8">
        <v>0</v>
      </c>
      <c r="M256" s="6" t="s">
        <v>2237</v>
      </c>
      <c r="N256" s="8">
        <v>576.41999999999996</v>
      </c>
      <c r="O256" s="6" t="s">
        <v>2237</v>
      </c>
      <c r="P256" s="6" t="s">
        <v>2236</v>
      </c>
      <c r="Q256" s="9" t="s">
        <v>2242</v>
      </c>
      <c r="R256" s="9" t="s">
        <v>2238</v>
      </c>
      <c r="S256" s="9" t="s">
        <v>2243</v>
      </c>
      <c r="T256" s="9" t="s">
        <v>2244</v>
      </c>
      <c r="U25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E540-301010801-D245401</v>
      </c>
      <c r="Y2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5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56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7" spans="1:31" x14ac:dyDescent="0.3">
      <c r="A257" s="6" t="s">
        <v>2562</v>
      </c>
      <c r="B257" s="6" t="s">
        <v>30</v>
      </c>
      <c r="C257" s="6" t="s">
        <v>1499</v>
      </c>
      <c r="D257" s="6" t="s">
        <v>1500</v>
      </c>
      <c r="E257" s="6" t="s">
        <v>2241</v>
      </c>
      <c r="F257" s="8">
        <v>0</v>
      </c>
      <c r="G257" s="6" t="s">
        <v>2237</v>
      </c>
      <c r="H257" s="8">
        <v>0</v>
      </c>
      <c r="I257" s="6" t="s">
        <v>2237</v>
      </c>
      <c r="J257" s="8">
        <v>0</v>
      </c>
      <c r="K257" s="6" t="s">
        <v>2237</v>
      </c>
      <c r="L257" s="8">
        <v>0</v>
      </c>
      <c r="M257" s="6" t="s">
        <v>2237</v>
      </c>
      <c r="N257" s="8">
        <v>576.41999999999996</v>
      </c>
      <c r="O257" s="6" t="s">
        <v>2237</v>
      </c>
      <c r="P257" s="6" t="s">
        <v>2236</v>
      </c>
      <c r="Q257" s="9" t="s">
        <v>2242</v>
      </c>
      <c r="R257" s="9" t="s">
        <v>2238</v>
      </c>
      <c r="S257" s="9" t="s">
        <v>2243</v>
      </c>
      <c r="T257" s="9" t="s">
        <v>2327</v>
      </c>
      <c r="U25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E540-301010801-D245401</v>
      </c>
      <c r="Y25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E540-30101080160-D245401</v>
      </c>
      <c r="Z25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57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57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8" spans="1:31" x14ac:dyDescent="0.3">
      <c r="A258" s="6" t="s">
        <v>2563</v>
      </c>
      <c r="B258" s="6" t="s">
        <v>26</v>
      </c>
      <c r="C258" s="6" t="s">
        <v>944</v>
      </c>
      <c r="D258" s="6" t="s">
        <v>945</v>
      </c>
      <c r="E258" s="6" t="s">
        <v>2241</v>
      </c>
      <c r="F258" s="8">
        <v>1737903</v>
      </c>
      <c r="G258" s="6" t="s">
        <v>2237</v>
      </c>
      <c r="H258" s="8">
        <v>1737903</v>
      </c>
      <c r="I258" s="6" t="s">
        <v>2237</v>
      </c>
      <c r="J258" s="8">
        <v>0</v>
      </c>
      <c r="K258" s="6" t="s">
        <v>2237</v>
      </c>
      <c r="L258" s="8">
        <v>0</v>
      </c>
      <c r="M258" s="6" t="s">
        <v>2237</v>
      </c>
      <c r="N258" s="8">
        <v>1241611.49</v>
      </c>
      <c r="O258" s="6" t="s">
        <v>2237</v>
      </c>
      <c r="P258" s="6" t="s">
        <v>2236</v>
      </c>
      <c r="Q258" s="9" t="s">
        <v>2242</v>
      </c>
      <c r="R258" s="9" t="s">
        <v>2238</v>
      </c>
      <c r="S258" s="9" t="s">
        <v>2243</v>
      </c>
      <c r="T258" s="9" t="s">
        <v>2244</v>
      </c>
      <c r="U25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E540-301010861-D245401</v>
      </c>
      <c r="Y2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5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58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59" spans="1:31" x14ac:dyDescent="0.3">
      <c r="A259" s="6" t="s">
        <v>2564</v>
      </c>
      <c r="B259" s="6" t="s">
        <v>30</v>
      </c>
      <c r="C259" s="6" t="s">
        <v>1551</v>
      </c>
      <c r="D259" s="6" t="s">
        <v>1552</v>
      </c>
      <c r="E259" s="6" t="s">
        <v>2241</v>
      </c>
      <c r="F259" s="8">
        <v>0</v>
      </c>
      <c r="G259" s="6" t="s">
        <v>2237</v>
      </c>
      <c r="H259" s="8">
        <v>0</v>
      </c>
      <c r="I259" s="6" t="s">
        <v>2237</v>
      </c>
      <c r="J259" s="8">
        <v>0</v>
      </c>
      <c r="K259" s="6" t="s">
        <v>2237</v>
      </c>
      <c r="L259" s="8">
        <v>0</v>
      </c>
      <c r="M259" s="6" t="s">
        <v>2237</v>
      </c>
      <c r="N259" s="8">
        <v>0</v>
      </c>
      <c r="O259" s="6" t="s">
        <v>2237</v>
      </c>
      <c r="P259" s="6" t="s">
        <v>2236</v>
      </c>
      <c r="Q259" s="9" t="s">
        <v>2242</v>
      </c>
      <c r="R259" s="9" t="s">
        <v>2238</v>
      </c>
      <c r="S259" s="9" t="s">
        <v>2243</v>
      </c>
      <c r="T259" s="9" t="s">
        <v>2327</v>
      </c>
      <c r="U25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5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5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5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E540-301010861-D245401</v>
      </c>
      <c r="Y25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E540-30101086162-D245401</v>
      </c>
      <c r="Z25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5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5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59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59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5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0" spans="1:31" x14ac:dyDescent="0.3">
      <c r="A260" s="6" t="s">
        <v>2565</v>
      </c>
      <c r="B260" s="6" t="s">
        <v>30</v>
      </c>
      <c r="C260" s="6" t="s">
        <v>1553</v>
      </c>
      <c r="D260" s="6" t="s">
        <v>1554</v>
      </c>
      <c r="E260" s="6" t="s">
        <v>2241</v>
      </c>
      <c r="F260" s="8">
        <v>0</v>
      </c>
      <c r="G260" s="6" t="s">
        <v>2237</v>
      </c>
      <c r="H260" s="8">
        <v>0</v>
      </c>
      <c r="I260" s="6" t="s">
        <v>2237</v>
      </c>
      <c r="J260" s="8">
        <v>0</v>
      </c>
      <c r="K260" s="6" t="s">
        <v>2237</v>
      </c>
      <c r="L260" s="8">
        <v>0</v>
      </c>
      <c r="M260" s="6" t="s">
        <v>2237</v>
      </c>
      <c r="N260" s="8">
        <v>0</v>
      </c>
      <c r="O260" s="6" t="s">
        <v>2237</v>
      </c>
      <c r="P260" s="6" t="s">
        <v>2236</v>
      </c>
      <c r="Q260" s="9" t="s">
        <v>2242</v>
      </c>
      <c r="R260" s="9" t="s">
        <v>2238</v>
      </c>
      <c r="S260" s="9" t="s">
        <v>2243</v>
      </c>
      <c r="T260" s="9" t="s">
        <v>2327</v>
      </c>
      <c r="U26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6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E540-301010861-D245401</v>
      </c>
      <c r="Y26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E540-30101086193-D245401</v>
      </c>
      <c r="Z26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60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60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6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1" spans="1:31" x14ac:dyDescent="0.3">
      <c r="A261" s="6" t="s">
        <v>2566</v>
      </c>
      <c r="B261" s="6" t="s">
        <v>30</v>
      </c>
      <c r="C261" s="6" t="s">
        <v>1549</v>
      </c>
      <c r="D261" s="6" t="s">
        <v>1550</v>
      </c>
      <c r="E261" s="6" t="s">
        <v>2241</v>
      </c>
      <c r="F261" s="8">
        <v>0</v>
      </c>
      <c r="G261" s="6" t="s">
        <v>2237</v>
      </c>
      <c r="H261" s="8">
        <v>0</v>
      </c>
      <c r="I261" s="6" t="s">
        <v>2237</v>
      </c>
      <c r="J261" s="8">
        <v>0</v>
      </c>
      <c r="K261" s="6" t="s">
        <v>2237</v>
      </c>
      <c r="L261" s="8">
        <v>0</v>
      </c>
      <c r="M261" s="6" t="s">
        <v>2237</v>
      </c>
      <c r="N261" s="8">
        <v>199759.8</v>
      </c>
      <c r="O261" s="6" t="s">
        <v>2237</v>
      </c>
      <c r="P261" s="6" t="s">
        <v>2236</v>
      </c>
      <c r="Q261" s="9" t="s">
        <v>2242</v>
      </c>
      <c r="R261" s="9" t="s">
        <v>2238</v>
      </c>
      <c r="S261" s="9" t="s">
        <v>2243</v>
      </c>
      <c r="T261" s="9" t="s">
        <v>2327</v>
      </c>
      <c r="U26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6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E540-301010861-D245401</v>
      </c>
      <c r="Y26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E540-30101086118-D245401</v>
      </c>
      <c r="Z26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61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61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6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2" spans="1:31" x14ac:dyDescent="0.3">
      <c r="A262" s="6" t="s">
        <v>2567</v>
      </c>
      <c r="B262" s="6" t="s">
        <v>30</v>
      </c>
      <c r="C262" s="6" t="s">
        <v>1547</v>
      </c>
      <c r="D262" s="6" t="s">
        <v>1548</v>
      </c>
      <c r="E262" s="6" t="s">
        <v>2241</v>
      </c>
      <c r="F262" s="8">
        <v>0</v>
      </c>
      <c r="G262" s="6" t="s">
        <v>2237</v>
      </c>
      <c r="H262" s="8">
        <v>0</v>
      </c>
      <c r="I262" s="6" t="s">
        <v>2237</v>
      </c>
      <c r="J262" s="8">
        <v>0</v>
      </c>
      <c r="K262" s="6" t="s">
        <v>2237</v>
      </c>
      <c r="L262" s="8">
        <v>0</v>
      </c>
      <c r="M262" s="6" t="s">
        <v>2237</v>
      </c>
      <c r="N262" s="8">
        <v>76400.289999999994</v>
      </c>
      <c r="O262" s="6" t="s">
        <v>2237</v>
      </c>
      <c r="P262" s="6" t="s">
        <v>2236</v>
      </c>
      <c r="Q262" s="9" t="s">
        <v>2242</v>
      </c>
      <c r="R262" s="9" t="s">
        <v>2238</v>
      </c>
      <c r="S262" s="9" t="s">
        <v>2243</v>
      </c>
      <c r="T262" s="9" t="s">
        <v>2327</v>
      </c>
      <c r="U26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6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E540-301010861-D245401</v>
      </c>
      <c r="Y26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E540-30101086102-D245401</v>
      </c>
      <c r="Z26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62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262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6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3" spans="1:31" x14ac:dyDescent="0.3">
      <c r="A263" s="6" t="s">
        <v>2568</v>
      </c>
      <c r="B263" s="6" t="s">
        <v>30</v>
      </c>
      <c r="C263" s="6" t="s">
        <v>1545</v>
      </c>
      <c r="D263" s="6" t="s">
        <v>1546</v>
      </c>
      <c r="E263" s="6" t="s">
        <v>2241</v>
      </c>
      <c r="F263" s="8">
        <v>0</v>
      </c>
      <c r="G263" s="6" t="s">
        <v>2237</v>
      </c>
      <c r="H263" s="8">
        <v>0</v>
      </c>
      <c r="I263" s="6" t="s">
        <v>2237</v>
      </c>
      <c r="J263" s="8">
        <v>0</v>
      </c>
      <c r="K263" s="6" t="s">
        <v>2237</v>
      </c>
      <c r="L263" s="8">
        <v>0</v>
      </c>
      <c r="M263" s="6" t="s">
        <v>2237</v>
      </c>
      <c r="N263" s="8">
        <v>965451.4</v>
      </c>
      <c r="O263" s="6" t="s">
        <v>2237</v>
      </c>
      <c r="P263" s="6" t="s">
        <v>2236</v>
      </c>
      <c r="Q263" s="9" t="s">
        <v>2242</v>
      </c>
      <c r="R263" s="9" t="s">
        <v>2238</v>
      </c>
      <c r="S263" s="9" t="s">
        <v>2243</v>
      </c>
      <c r="T263" s="9" t="s">
        <v>2327</v>
      </c>
      <c r="U26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E540-3010108-D245401</v>
      </c>
      <c r="X26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E540-301010861-D245401</v>
      </c>
      <c r="Y26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E540-30101086101-D245401</v>
      </c>
      <c r="Z26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63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63" s="10" t="str">
        <f>IF(IFERROR(INDEX(WBS_Dictionary!N$2:N$1212, MATCH(Table2[[#This Row],[WBS_ID]], Table26[WBS CODE],0)), "") = "", "null", IFERROR(INDEX(WBS_Dictionary!N$2:N$1212, MATCH(Table2[[#This Row],[WBS_ID]], Table26[WBS CODE],0)), ""))</f>
        <v>AWI 23-2</v>
      </c>
      <c r="AE26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4" spans="1:31" x14ac:dyDescent="0.3">
      <c r="A264" s="6" t="s">
        <v>2569</v>
      </c>
      <c r="B264" s="6" t="s">
        <v>21</v>
      </c>
      <c r="C264" s="6" t="s">
        <v>839</v>
      </c>
      <c r="D264" s="6" t="s">
        <v>840</v>
      </c>
      <c r="E264" s="6" t="s">
        <v>2241</v>
      </c>
      <c r="F264" s="8">
        <v>4064503</v>
      </c>
      <c r="G264" s="6" t="s">
        <v>2237</v>
      </c>
      <c r="H264" s="8">
        <v>4064503</v>
      </c>
      <c r="I264" s="6" t="s">
        <v>2237</v>
      </c>
      <c r="J264" s="8">
        <v>0</v>
      </c>
      <c r="K264" s="6" t="s">
        <v>2237</v>
      </c>
      <c r="L264" s="8">
        <v>101280.88</v>
      </c>
      <c r="M264" s="6" t="s">
        <v>2237</v>
      </c>
      <c r="N264" s="8">
        <v>3187325.84</v>
      </c>
      <c r="O264" s="6" t="s">
        <v>2237</v>
      </c>
      <c r="P264" s="6" t="s">
        <v>2236</v>
      </c>
      <c r="Q264" s="9" t="s">
        <v>2242</v>
      </c>
      <c r="R264" s="9" t="s">
        <v>2238</v>
      </c>
      <c r="S264" s="9" t="s">
        <v>2243</v>
      </c>
      <c r="T264" s="9" t="s">
        <v>2244</v>
      </c>
      <c r="U26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6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64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6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5" spans="1:31" x14ac:dyDescent="0.3">
      <c r="A265" s="6" t="s">
        <v>2570</v>
      </c>
      <c r="B265" s="6" t="s">
        <v>26</v>
      </c>
      <c r="C265" s="6" t="s">
        <v>936</v>
      </c>
      <c r="D265" s="6" t="s">
        <v>937</v>
      </c>
      <c r="E265" s="6" t="s">
        <v>2241</v>
      </c>
      <c r="F265" s="11">
        <v>3100864</v>
      </c>
      <c r="G265" s="7" t="s">
        <v>2237</v>
      </c>
      <c r="H265" s="8">
        <v>3100864</v>
      </c>
      <c r="I265" s="6" t="s">
        <v>2237</v>
      </c>
      <c r="J265" s="8">
        <v>0</v>
      </c>
      <c r="K265" s="6" t="s">
        <v>2237</v>
      </c>
      <c r="L265" s="8">
        <v>101280.88</v>
      </c>
      <c r="M265" s="6" t="s">
        <v>2237</v>
      </c>
      <c r="N265" s="11">
        <v>2579420.75</v>
      </c>
      <c r="O265" s="6" t="s">
        <v>2237</v>
      </c>
      <c r="P265" s="6" t="s">
        <v>2236</v>
      </c>
      <c r="Q265" s="9" t="s">
        <v>2242</v>
      </c>
      <c r="R265" s="9" t="s">
        <v>2238</v>
      </c>
      <c r="S265" s="9" t="s">
        <v>2243</v>
      </c>
      <c r="T265" s="9" t="s">
        <v>2256</v>
      </c>
      <c r="U26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6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6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65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6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6" spans="1:31" x14ac:dyDescent="0.3">
      <c r="A266" s="6" t="s">
        <v>2571</v>
      </c>
      <c r="B266" s="6" t="s">
        <v>30</v>
      </c>
      <c r="C266" s="6" t="s">
        <v>1475</v>
      </c>
      <c r="D266" s="6" t="s">
        <v>1476</v>
      </c>
      <c r="E266" s="6" t="s">
        <v>2241</v>
      </c>
      <c r="F266" s="8">
        <v>0</v>
      </c>
      <c r="G266" s="6" t="s">
        <v>2237</v>
      </c>
      <c r="H266" s="8">
        <v>0</v>
      </c>
      <c r="I266" s="6" t="s">
        <v>2237</v>
      </c>
      <c r="J266" s="8">
        <v>0</v>
      </c>
      <c r="K266" s="6" t="s">
        <v>2237</v>
      </c>
      <c r="L266" s="8">
        <v>165.03</v>
      </c>
      <c r="M266" s="6" t="s">
        <v>2237</v>
      </c>
      <c r="N266" s="8">
        <v>395934.56</v>
      </c>
      <c r="O266" s="6" t="s">
        <v>2237</v>
      </c>
      <c r="P266" s="6" t="s">
        <v>2236</v>
      </c>
      <c r="Q266" s="9" t="s">
        <v>2242</v>
      </c>
      <c r="R266" s="9" t="s">
        <v>2238</v>
      </c>
      <c r="S266" s="9" t="s">
        <v>2243</v>
      </c>
      <c r="T266" s="9" t="s">
        <v>2327</v>
      </c>
      <c r="U26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6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6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E540-30101070245-D245401</v>
      </c>
      <c r="Z26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66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266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7" spans="1:31" x14ac:dyDescent="0.3">
      <c r="A267" s="6" t="s">
        <v>2572</v>
      </c>
      <c r="B267" s="6" t="s">
        <v>30</v>
      </c>
      <c r="C267" s="6" t="s">
        <v>1473</v>
      </c>
      <c r="D267" s="6" t="s">
        <v>1474</v>
      </c>
      <c r="E267" s="6" t="s">
        <v>2241</v>
      </c>
      <c r="F267" s="8">
        <v>0</v>
      </c>
      <c r="G267" s="6" t="s">
        <v>2237</v>
      </c>
      <c r="H267" s="8">
        <v>0</v>
      </c>
      <c r="I267" s="6" t="s">
        <v>2237</v>
      </c>
      <c r="J267" s="8">
        <v>0</v>
      </c>
      <c r="K267" s="6" t="s">
        <v>2237</v>
      </c>
      <c r="L267" s="8">
        <v>780.96</v>
      </c>
      <c r="M267" s="6" t="s">
        <v>2237</v>
      </c>
      <c r="N267" s="8">
        <v>5235.62</v>
      </c>
      <c r="O267" s="6" t="s">
        <v>2237</v>
      </c>
      <c r="P267" s="6" t="s">
        <v>2236</v>
      </c>
      <c r="Q267" s="9" t="s">
        <v>2242</v>
      </c>
      <c r="R267" s="9" t="s">
        <v>2238</v>
      </c>
      <c r="S267" s="9" t="s">
        <v>2243</v>
      </c>
      <c r="T267" s="9" t="s">
        <v>2327</v>
      </c>
      <c r="U26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6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6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E540-30101070224-D245401</v>
      </c>
      <c r="Z26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67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67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6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8" spans="1:31" x14ac:dyDescent="0.3">
      <c r="A268" s="6" t="s">
        <v>2573</v>
      </c>
      <c r="B268" s="6" t="s">
        <v>30</v>
      </c>
      <c r="C268" s="6" t="s">
        <v>1487</v>
      </c>
      <c r="D268" s="6" t="s">
        <v>1488</v>
      </c>
      <c r="E268" s="6" t="s">
        <v>2241</v>
      </c>
      <c r="F268" s="8">
        <v>0</v>
      </c>
      <c r="G268" s="6" t="s">
        <v>2237</v>
      </c>
      <c r="H268" s="8">
        <v>0</v>
      </c>
      <c r="I268" s="6" t="s">
        <v>2237</v>
      </c>
      <c r="J268" s="8">
        <v>0</v>
      </c>
      <c r="K268" s="6" t="s">
        <v>2237</v>
      </c>
      <c r="L268" s="8">
        <v>35968.25</v>
      </c>
      <c r="M268" s="6" t="s">
        <v>2237</v>
      </c>
      <c r="N268" s="8">
        <v>42179.35</v>
      </c>
      <c r="O268" s="6" t="s">
        <v>2237</v>
      </c>
      <c r="P268" s="6" t="s">
        <v>2236</v>
      </c>
      <c r="Q268" s="9" t="s">
        <v>2242</v>
      </c>
      <c r="R268" s="9" t="s">
        <v>2238</v>
      </c>
      <c r="S268" s="9" t="s">
        <v>2243</v>
      </c>
      <c r="T268" s="9" t="s">
        <v>2327</v>
      </c>
      <c r="U26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6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6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E540-30101070298-D245401</v>
      </c>
      <c r="Z26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68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68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6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69" spans="1:31" x14ac:dyDescent="0.3">
      <c r="A269" s="6" t="s">
        <v>2574</v>
      </c>
      <c r="B269" s="6" t="s">
        <v>30</v>
      </c>
      <c r="C269" s="6" t="s">
        <v>1485</v>
      </c>
      <c r="D269" s="6" t="s">
        <v>1486</v>
      </c>
      <c r="E269" s="6" t="s">
        <v>2241</v>
      </c>
      <c r="F269" s="8">
        <v>0</v>
      </c>
      <c r="G269" s="6" t="s">
        <v>2237</v>
      </c>
      <c r="H269" s="8">
        <v>0</v>
      </c>
      <c r="I269" s="6" t="s">
        <v>2237</v>
      </c>
      <c r="J269" s="8">
        <v>0</v>
      </c>
      <c r="K269" s="6" t="s">
        <v>2237</v>
      </c>
      <c r="L269" s="8">
        <v>0</v>
      </c>
      <c r="M269" s="6" t="s">
        <v>2237</v>
      </c>
      <c r="N269" s="8">
        <v>0</v>
      </c>
      <c r="O269" s="6" t="s">
        <v>2237</v>
      </c>
      <c r="P269" s="6" t="s">
        <v>2236</v>
      </c>
      <c r="Q269" s="9" t="s">
        <v>2242</v>
      </c>
      <c r="R269" s="9" t="s">
        <v>2238</v>
      </c>
      <c r="S269" s="9" t="s">
        <v>2243</v>
      </c>
      <c r="T269" s="9" t="s">
        <v>2327</v>
      </c>
      <c r="U26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6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6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6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6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E540-30101070297-D245401</v>
      </c>
      <c r="Z26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6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6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69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69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6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0" spans="1:31" x14ac:dyDescent="0.3">
      <c r="A270" s="6" t="s">
        <v>2575</v>
      </c>
      <c r="B270" s="6" t="s">
        <v>30</v>
      </c>
      <c r="C270" s="6" t="s">
        <v>1483</v>
      </c>
      <c r="D270" s="6" t="s">
        <v>1484</v>
      </c>
      <c r="E270" s="6" t="s">
        <v>2241</v>
      </c>
      <c r="F270" s="8">
        <v>0</v>
      </c>
      <c r="G270" s="6" t="s">
        <v>2237</v>
      </c>
      <c r="H270" s="8">
        <v>0</v>
      </c>
      <c r="I270" s="6" t="s">
        <v>2237</v>
      </c>
      <c r="J270" s="8">
        <v>0</v>
      </c>
      <c r="K270" s="6" t="s">
        <v>2237</v>
      </c>
      <c r="L270" s="8">
        <v>0</v>
      </c>
      <c r="M270" s="6" t="s">
        <v>2237</v>
      </c>
      <c r="N270" s="8">
        <v>0</v>
      </c>
      <c r="O270" s="6" t="s">
        <v>2237</v>
      </c>
      <c r="P270" s="6" t="s">
        <v>2236</v>
      </c>
      <c r="Q270" s="9" t="s">
        <v>2242</v>
      </c>
      <c r="R270" s="9" t="s">
        <v>2238</v>
      </c>
      <c r="S270" s="9" t="s">
        <v>2243</v>
      </c>
      <c r="T270" s="9" t="s">
        <v>2327</v>
      </c>
      <c r="U27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E540-30101070296-D245401</v>
      </c>
      <c r="Z27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0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70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1" spans="1:31" x14ac:dyDescent="0.3">
      <c r="A271" s="6" t="s">
        <v>2576</v>
      </c>
      <c r="B271" s="6" t="s">
        <v>30</v>
      </c>
      <c r="C271" s="6" t="s">
        <v>1481</v>
      </c>
      <c r="D271" s="6" t="s">
        <v>1482</v>
      </c>
      <c r="E271" s="6" t="s">
        <v>2241</v>
      </c>
      <c r="F271" s="8">
        <v>0</v>
      </c>
      <c r="G271" s="6" t="s">
        <v>2237</v>
      </c>
      <c r="H271" s="8">
        <v>0</v>
      </c>
      <c r="I271" s="6" t="s">
        <v>2237</v>
      </c>
      <c r="J271" s="8">
        <v>0</v>
      </c>
      <c r="K271" s="6" t="s">
        <v>2237</v>
      </c>
      <c r="L271" s="8">
        <v>0</v>
      </c>
      <c r="M271" s="6" t="s">
        <v>2237</v>
      </c>
      <c r="N271" s="8">
        <v>0</v>
      </c>
      <c r="O271" s="6" t="s">
        <v>2237</v>
      </c>
      <c r="P271" s="6" t="s">
        <v>2236</v>
      </c>
      <c r="Q271" s="9" t="s">
        <v>2242</v>
      </c>
      <c r="R271" s="9" t="s">
        <v>2238</v>
      </c>
      <c r="S271" s="9" t="s">
        <v>2243</v>
      </c>
      <c r="T271" s="9" t="s">
        <v>2327</v>
      </c>
      <c r="U27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E540-30101070295-D245401</v>
      </c>
      <c r="Z27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1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71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2" spans="1:31" x14ac:dyDescent="0.3">
      <c r="A272" s="6" t="s">
        <v>2577</v>
      </c>
      <c r="B272" s="6" t="s">
        <v>30</v>
      </c>
      <c r="C272" s="6" t="s">
        <v>1479</v>
      </c>
      <c r="D272" s="6" t="s">
        <v>1480</v>
      </c>
      <c r="E272" s="6" t="s">
        <v>2241</v>
      </c>
      <c r="F272" s="8">
        <v>0</v>
      </c>
      <c r="G272" s="6" t="s">
        <v>2237</v>
      </c>
      <c r="H272" s="8">
        <v>0</v>
      </c>
      <c r="I272" s="6" t="s">
        <v>2237</v>
      </c>
      <c r="J272" s="8">
        <v>0</v>
      </c>
      <c r="K272" s="6" t="s">
        <v>2237</v>
      </c>
      <c r="L272" s="8">
        <v>7130.8</v>
      </c>
      <c r="M272" s="6" t="s">
        <v>2237</v>
      </c>
      <c r="N272" s="8">
        <v>32818.089999999997</v>
      </c>
      <c r="O272" s="6" t="s">
        <v>2237</v>
      </c>
      <c r="P272" s="6" t="s">
        <v>2236</v>
      </c>
      <c r="Q272" s="9" t="s">
        <v>2242</v>
      </c>
      <c r="R272" s="9" t="s">
        <v>2238</v>
      </c>
      <c r="S272" s="9" t="s">
        <v>2243</v>
      </c>
      <c r="T272" s="9" t="s">
        <v>2327</v>
      </c>
      <c r="U27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E540-30101070294-D245401</v>
      </c>
      <c r="Z27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2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72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3" spans="1:31" x14ac:dyDescent="0.3">
      <c r="A273" s="6" t="s">
        <v>2578</v>
      </c>
      <c r="B273" s="6" t="s">
        <v>30</v>
      </c>
      <c r="C273" s="6" t="s">
        <v>2579</v>
      </c>
      <c r="D273" s="6" t="s">
        <v>1472</v>
      </c>
      <c r="E273" s="6" t="s">
        <v>2241</v>
      </c>
      <c r="F273" s="8">
        <v>0</v>
      </c>
      <c r="G273" s="6" t="s">
        <v>2237</v>
      </c>
      <c r="H273" s="8">
        <v>0</v>
      </c>
      <c r="I273" s="6" t="s">
        <v>2237</v>
      </c>
      <c r="J273" s="8">
        <v>0</v>
      </c>
      <c r="K273" s="6" t="s">
        <v>2237</v>
      </c>
      <c r="L273" s="8">
        <v>4008.2</v>
      </c>
      <c r="M273" s="6" t="s">
        <v>2237</v>
      </c>
      <c r="N273" s="8">
        <v>7386.96</v>
      </c>
      <c r="O273" s="6" t="s">
        <v>2237</v>
      </c>
      <c r="P273" s="6" t="s">
        <v>2236</v>
      </c>
      <c r="Q273" s="9" t="s">
        <v>2242</v>
      </c>
      <c r="R273" s="9" t="s">
        <v>2238</v>
      </c>
      <c r="S273" s="9" t="s">
        <v>2243</v>
      </c>
      <c r="T273" s="9" t="s">
        <v>2327</v>
      </c>
      <c r="U27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E540-30101070220-D245401</v>
      </c>
      <c r="Z27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3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73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4" spans="1:31" x14ac:dyDescent="0.3">
      <c r="A274" s="6" t="s">
        <v>2580</v>
      </c>
      <c r="B274" s="6" t="s">
        <v>30</v>
      </c>
      <c r="C274" s="6" t="s">
        <v>1469</v>
      </c>
      <c r="D274" s="6" t="s">
        <v>1470</v>
      </c>
      <c r="E274" s="6" t="s">
        <v>2241</v>
      </c>
      <c r="F274" s="8">
        <v>0</v>
      </c>
      <c r="G274" s="6" t="s">
        <v>2237</v>
      </c>
      <c r="H274" s="8">
        <v>0</v>
      </c>
      <c r="I274" s="6" t="s">
        <v>2237</v>
      </c>
      <c r="J274" s="8">
        <v>0</v>
      </c>
      <c r="K274" s="6" t="s">
        <v>2237</v>
      </c>
      <c r="L274" s="8">
        <v>0</v>
      </c>
      <c r="M274" s="6" t="s">
        <v>2237</v>
      </c>
      <c r="N274" s="8">
        <v>0</v>
      </c>
      <c r="O274" s="6" t="s">
        <v>2237</v>
      </c>
      <c r="P274" s="6" t="s">
        <v>2236</v>
      </c>
      <c r="Q274" s="9" t="s">
        <v>2242</v>
      </c>
      <c r="R274" s="9" t="s">
        <v>2238</v>
      </c>
      <c r="S274" s="9" t="s">
        <v>2243</v>
      </c>
      <c r="T274" s="9" t="s">
        <v>2327</v>
      </c>
      <c r="U27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E540-30101070217-D245401</v>
      </c>
      <c r="Z27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4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74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5" spans="1:31" x14ac:dyDescent="0.3">
      <c r="A275" s="6" t="s">
        <v>2581</v>
      </c>
      <c r="B275" s="6" t="s">
        <v>30</v>
      </c>
      <c r="C275" s="6" t="s">
        <v>1467</v>
      </c>
      <c r="D275" s="6" t="s">
        <v>1468</v>
      </c>
      <c r="E275" s="6" t="s">
        <v>2241</v>
      </c>
      <c r="F275" s="8">
        <v>0</v>
      </c>
      <c r="G275" s="6" t="s">
        <v>2237</v>
      </c>
      <c r="H275" s="8">
        <v>0</v>
      </c>
      <c r="I275" s="6" t="s">
        <v>2237</v>
      </c>
      <c r="J275" s="8">
        <v>0</v>
      </c>
      <c r="K275" s="6" t="s">
        <v>2237</v>
      </c>
      <c r="L275" s="8">
        <v>7486.18</v>
      </c>
      <c r="M275" s="6" t="s">
        <v>2237</v>
      </c>
      <c r="N275" s="8">
        <v>138436.38</v>
      </c>
      <c r="O275" s="6" t="s">
        <v>2237</v>
      </c>
      <c r="P275" s="6" t="s">
        <v>2236</v>
      </c>
      <c r="Q275" s="9" t="s">
        <v>2242</v>
      </c>
      <c r="R275" s="9" t="s">
        <v>2238</v>
      </c>
      <c r="S275" s="9" t="s">
        <v>2243</v>
      </c>
      <c r="T275" s="9" t="s">
        <v>2327</v>
      </c>
      <c r="U27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E540-30101070216-D245401</v>
      </c>
      <c r="Z27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5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75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6" spans="1:31" x14ac:dyDescent="0.3">
      <c r="A276" s="6" t="s">
        <v>2582</v>
      </c>
      <c r="B276" s="6" t="s">
        <v>30</v>
      </c>
      <c r="C276" s="6" t="s">
        <v>1465</v>
      </c>
      <c r="D276" s="6" t="s">
        <v>1466</v>
      </c>
      <c r="E276" s="6" t="s">
        <v>2241</v>
      </c>
      <c r="F276" s="8">
        <v>0</v>
      </c>
      <c r="G276" s="6" t="s">
        <v>2237</v>
      </c>
      <c r="H276" s="8">
        <v>0</v>
      </c>
      <c r="I276" s="6" t="s">
        <v>2237</v>
      </c>
      <c r="J276" s="8">
        <v>0</v>
      </c>
      <c r="K276" s="6" t="s">
        <v>2237</v>
      </c>
      <c r="L276" s="8">
        <v>0</v>
      </c>
      <c r="M276" s="6" t="s">
        <v>2237</v>
      </c>
      <c r="N276" s="8">
        <v>70968.66</v>
      </c>
      <c r="O276" s="6" t="s">
        <v>2237</v>
      </c>
      <c r="P276" s="6" t="s">
        <v>2236</v>
      </c>
      <c r="Q276" s="9" t="s">
        <v>2242</v>
      </c>
      <c r="R276" s="9" t="s">
        <v>2238</v>
      </c>
      <c r="S276" s="9" t="s">
        <v>2243</v>
      </c>
      <c r="T276" s="9" t="s">
        <v>2327</v>
      </c>
      <c r="U27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E540-30101070215-D245401</v>
      </c>
      <c r="Z27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6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76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7" spans="1:31" x14ac:dyDescent="0.3">
      <c r="A277" s="6" t="s">
        <v>2583</v>
      </c>
      <c r="B277" s="6" t="s">
        <v>30</v>
      </c>
      <c r="C277" s="6" t="s">
        <v>1463</v>
      </c>
      <c r="D277" s="6" t="s">
        <v>1464</v>
      </c>
      <c r="E277" s="6" t="s">
        <v>2241</v>
      </c>
      <c r="F277" s="8">
        <v>0</v>
      </c>
      <c r="G277" s="6" t="s">
        <v>2237</v>
      </c>
      <c r="H277" s="8">
        <v>0</v>
      </c>
      <c r="I277" s="6" t="s">
        <v>2237</v>
      </c>
      <c r="J277" s="8">
        <v>0</v>
      </c>
      <c r="K277" s="6" t="s">
        <v>2237</v>
      </c>
      <c r="L277" s="8">
        <v>0</v>
      </c>
      <c r="M277" s="6" t="s">
        <v>2237</v>
      </c>
      <c r="N277" s="8">
        <v>0</v>
      </c>
      <c r="O277" s="6" t="s">
        <v>2237</v>
      </c>
      <c r="P277" s="6" t="s">
        <v>2236</v>
      </c>
      <c r="Q277" s="9" t="s">
        <v>2242</v>
      </c>
      <c r="R277" s="9" t="s">
        <v>2238</v>
      </c>
      <c r="S277" s="9" t="s">
        <v>2243</v>
      </c>
      <c r="T277" s="9" t="s">
        <v>2327</v>
      </c>
      <c r="U27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E540-30101070214-D245401</v>
      </c>
      <c r="Z27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7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77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8" spans="1:31" x14ac:dyDescent="0.3">
      <c r="A278" s="6" t="s">
        <v>2584</v>
      </c>
      <c r="B278" s="6" t="s">
        <v>30</v>
      </c>
      <c r="C278" s="6" t="s">
        <v>1461</v>
      </c>
      <c r="D278" s="6" t="s">
        <v>1462</v>
      </c>
      <c r="E278" s="6" t="s">
        <v>2241</v>
      </c>
      <c r="F278" s="8">
        <v>0</v>
      </c>
      <c r="G278" s="6" t="s">
        <v>2237</v>
      </c>
      <c r="H278" s="8">
        <v>0</v>
      </c>
      <c r="I278" s="6" t="s">
        <v>2237</v>
      </c>
      <c r="J278" s="8">
        <v>0</v>
      </c>
      <c r="K278" s="6" t="s">
        <v>2237</v>
      </c>
      <c r="L278" s="8">
        <v>0</v>
      </c>
      <c r="M278" s="6" t="s">
        <v>2237</v>
      </c>
      <c r="N278" s="8">
        <v>31400</v>
      </c>
      <c r="O278" s="6" t="s">
        <v>2237</v>
      </c>
      <c r="P278" s="6" t="s">
        <v>2236</v>
      </c>
      <c r="Q278" s="9" t="s">
        <v>2242</v>
      </c>
      <c r="R278" s="9" t="s">
        <v>2238</v>
      </c>
      <c r="S278" s="9" t="s">
        <v>2243</v>
      </c>
      <c r="T278" s="9" t="s">
        <v>2327</v>
      </c>
      <c r="U27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E540-30101070213-D245401</v>
      </c>
      <c r="Z27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8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78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79" spans="1:31" x14ac:dyDescent="0.3">
      <c r="A279" s="6" t="s">
        <v>2585</v>
      </c>
      <c r="B279" s="6" t="s">
        <v>30</v>
      </c>
      <c r="C279" s="6" t="s">
        <v>1477</v>
      </c>
      <c r="D279" s="6" t="s">
        <v>1478</v>
      </c>
      <c r="E279" s="6" t="s">
        <v>2241</v>
      </c>
      <c r="F279" s="8">
        <v>0</v>
      </c>
      <c r="G279" s="6" t="s">
        <v>2237</v>
      </c>
      <c r="H279" s="8">
        <v>0</v>
      </c>
      <c r="I279" s="6" t="s">
        <v>2237</v>
      </c>
      <c r="J279" s="8">
        <v>0</v>
      </c>
      <c r="K279" s="6" t="s">
        <v>2237</v>
      </c>
      <c r="L279" s="8">
        <v>0</v>
      </c>
      <c r="M279" s="6" t="s">
        <v>2237</v>
      </c>
      <c r="N279" s="8">
        <v>0</v>
      </c>
      <c r="O279" s="6" t="s">
        <v>2237</v>
      </c>
      <c r="P279" s="6" t="s">
        <v>2236</v>
      </c>
      <c r="Q279" s="9" t="s">
        <v>2242</v>
      </c>
      <c r="R279" s="9" t="s">
        <v>2238</v>
      </c>
      <c r="S279" s="9" t="s">
        <v>2243</v>
      </c>
      <c r="T279" s="9" t="s">
        <v>2327</v>
      </c>
      <c r="U27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7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7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7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7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E540-30101070247-D245401</v>
      </c>
      <c r="Z27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7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7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79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79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7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0" spans="1:31" x14ac:dyDescent="0.3">
      <c r="A280" s="6" t="s">
        <v>2586</v>
      </c>
      <c r="B280" s="6" t="s">
        <v>30</v>
      </c>
      <c r="C280" s="6" t="s">
        <v>1459</v>
      </c>
      <c r="D280" s="6" t="s">
        <v>1460</v>
      </c>
      <c r="E280" s="6" t="s">
        <v>2241</v>
      </c>
      <c r="F280" s="8">
        <v>0</v>
      </c>
      <c r="G280" s="6" t="s">
        <v>2237</v>
      </c>
      <c r="H280" s="8">
        <v>0</v>
      </c>
      <c r="I280" s="6" t="s">
        <v>2237</v>
      </c>
      <c r="J280" s="8">
        <v>0</v>
      </c>
      <c r="K280" s="6" t="s">
        <v>2237</v>
      </c>
      <c r="L280" s="8">
        <v>876.96</v>
      </c>
      <c r="M280" s="6" t="s">
        <v>2237</v>
      </c>
      <c r="N280" s="8">
        <v>485092.21</v>
      </c>
      <c r="O280" s="6" t="s">
        <v>2237</v>
      </c>
      <c r="P280" s="6" t="s">
        <v>2236</v>
      </c>
      <c r="Q280" s="9" t="s">
        <v>2242</v>
      </c>
      <c r="R280" s="9" t="s">
        <v>2238</v>
      </c>
      <c r="S280" s="9" t="s">
        <v>2243</v>
      </c>
      <c r="T280" s="9" t="s">
        <v>2327</v>
      </c>
      <c r="U28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E540-30101070212-D245401</v>
      </c>
      <c r="Z28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0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80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1" spans="1:31" x14ac:dyDescent="0.3">
      <c r="A281" s="6" t="s">
        <v>2587</v>
      </c>
      <c r="B281" s="6" t="s">
        <v>30</v>
      </c>
      <c r="C281" s="6" t="s">
        <v>1457</v>
      </c>
      <c r="D281" s="6" t="s">
        <v>1458</v>
      </c>
      <c r="E281" s="6" t="s">
        <v>2241</v>
      </c>
      <c r="F281" s="8">
        <v>0</v>
      </c>
      <c r="G281" s="6" t="s">
        <v>2237</v>
      </c>
      <c r="H281" s="8">
        <v>0</v>
      </c>
      <c r="I281" s="6" t="s">
        <v>2237</v>
      </c>
      <c r="J281" s="8">
        <v>0</v>
      </c>
      <c r="K281" s="6" t="s">
        <v>2237</v>
      </c>
      <c r="L281" s="8">
        <v>0</v>
      </c>
      <c r="M281" s="6" t="s">
        <v>2237</v>
      </c>
      <c r="N281" s="8">
        <v>48247.53</v>
      </c>
      <c r="O281" s="6" t="s">
        <v>2237</v>
      </c>
      <c r="P281" s="6" t="s">
        <v>2236</v>
      </c>
      <c r="Q281" s="9" t="s">
        <v>2242</v>
      </c>
      <c r="R281" s="9" t="s">
        <v>2238</v>
      </c>
      <c r="S281" s="9" t="s">
        <v>2243</v>
      </c>
      <c r="T281" s="9" t="s">
        <v>2327</v>
      </c>
      <c r="U28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E540-30101070211-D245401</v>
      </c>
      <c r="Z28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1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81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2" spans="1:31" x14ac:dyDescent="0.3">
      <c r="A282" s="6" t="s">
        <v>2588</v>
      </c>
      <c r="B282" s="6" t="s">
        <v>30</v>
      </c>
      <c r="C282" s="6" t="s">
        <v>1455</v>
      </c>
      <c r="D282" s="6" t="s">
        <v>1456</v>
      </c>
      <c r="E282" s="6" t="s">
        <v>2241</v>
      </c>
      <c r="F282" s="8">
        <v>0</v>
      </c>
      <c r="G282" s="6" t="s">
        <v>2237</v>
      </c>
      <c r="H282" s="8">
        <v>0</v>
      </c>
      <c r="I282" s="6" t="s">
        <v>2237</v>
      </c>
      <c r="J282" s="8">
        <v>0</v>
      </c>
      <c r="K282" s="6" t="s">
        <v>2237</v>
      </c>
      <c r="L282" s="8">
        <v>0</v>
      </c>
      <c r="M282" s="6" t="s">
        <v>2237</v>
      </c>
      <c r="N282" s="8">
        <v>276141.51</v>
      </c>
      <c r="O282" s="6" t="s">
        <v>2237</v>
      </c>
      <c r="P282" s="6" t="s">
        <v>2236</v>
      </c>
      <c r="Q282" s="9" t="s">
        <v>2242</v>
      </c>
      <c r="R282" s="9" t="s">
        <v>2238</v>
      </c>
      <c r="S282" s="9" t="s">
        <v>2243</v>
      </c>
      <c r="T282" s="9" t="s">
        <v>2327</v>
      </c>
      <c r="U28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E540-30101070210-D245401</v>
      </c>
      <c r="Z28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2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82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3" spans="1:31" x14ac:dyDescent="0.3">
      <c r="A283" s="6" t="s">
        <v>2589</v>
      </c>
      <c r="B283" s="6" t="s">
        <v>30</v>
      </c>
      <c r="C283" s="6" t="s">
        <v>1453</v>
      </c>
      <c r="D283" s="6" t="s">
        <v>1454</v>
      </c>
      <c r="E283" s="6" t="s">
        <v>2241</v>
      </c>
      <c r="F283" s="8">
        <v>0</v>
      </c>
      <c r="G283" s="6" t="s">
        <v>2237</v>
      </c>
      <c r="H283" s="8">
        <v>0</v>
      </c>
      <c r="I283" s="6" t="s">
        <v>2237</v>
      </c>
      <c r="J283" s="8">
        <v>0</v>
      </c>
      <c r="K283" s="6" t="s">
        <v>2237</v>
      </c>
      <c r="L283" s="8">
        <v>0</v>
      </c>
      <c r="M283" s="6" t="s">
        <v>2237</v>
      </c>
      <c r="N283" s="8">
        <v>236707.6</v>
      </c>
      <c r="O283" s="6" t="s">
        <v>2237</v>
      </c>
      <c r="P283" s="6" t="s">
        <v>2236</v>
      </c>
      <c r="Q283" s="9" t="s">
        <v>2242</v>
      </c>
      <c r="R283" s="9" t="s">
        <v>2238</v>
      </c>
      <c r="S283" s="9" t="s">
        <v>2243</v>
      </c>
      <c r="T283" s="9" t="s">
        <v>2327</v>
      </c>
      <c r="U28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E540-30101070209-D245401</v>
      </c>
      <c r="Z28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3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83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4" spans="1:31" x14ac:dyDescent="0.3">
      <c r="A284" s="6" t="s">
        <v>2590</v>
      </c>
      <c r="B284" s="6" t="s">
        <v>30</v>
      </c>
      <c r="C284" s="6" t="s">
        <v>1451</v>
      </c>
      <c r="D284" s="6" t="s">
        <v>1452</v>
      </c>
      <c r="E284" s="6" t="s">
        <v>2241</v>
      </c>
      <c r="F284" s="8">
        <v>0</v>
      </c>
      <c r="G284" s="6" t="s">
        <v>2237</v>
      </c>
      <c r="H284" s="8">
        <v>0</v>
      </c>
      <c r="I284" s="6" t="s">
        <v>2237</v>
      </c>
      <c r="J284" s="8">
        <v>0</v>
      </c>
      <c r="K284" s="6" t="s">
        <v>2237</v>
      </c>
      <c r="L284" s="8">
        <v>0</v>
      </c>
      <c r="M284" s="6" t="s">
        <v>2237</v>
      </c>
      <c r="N284" s="8">
        <v>172456</v>
      </c>
      <c r="O284" s="6" t="s">
        <v>2237</v>
      </c>
      <c r="P284" s="6" t="s">
        <v>2236</v>
      </c>
      <c r="Q284" s="9" t="s">
        <v>2242</v>
      </c>
      <c r="R284" s="9" t="s">
        <v>2238</v>
      </c>
      <c r="S284" s="9" t="s">
        <v>2243</v>
      </c>
      <c r="T284" s="9" t="s">
        <v>2327</v>
      </c>
      <c r="U28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E540-30101070208-D245401</v>
      </c>
      <c r="Z28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4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84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5" spans="1:31" x14ac:dyDescent="0.3">
      <c r="A285" s="6" t="s">
        <v>2591</v>
      </c>
      <c r="B285" s="6" t="s">
        <v>30</v>
      </c>
      <c r="C285" s="6" t="s">
        <v>1449</v>
      </c>
      <c r="D285" s="6" t="s">
        <v>1450</v>
      </c>
      <c r="E285" s="6" t="s">
        <v>2241</v>
      </c>
      <c r="F285" s="8">
        <v>0</v>
      </c>
      <c r="G285" s="6" t="s">
        <v>2237</v>
      </c>
      <c r="H285" s="8">
        <v>0</v>
      </c>
      <c r="I285" s="6" t="s">
        <v>2237</v>
      </c>
      <c r="J285" s="8">
        <v>0</v>
      </c>
      <c r="K285" s="6" t="s">
        <v>2237</v>
      </c>
      <c r="L285" s="8">
        <v>44864.5</v>
      </c>
      <c r="M285" s="6" t="s">
        <v>2237</v>
      </c>
      <c r="N285" s="8">
        <v>297688.5</v>
      </c>
      <c r="O285" s="6" t="s">
        <v>2237</v>
      </c>
      <c r="P285" s="6" t="s">
        <v>2236</v>
      </c>
      <c r="Q285" s="9" t="s">
        <v>2242</v>
      </c>
      <c r="R285" s="9" t="s">
        <v>2238</v>
      </c>
      <c r="S285" s="9" t="s">
        <v>2243</v>
      </c>
      <c r="T285" s="9" t="s">
        <v>2327</v>
      </c>
      <c r="U28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E540-30101070207-D245401</v>
      </c>
      <c r="Z28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5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85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6" spans="1:31" x14ac:dyDescent="0.3">
      <c r="A286" s="6" t="s">
        <v>2592</v>
      </c>
      <c r="B286" s="6" t="s">
        <v>30</v>
      </c>
      <c r="C286" s="6" t="s">
        <v>1447</v>
      </c>
      <c r="D286" s="6" t="s">
        <v>1448</v>
      </c>
      <c r="E286" s="6" t="s">
        <v>2241</v>
      </c>
      <c r="F286" s="8">
        <v>0</v>
      </c>
      <c r="G286" s="6" t="s">
        <v>2237</v>
      </c>
      <c r="H286" s="8">
        <v>0</v>
      </c>
      <c r="I286" s="6" t="s">
        <v>2237</v>
      </c>
      <c r="J286" s="8">
        <v>0</v>
      </c>
      <c r="K286" s="6" t="s">
        <v>2237</v>
      </c>
      <c r="L286" s="8">
        <v>0</v>
      </c>
      <c r="M286" s="6" t="s">
        <v>2237</v>
      </c>
      <c r="N286" s="8">
        <v>337932.78</v>
      </c>
      <c r="O286" s="6" t="s">
        <v>2237</v>
      </c>
      <c r="P286" s="6" t="s">
        <v>2236</v>
      </c>
      <c r="Q286" s="9" t="s">
        <v>2242</v>
      </c>
      <c r="R286" s="9" t="s">
        <v>2238</v>
      </c>
      <c r="S286" s="9" t="s">
        <v>2243</v>
      </c>
      <c r="T286" s="9" t="s">
        <v>2327</v>
      </c>
      <c r="U28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E540-30101070205-D245401</v>
      </c>
      <c r="Z28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6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86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7" spans="1:31" x14ac:dyDescent="0.3">
      <c r="A287" s="6" t="s">
        <v>2593</v>
      </c>
      <c r="B287" s="6" t="s">
        <v>30</v>
      </c>
      <c r="C287" s="6" t="s">
        <v>1445</v>
      </c>
      <c r="D287" s="6" t="s">
        <v>1446</v>
      </c>
      <c r="E287" s="6" t="s">
        <v>2241</v>
      </c>
      <c r="F287" s="8">
        <v>0</v>
      </c>
      <c r="G287" s="6" t="s">
        <v>2237</v>
      </c>
      <c r="H287" s="8">
        <v>0</v>
      </c>
      <c r="I287" s="6" t="s">
        <v>2237</v>
      </c>
      <c r="J287" s="8">
        <v>0</v>
      </c>
      <c r="K287" s="6" t="s">
        <v>2237</v>
      </c>
      <c r="L287" s="8">
        <v>0</v>
      </c>
      <c r="M287" s="6" t="s">
        <v>2237</v>
      </c>
      <c r="N287" s="8">
        <v>795</v>
      </c>
      <c r="O287" s="6" t="s">
        <v>2237</v>
      </c>
      <c r="P287" s="6" t="s">
        <v>2236</v>
      </c>
      <c r="Q287" s="9" t="s">
        <v>2242</v>
      </c>
      <c r="R287" s="9" t="s">
        <v>2238</v>
      </c>
      <c r="S287" s="9" t="s">
        <v>2243</v>
      </c>
      <c r="T287" s="9" t="s">
        <v>2327</v>
      </c>
      <c r="U28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E540-301010702-D245401</v>
      </c>
      <c r="Y28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E540-30101070204-D245401</v>
      </c>
      <c r="Z28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87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87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8" spans="1:31" x14ac:dyDescent="0.3">
      <c r="A288" s="6" t="s">
        <v>2594</v>
      </c>
      <c r="B288" s="6" t="s">
        <v>26</v>
      </c>
      <c r="C288" s="6" t="s">
        <v>934</v>
      </c>
      <c r="D288" s="6" t="s">
        <v>935</v>
      </c>
      <c r="E288" s="6" t="s">
        <v>2241</v>
      </c>
      <c r="F288" s="8">
        <v>44000</v>
      </c>
      <c r="G288" s="6" t="s">
        <v>2237</v>
      </c>
      <c r="H288" s="8">
        <v>44000</v>
      </c>
      <c r="I288" s="6" t="s">
        <v>2237</v>
      </c>
      <c r="J288" s="8">
        <v>0</v>
      </c>
      <c r="K288" s="6" t="s">
        <v>2237</v>
      </c>
      <c r="L288" s="8">
        <v>0</v>
      </c>
      <c r="M288" s="6" t="s">
        <v>2237</v>
      </c>
      <c r="N288" s="8">
        <v>589.91999999999996</v>
      </c>
      <c r="O288" s="6" t="s">
        <v>2237</v>
      </c>
      <c r="P288" s="6" t="s">
        <v>2236</v>
      </c>
      <c r="Q288" s="9" t="s">
        <v>2242</v>
      </c>
      <c r="R288" s="9" t="s">
        <v>2238</v>
      </c>
      <c r="S288" s="9" t="s">
        <v>2243</v>
      </c>
      <c r="T288" s="9" t="s">
        <v>2244</v>
      </c>
      <c r="U28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E540-301010701-D245401</v>
      </c>
      <c r="Y2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8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88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89" spans="1:31" x14ac:dyDescent="0.3">
      <c r="A289" s="6" t="s">
        <v>2595</v>
      </c>
      <c r="B289" s="6" t="s">
        <v>30</v>
      </c>
      <c r="C289" s="6" t="s">
        <v>1443</v>
      </c>
      <c r="D289" s="6" t="s">
        <v>1444</v>
      </c>
      <c r="E289" s="6" t="s">
        <v>2241</v>
      </c>
      <c r="F289" s="8">
        <v>0</v>
      </c>
      <c r="G289" s="6" t="s">
        <v>2237</v>
      </c>
      <c r="H289" s="8">
        <v>0</v>
      </c>
      <c r="I289" s="6" t="s">
        <v>2237</v>
      </c>
      <c r="J289" s="8">
        <v>0</v>
      </c>
      <c r="K289" s="6" t="s">
        <v>2237</v>
      </c>
      <c r="L289" s="8">
        <v>0</v>
      </c>
      <c r="M289" s="6" t="s">
        <v>2237</v>
      </c>
      <c r="N289" s="8">
        <v>589.91999999999996</v>
      </c>
      <c r="O289" s="6" t="s">
        <v>2237</v>
      </c>
      <c r="P289" s="6" t="s">
        <v>2236</v>
      </c>
      <c r="Q289" s="9" t="s">
        <v>2242</v>
      </c>
      <c r="R289" s="9" t="s">
        <v>2238</v>
      </c>
      <c r="S289" s="9" t="s">
        <v>2243</v>
      </c>
      <c r="T289" s="9" t="s">
        <v>2327</v>
      </c>
      <c r="U28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8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8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8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E540-301010701-D245401</v>
      </c>
      <c r="Y28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E540-30101070160-D245401</v>
      </c>
      <c r="Z28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8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8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89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89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8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0" spans="1:31" x14ac:dyDescent="0.3">
      <c r="A290" s="6" t="s">
        <v>2596</v>
      </c>
      <c r="B290" s="6" t="s">
        <v>26</v>
      </c>
      <c r="C290" s="6" t="s">
        <v>938</v>
      </c>
      <c r="D290" s="6" t="s">
        <v>939</v>
      </c>
      <c r="E290" s="6" t="s">
        <v>2241</v>
      </c>
      <c r="F290" s="8">
        <v>919639</v>
      </c>
      <c r="G290" s="6" t="s">
        <v>2237</v>
      </c>
      <c r="H290" s="8">
        <v>919639</v>
      </c>
      <c r="I290" s="6" t="s">
        <v>2237</v>
      </c>
      <c r="J290" s="8">
        <v>0</v>
      </c>
      <c r="K290" s="6" t="s">
        <v>2237</v>
      </c>
      <c r="L290" s="8">
        <v>0</v>
      </c>
      <c r="M290" s="6" t="s">
        <v>2237</v>
      </c>
      <c r="N290" s="8">
        <v>607315.17000000004</v>
      </c>
      <c r="O290" s="6" t="s">
        <v>2237</v>
      </c>
      <c r="P290" s="6" t="s">
        <v>2236</v>
      </c>
      <c r="Q290" s="9" t="s">
        <v>2242</v>
      </c>
      <c r="R290" s="9" t="s">
        <v>2238</v>
      </c>
      <c r="S290" s="9" t="s">
        <v>2243</v>
      </c>
      <c r="T290" s="9" t="s">
        <v>2244</v>
      </c>
      <c r="U29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9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E540-301010761-D245401</v>
      </c>
      <c r="Y2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9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90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9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1" spans="1:31" x14ac:dyDescent="0.3">
      <c r="A291" s="6" t="s">
        <v>2597</v>
      </c>
      <c r="B291" s="6" t="s">
        <v>30</v>
      </c>
      <c r="C291" s="6" t="s">
        <v>1497</v>
      </c>
      <c r="D291" s="6" t="s">
        <v>1498</v>
      </c>
      <c r="E291" s="6" t="s">
        <v>2241</v>
      </c>
      <c r="F291" s="8">
        <v>0</v>
      </c>
      <c r="G291" s="6" t="s">
        <v>2237</v>
      </c>
      <c r="H291" s="8">
        <v>0</v>
      </c>
      <c r="I291" s="6" t="s">
        <v>2237</v>
      </c>
      <c r="J291" s="8">
        <v>0</v>
      </c>
      <c r="K291" s="6" t="s">
        <v>2237</v>
      </c>
      <c r="L291" s="8">
        <v>0</v>
      </c>
      <c r="M291" s="6" t="s">
        <v>2237</v>
      </c>
      <c r="N291" s="8">
        <v>0</v>
      </c>
      <c r="O291" s="6" t="s">
        <v>2237</v>
      </c>
      <c r="P291" s="6" t="s">
        <v>2236</v>
      </c>
      <c r="Q291" s="9" t="s">
        <v>2242</v>
      </c>
      <c r="R291" s="9" t="s">
        <v>2238</v>
      </c>
      <c r="S291" s="9" t="s">
        <v>2243</v>
      </c>
      <c r="T291" s="9" t="s">
        <v>2327</v>
      </c>
      <c r="U29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9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E540-301010761-D245401</v>
      </c>
      <c r="Y29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E540-30101076193-D245401</v>
      </c>
      <c r="Z29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91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91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9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2" spans="1:31" x14ac:dyDescent="0.3">
      <c r="A292" s="6" t="s">
        <v>2598</v>
      </c>
      <c r="B292" s="6" t="s">
        <v>30</v>
      </c>
      <c r="C292" s="6" t="s">
        <v>1493</v>
      </c>
      <c r="D292" s="6" t="s">
        <v>1494</v>
      </c>
      <c r="E292" s="6" t="s">
        <v>2241</v>
      </c>
      <c r="F292" s="8">
        <v>0</v>
      </c>
      <c r="G292" s="6" t="s">
        <v>2237</v>
      </c>
      <c r="H292" s="8">
        <v>0</v>
      </c>
      <c r="I292" s="6" t="s">
        <v>2237</v>
      </c>
      <c r="J292" s="8">
        <v>0</v>
      </c>
      <c r="K292" s="6" t="s">
        <v>2237</v>
      </c>
      <c r="L292" s="8">
        <v>0</v>
      </c>
      <c r="M292" s="6" t="s">
        <v>2237</v>
      </c>
      <c r="N292" s="8">
        <v>100429.12</v>
      </c>
      <c r="O292" s="6" t="s">
        <v>2237</v>
      </c>
      <c r="P292" s="6" t="s">
        <v>2236</v>
      </c>
      <c r="Q292" s="9" t="s">
        <v>2242</v>
      </c>
      <c r="R292" s="9" t="s">
        <v>2238</v>
      </c>
      <c r="S292" s="9" t="s">
        <v>2243</v>
      </c>
      <c r="T292" s="9" t="s">
        <v>2327</v>
      </c>
      <c r="U29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9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E540-301010761-D245401</v>
      </c>
      <c r="Y29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E540-30101076118-D245401</v>
      </c>
      <c r="Z29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92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92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9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3" spans="1:31" x14ac:dyDescent="0.3">
      <c r="A293" s="6" t="s">
        <v>2599</v>
      </c>
      <c r="B293" s="6" t="s">
        <v>30</v>
      </c>
      <c r="C293" s="6" t="s">
        <v>1495</v>
      </c>
      <c r="D293" s="6" t="s">
        <v>1496</v>
      </c>
      <c r="E293" s="6" t="s">
        <v>2241</v>
      </c>
      <c r="F293" s="8">
        <v>0</v>
      </c>
      <c r="G293" s="6" t="s">
        <v>2237</v>
      </c>
      <c r="H293" s="8">
        <v>0</v>
      </c>
      <c r="I293" s="6" t="s">
        <v>2237</v>
      </c>
      <c r="J293" s="8">
        <v>0</v>
      </c>
      <c r="K293" s="6" t="s">
        <v>2237</v>
      </c>
      <c r="L293" s="8">
        <v>0</v>
      </c>
      <c r="M293" s="6" t="s">
        <v>2237</v>
      </c>
      <c r="N293" s="8">
        <v>0</v>
      </c>
      <c r="O293" s="6" t="s">
        <v>2237</v>
      </c>
      <c r="P293" s="6" t="s">
        <v>2236</v>
      </c>
      <c r="Q293" s="9" t="s">
        <v>2242</v>
      </c>
      <c r="R293" s="9" t="s">
        <v>2238</v>
      </c>
      <c r="S293" s="9" t="s">
        <v>2243</v>
      </c>
      <c r="T293" s="9" t="s">
        <v>2327</v>
      </c>
      <c r="U29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9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E540-301010761-D245401</v>
      </c>
      <c r="Y29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E540-30101076162-D245401</v>
      </c>
      <c r="Z29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93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93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9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4" spans="1:31" x14ac:dyDescent="0.3">
      <c r="A294" s="6" t="s">
        <v>2600</v>
      </c>
      <c r="B294" s="6" t="s">
        <v>30</v>
      </c>
      <c r="C294" s="6" t="s">
        <v>1491</v>
      </c>
      <c r="D294" s="6" t="s">
        <v>1492</v>
      </c>
      <c r="E294" s="6" t="s">
        <v>2241</v>
      </c>
      <c r="F294" s="8">
        <v>0</v>
      </c>
      <c r="G294" s="6" t="s">
        <v>2237</v>
      </c>
      <c r="H294" s="8">
        <v>0</v>
      </c>
      <c r="I294" s="6" t="s">
        <v>2237</v>
      </c>
      <c r="J294" s="8">
        <v>0</v>
      </c>
      <c r="K294" s="6" t="s">
        <v>2237</v>
      </c>
      <c r="L294" s="8">
        <v>0</v>
      </c>
      <c r="M294" s="6" t="s">
        <v>2237</v>
      </c>
      <c r="N294" s="8">
        <v>71550.58</v>
      </c>
      <c r="O294" s="6" t="s">
        <v>2237</v>
      </c>
      <c r="P294" s="6" t="s">
        <v>2236</v>
      </c>
      <c r="Q294" s="9" t="s">
        <v>2242</v>
      </c>
      <c r="R294" s="9" t="s">
        <v>2238</v>
      </c>
      <c r="S294" s="9" t="s">
        <v>2243</v>
      </c>
      <c r="T294" s="9" t="s">
        <v>2327</v>
      </c>
      <c r="U29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9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E540-301010761-D245401</v>
      </c>
      <c r="Y29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E540-30101076102-D245401</v>
      </c>
      <c r="Z29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94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294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9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5" spans="1:31" x14ac:dyDescent="0.3">
      <c r="A295" s="6" t="s">
        <v>2601</v>
      </c>
      <c r="B295" s="6" t="s">
        <v>30</v>
      </c>
      <c r="C295" s="6" t="s">
        <v>1489</v>
      </c>
      <c r="D295" s="6" t="s">
        <v>1490</v>
      </c>
      <c r="E295" s="6" t="s">
        <v>2241</v>
      </c>
      <c r="F295" s="8">
        <v>0</v>
      </c>
      <c r="G295" s="6" t="s">
        <v>2237</v>
      </c>
      <c r="H295" s="8">
        <v>0</v>
      </c>
      <c r="I295" s="6" t="s">
        <v>2237</v>
      </c>
      <c r="J295" s="8">
        <v>0</v>
      </c>
      <c r="K295" s="6" t="s">
        <v>2237</v>
      </c>
      <c r="L295" s="8">
        <v>0</v>
      </c>
      <c r="M295" s="6" t="s">
        <v>2237</v>
      </c>
      <c r="N295" s="8">
        <v>435335.47</v>
      </c>
      <c r="O295" s="6" t="s">
        <v>2237</v>
      </c>
      <c r="P295" s="6" t="s">
        <v>2236</v>
      </c>
      <c r="Q295" s="9" t="s">
        <v>2242</v>
      </c>
      <c r="R295" s="9" t="s">
        <v>2238</v>
      </c>
      <c r="S295" s="9" t="s">
        <v>2243</v>
      </c>
      <c r="T295" s="9" t="s">
        <v>2327</v>
      </c>
      <c r="U29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E540-3010107-D245401</v>
      </c>
      <c r="X29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E540-301010761-D245401</v>
      </c>
      <c r="Y29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E540-30101076101-D245401</v>
      </c>
      <c r="Z29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95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95" s="10" t="str">
        <f>IF(IFERROR(INDEX(WBS_Dictionary!N$2:N$1212, MATCH(Table2[[#This Row],[WBS_ID]], Table26[WBS CODE],0)), "") = "", "null", IFERROR(INDEX(WBS_Dictionary!N$2:N$1212, MATCH(Table2[[#This Row],[WBS_ID]], Table26[WBS CODE],0)), ""))</f>
        <v>AWI 21-8</v>
      </c>
      <c r="AE29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6" spans="1:31" x14ac:dyDescent="0.3">
      <c r="A296" s="6" t="s">
        <v>2602</v>
      </c>
      <c r="B296" s="6" t="s">
        <v>21</v>
      </c>
      <c r="C296" s="6" t="s">
        <v>836</v>
      </c>
      <c r="D296" s="6" t="s">
        <v>837</v>
      </c>
      <c r="E296" s="6" t="s">
        <v>2241</v>
      </c>
      <c r="F296" s="8">
        <v>4399338</v>
      </c>
      <c r="G296" s="6" t="s">
        <v>2237</v>
      </c>
      <c r="H296" s="8">
        <v>4399338</v>
      </c>
      <c r="I296" s="6" t="s">
        <v>2237</v>
      </c>
      <c r="J296" s="8">
        <v>0</v>
      </c>
      <c r="K296" s="6" t="s">
        <v>2237</v>
      </c>
      <c r="L296" s="8">
        <v>246888.55</v>
      </c>
      <c r="M296" s="6" t="s">
        <v>2237</v>
      </c>
      <c r="N296" s="8">
        <v>3669854.19</v>
      </c>
      <c r="O296" s="6" t="s">
        <v>2237</v>
      </c>
      <c r="P296" s="6" t="s">
        <v>2236</v>
      </c>
      <c r="Q296" s="9" t="s">
        <v>2242</v>
      </c>
      <c r="R296" s="9" t="s">
        <v>2238</v>
      </c>
      <c r="S296" s="9" t="s">
        <v>2243</v>
      </c>
      <c r="T296" s="9" t="s">
        <v>2244</v>
      </c>
      <c r="U29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2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9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96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29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7" spans="1:31" x14ac:dyDescent="0.3">
      <c r="A297" s="6" t="s">
        <v>2603</v>
      </c>
      <c r="B297" s="6" t="s">
        <v>26</v>
      </c>
      <c r="C297" s="6" t="s">
        <v>930</v>
      </c>
      <c r="D297" s="6" t="s">
        <v>931</v>
      </c>
      <c r="E297" s="6" t="s">
        <v>2241</v>
      </c>
      <c r="F297" s="8">
        <v>3100864</v>
      </c>
      <c r="G297" s="6" t="s">
        <v>2237</v>
      </c>
      <c r="H297" s="8">
        <v>3100864</v>
      </c>
      <c r="I297" s="6" t="s">
        <v>2237</v>
      </c>
      <c r="J297" s="8">
        <v>0</v>
      </c>
      <c r="K297" s="6" t="s">
        <v>2237</v>
      </c>
      <c r="L297" s="8">
        <v>246888.55</v>
      </c>
      <c r="M297" s="6" t="s">
        <v>2237</v>
      </c>
      <c r="N297" s="8">
        <v>2775030.69</v>
      </c>
      <c r="O297" s="6" t="s">
        <v>2237</v>
      </c>
      <c r="P297" s="6" t="s">
        <v>2236</v>
      </c>
      <c r="Q297" s="9" t="s">
        <v>2242</v>
      </c>
      <c r="R297" s="9" t="s">
        <v>2238</v>
      </c>
      <c r="S297" s="9" t="s">
        <v>2243</v>
      </c>
      <c r="T297" s="9" t="s">
        <v>2256</v>
      </c>
      <c r="U29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29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2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9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97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29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8" spans="1:31" x14ac:dyDescent="0.3">
      <c r="A298" s="6" t="s">
        <v>2604</v>
      </c>
      <c r="B298" s="6" t="s">
        <v>30</v>
      </c>
      <c r="C298" s="6" t="s">
        <v>1419</v>
      </c>
      <c r="D298" s="6" t="s">
        <v>1420</v>
      </c>
      <c r="E298" s="6" t="s">
        <v>2241</v>
      </c>
      <c r="F298" s="8">
        <v>0</v>
      </c>
      <c r="G298" s="6" t="s">
        <v>2237</v>
      </c>
      <c r="H298" s="8">
        <v>0</v>
      </c>
      <c r="I298" s="6" t="s">
        <v>2237</v>
      </c>
      <c r="J298" s="8">
        <v>0</v>
      </c>
      <c r="K298" s="6" t="s">
        <v>2237</v>
      </c>
      <c r="L298" s="8">
        <v>0</v>
      </c>
      <c r="M298" s="6" t="s">
        <v>2237</v>
      </c>
      <c r="N298" s="8">
        <v>553353.43999999994</v>
      </c>
      <c r="O298" s="6" t="s">
        <v>2237</v>
      </c>
      <c r="P298" s="6" t="s">
        <v>2236</v>
      </c>
      <c r="Q298" s="9" t="s">
        <v>2242</v>
      </c>
      <c r="R298" s="9" t="s">
        <v>2238</v>
      </c>
      <c r="S298" s="9" t="s">
        <v>2243</v>
      </c>
      <c r="T298" s="9" t="s">
        <v>2327</v>
      </c>
      <c r="U29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29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29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E540-30101060245-D245401</v>
      </c>
      <c r="Z29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98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298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29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99" spans="1:31" x14ac:dyDescent="0.3">
      <c r="A299" s="6" t="s">
        <v>2605</v>
      </c>
      <c r="B299" s="6" t="s">
        <v>30</v>
      </c>
      <c r="C299" s="6" t="s">
        <v>1417</v>
      </c>
      <c r="D299" s="6" t="s">
        <v>1418</v>
      </c>
      <c r="E299" s="6" t="s">
        <v>2241</v>
      </c>
      <c r="F299" s="8">
        <v>0</v>
      </c>
      <c r="G299" s="6" t="s">
        <v>2237</v>
      </c>
      <c r="H299" s="8">
        <v>0</v>
      </c>
      <c r="I299" s="6" t="s">
        <v>2237</v>
      </c>
      <c r="J299" s="8">
        <v>0</v>
      </c>
      <c r="K299" s="6" t="s">
        <v>2237</v>
      </c>
      <c r="L299" s="8">
        <v>5808.94</v>
      </c>
      <c r="M299" s="6" t="s">
        <v>2237</v>
      </c>
      <c r="N299" s="8">
        <v>5122.93</v>
      </c>
      <c r="O299" s="6" t="s">
        <v>2237</v>
      </c>
      <c r="P299" s="6" t="s">
        <v>2236</v>
      </c>
      <c r="Q299" s="9" t="s">
        <v>2242</v>
      </c>
      <c r="R299" s="9" t="s">
        <v>2238</v>
      </c>
      <c r="S299" s="9" t="s">
        <v>2243</v>
      </c>
      <c r="T299" s="9" t="s">
        <v>2327</v>
      </c>
      <c r="U29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29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29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29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29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E540-30101060224-D245401</v>
      </c>
      <c r="Z29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9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9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99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99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29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0" spans="1:31" x14ac:dyDescent="0.3">
      <c r="A300" s="6" t="s">
        <v>2606</v>
      </c>
      <c r="B300" s="6" t="s">
        <v>30</v>
      </c>
      <c r="C300" s="6" t="s">
        <v>1431</v>
      </c>
      <c r="D300" s="6" t="s">
        <v>1432</v>
      </c>
      <c r="E300" s="6" t="s">
        <v>2241</v>
      </c>
      <c r="F300" s="8">
        <v>0</v>
      </c>
      <c r="G300" s="6" t="s">
        <v>2237</v>
      </c>
      <c r="H300" s="8">
        <v>0</v>
      </c>
      <c r="I300" s="6" t="s">
        <v>2237</v>
      </c>
      <c r="J300" s="8">
        <v>0</v>
      </c>
      <c r="K300" s="6" t="s">
        <v>2237</v>
      </c>
      <c r="L300" s="8">
        <v>29132.13</v>
      </c>
      <c r="M300" s="6" t="s">
        <v>2237</v>
      </c>
      <c r="N300" s="8">
        <v>15034.32</v>
      </c>
      <c r="O300" s="6" t="s">
        <v>2237</v>
      </c>
      <c r="P300" s="6" t="s">
        <v>2236</v>
      </c>
      <c r="Q300" s="9" t="s">
        <v>2242</v>
      </c>
      <c r="R300" s="9" t="s">
        <v>2238</v>
      </c>
      <c r="S300" s="9" t="s">
        <v>2243</v>
      </c>
      <c r="T300" s="9" t="s">
        <v>2327</v>
      </c>
      <c r="U30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E540-30101060298-D245401</v>
      </c>
      <c r="Z30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0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300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1" spans="1:31" x14ac:dyDescent="0.3">
      <c r="A301" s="6" t="s">
        <v>2607</v>
      </c>
      <c r="B301" s="6" t="s">
        <v>30</v>
      </c>
      <c r="C301" s="6" t="s">
        <v>1429</v>
      </c>
      <c r="D301" s="6" t="s">
        <v>1430</v>
      </c>
      <c r="E301" s="6" t="s">
        <v>2241</v>
      </c>
      <c r="F301" s="8">
        <v>0</v>
      </c>
      <c r="G301" s="6" t="s">
        <v>2237</v>
      </c>
      <c r="H301" s="8">
        <v>0</v>
      </c>
      <c r="I301" s="6" t="s">
        <v>2237</v>
      </c>
      <c r="J301" s="8">
        <v>0</v>
      </c>
      <c r="K301" s="6" t="s">
        <v>2237</v>
      </c>
      <c r="L301" s="8">
        <v>0</v>
      </c>
      <c r="M301" s="6" t="s">
        <v>2237</v>
      </c>
      <c r="N301" s="8">
        <v>0</v>
      </c>
      <c r="O301" s="6" t="s">
        <v>2237</v>
      </c>
      <c r="P301" s="6" t="s">
        <v>2236</v>
      </c>
      <c r="Q301" s="9" t="s">
        <v>2242</v>
      </c>
      <c r="R301" s="9" t="s">
        <v>2238</v>
      </c>
      <c r="S301" s="9" t="s">
        <v>2243</v>
      </c>
      <c r="T301" s="9" t="s">
        <v>2327</v>
      </c>
      <c r="U30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E540-30101060297-D245401</v>
      </c>
      <c r="Z3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1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301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2" spans="1:31" x14ac:dyDescent="0.3">
      <c r="A302" s="6" t="s">
        <v>2608</v>
      </c>
      <c r="B302" s="6" t="s">
        <v>30</v>
      </c>
      <c r="C302" s="6" t="s">
        <v>1427</v>
      </c>
      <c r="D302" s="6" t="s">
        <v>1428</v>
      </c>
      <c r="E302" s="6" t="s">
        <v>2241</v>
      </c>
      <c r="F302" s="8">
        <v>0</v>
      </c>
      <c r="G302" s="6" t="s">
        <v>2237</v>
      </c>
      <c r="H302" s="8">
        <v>0</v>
      </c>
      <c r="I302" s="6" t="s">
        <v>2237</v>
      </c>
      <c r="J302" s="8">
        <v>0</v>
      </c>
      <c r="K302" s="6" t="s">
        <v>2237</v>
      </c>
      <c r="L302" s="8">
        <v>0</v>
      </c>
      <c r="M302" s="6" t="s">
        <v>2237</v>
      </c>
      <c r="N302" s="8">
        <v>0</v>
      </c>
      <c r="O302" s="6" t="s">
        <v>2237</v>
      </c>
      <c r="P302" s="6" t="s">
        <v>2236</v>
      </c>
      <c r="Q302" s="9" t="s">
        <v>2242</v>
      </c>
      <c r="R302" s="9" t="s">
        <v>2238</v>
      </c>
      <c r="S302" s="9" t="s">
        <v>2243</v>
      </c>
      <c r="T302" s="9" t="s">
        <v>2327</v>
      </c>
      <c r="U30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E540-30101060296-D245401</v>
      </c>
      <c r="Z3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2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302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3" spans="1:31" x14ac:dyDescent="0.3">
      <c r="A303" s="6" t="s">
        <v>2609</v>
      </c>
      <c r="B303" s="6" t="s">
        <v>30</v>
      </c>
      <c r="C303" s="6" t="s">
        <v>1425</v>
      </c>
      <c r="D303" s="6" t="s">
        <v>1426</v>
      </c>
      <c r="E303" s="6" t="s">
        <v>2241</v>
      </c>
      <c r="F303" s="8">
        <v>0</v>
      </c>
      <c r="G303" s="6" t="s">
        <v>2237</v>
      </c>
      <c r="H303" s="8">
        <v>0</v>
      </c>
      <c r="I303" s="6" t="s">
        <v>2237</v>
      </c>
      <c r="J303" s="8">
        <v>0</v>
      </c>
      <c r="K303" s="6" t="s">
        <v>2237</v>
      </c>
      <c r="L303" s="8">
        <v>0</v>
      </c>
      <c r="M303" s="6" t="s">
        <v>2237</v>
      </c>
      <c r="N303" s="8">
        <v>0</v>
      </c>
      <c r="O303" s="6" t="s">
        <v>2237</v>
      </c>
      <c r="P303" s="6" t="s">
        <v>2236</v>
      </c>
      <c r="Q303" s="9" t="s">
        <v>2242</v>
      </c>
      <c r="R303" s="9" t="s">
        <v>2238</v>
      </c>
      <c r="S303" s="9" t="s">
        <v>2243</v>
      </c>
      <c r="T303" s="9" t="s">
        <v>2327</v>
      </c>
      <c r="U30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E540-30101060295-D245401</v>
      </c>
      <c r="Z3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3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303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4" spans="1:31" x14ac:dyDescent="0.3">
      <c r="A304" s="6" t="s">
        <v>2610</v>
      </c>
      <c r="B304" s="6" t="s">
        <v>30</v>
      </c>
      <c r="C304" s="6" t="s">
        <v>1423</v>
      </c>
      <c r="D304" s="6" t="s">
        <v>1424</v>
      </c>
      <c r="E304" s="6" t="s">
        <v>2241</v>
      </c>
      <c r="F304" s="8">
        <v>0</v>
      </c>
      <c r="G304" s="6" t="s">
        <v>2237</v>
      </c>
      <c r="H304" s="8">
        <v>0</v>
      </c>
      <c r="I304" s="6" t="s">
        <v>2237</v>
      </c>
      <c r="J304" s="8">
        <v>0</v>
      </c>
      <c r="K304" s="6" t="s">
        <v>2237</v>
      </c>
      <c r="L304" s="8">
        <v>42735.06</v>
      </c>
      <c r="M304" s="6" t="s">
        <v>2237</v>
      </c>
      <c r="N304" s="8">
        <v>19673.310000000001</v>
      </c>
      <c r="O304" s="6" t="s">
        <v>2237</v>
      </c>
      <c r="P304" s="6" t="s">
        <v>2236</v>
      </c>
      <c r="Q304" s="9" t="s">
        <v>2242</v>
      </c>
      <c r="R304" s="9" t="s">
        <v>2238</v>
      </c>
      <c r="S304" s="9" t="s">
        <v>2243</v>
      </c>
      <c r="T304" s="9" t="s">
        <v>2327</v>
      </c>
      <c r="U30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E540-30101060294-D245401</v>
      </c>
      <c r="Z3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4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304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5" spans="1:31" x14ac:dyDescent="0.3">
      <c r="A305" s="6" t="s">
        <v>2611</v>
      </c>
      <c r="B305" s="6" t="s">
        <v>30</v>
      </c>
      <c r="C305" s="6" t="s">
        <v>2612</v>
      </c>
      <c r="D305" s="6" t="s">
        <v>1416</v>
      </c>
      <c r="E305" s="6" t="s">
        <v>2241</v>
      </c>
      <c r="F305" s="8">
        <v>0</v>
      </c>
      <c r="G305" s="6" t="s">
        <v>2237</v>
      </c>
      <c r="H305" s="8">
        <v>0</v>
      </c>
      <c r="I305" s="6" t="s">
        <v>2237</v>
      </c>
      <c r="J305" s="8">
        <v>0</v>
      </c>
      <c r="K305" s="6" t="s">
        <v>2237</v>
      </c>
      <c r="L305" s="8">
        <v>4145.72</v>
      </c>
      <c r="M305" s="6" t="s">
        <v>2237</v>
      </c>
      <c r="N305" s="8">
        <v>6928.95</v>
      </c>
      <c r="O305" s="6" t="s">
        <v>2237</v>
      </c>
      <c r="P305" s="6" t="s">
        <v>2236</v>
      </c>
      <c r="Q305" s="9" t="s">
        <v>2242</v>
      </c>
      <c r="R305" s="9" t="s">
        <v>2238</v>
      </c>
      <c r="S305" s="9" t="s">
        <v>2243</v>
      </c>
      <c r="T305" s="9" t="s">
        <v>2327</v>
      </c>
      <c r="U30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E540-30101060220-D245401</v>
      </c>
      <c r="Z3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5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305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6" spans="1:31" x14ac:dyDescent="0.3">
      <c r="A306" s="6" t="s">
        <v>2613</v>
      </c>
      <c r="B306" s="6" t="s">
        <v>30</v>
      </c>
      <c r="C306" s="6" t="s">
        <v>1413</v>
      </c>
      <c r="D306" s="6" t="s">
        <v>1414</v>
      </c>
      <c r="E306" s="6" t="s">
        <v>2241</v>
      </c>
      <c r="F306" s="8">
        <v>0</v>
      </c>
      <c r="G306" s="6" t="s">
        <v>2237</v>
      </c>
      <c r="H306" s="8">
        <v>0</v>
      </c>
      <c r="I306" s="6" t="s">
        <v>2237</v>
      </c>
      <c r="J306" s="8">
        <v>0</v>
      </c>
      <c r="K306" s="6" t="s">
        <v>2237</v>
      </c>
      <c r="L306" s="8">
        <v>0</v>
      </c>
      <c r="M306" s="6" t="s">
        <v>2237</v>
      </c>
      <c r="N306" s="8">
        <v>0</v>
      </c>
      <c r="O306" s="6" t="s">
        <v>2237</v>
      </c>
      <c r="P306" s="6" t="s">
        <v>2236</v>
      </c>
      <c r="Q306" s="9" t="s">
        <v>2242</v>
      </c>
      <c r="R306" s="9" t="s">
        <v>2238</v>
      </c>
      <c r="S306" s="9" t="s">
        <v>2243</v>
      </c>
      <c r="T306" s="9" t="s">
        <v>2327</v>
      </c>
      <c r="U30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E540-30101060217-D245401</v>
      </c>
      <c r="Z3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6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306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7" spans="1:31" x14ac:dyDescent="0.3">
      <c r="A307" s="6" t="s">
        <v>2614</v>
      </c>
      <c r="B307" s="6" t="s">
        <v>30</v>
      </c>
      <c r="C307" s="6" t="s">
        <v>1411</v>
      </c>
      <c r="D307" s="6" t="s">
        <v>1412</v>
      </c>
      <c r="E307" s="6" t="s">
        <v>2241</v>
      </c>
      <c r="F307" s="8">
        <v>0</v>
      </c>
      <c r="G307" s="6" t="s">
        <v>2237</v>
      </c>
      <c r="H307" s="8">
        <v>0</v>
      </c>
      <c r="I307" s="6" t="s">
        <v>2237</v>
      </c>
      <c r="J307" s="8">
        <v>0</v>
      </c>
      <c r="K307" s="6" t="s">
        <v>2237</v>
      </c>
      <c r="L307" s="8">
        <v>8255.9500000000007</v>
      </c>
      <c r="M307" s="6" t="s">
        <v>2237</v>
      </c>
      <c r="N307" s="8">
        <v>112627.87</v>
      </c>
      <c r="O307" s="6" t="s">
        <v>2237</v>
      </c>
      <c r="P307" s="6" t="s">
        <v>2236</v>
      </c>
      <c r="Q307" s="9" t="s">
        <v>2242</v>
      </c>
      <c r="R307" s="9" t="s">
        <v>2238</v>
      </c>
      <c r="S307" s="9" t="s">
        <v>2243</v>
      </c>
      <c r="T307" s="9" t="s">
        <v>2327</v>
      </c>
      <c r="U30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E540-30101060216-D245401</v>
      </c>
      <c r="Z3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7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307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8" spans="1:31" x14ac:dyDescent="0.3">
      <c r="A308" s="6" t="s">
        <v>2615</v>
      </c>
      <c r="B308" s="6" t="s">
        <v>30</v>
      </c>
      <c r="C308" s="6" t="s">
        <v>1409</v>
      </c>
      <c r="D308" s="6" t="s">
        <v>1410</v>
      </c>
      <c r="E308" s="6" t="s">
        <v>2241</v>
      </c>
      <c r="F308" s="8">
        <v>0</v>
      </c>
      <c r="G308" s="6" t="s">
        <v>2237</v>
      </c>
      <c r="H308" s="8">
        <v>0</v>
      </c>
      <c r="I308" s="6" t="s">
        <v>2237</v>
      </c>
      <c r="J308" s="8">
        <v>0</v>
      </c>
      <c r="K308" s="6" t="s">
        <v>2237</v>
      </c>
      <c r="L308" s="8">
        <v>22870.75</v>
      </c>
      <c r="M308" s="6" t="s">
        <v>2237</v>
      </c>
      <c r="N308" s="8">
        <v>33542.53</v>
      </c>
      <c r="O308" s="6" t="s">
        <v>2237</v>
      </c>
      <c r="P308" s="6" t="s">
        <v>2236</v>
      </c>
      <c r="Q308" s="9" t="s">
        <v>2242</v>
      </c>
      <c r="R308" s="9" t="s">
        <v>2238</v>
      </c>
      <c r="S308" s="9" t="s">
        <v>2243</v>
      </c>
      <c r="T308" s="9" t="s">
        <v>2327</v>
      </c>
      <c r="U30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E540-30101060215-D245401</v>
      </c>
      <c r="Z3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8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308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09" spans="1:31" x14ac:dyDescent="0.3">
      <c r="A309" s="6" t="s">
        <v>2616</v>
      </c>
      <c r="B309" s="6" t="s">
        <v>30</v>
      </c>
      <c r="C309" s="6" t="s">
        <v>1407</v>
      </c>
      <c r="D309" s="6" t="s">
        <v>1408</v>
      </c>
      <c r="E309" s="6" t="s">
        <v>2241</v>
      </c>
      <c r="F309" s="8">
        <v>0</v>
      </c>
      <c r="G309" s="6" t="s">
        <v>2237</v>
      </c>
      <c r="H309" s="8">
        <v>0</v>
      </c>
      <c r="I309" s="6" t="s">
        <v>2237</v>
      </c>
      <c r="J309" s="8">
        <v>0</v>
      </c>
      <c r="K309" s="6" t="s">
        <v>2237</v>
      </c>
      <c r="L309" s="8">
        <v>0</v>
      </c>
      <c r="M309" s="6" t="s">
        <v>2237</v>
      </c>
      <c r="N309" s="8">
        <v>0</v>
      </c>
      <c r="O309" s="6" t="s">
        <v>2237</v>
      </c>
      <c r="P309" s="6" t="s">
        <v>2236</v>
      </c>
      <c r="Q309" s="9" t="s">
        <v>2242</v>
      </c>
      <c r="R309" s="9" t="s">
        <v>2238</v>
      </c>
      <c r="S309" s="9" t="s">
        <v>2243</v>
      </c>
      <c r="T309" s="9" t="s">
        <v>2327</v>
      </c>
      <c r="U30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0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0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0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0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E540-30101060214-D245401</v>
      </c>
      <c r="Z3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0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0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09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309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0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0" spans="1:31" x14ac:dyDescent="0.3">
      <c r="A310" s="6" t="s">
        <v>2617</v>
      </c>
      <c r="B310" s="6" t="s">
        <v>30</v>
      </c>
      <c r="C310" s="6" t="s">
        <v>1405</v>
      </c>
      <c r="D310" s="6" t="s">
        <v>1406</v>
      </c>
      <c r="E310" s="6" t="s">
        <v>2241</v>
      </c>
      <c r="F310" s="8">
        <v>0</v>
      </c>
      <c r="G310" s="6" t="s">
        <v>2237</v>
      </c>
      <c r="H310" s="8">
        <v>0</v>
      </c>
      <c r="I310" s="6" t="s">
        <v>2237</v>
      </c>
      <c r="J310" s="8">
        <v>0</v>
      </c>
      <c r="K310" s="6" t="s">
        <v>2237</v>
      </c>
      <c r="L310" s="8">
        <v>3937.5</v>
      </c>
      <c r="M310" s="6" t="s">
        <v>2237</v>
      </c>
      <c r="N310" s="8">
        <v>43000</v>
      </c>
      <c r="O310" s="6" t="s">
        <v>2237</v>
      </c>
      <c r="P310" s="6" t="s">
        <v>2236</v>
      </c>
      <c r="Q310" s="9" t="s">
        <v>2242</v>
      </c>
      <c r="R310" s="9" t="s">
        <v>2238</v>
      </c>
      <c r="S310" s="9" t="s">
        <v>2243</v>
      </c>
      <c r="T310" s="9" t="s">
        <v>2327</v>
      </c>
      <c r="U31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E540-30101060213-D245401</v>
      </c>
      <c r="Z3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0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310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1" spans="1:31" x14ac:dyDescent="0.3">
      <c r="A311" s="6" t="s">
        <v>2618</v>
      </c>
      <c r="B311" s="6" t="s">
        <v>30</v>
      </c>
      <c r="C311" s="6" t="s">
        <v>1421</v>
      </c>
      <c r="D311" s="6" t="s">
        <v>1422</v>
      </c>
      <c r="E311" s="6" t="s">
        <v>2241</v>
      </c>
      <c r="F311" s="8">
        <v>0</v>
      </c>
      <c r="G311" s="6" t="s">
        <v>2237</v>
      </c>
      <c r="H311" s="8">
        <v>0</v>
      </c>
      <c r="I311" s="6" t="s">
        <v>2237</v>
      </c>
      <c r="J311" s="8">
        <v>0</v>
      </c>
      <c r="K311" s="6" t="s">
        <v>2237</v>
      </c>
      <c r="L311" s="8">
        <v>0</v>
      </c>
      <c r="M311" s="6" t="s">
        <v>2237</v>
      </c>
      <c r="N311" s="8">
        <v>0</v>
      </c>
      <c r="O311" s="6" t="s">
        <v>2237</v>
      </c>
      <c r="P311" s="6" t="s">
        <v>2236</v>
      </c>
      <c r="Q311" s="9" t="s">
        <v>2242</v>
      </c>
      <c r="R311" s="9" t="s">
        <v>2238</v>
      </c>
      <c r="S311" s="9" t="s">
        <v>2243</v>
      </c>
      <c r="T311" s="9" t="s">
        <v>2327</v>
      </c>
      <c r="U31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E540-30101060247-D245401</v>
      </c>
      <c r="Z3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1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311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2" spans="1:31" x14ac:dyDescent="0.3">
      <c r="A312" s="6" t="s">
        <v>2619</v>
      </c>
      <c r="B312" s="6" t="s">
        <v>30</v>
      </c>
      <c r="C312" s="6" t="s">
        <v>1403</v>
      </c>
      <c r="D312" s="6" t="s">
        <v>1404</v>
      </c>
      <c r="E312" s="6" t="s">
        <v>2241</v>
      </c>
      <c r="F312" s="8">
        <v>0</v>
      </c>
      <c r="G312" s="6" t="s">
        <v>2237</v>
      </c>
      <c r="H312" s="8">
        <v>0</v>
      </c>
      <c r="I312" s="6" t="s">
        <v>2237</v>
      </c>
      <c r="J312" s="8">
        <v>0</v>
      </c>
      <c r="K312" s="6" t="s">
        <v>2237</v>
      </c>
      <c r="L312" s="8">
        <v>17854</v>
      </c>
      <c r="M312" s="6" t="s">
        <v>2237</v>
      </c>
      <c r="N312" s="8">
        <v>484916.72</v>
      </c>
      <c r="O312" s="6" t="s">
        <v>2237</v>
      </c>
      <c r="P312" s="6" t="s">
        <v>2236</v>
      </c>
      <c r="Q312" s="9" t="s">
        <v>2242</v>
      </c>
      <c r="R312" s="9" t="s">
        <v>2238</v>
      </c>
      <c r="S312" s="9" t="s">
        <v>2243</v>
      </c>
      <c r="T312" s="9" t="s">
        <v>2327</v>
      </c>
      <c r="U31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E540-30101060212-D245401</v>
      </c>
      <c r="Z3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2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312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3" spans="1:31" x14ac:dyDescent="0.3">
      <c r="A313" s="6" t="s">
        <v>2620</v>
      </c>
      <c r="B313" s="6" t="s">
        <v>30</v>
      </c>
      <c r="C313" s="6" t="s">
        <v>1401</v>
      </c>
      <c r="D313" s="6" t="s">
        <v>1402</v>
      </c>
      <c r="E313" s="6" t="s">
        <v>2241</v>
      </c>
      <c r="F313" s="8">
        <v>0</v>
      </c>
      <c r="G313" s="6" t="s">
        <v>2237</v>
      </c>
      <c r="H313" s="8">
        <v>0</v>
      </c>
      <c r="I313" s="6" t="s">
        <v>2237</v>
      </c>
      <c r="J313" s="8">
        <v>0</v>
      </c>
      <c r="K313" s="6" t="s">
        <v>2237</v>
      </c>
      <c r="L313" s="8">
        <v>0</v>
      </c>
      <c r="M313" s="6" t="s">
        <v>2237</v>
      </c>
      <c r="N313" s="8">
        <v>47547.44</v>
      </c>
      <c r="O313" s="6" t="s">
        <v>2237</v>
      </c>
      <c r="P313" s="6" t="s">
        <v>2236</v>
      </c>
      <c r="Q313" s="9" t="s">
        <v>2242</v>
      </c>
      <c r="R313" s="9" t="s">
        <v>2238</v>
      </c>
      <c r="S313" s="9" t="s">
        <v>2243</v>
      </c>
      <c r="T313" s="9" t="s">
        <v>2327</v>
      </c>
      <c r="U31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E540-30101060211-D245401</v>
      </c>
      <c r="Z3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3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313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4" spans="1:31" x14ac:dyDescent="0.3">
      <c r="A314" s="6" t="s">
        <v>2621</v>
      </c>
      <c r="B314" s="6" t="s">
        <v>30</v>
      </c>
      <c r="C314" s="6" t="s">
        <v>1399</v>
      </c>
      <c r="D314" s="6" t="s">
        <v>1400</v>
      </c>
      <c r="E314" s="6" t="s">
        <v>2241</v>
      </c>
      <c r="F314" s="8">
        <v>0</v>
      </c>
      <c r="G314" s="6" t="s">
        <v>2237</v>
      </c>
      <c r="H314" s="8">
        <v>0</v>
      </c>
      <c r="I314" s="6" t="s">
        <v>2237</v>
      </c>
      <c r="J314" s="8">
        <v>0</v>
      </c>
      <c r="K314" s="6" t="s">
        <v>2237</v>
      </c>
      <c r="L314" s="8">
        <v>3144.5</v>
      </c>
      <c r="M314" s="6" t="s">
        <v>2237</v>
      </c>
      <c r="N314" s="8">
        <v>280036.51</v>
      </c>
      <c r="O314" s="6" t="s">
        <v>2237</v>
      </c>
      <c r="P314" s="6" t="s">
        <v>2236</v>
      </c>
      <c r="Q314" s="9" t="s">
        <v>2242</v>
      </c>
      <c r="R314" s="9" t="s">
        <v>2238</v>
      </c>
      <c r="S314" s="9" t="s">
        <v>2243</v>
      </c>
      <c r="T314" s="9" t="s">
        <v>2327</v>
      </c>
      <c r="U31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E540-30101060210-D245401</v>
      </c>
      <c r="Z3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4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314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5" spans="1:31" x14ac:dyDescent="0.3">
      <c r="A315" s="6" t="s">
        <v>2622</v>
      </c>
      <c r="B315" s="6" t="s">
        <v>30</v>
      </c>
      <c r="C315" s="6" t="s">
        <v>1397</v>
      </c>
      <c r="D315" s="6" t="s">
        <v>1398</v>
      </c>
      <c r="E315" s="6" t="s">
        <v>2241</v>
      </c>
      <c r="F315" s="8">
        <v>0</v>
      </c>
      <c r="G315" s="6" t="s">
        <v>2237</v>
      </c>
      <c r="H315" s="8">
        <v>0</v>
      </c>
      <c r="I315" s="6" t="s">
        <v>2237</v>
      </c>
      <c r="J315" s="8">
        <v>0</v>
      </c>
      <c r="K315" s="6" t="s">
        <v>2237</v>
      </c>
      <c r="L315" s="8">
        <v>14873</v>
      </c>
      <c r="M315" s="6" t="s">
        <v>2237</v>
      </c>
      <c r="N315" s="8">
        <v>251905.6</v>
      </c>
      <c r="O315" s="6" t="s">
        <v>2237</v>
      </c>
      <c r="P315" s="6" t="s">
        <v>2236</v>
      </c>
      <c r="Q315" s="9" t="s">
        <v>2242</v>
      </c>
      <c r="R315" s="9" t="s">
        <v>2238</v>
      </c>
      <c r="S315" s="9" t="s">
        <v>2243</v>
      </c>
      <c r="T315" s="9" t="s">
        <v>2327</v>
      </c>
      <c r="U31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E540-30101060209-D245401</v>
      </c>
      <c r="Z3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5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315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6" spans="1:31" x14ac:dyDescent="0.3">
      <c r="A316" s="6" t="s">
        <v>2623</v>
      </c>
      <c r="B316" s="6" t="s">
        <v>30</v>
      </c>
      <c r="C316" s="6" t="s">
        <v>1395</v>
      </c>
      <c r="D316" s="6" t="s">
        <v>1396</v>
      </c>
      <c r="E316" s="6" t="s">
        <v>2241</v>
      </c>
      <c r="F316" s="8">
        <v>0</v>
      </c>
      <c r="G316" s="6" t="s">
        <v>2237</v>
      </c>
      <c r="H316" s="8">
        <v>0</v>
      </c>
      <c r="I316" s="6" t="s">
        <v>2237</v>
      </c>
      <c r="J316" s="8">
        <v>0</v>
      </c>
      <c r="K316" s="6" t="s">
        <v>2237</v>
      </c>
      <c r="L316" s="8">
        <v>0</v>
      </c>
      <c r="M316" s="6" t="s">
        <v>2237</v>
      </c>
      <c r="N316" s="8">
        <v>76071</v>
      </c>
      <c r="O316" s="6" t="s">
        <v>2237</v>
      </c>
      <c r="P316" s="6" t="s">
        <v>2236</v>
      </c>
      <c r="Q316" s="9" t="s">
        <v>2242</v>
      </c>
      <c r="R316" s="9" t="s">
        <v>2238</v>
      </c>
      <c r="S316" s="9" t="s">
        <v>2243</v>
      </c>
      <c r="T316" s="9" t="s">
        <v>2327</v>
      </c>
      <c r="U31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E540-30101060208-D245401</v>
      </c>
      <c r="Z3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6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316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7" spans="1:31" x14ac:dyDescent="0.3">
      <c r="A317" s="6" t="s">
        <v>2624</v>
      </c>
      <c r="B317" s="6" t="s">
        <v>30</v>
      </c>
      <c r="C317" s="6" t="s">
        <v>1393</v>
      </c>
      <c r="D317" s="6" t="s">
        <v>1394</v>
      </c>
      <c r="E317" s="6" t="s">
        <v>2241</v>
      </c>
      <c r="F317" s="8">
        <v>0</v>
      </c>
      <c r="G317" s="6" t="s">
        <v>2237</v>
      </c>
      <c r="H317" s="8">
        <v>0</v>
      </c>
      <c r="I317" s="6" t="s">
        <v>2237</v>
      </c>
      <c r="J317" s="8">
        <v>0</v>
      </c>
      <c r="K317" s="6" t="s">
        <v>2237</v>
      </c>
      <c r="L317" s="8">
        <v>94131</v>
      </c>
      <c r="M317" s="6" t="s">
        <v>2237</v>
      </c>
      <c r="N317" s="8">
        <v>258317</v>
      </c>
      <c r="O317" s="6" t="s">
        <v>2237</v>
      </c>
      <c r="P317" s="6" t="s">
        <v>2236</v>
      </c>
      <c r="Q317" s="9" t="s">
        <v>2242</v>
      </c>
      <c r="R317" s="9" t="s">
        <v>2238</v>
      </c>
      <c r="S317" s="9" t="s">
        <v>2243</v>
      </c>
      <c r="T317" s="9" t="s">
        <v>2327</v>
      </c>
      <c r="U31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E540-30101060207-D245401</v>
      </c>
      <c r="Z3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7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317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8" spans="1:31" x14ac:dyDescent="0.3">
      <c r="A318" s="6" t="s">
        <v>2625</v>
      </c>
      <c r="B318" s="6" t="s">
        <v>30</v>
      </c>
      <c r="C318" s="6" t="s">
        <v>1391</v>
      </c>
      <c r="D318" s="6" t="s">
        <v>1392</v>
      </c>
      <c r="E318" s="6" t="s">
        <v>2241</v>
      </c>
      <c r="F318" s="8">
        <v>0</v>
      </c>
      <c r="G318" s="6" t="s">
        <v>2237</v>
      </c>
      <c r="H318" s="8">
        <v>0</v>
      </c>
      <c r="I318" s="6" t="s">
        <v>2237</v>
      </c>
      <c r="J318" s="8">
        <v>0</v>
      </c>
      <c r="K318" s="6" t="s">
        <v>2237</v>
      </c>
      <c r="L318" s="8">
        <v>0</v>
      </c>
      <c r="M318" s="6" t="s">
        <v>2237</v>
      </c>
      <c r="N318" s="8">
        <v>586102.56999999995</v>
      </c>
      <c r="O318" s="6" t="s">
        <v>2237</v>
      </c>
      <c r="P318" s="6" t="s">
        <v>2236</v>
      </c>
      <c r="Q318" s="9" t="s">
        <v>2242</v>
      </c>
      <c r="R318" s="9" t="s">
        <v>2238</v>
      </c>
      <c r="S318" s="9" t="s">
        <v>2243</v>
      </c>
      <c r="T318" s="9" t="s">
        <v>2327</v>
      </c>
      <c r="U31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E540-30101060205-D245401</v>
      </c>
      <c r="Z3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8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318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19" spans="1:31" x14ac:dyDescent="0.3">
      <c r="A319" s="6" t="s">
        <v>2626</v>
      </c>
      <c r="B319" s="6" t="s">
        <v>30</v>
      </c>
      <c r="C319" s="6" t="s">
        <v>1389</v>
      </c>
      <c r="D319" s="6" t="s">
        <v>1390</v>
      </c>
      <c r="E319" s="6" t="s">
        <v>2241</v>
      </c>
      <c r="F319" s="8">
        <v>0</v>
      </c>
      <c r="G319" s="6" t="s">
        <v>2237</v>
      </c>
      <c r="H319" s="8">
        <v>0</v>
      </c>
      <c r="I319" s="6" t="s">
        <v>2237</v>
      </c>
      <c r="J319" s="8">
        <v>0</v>
      </c>
      <c r="K319" s="6" t="s">
        <v>2237</v>
      </c>
      <c r="L319" s="8">
        <v>0</v>
      </c>
      <c r="M319" s="6" t="s">
        <v>2237</v>
      </c>
      <c r="N319" s="8">
        <v>850.5</v>
      </c>
      <c r="O319" s="6" t="s">
        <v>2237</v>
      </c>
      <c r="P319" s="6" t="s">
        <v>2236</v>
      </c>
      <c r="Q319" s="9" t="s">
        <v>2242</v>
      </c>
      <c r="R319" s="9" t="s">
        <v>2238</v>
      </c>
      <c r="S319" s="9" t="s">
        <v>2243</v>
      </c>
      <c r="T319" s="9" t="s">
        <v>2327</v>
      </c>
      <c r="U31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1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1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1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E540-301010602-D245401</v>
      </c>
      <c r="Y31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E540-30101060204-D245401</v>
      </c>
      <c r="Z3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1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1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19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319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1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0" spans="1:31" x14ac:dyDescent="0.3">
      <c r="A320" s="6" t="s">
        <v>2627</v>
      </c>
      <c r="B320" s="6" t="s">
        <v>26</v>
      </c>
      <c r="C320" s="6" t="s">
        <v>928</v>
      </c>
      <c r="D320" s="6" t="s">
        <v>929</v>
      </c>
      <c r="E320" s="6" t="s">
        <v>2241</v>
      </c>
      <c r="F320" s="8">
        <v>44000</v>
      </c>
      <c r="G320" s="6" t="s">
        <v>2237</v>
      </c>
      <c r="H320" s="8">
        <v>44000</v>
      </c>
      <c r="I320" s="6" t="s">
        <v>2237</v>
      </c>
      <c r="J320" s="8">
        <v>0</v>
      </c>
      <c r="K320" s="6" t="s">
        <v>2237</v>
      </c>
      <c r="L320" s="8">
        <v>0</v>
      </c>
      <c r="M320" s="6" t="s">
        <v>2237</v>
      </c>
      <c r="N320" s="8">
        <v>6555.58</v>
      </c>
      <c r="O320" s="6" t="s">
        <v>2237</v>
      </c>
      <c r="P320" s="6" t="s">
        <v>2236</v>
      </c>
      <c r="Q320" s="9" t="s">
        <v>2242</v>
      </c>
      <c r="R320" s="9" t="s">
        <v>2238</v>
      </c>
      <c r="S320" s="9" t="s">
        <v>2243</v>
      </c>
      <c r="T320" s="9" t="s">
        <v>2244</v>
      </c>
      <c r="U32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E540-301010601-D245401</v>
      </c>
      <c r="Y3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3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20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1" spans="1:31" x14ac:dyDescent="0.3">
      <c r="A321" s="6" t="s">
        <v>2628</v>
      </c>
      <c r="B321" s="6" t="s">
        <v>30</v>
      </c>
      <c r="C321" s="6" t="s">
        <v>1387</v>
      </c>
      <c r="D321" s="6" t="s">
        <v>1388</v>
      </c>
      <c r="E321" s="6" t="s">
        <v>2241</v>
      </c>
      <c r="F321" s="8">
        <v>0</v>
      </c>
      <c r="G321" s="6" t="s">
        <v>2237</v>
      </c>
      <c r="H321" s="8">
        <v>0</v>
      </c>
      <c r="I321" s="6" t="s">
        <v>2237</v>
      </c>
      <c r="J321" s="8">
        <v>0</v>
      </c>
      <c r="K321" s="6" t="s">
        <v>2237</v>
      </c>
      <c r="L321" s="8">
        <v>0</v>
      </c>
      <c r="M321" s="6" t="s">
        <v>2237</v>
      </c>
      <c r="N321" s="8">
        <v>6555.58</v>
      </c>
      <c r="O321" s="6" t="s">
        <v>2237</v>
      </c>
      <c r="P321" s="6" t="s">
        <v>2236</v>
      </c>
      <c r="Q321" s="9" t="s">
        <v>2242</v>
      </c>
      <c r="R321" s="9" t="s">
        <v>2238</v>
      </c>
      <c r="S321" s="9" t="s">
        <v>2243</v>
      </c>
      <c r="T321" s="9" t="s">
        <v>2327</v>
      </c>
      <c r="U32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E540-301010601-D245401</v>
      </c>
      <c r="Y32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E540-30101060160-D245401</v>
      </c>
      <c r="Z3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321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321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2" spans="1:31" x14ac:dyDescent="0.3">
      <c r="A322" s="6" t="s">
        <v>2629</v>
      </c>
      <c r="B322" s="6" t="s">
        <v>26</v>
      </c>
      <c r="C322" s="6" t="s">
        <v>932</v>
      </c>
      <c r="D322" s="6" t="s">
        <v>933</v>
      </c>
      <c r="E322" s="6" t="s">
        <v>2241</v>
      </c>
      <c r="F322" s="8">
        <v>1254474</v>
      </c>
      <c r="G322" s="6" t="s">
        <v>2237</v>
      </c>
      <c r="H322" s="8">
        <v>1254474</v>
      </c>
      <c r="I322" s="6" t="s">
        <v>2237</v>
      </c>
      <c r="J322" s="8">
        <v>0</v>
      </c>
      <c r="K322" s="6" t="s">
        <v>2237</v>
      </c>
      <c r="L322" s="8">
        <v>0</v>
      </c>
      <c r="M322" s="6" t="s">
        <v>2237</v>
      </c>
      <c r="N322" s="8">
        <v>888267.92</v>
      </c>
      <c r="O322" s="6" t="s">
        <v>2237</v>
      </c>
      <c r="P322" s="6" t="s">
        <v>2236</v>
      </c>
      <c r="Q322" s="9" t="s">
        <v>2242</v>
      </c>
      <c r="R322" s="9" t="s">
        <v>2238</v>
      </c>
      <c r="S322" s="9" t="s">
        <v>2243</v>
      </c>
      <c r="T322" s="9" t="s">
        <v>2244</v>
      </c>
      <c r="U32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E540-301010661-D245401</v>
      </c>
      <c r="Y3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22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3" spans="1:31" x14ac:dyDescent="0.3">
      <c r="A323" s="6" t="s">
        <v>2630</v>
      </c>
      <c r="B323" s="6" t="s">
        <v>30</v>
      </c>
      <c r="C323" s="6" t="s">
        <v>1439</v>
      </c>
      <c r="D323" s="6" t="s">
        <v>1440</v>
      </c>
      <c r="E323" s="6" t="s">
        <v>2241</v>
      </c>
      <c r="F323" s="8">
        <v>0</v>
      </c>
      <c r="G323" s="6" t="s">
        <v>2237</v>
      </c>
      <c r="H323" s="8">
        <v>0</v>
      </c>
      <c r="I323" s="6" t="s">
        <v>2237</v>
      </c>
      <c r="J323" s="8">
        <v>0</v>
      </c>
      <c r="K323" s="6" t="s">
        <v>2237</v>
      </c>
      <c r="L323" s="8">
        <v>0</v>
      </c>
      <c r="M323" s="6" t="s">
        <v>2237</v>
      </c>
      <c r="N323" s="8">
        <v>0</v>
      </c>
      <c r="O323" s="6" t="s">
        <v>2237</v>
      </c>
      <c r="P323" s="6" t="s">
        <v>2236</v>
      </c>
      <c r="Q323" s="9" t="s">
        <v>2242</v>
      </c>
      <c r="R323" s="9" t="s">
        <v>2238</v>
      </c>
      <c r="S323" s="9" t="s">
        <v>2243</v>
      </c>
      <c r="T323" s="9" t="s">
        <v>2327</v>
      </c>
      <c r="U32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E540-301010661-D245401</v>
      </c>
      <c r="Y32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E540-30101066162-D245401</v>
      </c>
      <c r="Z3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23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323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4" spans="1:31" x14ac:dyDescent="0.3">
      <c r="A324" s="6" t="s">
        <v>2631</v>
      </c>
      <c r="B324" s="6" t="s">
        <v>30</v>
      </c>
      <c r="C324" s="6" t="s">
        <v>1441</v>
      </c>
      <c r="D324" s="6" t="s">
        <v>1442</v>
      </c>
      <c r="E324" s="6" t="s">
        <v>2241</v>
      </c>
      <c r="F324" s="8">
        <v>0</v>
      </c>
      <c r="G324" s="6" t="s">
        <v>2237</v>
      </c>
      <c r="H324" s="8">
        <v>0</v>
      </c>
      <c r="I324" s="6" t="s">
        <v>2237</v>
      </c>
      <c r="J324" s="8">
        <v>0</v>
      </c>
      <c r="K324" s="6" t="s">
        <v>2237</v>
      </c>
      <c r="L324" s="8">
        <v>0</v>
      </c>
      <c r="M324" s="6" t="s">
        <v>2237</v>
      </c>
      <c r="N324" s="8">
        <v>0</v>
      </c>
      <c r="O324" s="6" t="s">
        <v>2237</v>
      </c>
      <c r="P324" s="6" t="s">
        <v>2236</v>
      </c>
      <c r="Q324" s="9" t="s">
        <v>2242</v>
      </c>
      <c r="R324" s="9" t="s">
        <v>2238</v>
      </c>
      <c r="S324" s="9" t="s">
        <v>2243</v>
      </c>
      <c r="T324" s="9" t="s">
        <v>2327</v>
      </c>
      <c r="U32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E540-301010661-D245401</v>
      </c>
      <c r="Y32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E540-30101066193-D245401</v>
      </c>
      <c r="Z3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24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324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5" spans="1:31" x14ac:dyDescent="0.3">
      <c r="A325" s="6" t="s">
        <v>2632</v>
      </c>
      <c r="B325" s="6" t="s">
        <v>30</v>
      </c>
      <c r="C325" s="6" t="s">
        <v>1437</v>
      </c>
      <c r="D325" s="6" t="s">
        <v>1438</v>
      </c>
      <c r="E325" s="6" t="s">
        <v>2241</v>
      </c>
      <c r="F325" s="8">
        <v>0</v>
      </c>
      <c r="G325" s="6" t="s">
        <v>2237</v>
      </c>
      <c r="H325" s="8">
        <v>0</v>
      </c>
      <c r="I325" s="6" t="s">
        <v>2237</v>
      </c>
      <c r="J325" s="8">
        <v>0</v>
      </c>
      <c r="K325" s="6" t="s">
        <v>2237</v>
      </c>
      <c r="L325" s="8">
        <v>0</v>
      </c>
      <c r="M325" s="6" t="s">
        <v>2237</v>
      </c>
      <c r="N325" s="8">
        <v>239039.65</v>
      </c>
      <c r="O325" s="6" t="s">
        <v>2237</v>
      </c>
      <c r="P325" s="6" t="s">
        <v>2236</v>
      </c>
      <c r="Q325" s="9" t="s">
        <v>2242</v>
      </c>
      <c r="R325" s="9" t="s">
        <v>2238</v>
      </c>
      <c r="S325" s="9" t="s">
        <v>2243</v>
      </c>
      <c r="T325" s="9" t="s">
        <v>2327</v>
      </c>
      <c r="U32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E540-301010661-D245401</v>
      </c>
      <c r="Y32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E540-30101066118-D245401</v>
      </c>
      <c r="Z3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25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325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6" spans="1:31" x14ac:dyDescent="0.3">
      <c r="A326" s="6" t="s">
        <v>2633</v>
      </c>
      <c r="B326" s="6" t="s">
        <v>30</v>
      </c>
      <c r="C326" s="6" t="s">
        <v>1435</v>
      </c>
      <c r="D326" s="6" t="s">
        <v>1436</v>
      </c>
      <c r="E326" s="6" t="s">
        <v>2241</v>
      </c>
      <c r="F326" s="8">
        <v>0</v>
      </c>
      <c r="G326" s="6" t="s">
        <v>2237</v>
      </c>
      <c r="H326" s="8">
        <v>0</v>
      </c>
      <c r="I326" s="6" t="s">
        <v>2237</v>
      </c>
      <c r="J326" s="8">
        <v>0</v>
      </c>
      <c r="K326" s="6" t="s">
        <v>2237</v>
      </c>
      <c r="L326" s="8">
        <v>0</v>
      </c>
      <c r="M326" s="6" t="s">
        <v>2237</v>
      </c>
      <c r="N326" s="8">
        <v>56322.38</v>
      </c>
      <c r="O326" s="6" t="s">
        <v>2237</v>
      </c>
      <c r="P326" s="6" t="s">
        <v>2236</v>
      </c>
      <c r="Q326" s="9" t="s">
        <v>2242</v>
      </c>
      <c r="R326" s="9" t="s">
        <v>2238</v>
      </c>
      <c r="S326" s="9" t="s">
        <v>2243</v>
      </c>
      <c r="T326" s="9" t="s">
        <v>2327</v>
      </c>
      <c r="U32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E540-301010661-D245401</v>
      </c>
      <c r="Y32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E540-30101066102-D245401</v>
      </c>
      <c r="Z3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26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326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7" spans="1:31" x14ac:dyDescent="0.3">
      <c r="A327" s="6" t="s">
        <v>2634</v>
      </c>
      <c r="B327" s="6" t="s">
        <v>30</v>
      </c>
      <c r="C327" s="6" t="s">
        <v>1433</v>
      </c>
      <c r="D327" s="6" t="s">
        <v>1434</v>
      </c>
      <c r="E327" s="6" t="s">
        <v>2241</v>
      </c>
      <c r="F327" s="8">
        <v>0</v>
      </c>
      <c r="G327" s="6" t="s">
        <v>2237</v>
      </c>
      <c r="H327" s="8">
        <v>0</v>
      </c>
      <c r="I327" s="6" t="s">
        <v>2237</v>
      </c>
      <c r="J327" s="8">
        <v>0</v>
      </c>
      <c r="K327" s="6" t="s">
        <v>2237</v>
      </c>
      <c r="L327" s="8">
        <v>0</v>
      </c>
      <c r="M327" s="6" t="s">
        <v>2237</v>
      </c>
      <c r="N327" s="8">
        <v>592905.89</v>
      </c>
      <c r="O327" s="6" t="s">
        <v>2237</v>
      </c>
      <c r="P327" s="6" t="s">
        <v>2236</v>
      </c>
      <c r="Q327" s="9" t="s">
        <v>2242</v>
      </c>
      <c r="R327" s="9" t="s">
        <v>2238</v>
      </c>
      <c r="S327" s="9" t="s">
        <v>2243</v>
      </c>
      <c r="T327" s="9" t="s">
        <v>2327</v>
      </c>
      <c r="U32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E540-3010106-D245401</v>
      </c>
      <c r="X32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E540-301010661-D245401</v>
      </c>
      <c r="Y32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E540-30101066101-D245401</v>
      </c>
      <c r="Z32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2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27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327" s="10" t="str">
        <f>IF(IFERROR(INDEX(WBS_Dictionary!N$2:N$1212, MATCH(Table2[[#This Row],[WBS_ID]], Table26[WBS CODE],0)), "") = "", "null", IFERROR(INDEX(WBS_Dictionary!N$2:N$1212, MATCH(Table2[[#This Row],[WBS_ID]], Table26[WBS CODE],0)), ""))</f>
        <v>AWI 3-9</v>
      </c>
      <c r="AE32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28" spans="1:31" hidden="1" x14ac:dyDescent="0.3">
      <c r="A328" s="6" t="s">
        <v>2635</v>
      </c>
      <c r="B328" s="6" t="s">
        <v>21</v>
      </c>
      <c r="C328" s="6" t="s">
        <v>853</v>
      </c>
      <c r="D328" s="6" t="s">
        <v>854</v>
      </c>
      <c r="E328" s="6" t="s">
        <v>2241</v>
      </c>
      <c r="F328" s="8">
        <v>643544.55000000005</v>
      </c>
      <c r="G328" s="6" t="s">
        <v>2237</v>
      </c>
      <c r="H328" s="8">
        <v>643544.55000000005</v>
      </c>
      <c r="I328" s="6" t="s">
        <v>2237</v>
      </c>
      <c r="J328" s="8">
        <v>0</v>
      </c>
      <c r="K328" s="6" t="s">
        <v>2237</v>
      </c>
      <c r="L328" s="8">
        <v>0</v>
      </c>
      <c r="M328" s="6" t="s">
        <v>2237</v>
      </c>
      <c r="N328" s="8">
        <v>0</v>
      </c>
      <c r="O328" s="6" t="s">
        <v>2237</v>
      </c>
      <c r="P328" s="6" t="s">
        <v>2236</v>
      </c>
      <c r="Q328" s="9" t="s">
        <v>2242</v>
      </c>
      <c r="R328" s="9" t="s">
        <v>2238</v>
      </c>
      <c r="S328" s="9" t="s">
        <v>2243</v>
      </c>
      <c r="T328" s="9" t="s">
        <v>2244</v>
      </c>
      <c r="U32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E540-3010195-D245401</v>
      </c>
      <c r="X3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2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8" s="10" t="str">
        <f>IF(IFERROR(INDEX(WBS_Dictionary!K$2:K$1212, MATCH(Table2[[#This Row],[WBS_ID]], Table26[WBS CODE],0)), "") = "", "null", IFERROR(INDEX(WBS_Dictionary!K$2:K$1212, MATCH(Table2[[#This Row],[WBS_ID]], Table26[WBS CODE],0)), ""))</f>
        <v>Logging Cost</v>
      </c>
      <c r="AB3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29" spans="1:31" hidden="1" x14ac:dyDescent="0.3">
      <c r="A329" s="6" t="s">
        <v>2636</v>
      </c>
      <c r="B329" s="6" t="s">
        <v>26</v>
      </c>
      <c r="C329" s="6" t="s">
        <v>853</v>
      </c>
      <c r="D329" s="6" t="s">
        <v>969</v>
      </c>
      <c r="E329" s="6" t="s">
        <v>2241</v>
      </c>
      <c r="F329" s="8">
        <v>643544.55000000005</v>
      </c>
      <c r="G329" s="6" t="s">
        <v>2237</v>
      </c>
      <c r="H329" s="8">
        <v>643544.55000000005</v>
      </c>
      <c r="I329" s="6" t="s">
        <v>2237</v>
      </c>
      <c r="J329" s="8">
        <v>0</v>
      </c>
      <c r="K329" s="6" t="s">
        <v>2237</v>
      </c>
      <c r="L329" s="8">
        <v>0</v>
      </c>
      <c r="M329" s="6" t="s">
        <v>2237</v>
      </c>
      <c r="N329" s="8">
        <v>0</v>
      </c>
      <c r="O329" s="6" t="s">
        <v>2237</v>
      </c>
      <c r="P329" s="6" t="s">
        <v>2236</v>
      </c>
      <c r="Q329" s="9" t="s">
        <v>2242</v>
      </c>
      <c r="R329" s="9" t="s">
        <v>2238</v>
      </c>
      <c r="S329" s="9" t="s">
        <v>2243</v>
      </c>
      <c r="T329" s="9" t="s">
        <v>2244</v>
      </c>
      <c r="U32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2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2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E540-3010195-D245401</v>
      </c>
      <c r="X32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E540-301019568-D245401</v>
      </c>
      <c r="Y3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2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29" s="10" t="str">
        <f>IF(IFERROR(INDEX(WBS_Dictionary!K$2:K$1212, MATCH(Table2[[#This Row],[WBS_ID]], Table26[WBS CODE],0)), "") = "", "null", IFERROR(INDEX(WBS_Dictionary!K$2:K$1212, MATCH(Table2[[#This Row],[WBS_ID]], Table26[WBS CODE],0)), ""))</f>
        <v>Logging Cost</v>
      </c>
      <c r="AB329" s="10" t="str">
        <f>IF(IFERROR(INDEX(WBS_Dictionary!L$2:L$1212, MATCH(Table2[[#This Row],[WBS_ID]], Table26[WBS CODE],0)), "") = "", "null", IFERROR(INDEX(WBS_Dictionary!L$2:L$1212, MATCH(Table2[[#This Row],[WBS_ID]], Table26[WBS CODE],0)), ""))</f>
        <v>Logging Cost</v>
      </c>
      <c r="AC3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0" spans="1:31" hidden="1" x14ac:dyDescent="0.3">
      <c r="A330" s="6" t="s">
        <v>2637</v>
      </c>
      <c r="B330" s="6" t="s">
        <v>30</v>
      </c>
      <c r="C330" s="6" t="s">
        <v>853</v>
      </c>
      <c r="D330" s="6" t="s">
        <v>1638</v>
      </c>
      <c r="E330" s="6" t="s">
        <v>2241</v>
      </c>
      <c r="F330" s="8">
        <v>0</v>
      </c>
      <c r="G330" s="6" t="s">
        <v>2237</v>
      </c>
      <c r="H330" s="8">
        <v>0</v>
      </c>
      <c r="I330" s="6" t="s">
        <v>2237</v>
      </c>
      <c r="J330" s="8">
        <v>0</v>
      </c>
      <c r="K330" s="6" t="s">
        <v>2237</v>
      </c>
      <c r="L330" s="8">
        <v>0</v>
      </c>
      <c r="M330" s="6" t="s">
        <v>2237</v>
      </c>
      <c r="N330" s="8">
        <v>0</v>
      </c>
      <c r="O330" s="6" t="s">
        <v>2237</v>
      </c>
      <c r="P330" s="6" t="s">
        <v>2236</v>
      </c>
      <c r="Q330" s="9" t="s">
        <v>2242</v>
      </c>
      <c r="R330" s="9" t="s">
        <v>2238</v>
      </c>
      <c r="S330" s="9" t="s">
        <v>2243</v>
      </c>
      <c r="T330" s="9" t="s">
        <v>2327</v>
      </c>
      <c r="U33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E540-3010195-D245401</v>
      </c>
      <c r="X33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E540-301019568-D245401</v>
      </c>
      <c r="Y33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E540-30101956814-D245401</v>
      </c>
      <c r="Z33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0" s="10" t="str">
        <f>IF(IFERROR(INDEX(WBS_Dictionary!K$2:K$1212, MATCH(Table2[[#This Row],[WBS_ID]], Table26[WBS CODE],0)), "") = "", "null", IFERROR(INDEX(WBS_Dictionary!K$2:K$1212, MATCH(Table2[[#This Row],[WBS_ID]], Table26[WBS CODE],0)), ""))</f>
        <v>Logging Cost</v>
      </c>
      <c r="AB330" s="10" t="str">
        <f>IF(IFERROR(INDEX(WBS_Dictionary!L$2:L$1212, MATCH(Table2[[#This Row],[WBS_ID]], Table26[WBS CODE],0)), "") = "", "null", IFERROR(INDEX(WBS_Dictionary!L$2:L$1212, MATCH(Table2[[#This Row],[WBS_ID]], Table26[WBS CODE],0)), ""))</f>
        <v>Logging Cost</v>
      </c>
      <c r="AC330" s="10" t="str">
        <f>IF(IFERROR(INDEX(WBS_Dictionary!M$2:M$1212, MATCH(Table2[[#This Row],[WBS_ID]], Table26[WBS CODE],0)), "") = "", "null", IFERROR(INDEX(WBS_Dictionary!M$2:M$1212, MATCH(Table2[[#This Row],[WBS_ID]], Table26[WBS CODE],0)), ""))</f>
        <v>Logging Cost</v>
      </c>
      <c r="AD3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1" spans="1:31" hidden="1" x14ac:dyDescent="0.3">
      <c r="A331" s="6" t="s">
        <v>2638</v>
      </c>
      <c r="B331" s="6" t="s">
        <v>21</v>
      </c>
      <c r="C331" s="6" t="s">
        <v>375</v>
      </c>
      <c r="D331" s="6" t="s">
        <v>852</v>
      </c>
      <c r="E331" s="6" t="s">
        <v>2241</v>
      </c>
      <c r="F331" s="8">
        <v>158669.28</v>
      </c>
      <c r="G331" s="6" t="s">
        <v>2237</v>
      </c>
      <c r="H331" s="8">
        <v>158669.28</v>
      </c>
      <c r="I331" s="6" t="s">
        <v>2237</v>
      </c>
      <c r="J331" s="8">
        <v>0</v>
      </c>
      <c r="K331" s="6" t="s">
        <v>2237</v>
      </c>
      <c r="L331" s="8">
        <v>0</v>
      </c>
      <c r="M331" s="6" t="s">
        <v>2237</v>
      </c>
      <c r="N331" s="8">
        <v>142754.25</v>
      </c>
      <c r="O331" s="6" t="s">
        <v>2237</v>
      </c>
      <c r="P331" s="6" t="s">
        <v>2236</v>
      </c>
      <c r="Q331" s="9" t="s">
        <v>2242</v>
      </c>
      <c r="R331" s="9" t="s">
        <v>2238</v>
      </c>
      <c r="S331" s="9" t="s">
        <v>2243</v>
      </c>
      <c r="T331" s="9" t="s">
        <v>2244</v>
      </c>
      <c r="U33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E540-3010173-D245401</v>
      </c>
      <c r="X3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3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1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3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2" spans="1:31" hidden="1" x14ac:dyDescent="0.3">
      <c r="A332" s="6" t="s">
        <v>2639</v>
      </c>
      <c r="B332" s="6" t="s">
        <v>26</v>
      </c>
      <c r="C332" s="6" t="s">
        <v>375</v>
      </c>
      <c r="D332" s="6" t="s">
        <v>968</v>
      </c>
      <c r="E332" s="6" t="s">
        <v>2241</v>
      </c>
      <c r="F332" s="8">
        <v>158669.28</v>
      </c>
      <c r="G332" s="6" t="s">
        <v>2237</v>
      </c>
      <c r="H332" s="8">
        <v>158669.28</v>
      </c>
      <c r="I332" s="6" t="s">
        <v>2237</v>
      </c>
      <c r="J332" s="8">
        <v>0</v>
      </c>
      <c r="K332" s="6" t="s">
        <v>2237</v>
      </c>
      <c r="L332" s="8">
        <v>0</v>
      </c>
      <c r="M332" s="6" t="s">
        <v>2237</v>
      </c>
      <c r="N332" s="8">
        <v>142754.25</v>
      </c>
      <c r="O332" s="6" t="s">
        <v>2237</v>
      </c>
      <c r="P332" s="6" t="s">
        <v>2236</v>
      </c>
      <c r="Q332" s="9" t="s">
        <v>2242</v>
      </c>
      <c r="R332" s="9" t="s">
        <v>2238</v>
      </c>
      <c r="S332" s="9" t="s">
        <v>2243</v>
      </c>
      <c r="T332" s="9" t="s">
        <v>2256</v>
      </c>
      <c r="U33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E540-3010173-D245401</v>
      </c>
      <c r="X33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E540-301017311-D245401</v>
      </c>
      <c r="Y3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3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2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332" s="10" t="str">
        <f>IF(IFERROR(INDEX(WBS_Dictionary!L$2:L$1212, MATCH(Table2[[#This Row],[WBS_ID]], Table26[WBS CODE],0)), "") = "", "null", IFERROR(INDEX(WBS_Dictionary!L$2:L$1212, MATCH(Table2[[#This Row],[WBS_ID]], Table26[WBS CODE],0)), ""))</f>
        <v>Explosive</v>
      </c>
      <c r="AC3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3" spans="1:31" hidden="1" x14ac:dyDescent="0.3">
      <c r="A333" s="6" t="s">
        <v>2640</v>
      </c>
      <c r="B333" s="6" t="s">
        <v>30</v>
      </c>
      <c r="C333" s="6" t="s">
        <v>375</v>
      </c>
      <c r="D333" s="6" t="s">
        <v>1637</v>
      </c>
      <c r="E333" s="6" t="s">
        <v>2241</v>
      </c>
      <c r="F333" s="8">
        <v>0</v>
      </c>
      <c r="G333" s="6" t="s">
        <v>2237</v>
      </c>
      <c r="H333" s="8">
        <v>0</v>
      </c>
      <c r="I333" s="6" t="s">
        <v>2237</v>
      </c>
      <c r="J333" s="8">
        <v>0</v>
      </c>
      <c r="K333" s="6" t="s">
        <v>2237</v>
      </c>
      <c r="L333" s="8">
        <v>0</v>
      </c>
      <c r="M333" s="6" t="s">
        <v>2237</v>
      </c>
      <c r="N333" s="8">
        <v>142754.25</v>
      </c>
      <c r="O333" s="6" t="s">
        <v>2237</v>
      </c>
      <c r="P333" s="6" t="s">
        <v>2236</v>
      </c>
      <c r="Q333" s="9" t="s">
        <v>2242</v>
      </c>
      <c r="R333" s="9" t="s">
        <v>2238</v>
      </c>
      <c r="S333" s="9" t="s">
        <v>2243</v>
      </c>
      <c r="T333" s="9" t="s">
        <v>2327</v>
      </c>
      <c r="U33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E540-3010173-D245401</v>
      </c>
      <c r="X33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E540-301017311-D245401</v>
      </c>
      <c r="Y33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E540-30101731160-D245401</v>
      </c>
      <c r="Z33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3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333" s="10" t="str">
        <f>IF(IFERROR(INDEX(WBS_Dictionary!L$2:L$1212, MATCH(Table2[[#This Row],[WBS_ID]], Table26[WBS CODE],0)), "") = "", "null", IFERROR(INDEX(WBS_Dictionary!L$2:L$1212, MATCH(Table2[[#This Row],[WBS_ID]], Table26[WBS CODE],0)), ""))</f>
        <v>Explosive</v>
      </c>
      <c r="AC333" s="10" t="str">
        <f>IF(IFERROR(INDEX(WBS_Dictionary!M$2:M$1212, MATCH(Table2[[#This Row],[WBS_ID]], Table26[WBS CODE],0)), "") = "", "null", IFERROR(INDEX(WBS_Dictionary!M$2:M$1212, MATCH(Table2[[#This Row],[WBS_ID]], Table26[WBS CODE],0)), ""))</f>
        <v>Explosive</v>
      </c>
      <c r="AD3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4" spans="1:31" hidden="1" x14ac:dyDescent="0.3">
      <c r="A334" s="6" t="s">
        <v>2641</v>
      </c>
      <c r="B334" s="6" t="s">
        <v>21</v>
      </c>
      <c r="C334" s="6" t="s">
        <v>379</v>
      </c>
      <c r="D334" s="6" t="s">
        <v>851</v>
      </c>
      <c r="E334" s="6" t="s">
        <v>2241</v>
      </c>
      <c r="F334" s="8">
        <v>2301475</v>
      </c>
      <c r="G334" s="6" t="s">
        <v>2237</v>
      </c>
      <c r="H334" s="8">
        <v>0</v>
      </c>
      <c r="I334" s="6" t="s">
        <v>2237</v>
      </c>
      <c r="J334" s="8">
        <v>0</v>
      </c>
      <c r="K334" s="6" t="s">
        <v>2237</v>
      </c>
      <c r="L334" s="8">
        <v>0</v>
      </c>
      <c r="M334" s="6" t="s">
        <v>2237</v>
      </c>
      <c r="N334" s="8">
        <v>0</v>
      </c>
      <c r="O334" s="6" t="s">
        <v>2237</v>
      </c>
      <c r="P334" s="6" t="s">
        <v>2236</v>
      </c>
      <c r="Q334" s="9" t="s">
        <v>2242</v>
      </c>
      <c r="R334" s="9" t="s">
        <v>2238</v>
      </c>
      <c r="S334" s="9" t="s">
        <v>2243</v>
      </c>
      <c r="T334" s="9" t="s">
        <v>2642</v>
      </c>
      <c r="U33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E540-3010172-D245401</v>
      </c>
      <c r="X3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3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4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3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5" spans="1:31" hidden="1" x14ac:dyDescent="0.3">
      <c r="A335" s="6" t="s">
        <v>2643</v>
      </c>
      <c r="B335" s="6" t="s">
        <v>26</v>
      </c>
      <c r="C335" s="6" t="s">
        <v>379</v>
      </c>
      <c r="D335" s="6" t="s">
        <v>967</v>
      </c>
      <c r="E335" s="6" t="s">
        <v>2241</v>
      </c>
      <c r="F335" s="8">
        <v>2301475</v>
      </c>
      <c r="G335" s="6" t="s">
        <v>2237</v>
      </c>
      <c r="H335" s="8">
        <v>0</v>
      </c>
      <c r="I335" s="6" t="s">
        <v>2237</v>
      </c>
      <c r="J335" s="8">
        <v>0</v>
      </c>
      <c r="K335" s="6" t="s">
        <v>2237</v>
      </c>
      <c r="L335" s="8">
        <v>0</v>
      </c>
      <c r="M335" s="6" t="s">
        <v>2237</v>
      </c>
      <c r="N335" s="8">
        <v>0</v>
      </c>
      <c r="O335" s="6" t="s">
        <v>2237</v>
      </c>
      <c r="P335" s="6" t="s">
        <v>2236</v>
      </c>
      <c r="Q335" s="9" t="s">
        <v>2242</v>
      </c>
      <c r="R335" s="9" t="s">
        <v>2238</v>
      </c>
      <c r="S335" s="9" t="s">
        <v>2243</v>
      </c>
      <c r="T335" s="9" t="s">
        <v>2642</v>
      </c>
      <c r="U33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E540-3010172-D245401</v>
      </c>
      <c r="X33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E540-301017299-D245401</v>
      </c>
      <c r="Y3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3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5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335" s="10" t="str">
        <f>IF(IFERROR(INDEX(WBS_Dictionary!L$2:L$1212, MATCH(Table2[[#This Row],[WBS_ID]], Table26[WBS CODE],0)), "") = "", "null", IFERROR(INDEX(WBS_Dictionary!L$2:L$1212, MATCH(Table2[[#This Row],[WBS_ID]], Table26[WBS CODE],0)), ""))</f>
        <v>LIH</v>
      </c>
      <c r="AC3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6" spans="1:31" hidden="1" x14ac:dyDescent="0.3">
      <c r="A336" s="6" t="s">
        <v>2644</v>
      </c>
      <c r="B336" s="6" t="s">
        <v>30</v>
      </c>
      <c r="C336" s="6" t="s">
        <v>379</v>
      </c>
      <c r="D336" s="6" t="s">
        <v>1636</v>
      </c>
      <c r="E336" s="6" t="s">
        <v>2241</v>
      </c>
      <c r="F336" s="8">
        <v>0</v>
      </c>
      <c r="G336" s="6" t="s">
        <v>2237</v>
      </c>
      <c r="H336" s="8">
        <v>0</v>
      </c>
      <c r="I336" s="6" t="s">
        <v>2237</v>
      </c>
      <c r="J336" s="8">
        <v>0</v>
      </c>
      <c r="K336" s="6" t="s">
        <v>2237</v>
      </c>
      <c r="L336" s="8">
        <v>0</v>
      </c>
      <c r="M336" s="6" t="s">
        <v>2237</v>
      </c>
      <c r="N336" s="8">
        <v>0</v>
      </c>
      <c r="O336" s="6" t="s">
        <v>2237</v>
      </c>
      <c r="P336" s="6" t="s">
        <v>2236</v>
      </c>
      <c r="Q336" s="9" t="s">
        <v>2242</v>
      </c>
      <c r="R336" s="9" t="s">
        <v>2238</v>
      </c>
      <c r="S336" s="9" t="s">
        <v>2243</v>
      </c>
      <c r="T336" s="9" t="s">
        <v>2645</v>
      </c>
      <c r="U33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E540-3010172-D245401</v>
      </c>
      <c r="X33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E540-301017299-D245401</v>
      </c>
      <c r="Y33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E540-30101729921-D245401</v>
      </c>
      <c r="Z33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6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336" s="10" t="str">
        <f>IF(IFERROR(INDEX(WBS_Dictionary!L$2:L$1212, MATCH(Table2[[#This Row],[WBS_ID]], Table26[WBS CODE],0)), "") = "", "null", IFERROR(INDEX(WBS_Dictionary!L$2:L$1212, MATCH(Table2[[#This Row],[WBS_ID]], Table26[WBS CODE],0)), ""))</f>
        <v>LIH</v>
      </c>
      <c r="AC336" s="10" t="str">
        <f>IF(IFERROR(INDEX(WBS_Dictionary!M$2:M$1212, MATCH(Table2[[#This Row],[WBS_ID]], Table26[WBS CODE],0)), "") = "", "null", IFERROR(INDEX(WBS_Dictionary!M$2:M$1212, MATCH(Table2[[#This Row],[WBS_ID]], Table26[WBS CODE],0)), ""))</f>
        <v>LIH</v>
      </c>
      <c r="AD3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3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337" spans="1:31" x14ac:dyDescent="0.3">
      <c r="A337" s="6" t="s">
        <v>2646</v>
      </c>
      <c r="B337" s="6" t="s">
        <v>21</v>
      </c>
      <c r="C337" s="6" t="s">
        <v>833</v>
      </c>
      <c r="D337" s="6" t="s">
        <v>834</v>
      </c>
      <c r="E337" s="6" t="s">
        <v>2241</v>
      </c>
      <c r="F337" s="8">
        <v>6482183</v>
      </c>
      <c r="G337" s="6" t="s">
        <v>2237</v>
      </c>
      <c r="H337" s="8">
        <v>6482183</v>
      </c>
      <c r="I337" s="6" t="s">
        <v>2237</v>
      </c>
      <c r="J337" s="8">
        <v>0</v>
      </c>
      <c r="K337" s="6" t="s">
        <v>2237</v>
      </c>
      <c r="L337" s="8">
        <v>1610559.37</v>
      </c>
      <c r="M337" s="6" t="s">
        <v>2237</v>
      </c>
      <c r="N337" s="8">
        <v>111301.31</v>
      </c>
      <c r="O337" s="6" t="s">
        <v>2237</v>
      </c>
      <c r="P337" s="6" t="s">
        <v>2236</v>
      </c>
      <c r="Q337" s="9" t="s">
        <v>2242</v>
      </c>
      <c r="R337" s="9" t="s">
        <v>2238</v>
      </c>
      <c r="S337" s="9" t="s">
        <v>2243</v>
      </c>
      <c r="T337" s="9" t="s">
        <v>2244</v>
      </c>
      <c r="U33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3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37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38" spans="1:31" x14ac:dyDescent="0.3">
      <c r="A338" s="6" t="s">
        <v>2647</v>
      </c>
      <c r="B338" s="6" t="s">
        <v>26</v>
      </c>
      <c r="C338" s="6" t="s">
        <v>924</v>
      </c>
      <c r="D338" s="6" t="s">
        <v>925</v>
      </c>
      <c r="E338" s="6" t="s">
        <v>2241</v>
      </c>
      <c r="F338" s="8">
        <v>4618132</v>
      </c>
      <c r="G338" s="6" t="s">
        <v>2237</v>
      </c>
      <c r="H338" s="8">
        <v>4618132</v>
      </c>
      <c r="I338" s="6" t="s">
        <v>2237</v>
      </c>
      <c r="J338" s="8">
        <v>0</v>
      </c>
      <c r="K338" s="6" t="s">
        <v>2237</v>
      </c>
      <c r="L338" s="8">
        <v>1610559.37</v>
      </c>
      <c r="M338" s="6" t="s">
        <v>2237</v>
      </c>
      <c r="N338" s="8">
        <v>47054.76</v>
      </c>
      <c r="O338" s="6" t="s">
        <v>2237</v>
      </c>
      <c r="P338" s="6" t="s">
        <v>2236</v>
      </c>
      <c r="Q338" s="9" t="s">
        <v>2242</v>
      </c>
      <c r="R338" s="9" t="s">
        <v>2238</v>
      </c>
      <c r="S338" s="9" t="s">
        <v>2243</v>
      </c>
      <c r="T338" s="9" t="s">
        <v>2244</v>
      </c>
      <c r="U33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3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3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3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38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39" spans="1:31" x14ac:dyDescent="0.3">
      <c r="A339" s="6" t="s">
        <v>2648</v>
      </c>
      <c r="B339" s="6" t="s">
        <v>30</v>
      </c>
      <c r="C339" s="6" t="s">
        <v>1363</v>
      </c>
      <c r="D339" s="6" t="s">
        <v>1364</v>
      </c>
      <c r="E339" s="6" t="s">
        <v>2241</v>
      </c>
      <c r="F339" s="8">
        <v>0</v>
      </c>
      <c r="G339" s="6" t="s">
        <v>2237</v>
      </c>
      <c r="H339" s="8">
        <v>0</v>
      </c>
      <c r="I339" s="6" t="s">
        <v>2237</v>
      </c>
      <c r="J339" s="8">
        <v>0</v>
      </c>
      <c r="K339" s="6" t="s">
        <v>2237</v>
      </c>
      <c r="L339" s="8">
        <v>367797.4</v>
      </c>
      <c r="M339" s="6" t="s">
        <v>2237</v>
      </c>
      <c r="N339" s="8">
        <v>0</v>
      </c>
      <c r="O339" s="6" t="s">
        <v>2237</v>
      </c>
      <c r="P339" s="6" t="s">
        <v>2236</v>
      </c>
      <c r="Q339" s="9" t="s">
        <v>2242</v>
      </c>
      <c r="R339" s="9" t="s">
        <v>2238</v>
      </c>
      <c r="S339" s="9" t="s">
        <v>2243</v>
      </c>
      <c r="T339" s="9" t="s">
        <v>2327</v>
      </c>
      <c r="U33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3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3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3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3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E540-30101050245-D245401</v>
      </c>
      <c r="Z33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3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3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39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339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0" spans="1:31" x14ac:dyDescent="0.3">
      <c r="A340" s="6" t="s">
        <v>2649</v>
      </c>
      <c r="B340" s="6" t="s">
        <v>30</v>
      </c>
      <c r="C340" s="6" t="s">
        <v>1361</v>
      </c>
      <c r="D340" s="6" t="s">
        <v>1362</v>
      </c>
      <c r="E340" s="6" t="s">
        <v>2241</v>
      </c>
      <c r="F340" s="8">
        <v>0</v>
      </c>
      <c r="G340" s="6" t="s">
        <v>2237</v>
      </c>
      <c r="H340" s="8">
        <v>0</v>
      </c>
      <c r="I340" s="6" t="s">
        <v>2237</v>
      </c>
      <c r="J340" s="8">
        <v>0</v>
      </c>
      <c r="K340" s="6" t="s">
        <v>2237</v>
      </c>
      <c r="L340" s="8">
        <v>928.1</v>
      </c>
      <c r="M340" s="6" t="s">
        <v>2237</v>
      </c>
      <c r="N340" s="8">
        <v>4367.5</v>
      </c>
      <c r="O340" s="6" t="s">
        <v>2237</v>
      </c>
      <c r="P340" s="6" t="s">
        <v>2236</v>
      </c>
      <c r="Q340" s="9" t="s">
        <v>2242</v>
      </c>
      <c r="R340" s="9" t="s">
        <v>2238</v>
      </c>
      <c r="S340" s="9" t="s">
        <v>2243</v>
      </c>
      <c r="T340" s="9" t="s">
        <v>2327</v>
      </c>
      <c r="U34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E540-30101050224-D245401</v>
      </c>
      <c r="Z34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0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340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1" spans="1:31" x14ac:dyDescent="0.3">
      <c r="A341" s="6" t="s">
        <v>2650</v>
      </c>
      <c r="B341" s="6" t="s">
        <v>30</v>
      </c>
      <c r="C341" s="6" t="s">
        <v>1375</v>
      </c>
      <c r="D341" s="6" t="s">
        <v>1376</v>
      </c>
      <c r="E341" s="6" t="s">
        <v>2241</v>
      </c>
      <c r="F341" s="8">
        <v>0</v>
      </c>
      <c r="G341" s="6" t="s">
        <v>2237</v>
      </c>
      <c r="H341" s="8">
        <v>0</v>
      </c>
      <c r="I341" s="6" t="s">
        <v>2237</v>
      </c>
      <c r="J341" s="8">
        <v>0</v>
      </c>
      <c r="K341" s="6" t="s">
        <v>2237</v>
      </c>
      <c r="L341" s="8">
        <v>45011.48</v>
      </c>
      <c r="M341" s="6" t="s">
        <v>2237</v>
      </c>
      <c r="N341" s="8">
        <v>9621.15</v>
      </c>
      <c r="O341" s="6" t="s">
        <v>2237</v>
      </c>
      <c r="P341" s="6" t="s">
        <v>2236</v>
      </c>
      <c r="Q341" s="9" t="s">
        <v>2242</v>
      </c>
      <c r="R341" s="9" t="s">
        <v>2238</v>
      </c>
      <c r="S341" s="9" t="s">
        <v>2243</v>
      </c>
      <c r="T341" s="9" t="s">
        <v>2327</v>
      </c>
      <c r="U34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E540-30101050298-D245401</v>
      </c>
      <c r="Z34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1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341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2" spans="1:31" x14ac:dyDescent="0.3">
      <c r="A342" s="6" t="s">
        <v>2651</v>
      </c>
      <c r="B342" s="6" t="s">
        <v>30</v>
      </c>
      <c r="C342" s="6" t="s">
        <v>1373</v>
      </c>
      <c r="D342" s="6" t="s">
        <v>1374</v>
      </c>
      <c r="E342" s="6" t="s">
        <v>2241</v>
      </c>
      <c r="F342" s="8">
        <v>0</v>
      </c>
      <c r="G342" s="6" t="s">
        <v>2237</v>
      </c>
      <c r="H342" s="8">
        <v>0</v>
      </c>
      <c r="I342" s="6" t="s">
        <v>2237</v>
      </c>
      <c r="J342" s="8">
        <v>0</v>
      </c>
      <c r="K342" s="6" t="s">
        <v>2237</v>
      </c>
      <c r="L342" s="8">
        <v>0</v>
      </c>
      <c r="M342" s="6" t="s">
        <v>2237</v>
      </c>
      <c r="N342" s="8">
        <v>0</v>
      </c>
      <c r="O342" s="6" t="s">
        <v>2237</v>
      </c>
      <c r="P342" s="6" t="s">
        <v>2236</v>
      </c>
      <c r="Q342" s="9" t="s">
        <v>2242</v>
      </c>
      <c r="R342" s="9" t="s">
        <v>2238</v>
      </c>
      <c r="S342" s="9" t="s">
        <v>2243</v>
      </c>
      <c r="T342" s="9" t="s">
        <v>2327</v>
      </c>
      <c r="U34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E540-30101050297-D245401</v>
      </c>
      <c r="Z34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2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342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3" spans="1:31" x14ac:dyDescent="0.3">
      <c r="A343" s="6" t="s">
        <v>2652</v>
      </c>
      <c r="B343" s="6" t="s">
        <v>30</v>
      </c>
      <c r="C343" s="6" t="s">
        <v>1371</v>
      </c>
      <c r="D343" s="6" t="s">
        <v>1372</v>
      </c>
      <c r="E343" s="6" t="s">
        <v>2241</v>
      </c>
      <c r="F343" s="8">
        <v>0</v>
      </c>
      <c r="G343" s="6" t="s">
        <v>2237</v>
      </c>
      <c r="H343" s="8">
        <v>0</v>
      </c>
      <c r="I343" s="6" t="s">
        <v>2237</v>
      </c>
      <c r="J343" s="8">
        <v>0</v>
      </c>
      <c r="K343" s="6" t="s">
        <v>2237</v>
      </c>
      <c r="L343" s="8">
        <v>0</v>
      </c>
      <c r="M343" s="6" t="s">
        <v>2237</v>
      </c>
      <c r="N343" s="8">
        <v>0</v>
      </c>
      <c r="O343" s="6" t="s">
        <v>2237</v>
      </c>
      <c r="P343" s="6" t="s">
        <v>2236</v>
      </c>
      <c r="Q343" s="9" t="s">
        <v>2242</v>
      </c>
      <c r="R343" s="9" t="s">
        <v>2238</v>
      </c>
      <c r="S343" s="9" t="s">
        <v>2243</v>
      </c>
      <c r="T343" s="9" t="s">
        <v>2327</v>
      </c>
      <c r="U34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E540-30101050296-D245401</v>
      </c>
      <c r="Z34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3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343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4" spans="1:31" x14ac:dyDescent="0.3">
      <c r="A344" s="6" t="s">
        <v>2653</v>
      </c>
      <c r="B344" s="6" t="s">
        <v>30</v>
      </c>
      <c r="C344" s="6" t="s">
        <v>1369</v>
      </c>
      <c r="D344" s="6" t="s">
        <v>1370</v>
      </c>
      <c r="E344" s="6" t="s">
        <v>2241</v>
      </c>
      <c r="F344" s="8">
        <v>0</v>
      </c>
      <c r="G344" s="6" t="s">
        <v>2237</v>
      </c>
      <c r="H344" s="8">
        <v>0</v>
      </c>
      <c r="I344" s="6" t="s">
        <v>2237</v>
      </c>
      <c r="J344" s="8">
        <v>0</v>
      </c>
      <c r="K344" s="6" t="s">
        <v>2237</v>
      </c>
      <c r="L344" s="8">
        <v>0</v>
      </c>
      <c r="M344" s="6" t="s">
        <v>2237</v>
      </c>
      <c r="N344" s="8">
        <v>0</v>
      </c>
      <c r="O344" s="6" t="s">
        <v>2237</v>
      </c>
      <c r="P344" s="6" t="s">
        <v>2236</v>
      </c>
      <c r="Q344" s="9" t="s">
        <v>2242</v>
      </c>
      <c r="R344" s="9" t="s">
        <v>2238</v>
      </c>
      <c r="S344" s="9" t="s">
        <v>2243</v>
      </c>
      <c r="T344" s="9" t="s">
        <v>2327</v>
      </c>
      <c r="U34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E540-30101050295-D245401</v>
      </c>
      <c r="Z34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4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344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5" spans="1:31" x14ac:dyDescent="0.3">
      <c r="A345" s="6" t="s">
        <v>2654</v>
      </c>
      <c r="B345" s="6" t="s">
        <v>30</v>
      </c>
      <c r="C345" s="6" t="s">
        <v>1367</v>
      </c>
      <c r="D345" s="6" t="s">
        <v>1368</v>
      </c>
      <c r="E345" s="6" t="s">
        <v>2241</v>
      </c>
      <c r="F345" s="8">
        <v>0</v>
      </c>
      <c r="G345" s="6" t="s">
        <v>2237</v>
      </c>
      <c r="H345" s="8">
        <v>0</v>
      </c>
      <c r="I345" s="6" t="s">
        <v>2237</v>
      </c>
      <c r="J345" s="8">
        <v>0</v>
      </c>
      <c r="K345" s="6" t="s">
        <v>2237</v>
      </c>
      <c r="L345" s="8">
        <v>62096.6</v>
      </c>
      <c r="M345" s="6" t="s">
        <v>2237</v>
      </c>
      <c r="N345" s="8">
        <v>0.04</v>
      </c>
      <c r="O345" s="6" t="s">
        <v>2237</v>
      </c>
      <c r="P345" s="6" t="s">
        <v>2236</v>
      </c>
      <c r="Q345" s="9" t="s">
        <v>2242</v>
      </c>
      <c r="R345" s="9" t="s">
        <v>2238</v>
      </c>
      <c r="S345" s="9" t="s">
        <v>2243</v>
      </c>
      <c r="T345" s="9" t="s">
        <v>2327</v>
      </c>
      <c r="U34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E540-30101050294-D245401</v>
      </c>
      <c r="Z34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5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345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6" spans="1:31" x14ac:dyDescent="0.3">
      <c r="A346" s="6" t="s">
        <v>2655</v>
      </c>
      <c r="B346" s="6" t="s">
        <v>30</v>
      </c>
      <c r="C346" s="6" t="s">
        <v>2656</v>
      </c>
      <c r="D346" s="6" t="s">
        <v>1360</v>
      </c>
      <c r="E346" s="6" t="s">
        <v>2241</v>
      </c>
      <c r="F346" s="8">
        <v>0</v>
      </c>
      <c r="G346" s="6" t="s">
        <v>2237</v>
      </c>
      <c r="H346" s="8">
        <v>0</v>
      </c>
      <c r="I346" s="6" t="s">
        <v>2237</v>
      </c>
      <c r="J346" s="8">
        <v>0</v>
      </c>
      <c r="K346" s="6" t="s">
        <v>2237</v>
      </c>
      <c r="L346" s="8">
        <v>11671.66</v>
      </c>
      <c r="M346" s="6" t="s">
        <v>2237</v>
      </c>
      <c r="N346" s="8">
        <v>0</v>
      </c>
      <c r="O346" s="6" t="s">
        <v>2237</v>
      </c>
      <c r="P346" s="6" t="s">
        <v>2236</v>
      </c>
      <c r="Q346" s="9" t="s">
        <v>2242</v>
      </c>
      <c r="R346" s="9" t="s">
        <v>2238</v>
      </c>
      <c r="S346" s="9" t="s">
        <v>2243</v>
      </c>
      <c r="T346" s="9" t="s">
        <v>2327</v>
      </c>
      <c r="U34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E540-30101050220-D245401</v>
      </c>
      <c r="Z34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6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346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7" spans="1:31" x14ac:dyDescent="0.3">
      <c r="A347" s="6" t="s">
        <v>2657</v>
      </c>
      <c r="B347" s="6" t="s">
        <v>30</v>
      </c>
      <c r="C347" s="6" t="s">
        <v>1357</v>
      </c>
      <c r="D347" s="6" t="s">
        <v>1358</v>
      </c>
      <c r="E347" s="6" t="s">
        <v>2241</v>
      </c>
      <c r="F347" s="8">
        <v>0</v>
      </c>
      <c r="G347" s="6" t="s">
        <v>2237</v>
      </c>
      <c r="H347" s="8">
        <v>0</v>
      </c>
      <c r="I347" s="6" t="s">
        <v>2237</v>
      </c>
      <c r="J347" s="8">
        <v>0</v>
      </c>
      <c r="K347" s="6" t="s">
        <v>2237</v>
      </c>
      <c r="L347" s="8">
        <v>0</v>
      </c>
      <c r="M347" s="6" t="s">
        <v>2237</v>
      </c>
      <c r="N347" s="8">
        <v>0</v>
      </c>
      <c r="O347" s="6" t="s">
        <v>2237</v>
      </c>
      <c r="P347" s="6" t="s">
        <v>2236</v>
      </c>
      <c r="Q347" s="9" t="s">
        <v>2242</v>
      </c>
      <c r="R347" s="9" t="s">
        <v>2238</v>
      </c>
      <c r="S347" s="9" t="s">
        <v>2243</v>
      </c>
      <c r="T347" s="9" t="s">
        <v>2327</v>
      </c>
      <c r="U34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E540-30101050217-D245401</v>
      </c>
      <c r="Z34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7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347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8" spans="1:31" x14ac:dyDescent="0.3">
      <c r="A348" s="6" t="s">
        <v>2658</v>
      </c>
      <c r="B348" s="6" t="s">
        <v>30</v>
      </c>
      <c r="C348" s="6" t="s">
        <v>1355</v>
      </c>
      <c r="D348" s="6" t="s">
        <v>1356</v>
      </c>
      <c r="E348" s="6" t="s">
        <v>2241</v>
      </c>
      <c r="F348" s="8">
        <v>0</v>
      </c>
      <c r="G348" s="6" t="s">
        <v>2237</v>
      </c>
      <c r="H348" s="8">
        <v>0</v>
      </c>
      <c r="I348" s="6" t="s">
        <v>2237</v>
      </c>
      <c r="J348" s="8">
        <v>0</v>
      </c>
      <c r="K348" s="6" t="s">
        <v>2237</v>
      </c>
      <c r="L348" s="8">
        <v>102184.77</v>
      </c>
      <c r="M348" s="6" t="s">
        <v>2237</v>
      </c>
      <c r="N348" s="8">
        <v>15786.07</v>
      </c>
      <c r="O348" s="6" t="s">
        <v>2237</v>
      </c>
      <c r="P348" s="6" t="s">
        <v>2236</v>
      </c>
      <c r="Q348" s="9" t="s">
        <v>2242</v>
      </c>
      <c r="R348" s="9" t="s">
        <v>2238</v>
      </c>
      <c r="S348" s="9" t="s">
        <v>2243</v>
      </c>
      <c r="T348" s="9" t="s">
        <v>2327</v>
      </c>
      <c r="U34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E540-30101050216-D245401</v>
      </c>
      <c r="Z34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8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348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49" spans="1:31" x14ac:dyDescent="0.3">
      <c r="A349" s="6" t="s">
        <v>2659</v>
      </c>
      <c r="B349" s="6" t="s">
        <v>30</v>
      </c>
      <c r="C349" s="6" t="s">
        <v>1353</v>
      </c>
      <c r="D349" s="6" t="s">
        <v>1354</v>
      </c>
      <c r="E349" s="6" t="s">
        <v>2241</v>
      </c>
      <c r="F349" s="8">
        <v>0</v>
      </c>
      <c r="G349" s="6" t="s">
        <v>2237</v>
      </c>
      <c r="H349" s="8">
        <v>0</v>
      </c>
      <c r="I349" s="6" t="s">
        <v>2237</v>
      </c>
      <c r="J349" s="8">
        <v>0</v>
      </c>
      <c r="K349" s="6" t="s">
        <v>2237</v>
      </c>
      <c r="L349" s="8">
        <v>50561.72</v>
      </c>
      <c r="M349" s="6" t="s">
        <v>2237</v>
      </c>
      <c r="N349" s="8">
        <v>0</v>
      </c>
      <c r="O349" s="6" t="s">
        <v>2237</v>
      </c>
      <c r="P349" s="6" t="s">
        <v>2236</v>
      </c>
      <c r="Q349" s="9" t="s">
        <v>2242</v>
      </c>
      <c r="R349" s="9" t="s">
        <v>2238</v>
      </c>
      <c r="S349" s="9" t="s">
        <v>2243</v>
      </c>
      <c r="T349" s="9" t="s">
        <v>2327</v>
      </c>
      <c r="U34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4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4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4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4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E540-30101050215-D245401</v>
      </c>
      <c r="Z34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4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4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49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349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0" spans="1:31" x14ac:dyDescent="0.3">
      <c r="A350" s="6" t="s">
        <v>2660</v>
      </c>
      <c r="B350" s="6" t="s">
        <v>30</v>
      </c>
      <c r="C350" s="6" t="s">
        <v>1351</v>
      </c>
      <c r="D350" s="6" t="s">
        <v>1352</v>
      </c>
      <c r="E350" s="6" t="s">
        <v>2241</v>
      </c>
      <c r="F350" s="8">
        <v>0</v>
      </c>
      <c r="G350" s="6" t="s">
        <v>2237</v>
      </c>
      <c r="H350" s="8">
        <v>0</v>
      </c>
      <c r="I350" s="6" t="s">
        <v>2237</v>
      </c>
      <c r="J350" s="8">
        <v>0</v>
      </c>
      <c r="K350" s="6" t="s">
        <v>2237</v>
      </c>
      <c r="L350" s="8">
        <v>0</v>
      </c>
      <c r="M350" s="6" t="s">
        <v>2237</v>
      </c>
      <c r="N350" s="8">
        <v>0</v>
      </c>
      <c r="O350" s="6" t="s">
        <v>2237</v>
      </c>
      <c r="P350" s="6" t="s">
        <v>2236</v>
      </c>
      <c r="Q350" s="9" t="s">
        <v>2242</v>
      </c>
      <c r="R350" s="9" t="s">
        <v>2238</v>
      </c>
      <c r="S350" s="9" t="s">
        <v>2243</v>
      </c>
      <c r="T350" s="9" t="s">
        <v>2327</v>
      </c>
      <c r="U35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E540-30101050214-D245401</v>
      </c>
      <c r="Z35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0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350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1" spans="1:31" x14ac:dyDescent="0.3">
      <c r="A351" s="6" t="s">
        <v>2661</v>
      </c>
      <c r="B351" s="6" t="s">
        <v>30</v>
      </c>
      <c r="C351" s="6" t="s">
        <v>1349</v>
      </c>
      <c r="D351" s="6" t="s">
        <v>1350</v>
      </c>
      <c r="E351" s="6" t="s">
        <v>2241</v>
      </c>
      <c r="F351" s="8">
        <v>0</v>
      </c>
      <c r="G351" s="6" t="s">
        <v>2237</v>
      </c>
      <c r="H351" s="8">
        <v>0</v>
      </c>
      <c r="I351" s="6" t="s">
        <v>2237</v>
      </c>
      <c r="J351" s="8">
        <v>0</v>
      </c>
      <c r="K351" s="6" t="s">
        <v>2237</v>
      </c>
      <c r="L351" s="8">
        <v>15300</v>
      </c>
      <c r="M351" s="6" t="s">
        <v>2237</v>
      </c>
      <c r="N351" s="8">
        <v>0</v>
      </c>
      <c r="O351" s="6" t="s">
        <v>2237</v>
      </c>
      <c r="P351" s="6" t="s">
        <v>2236</v>
      </c>
      <c r="Q351" s="9" t="s">
        <v>2242</v>
      </c>
      <c r="R351" s="9" t="s">
        <v>2238</v>
      </c>
      <c r="S351" s="9" t="s">
        <v>2243</v>
      </c>
      <c r="T351" s="9" t="s">
        <v>2327</v>
      </c>
      <c r="U35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E540-30101050213-D245401</v>
      </c>
      <c r="Z35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1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351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2" spans="1:31" x14ac:dyDescent="0.3">
      <c r="A352" s="6" t="s">
        <v>2662</v>
      </c>
      <c r="B352" s="6" t="s">
        <v>30</v>
      </c>
      <c r="C352" s="6" t="s">
        <v>1365</v>
      </c>
      <c r="D352" s="6" t="s">
        <v>1366</v>
      </c>
      <c r="E352" s="6" t="s">
        <v>2241</v>
      </c>
      <c r="F352" s="8">
        <v>0</v>
      </c>
      <c r="G352" s="6" t="s">
        <v>2237</v>
      </c>
      <c r="H352" s="8">
        <v>0</v>
      </c>
      <c r="I352" s="6" t="s">
        <v>2237</v>
      </c>
      <c r="J352" s="8">
        <v>0</v>
      </c>
      <c r="K352" s="6" t="s">
        <v>2237</v>
      </c>
      <c r="L352" s="8">
        <v>0</v>
      </c>
      <c r="M352" s="6" t="s">
        <v>2237</v>
      </c>
      <c r="N352" s="8">
        <v>0</v>
      </c>
      <c r="O352" s="6" t="s">
        <v>2237</v>
      </c>
      <c r="P352" s="6" t="s">
        <v>2236</v>
      </c>
      <c r="Q352" s="9" t="s">
        <v>2242</v>
      </c>
      <c r="R352" s="9" t="s">
        <v>2238</v>
      </c>
      <c r="S352" s="9" t="s">
        <v>2243</v>
      </c>
      <c r="T352" s="9" t="s">
        <v>2327</v>
      </c>
      <c r="U35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E540-30101050247-D245401</v>
      </c>
      <c r="Z35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2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352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3" spans="1:31" x14ac:dyDescent="0.3">
      <c r="A353" s="6" t="s">
        <v>2663</v>
      </c>
      <c r="B353" s="6" t="s">
        <v>30</v>
      </c>
      <c r="C353" s="6" t="s">
        <v>1347</v>
      </c>
      <c r="D353" s="6" t="s">
        <v>1348</v>
      </c>
      <c r="E353" s="6" t="s">
        <v>2241</v>
      </c>
      <c r="F353" s="8">
        <v>0</v>
      </c>
      <c r="G353" s="6" t="s">
        <v>2237</v>
      </c>
      <c r="H353" s="8">
        <v>0</v>
      </c>
      <c r="I353" s="6" t="s">
        <v>2237</v>
      </c>
      <c r="J353" s="8">
        <v>0</v>
      </c>
      <c r="K353" s="6" t="s">
        <v>2237</v>
      </c>
      <c r="L353" s="8">
        <v>279898.95</v>
      </c>
      <c r="M353" s="6" t="s">
        <v>2237</v>
      </c>
      <c r="N353" s="8">
        <v>0</v>
      </c>
      <c r="O353" s="6" t="s">
        <v>2237</v>
      </c>
      <c r="P353" s="6" t="s">
        <v>2236</v>
      </c>
      <c r="Q353" s="9" t="s">
        <v>2242</v>
      </c>
      <c r="R353" s="9" t="s">
        <v>2238</v>
      </c>
      <c r="S353" s="9" t="s">
        <v>2243</v>
      </c>
      <c r="T353" s="9" t="s">
        <v>2327</v>
      </c>
      <c r="U35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E540-30101050212-D245401</v>
      </c>
      <c r="Z35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3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353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4" spans="1:31" x14ac:dyDescent="0.3">
      <c r="A354" s="6" t="s">
        <v>2664</v>
      </c>
      <c r="B354" s="6" t="s">
        <v>30</v>
      </c>
      <c r="C354" s="6" t="s">
        <v>1345</v>
      </c>
      <c r="D354" s="6" t="s">
        <v>1346</v>
      </c>
      <c r="E354" s="6" t="s">
        <v>2241</v>
      </c>
      <c r="F354" s="8">
        <v>0</v>
      </c>
      <c r="G354" s="6" t="s">
        <v>2237</v>
      </c>
      <c r="H354" s="8">
        <v>0</v>
      </c>
      <c r="I354" s="6" t="s">
        <v>2237</v>
      </c>
      <c r="J354" s="8">
        <v>0</v>
      </c>
      <c r="K354" s="6" t="s">
        <v>2237</v>
      </c>
      <c r="L354" s="8">
        <v>15096.76</v>
      </c>
      <c r="M354" s="6" t="s">
        <v>2237</v>
      </c>
      <c r="N354" s="8">
        <v>0</v>
      </c>
      <c r="O354" s="6" t="s">
        <v>2237</v>
      </c>
      <c r="P354" s="6" t="s">
        <v>2236</v>
      </c>
      <c r="Q354" s="9" t="s">
        <v>2242</v>
      </c>
      <c r="R354" s="9" t="s">
        <v>2238</v>
      </c>
      <c r="S354" s="9" t="s">
        <v>2243</v>
      </c>
      <c r="T354" s="9" t="s">
        <v>2327</v>
      </c>
      <c r="U35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E540-30101050211-D245401</v>
      </c>
      <c r="Z35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4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354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5" spans="1:31" x14ac:dyDescent="0.3">
      <c r="A355" s="6" t="s">
        <v>2665</v>
      </c>
      <c r="B355" s="6" t="s">
        <v>30</v>
      </c>
      <c r="C355" s="6" t="s">
        <v>1343</v>
      </c>
      <c r="D355" s="6" t="s">
        <v>1344</v>
      </c>
      <c r="E355" s="6" t="s">
        <v>2241</v>
      </c>
      <c r="F355" s="8">
        <v>0</v>
      </c>
      <c r="G355" s="6" t="s">
        <v>2237</v>
      </c>
      <c r="H355" s="8">
        <v>0</v>
      </c>
      <c r="I355" s="6" t="s">
        <v>2237</v>
      </c>
      <c r="J355" s="8">
        <v>0</v>
      </c>
      <c r="K355" s="6" t="s">
        <v>2237</v>
      </c>
      <c r="L355" s="8">
        <v>232531</v>
      </c>
      <c r="M355" s="6" t="s">
        <v>2237</v>
      </c>
      <c r="N355" s="8">
        <v>17280</v>
      </c>
      <c r="O355" s="6" t="s">
        <v>2237</v>
      </c>
      <c r="P355" s="6" t="s">
        <v>2236</v>
      </c>
      <c r="Q355" s="9" t="s">
        <v>2242</v>
      </c>
      <c r="R355" s="9" t="s">
        <v>2238</v>
      </c>
      <c r="S355" s="9" t="s">
        <v>2243</v>
      </c>
      <c r="T355" s="9" t="s">
        <v>2327</v>
      </c>
      <c r="U35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E540-30101050210-D245401</v>
      </c>
      <c r="Z35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5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355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6" spans="1:31" x14ac:dyDescent="0.3">
      <c r="A356" s="6" t="s">
        <v>2666</v>
      </c>
      <c r="B356" s="6" t="s">
        <v>30</v>
      </c>
      <c r="C356" s="6" t="s">
        <v>1341</v>
      </c>
      <c r="D356" s="6" t="s">
        <v>1342</v>
      </c>
      <c r="E356" s="6" t="s">
        <v>2241</v>
      </c>
      <c r="F356" s="8">
        <v>0</v>
      </c>
      <c r="G356" s="6" t="s">
        <v>2237</v>
      </c>
      <c r="H356" s="8">
        <v>0</v>
      </c>
      <c r="I356" s="6" t="s">
        <v>2237</v>
      </c>
      <c r="J356" s="8">
        <v>0</v>
      </c>
      <c r="K356" s="6" t="s">
        <v>2237</v>
      </c>
      <c r="L356" s="8">
        <v>213284</v>
      </c>
      <c r="M356" s="6" t="s">
        <v>2237</v>
      </c>
      <c r="N356" s="8">
        <v>0</v>
      </c>
      <c r="O356" s="6" t="s">
        <v>2237</v>
      </c>
      <c r="P356" s="6" t="s">
        <v>2236</v>
      </c>
      <c r="Q356" s="9" t="s">
        <v>2242</v>
      </c>
      <c r="R356" s="9" t="s">
        <v>2238</v>
      </c>
      <c r="S356" s="9" t="s">
        <v>2243</v>
      </c>
      <c r="T356" s="9" t="s">
        <v>2327</v>
      </c>
      <c r="U35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E540-30101050209-D245401</v>
      </c>
      <c r="Z35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6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356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7" spans="1:31" x14ac:dyDescent="0.3">
      <c r="A357" s="6" t="s">
        <v>2667</v>
      </c>
      <c r="B357" s="6" t="s">
        <v>30</v>
      </c>
      <c r="C357" s="6" t="s">
        <v>1339</v>
      </c>
      <c r="D357" s="6" t="s">
        <v>1340</v>
      </c>
      <c r="E357" s="6" t="s">
        <v>2241</v>
      </c>
      <c r="F357" s="8">
        <v>0</v>
      </c>
      <c r="G357" s="6" t="s">
        <v>2237</v>
      </c>
      <c r="H357" s="8">
        <v>0</v>
      </c>
      <c r="I357" s="6" t="s">
        <v>2237</v>
      </c>
      <c r="J357" s="8">
        <v>0</v>
      </c>
      <c r="K357" s="6" t="s">
        <v>2237</v>
      </c>
      <c r="L357" s="8">
        <v>24744</v>
      </c>
      <c r="M357" s="6" t="s">
        <v>2237</v>
      </c>
      <c r="N357" s="8">
        <v>0</v>
      </c>
      <c r="O357" s="6" t="s">
        <v>2237</v>
      </c>
      <c r="P357" s="6" t="s">
        <v>2236</v>
      </c>
      <c r="Q357" s="9" t="s">
        <v>2242</v>
      </c>
      <c r="R357" s="9" t="s">
        <v>2238</v>
      </c>
      <c r="S357" s="9" t="s">
        <v>2243</v>
      </c>
      <c r="T357" s="9" t="s">
        <v>2327</v>
      </c>
      <c r="U35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E540-30101050208-D245401</v>
      </c>
      <c r="Z35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7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357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8" spans="1:31" x14ac:dyDescent="0.3">
      <c r="A358" s="6" t="s">
        <v>2668</v>
      </c>
      <c r="B358" s="6" t="s">
        <v>30</v>
      </c>
      <c r="C358" s="6" t="s">
        <v>1337</v>
      </c>
      <c r="D358" s="6" t="s">
        <v>1338</v>
      </c>
      <c r="E358" s="6" t="s">
        <v>2241</v>
      </c>
      <c r="F358" s="8">
        <v>0</v>
      </c>
      <c r="G358" s="6" t="s">
        <v>2237</v>
      </c>
      <c r="H358" s="8">
        <v>0</v>
      </c>
      <c r="I358" s="6" t="s">
        <v>2237</v>
      </c>
      <c r="J358" s="8">
        <v>0</v>
      </c>
      <c r="K358" s="6" t="s">
        <v>2237</v>
      </c>
      <c r="L358" s="8">
        <v>104031</v>
      </c>
      <c r="M358" s="6" t="s">
        <v>2237</v>
      </c>
      <c r="N358" s="8">
        <v>0</v>
      </c>
      <c r="O358" s="6" t="s">
        <v>2237</v>
      </c>
      <c r="P358" s="6" t="s">
        <v>2236</v>
      </c>
      <c r="Q358" s="9" t="s">
        <v>2242</v>
      </c>
      <c r="R358" s="9" t="s">
        <v>2238</v>
      </c>
      <c r="S358" s="9" t="s">
        <v>2243</v>
      </c>
      <c r="T358" s="9" t="s">
        <v>2327</v>
      </c>
      <c r="U35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E540-30101050207-D245401</v>
      </c>
      <c r="Z35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8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358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59" spans="1:31" x14ac:dyDescent="0.3">
      <c r="A359" s="6" t="s">
        <v>2669</v>
      </c>
      <c r="B359" s="6" t="s">
        <v>30</v>
      </c>
      <c r="C359" s="6" t="s">
        <v>1335</v>
      </c>
      <c r="D359" s="6" t="s">
        <v>1336</v>
      </c>
      <c r="E359" s="6" t="s">
        <v>2241</v>
      </c>
      <c r="F359" s="8">
        <v>0</v>
      </c>
      <c r="G359" s="6" t="s">
        <v>2237</v>
      </c>
      <c r="H359" s="8">
        <v>0</v>
      </c>
      <c r="I359" s="6" t="s">
        <v>2237</v>
      </c>
      <c r="J359" s="8">
        <v>0</v>
      </c>
      <c r="K359" s="6" t="s">
        <v>2237</v>
      </c>
      <c r="L359" s="8">
        <v>82421.929999999993</v>
      </c>
      <c r="M359" s="6" t="s">
        <v>2237</v>
      </c>
      <c r="N359" s="8">
        <v>0</v>
      </c>
      <c r="O359" s="6" t="s">
        <v>2237</v>
      </c>
      <c r="P359" s="6" t="s">
        <v>2236</v>
      </c>
      <c r="Q359" s="9" t="s">
        <v>2242</v>
      </c>
      <c r="R359" s="9" t="s">
        <v>2238</v>
      </c>
      <c r="S359" s="9" t="s">
        <v>2243</v>
      </c>
      <c r="T359" s="9" t="s">
        <v>2327</v>
      </c>
      <c r="U35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5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5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5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5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E540-30101050205-D245401</v>
      </c>
      <c r="Z35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5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5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59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359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5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0" spans="1:31" x14ac:dyDescent="0.3">
      <c r="A360" s="6" t="s">
        <v>2670</v>
      </c>
      <c r="B360" s="6" t="s">
        <v>30</v>
      </c>
      <c r="C360" s="6" t="s">
        <v>1333</v>
      </c>
      <c r="D360" s="6" t="s">
        <v>1334</v>
      </c>
      <c r="E360" s="6" t="s">
        <v>2241</v>
      </c>
      <c r="F360" s="8">
        <v>0</v>
      </c>
      <c r="G360" s="6" t="s">
        <v>2237</v>
      </c>
      <c r="H360" s="8">
        <v>0</v>
      </c>
      <c r="I360" s="6" t="s">
        <v>2237</v>
      </c>
      <c r="J360" s="8">
        <v>0</v>
      </c>
      <c r="K360" s="6" t="s">
        <v>2237</v>
      </c>
      <c r="L360" s="8">
        <v>3000</v>
      </c>
      <c r="M360" s="6" t="s">
        <v>2237</v>
      </c>
      <c r="N360" s="8">
        <v>0</v>
      </c>
      <c r="O360" s="6" t="s">
        <v>2237</v>
      </c>
      <c r="P360" s="6" t="s">
        <v>2236</v>
      </c>
      <c r="Q360" s="9" t="s">
        <v>2242</v>
      </c>
      <c r="R360" s="9" t="s">
        <v>2238</v>
      </c>
      <c r="S360" s="9" t="s">
        <v>2243</v>
      </c>
      <c r="T360" s="9" t="s">
        <v>2327</v>
      </c>
      <c r="U36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E540-301010502-D245401</v>
      </c>
      <c r="Y36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E540-30101050204-D245401</v>
      </c>
      <c r="Z36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60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360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1" spans="1:31" x14ac:dyDescent="0.3">
      <c r="A361" s="6" t="s">
        <v>2671</v>
      </c>
      <c r="B361" s="6" t="s">
        <v>26</v>
      </c>
      <c r="C361" s="6" t="s">
        <v>922</v>
      </c>
      <c r="D361" s="6" t="s">
        <v>923</v>
      </c>
      <c r="E361" s="6" t="s">
        <v>2241</v>
      </c>
      <c r="F361" s="8">
        <v>44000</v>
      </c>
      <c r="G361" s="6" t="s">
        <v>2237</v>
      </c>
      <c r="H361" s="8">
        <v>44000</v>
      </c>
      <c r="I361" s="6" t="s">
        <v>2237</v>
      </c>
      <c r="J361" s="8">
        <v>0</v>
      </c>
      <c r="K361" s="6" t="s">
        <v>2237</v>
      </c>
      <c r="L361" s="8">
        <v>0</v>
      </c>
      <c r="M361" s="6" t="s">
        <v>2237</v>
      </c>
      <c r="N361" s="8">
        <v>27548.57</v>
      </c>
      <c r="O361" s="6" t="s">
        <v>2237</v>
      </c>
      <c r="P361" s="6" t="s">
        <v>2236</v>
      </c>
      <c r="Q361" s="9" t="s">
        <v>2242</v>
      </c>
      <c r="R361" s="9" t="s">
        <v>2238</v>
      </c>
      <c r="S361" s="9" t="s">
        <v>2243</v>
      </c>
      <c r="T361" s="9" t="s">
        <v>2244</v>
      </c>
      <c r="U36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E540-301010501-D245401</v>
      </c>
      <c r="Y3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6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3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61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2" spans="1:31" x14ac:dyDescent="0.3">
      <c r="A362" s="6" t="s">
        <v>2672</v>
      </c>
      <c r="B362" s="6" t="s">
        <v>30</v>
      </c>
      <c r="C362" s="6" t="s">
        <v>1331</v>
      </c>
      <c r="D362" s="6" t="s">
        <v>1332</v>
      </c>
      <c r="E362" s="6" t="s">
        <v>2241</v>
      </c>
      <c r="F362" s="8">
        <v>0</v>
      </c>
      <c r="G362" s="6" t="s">
        <v>2237</v>
      </c>
      <c r="H362" s="8">
        <v>0</v>
      </c>
      <c r="I362" s="6" t="s">
        <v>2237</v>
      </c>
      <c r="J362" s="8">
        <v>0</v>
      </c>
      <c r="K362" s="6" t="s">
        <v>2237</v>
      </c>
      <c r="L362" s="8">
        <v>0</v>
      </c>
      <c r="M362" s="6" t="s">
        <v>2237</v>
      </c>
      <c r="N362" s="8">
        <v>27548.57</v>
      </c>
      <c r="O362" s="6" t="s">
        <v>2237</v>
      </c>
      <c r="P362" s="6" t="s">
        <v>2236</v>
      </c>
      <c r="Q362" s="9" t="s">
        <v>2242</v>
      </c>
      <c r="R362" s="9" t="s">
        <v>2238</v>
      </c>
      <c r="S362" s="9" t="s">
        <v>2243</v>
      </c>
      <c r="T362" s="9" t="s">
        <v>2327</v>
      </c>
      <c r="U36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E540-301010501-D245401</v>
      </c>
      <c r="Y36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E540-30101050160-D245401</v>
      </c>
      <c r="Z36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362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362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3" spans="1:31" x14ac:dyDescent="0.3">
      <c r="A363" s="6" t="s">
        <v>2673</v>
      </c>
      <c r="B363" s="6" t="s">
        <v>26</v>
      </c>
      <c r="C363" s="6" t="s">
        <v>926</v>
      </c>
      <c r="D363" s="6" t="s">
        <v>927</v>
      </c>
      <c r="E363" s="6" t="s">
        <v>2241</v>
      </c>
      <c r="F363" s="8">
        <v>1820051</v>
      </c>
      <c r="G363" s="6" t="s">
        <v>2237</v>
      </c>
      <c r="H363" s="8">
        <v>1820051</v>
      </c>
      <c r="I363" s="6" t="s">
        <v>2237</v>
      </c>
      <c r="J363" s="8">
        <v>0</v>
      </c>
      <c r="K363" s="6" t="s">
        <v>2237</v>
      </c>
      <c r="L363" s="8">
        <v>0</v>
      </c>
      <c r="M363" s="6" t="s">
        <v>2237</v>
      </c>
      <c r="N363" s="8">
        <v>36697.980000000003</v>
      </c>
      <c r="O363" s="6" t="s">
        <v>2237</v>
      </c>
      <c r="P363" s="6" t="s">
        <v>2236</v>
      </c>
      <c r="Q363" s="9" t="s">
        <v>2242</v>
      </c>
      <c r="R363" s="9" t="s">
        <v>2238</v>
      </c>
      <c r="S363" s="9" t="s">
        <v>2243</v>
      </c>
      <c r="T363" s="9" t="s">
        <v>2244</v>
      </c>
      <c r="U36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E540-301010561-D245401</v>
      </c>
      <c r="Y3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6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63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4" spans="1:31" x14ac:dyDescent="0.3">
      <c r="A364" s="6" t="s">
        <v>2674</v>
      </c>
      <c r="B364" s="6" t="s">
        <v>30</v>
      </c>
      <c r="C364" s="6" t="s">
        <v>1383</v>
      </c>
      <c r="D364" s="6" t="s">
        <v>1384</v>
      </c>
      <c r="E364" s="6" t="s">
        <v>2241</v>
      </c>
      <c r="F364" s="8">
        <v>0</v>
      </c>
      <c r="G364" s="6" t="s">
        <v>2237</v>
      </c>
      <c r="H364" s="8">
        <v>0</v>
      </c>
      <c r="I364" s="6" t="s">
        <v>2237</v>
      </c>
      <c r="J364" s="8">
        <v>0</v>
      </c>
      <c r="K364" s="6" t="s">
        <v>2237</v>
      </c>
      <c r="L364" s="8">
        <v>0</v>
      </c>
      <c r="M364" s="6" t="s">
        <v>2237</v>
      </c>
      <c r="N364" s="8">
        <v>0</v>
      </c>
      <c r="O364" s="6" t="s">
        <v>2237</v>
      </c>
      <c r="P364" s="6" t="s">
        <v>2236</v>
      </c>
      <c r="Q364" s="9" t="s">
        <v>2242</v>
      </c>
      <c r="R364" s="9" t="s">
        <v>2238</v>
      </c>
      <c r="S364" s="9" t="s">
        <v>2243</v>
      </c>
      <c r="T364" s="9" t="s">
        <v>2327</v>
      </c>
      <c r="U36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E540-301010561-D245401</v>
      </c>
      <c r="Y36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E540-30101056162-D245401</v>
      </c>
      <c r="Z36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64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364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5" spans="1:31" x14ac:dyDescent="0.3">
      <c r="A365" s="6" t="s">
        <v>2675</v>
      </c>
      <c r="B365" s="6" t="s">
        <v>30</v>
      </c>
      <c r="C365" s="6" t="s">
        <v>1385</v>
      </c>
      <c r="D365" s="6" t="s">
        <v>1386</v>
      </c>
      <c r="E365" s="6" t="s">
        <v>2241</v>
      </c>
      <c r="F365" s="8">
        <v>0</v>
      </c>
      <c r="G365" s="6" t="s">
        <v>2237</v>
      </c>
      <c r="H365" s="8">
        <v>0</v>
      </c>
      <c r="I365" s="6" t="s">
        <v>2237</v>
      </c>
      <c r="J365" s="8">
        <v>0</v>
      </c>
      <c r="K365" s="6" t="s">
        <v>2237</v>
      </c>
      <c r="L365" s="8">
        <v>0</v>
      </c>
      <c r="M365" s="6" t="s">
        <v>2237</v>
      </c>
      <c r="N365" s="8">
        <v>0</v>
      </c>
      <c r="O365" s="6" t="s">
        <v>2237</v>
      </c>
      <c r="P365" s="6" t="s">
        <v>2236</v>
      </c>
      <c r="Q365" s="9" t="s">
        <v>2242</v>
      </c>
      <c r="R365" s="9" t="s">
        <v>2238</v>
      </c>
      <c r="S365" s="9" t="s">
        <v>2243</v>
      </c>
      <c r="T365" s="9" t="s">
        <v>2327</v>
      </c>
      <c r="U36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E540-301010561-D245401</v>
      </c>
      <c r="Y36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E540-30101056193-D245401</v>
      </c>
      <c r="Z36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65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365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6" spans="1:31" x14ac:dyDescent="0.3">
      <c r="A366" s="6" t="s">
        <v>2676</v>
      </c>
      <c r="B366" s="6" t="s">
        <v>30</v>
      </c>
      <c r="C366" s="6" t="s">
        <v>1381</v>
      </c>
      <c r="D366" s="6" t="s">
        <v>1382</v>
      </c>
      <c r="E366" s="6" t="s">
        <v>2241</v>
      </c>
      <c r="F366" s="8">
        <v>0</v>
      </c>
      <c r="G366" s="6" t="s">
        <v>2237</v>
      </c>
      <c r="H366" s="8">
        <v>0</v>
      </c>
      <c r="I366" s="6" t="s">
        <v>2237</v>
      </c>
      <c r="J366" s="8">
        <v>0</v>
      </c>
      <c r="K366" s="6" t="s">
        <v>2237</v>
      </c>
      <c r="L366" s="8">
        <v>0</v>
      </c>
      <c r="M366" s="6" t="s">
        <v>2237</v>
      </c>
      <c r="N366" s="8">
        <v>32866.559999999998</v>
      </c>
      <c r="O366" s="6" t="s">
        <v>2237</v>
      </c>
      <c r="P366" s="6" t="s">
        <v>2236</v>
      </c>
      <c r="Q366" s="9" t="s">
        <v>2242</v>
      </c>
      <c r="R366" s="9" t="s">
        <v>2238</v>
      </c>
      <c r="S366" s="9" t="s">
        <v>2243</v>
      </c>
      <c r="T366" s="9" t="s">
        <v>2327</v>
      </c>
      <c r="U36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E540-301010561-D245401</v>
      </c>
      <c r="Y36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E540-30101056118-D245401</v>
      </c>
      <c r="Z36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66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366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7" spans="1:31" x14ac:dyDescent="0.3">
      <c r="A367" s="6" t="s">
        <v>2677</v>
      </c>
      <c r="B367" s="6" t="s">
        <v>30</v>
      </c>
      <c r="C367" s="6" t="s">
        <v>1379</v>
      </c>
      <c r="D367" s="6" t="s">
        <v>1380</v>
      </c>
      <c r="E367" s="6" t="s">
        <v>2241</v>
      </c>
      <c r="F367" s="8">
        <v>0</v>
      </c>
      <c r="G367" s="6" t="s">
        <v>2237</v>
      </c>
      <c r="H367" s="8">
        <v>0</v>
      </c>
      <c r="I367" s="6" t="s">
        <v>2237</v>
      </c>
      <c r="J367" s="8">
        <v>0</v>
      </c>
      <c r="K367" s="6" t="s">
        <v>2237</v>
      </c>
      <c r="L367" s="8">
        <v>0</v>
      </c>
      <c r="M367" s="6" t="s">
        <v>2237</v>
      </c>
      <c r="N367" s="8">
        <v>0</v>
      </c>
      <c r="O367" s="6" t="s">
        <v>2237</v>
      </c>
      <c r="P367" s="6" t="s">
        <v>2236</v>
      </c>
      <c r="Q367" s="9" t="s">
        <v>2242</v>
      </c>
      <c r="R367" s="9" t="s">
        <v>2238</v>
      </c>
      <c r="S367" s="9" t="s">
        <v>2243</v>
      </c>
      <c r="T367" s="9" t="s">
        <v>2327</v>
      </c>
      <c r="U36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E540-301010561-D245401</v>
      </c>
      <c r="Y36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E540-30101056102-D245401</v>
      </c>
      <c r="Z36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67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367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8" spans="1:31" x14ac:dyDescent="0.3">
      <c r="A368" s="6" t="s">
        <v>2678</v>
      </c>
      <c r="B368" s="6" t="s">
        <v>30</v>
      </c>
      <c r="C368" s="6" t="s">
        <v>1377</v>
      </c>
      <c r="D368" s="6" t="s">
        <v>1378</v>
      </c>
      <c r="E368" s="6" t="s">
        <v>2241</v>
      </c>
      <c r="F368" s="8">
        <v>0</v>
      </c>
      <c r="G368" s="6" t="s">
        <v>2237</v>
      </c>
      <c r="H368" s="8">
        <v>0</v>
      </c>
      <c r="I368" s="6" t="s">
        <v>2237</v>
      </c>
      <c r="J368" s="8">
        <v>0</v>
      </c>
      <c r="K368" s="6" t="s">
        <v>2237</v>
      </c>
      <c r="L368" s="8">
        <v>0</v>
      </c>
      <c r="M368" s="6" t="s">
        <v>2237</v>
      </c>
      <c r="N368" s="8">
        <v>3831.42</v>
      </c>
      <c r="O368" s="6" t="s">
        <v>2237</v>
      </c>
      <c r="P368" s="6" t="s">
        <v>2236</v>
      </c>
      <c r="Q368" s="9" t="s">
        <v>2242</v>
      </c>
      <c r="R368" s="9" t="s">
        <v>2238</v>
      </c>
      <c r="S368" s="9" t="s">
        <v>2243</v>
      </c>
      <c r="T368" s="9" t="s">
        <v>2327</v>
      </c>
      <c r="U36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E540-3010105-D245401</v>
      </c>
      <c r="X36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E540-301010561-D245401</v>
      </c>
      <c r="Y36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E540-30101056101-D245401</v>
      </c>
      <c r="Z36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68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368" s="10" t="str">
        <f>IF(IFERROR(INDEX(WBS_Dictionary!N$2:N$1212, MATCH(Table2[[#This Row],[WBS_ID]], Table26[WBS CODE],0)), "") = "", "null", IFERROR(INDEX(WBS_Dictionary!N$2:N$1212, MATCH(Table2[[#This Row],[WBS_ID]], Table26[WBS CODE],0)), ""))</f>
        <v>AWI 9-11</v>
      </c>
      <c r="AE36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69" spans="1:31" x14ac:dyDescent="0.3">
      <c r="A369" s="6" t="s">
        <v>2679</v>
      </c>
      <c r="B369" s="6" t="s">
        <v>21</v>
      </c>
      <c r="C369" s="6" t="s">
        <v>830</v>
      </c>
      <c r="D369" s="6" t="s">
        <v>831</v>
      </c>
      <c r="E369" s="6" t="s">
        <v>2241</v>
      </c>
      <c r="F369" s="8">
        <v>6430589</v>
      </c>
      <c r="G369" s="6" t="s">
        <v>2237</v>
      </c>
      <c r="H369" s="8">
        <v>6430589</v>
      </c>
      <c r="I369" s="6" t="s">
        <v>2237</v>
      </c>
      <c r="J369" s="8">
        <v>0</v>
      </c>
      <c r="K369" s="6" t="s">
        <v>2237</v>
      </c>
      <c r="L369" s="8">
        <v>762570.98</v>
      </c>
      <c r="M369" s="6" t="s">
        <v>2237</v>
      </c>
      <c r="N369" s="8">
        <v>4879940.3899999997</v>
      </c>
      <c r="O369" s="6" t="s">
        <v>2237</v>
      </c>
      <c r="P369" s="6" t="s">
        <v>2236</v>
      </c>
      <c r="Q369" s="9" t="s">
        <v>2242</v>
      </c>
      <c r="R369" s="9" t="s">
        <v>2238</v>
      </c>
      <c r="S369" s="9" t="s">
        <v>2243</v>
      </c>
      <c r="T369" s="9" t="s">
        <v>2244</v>
      </c>
      <c r="U36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6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6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3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6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6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3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69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6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0" spans="1:31" x14ac:dyDescent="0.3">
      <c r="A370" s="6" t="s">
        <v>2680</v>
      </c>
      <c r="B370" s="6" t="s">
        <v>26</v>
      </c>
      <c r="C370" s="6" t="s">
        <v>918</v>
      </c>
      <c r="D370" s="6" t="s">
        <v>919</v>
      </c>
      <c r="E370" s="6" t="s">
        <v>2241</v>
      </c>
      <c r="F370" s="8">
        <v>4617656</v>
      </c>
      <c r="G370" s="6" t="s">
        <v>2237</v>
      </c>
      <c r="H370" s="8">
        <v>4617656</v>
      </c>
      <c r="I370" s="6" t="s">
        <v>2237</v>
      </c>
      <c r="J370" s="8">
        <v>0</v>
      </c>
      <c r="K370" s="6" t="s">
        <v>2237</v>
      </c>
      <c r="L370" s="8">
        <v>762570.98</v>
      </c>
      <c r="M370" s="6" t="s">
        <v>2237</v>
      </c>
      <c r="N370" s="8">
        <v>3402734.89</v>
      </c>
      <c r="O370" s="6" t="s">
        <v>2237</v>
      </c>
      <c r="P370" s="6" t="s">
        <v>2236</v>
      </c>
      <c r="Q370" s="9" t="s">
        <v>2242</v>
      </c>
      <c r="R370" s="9" t="s">
        <v>2238</v>
      </c>
      <c r="S370" s="9" t="s">
        <v>2243</v>
      </c>
      <c r="T370" s="9" t="s">
        <v>2256</v>
      </c>
      <c r="U37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7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70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1" spans="1:31" x14ac:dyDescent="0.3">
      <c r="A371" s="6" t="s">
        <v>2681</v>
      </c>
      <c r="B371" s="6" t="s">
        <v>30</v>
      </c>
      <c r="C371" s="6" t="s">
        <v>1307</v>
      </c>
      <c r="D371" s="6" t="s">
        <v>1308</v>
      </c>
      <c r="E371" s="6" t="s">
        <v>2241</v>
      </c>
      <c r="F371" s="8">
        <v>0</v>
      </c>
      <c r="G371" s="6" t="s">
        <v>2237</v>
      </c>
      <c r="H371" s="8">
        <v>0</v>
      </c>
      <c r="I371" s="6" t="s">
        <v>2237</v>
      </c>
      <c r="J371" s="8">
        <v>0</v>
      </c>
      <c r="K371" s="6" t="s">
        <v>2237</v>
      </c>
      <c r="L371" s="8">
        <v>0</v>
      </c>
      <c r="M371" s="6" t="s">
        <v>2237</v>
      </c>
      <c r="N371" s="8">
        <v>658713.31000000006</v>
      </c>
      <c r="O371" s="6" t="s">
        <v>2237</v>
      </c>
      <c r="P371" s="6" t="s">
        <v>2236</v>
      </c>
      <c r="Q371" s="9" t="s">
        <v>2242</v>
      </c>
      <c r="R371" s="9" t="s">
        <v>2238</v>
      </c>
      <c r="S371" s="9" t="s">
        <v>2243</v>
      </c>
      <c r="T371" s="9" t="s">
        <v>2327</v>
      </c>
      <c r="U37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E540-30101040245-D245401</v>
      </c>
      <c r="Z37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371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2" spans="1:31" x14ac:dyDescent="0.3">
      <c r="A372" s="6" t="s">
        <v>2682</v>
      </c>
      <c r="B372" s="6" t="s">
        <v>30</v>
      </c>
      <c r="C372" s="6" t="s">
        <v>1305</v>
      </c>
      <c r="D372" s="6" t="s">
        <v>1306</v>
      </c>
      <c r="E372" s="6" t="s">
        <v>2241</v>
      </c>
      <c r="F372" s="8">
        <v>0</v>
      </c>
      <c r="G372" s="6" t="s">
        <v>2237</v>
      </c>
      <c r="H372" s="8">
        <v>0</v>
      </c>
      <c r="I372" s="6" t="s">
        <v>2237</v>
      </c>
      <c r="J372" s="8">
        <v>0</v>
      </c>
      <c r="K372" s="6" t="s">
        <v>2237</v>
      </c>
      <c r="L372" s="8">
        <v>0</v>
      </c>
      <c r="M372" s="6" t="s">
        <v>2237</v>
      </c>
      <c r="N372" s="8">
        <v>9269.86</v>
      </c>
      <c r="O372" s="6" t="s">
        <v>2237</v>
      </c>
      <c r="P372" s="6" t="s">
        <v>2236</v>
      </c>
      <c r="Q372" s="9" t="s">
        <v>2242</v>
      </c>
      <c r="R372" s="9" t="s">
        <v>2238</v>
      </c>
      <c r="S372" s="9" t="s">
        <v>2243</v>
      </c>
      <c r="T372" s="9" t="s">
        <v>2327</v>
      </c>
      <c r="U37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E540-30101040224-D245401</v>
      </c>
      <c r="Z37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2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372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3" spans="1:31" x14ac:dyDescent="0.3">
      <c r="A373" s="6" t="s">
        <v>2683</v>
      </c>
      <c r="B373" s="6" t="s">
        <v>30</v>
      </c>
      <c r="C373" s="6" t="s">
        <v>1319</v>
      </c>
      <c r="D373" s="6" t="s">
        <v>1320</v>
      </c>
      <c r="E373" s="6" t="s">
        <v>2241</v>
      </c>
      <c r="F373" s="8">
        <v>0</v>
      </c>
      <c r="G373" s="6" t="s">
        <v>2237</v>
      </c>
      <c r="H373" s="8">
        <v>0</v>
      </c>
      <c r="I373" s="6" t="s">
        <v>2237</v>
      </c>
      <c r="J373" s="8">
        <v>0</v>
      </c>
      <c r="K373" s="6" t="s">
        <v>2237</v>
      </c>
      <c r="L373" s="8">
        <v>38802.03</v>
      </c>
      <c r="M373" s="6" t="s">
        <v>2237</v>
      </c>
      <c r="N373" s="8">
        <v>16080.49</v>
      </c>
      <c r="O373" s="6" t="s">
        <v>2237</v>
      </c>
      <c r="P373" s="6" t="s">
        <v>2236</v>
      </c>
      <c r="Q373" s="9" t="s">
        <v>2242</v>
      </c>
      <c r="R373" s="9" t="s">
        <v>2238</v>
      </c>
      <c r="S373" s="9" t="s">
        <v>2243</v>
      </c>
      <c r="T373" s="9" t="s">
        <v>2327</v>
      </c>
      <c r="U37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E540-30101040298-D245401</v>
      </c>
      <c r="Z37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3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373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4" spans="1:31" x14ac:dyDescent="0.3">
      <c r="A374" s="6" t="s">
        <v>2684</v>
      </c>
      <c r="B374" s="6" t="s">
        <v>30</v>
      </c>
      <c r="C374" s="6" t="s">
        <v>1317</v>
      </c>
      <c r="D374" s="6" t="s">
        <v>1318</v>
      </c>
      <c r="E374" s="6" t="s">
        <v>2241</v>
      </c>
      <c r="F374" s="8">
        <v>0</v>
      </c>
      <c r="G374" s="6" t="s">
        <v>2237</v>
      </c>
      <c r="H374" s="8">
        <v>0</v>
      </c>
      <c r="I374" s="6" t="s">
        <v>2237</v>
      </c>
      <c r="J374" s="8">
        <v>0</v>
      </c>
      <c r="K374" s="6" t="s">
        <v>2237</v>
      </c>
      <c r="L374" s="8">
        <v>0</v>
      </c>
      <c r="M374" s="6" t="s">
        <v>2237</v>
      </c>
      <c r="N374" s="8">
        <v>0</v>
      </c>
      <c r="O374" s="6" t="s">
        <v>2237</v>
      </c>
      <c r="P374" s="6" t="s">
        <v>2236</v>
      </c>
      <c r="Q374" s="9" t="s">
        <v>2242</v>
      </c>
      <c r="R374" s="9" t="s">
        <v>2238</v>
      </c>
      <c r="S374" s="9" t="s">
        <v>2243</v>
      </c>
      <c r="T374" s="9" t="s">
        <v>2327</v>
      </c>
      <c r="U37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E540-30101040297-D245401</v>
      </c>
      <c r="Z37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4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374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5" spans="1:31" x14ac:dyDescent="0.3">
      <c r="A375" s="6" t="s">
        <v>2685</v>
      </c>
      <c r="B375" s="6" t="s">
        <v>30</v>
      </c>
      <c r="C375" s="6" t="s">
        <v>1315</v>
      </c>
      <c r="D375" s="6" t="s">
        <v>1316</v>
      </c>
      <c r="E375" s="6" t="s">
        <v>2241</v>
      </c>
      <c r="F375" s="8">
        <v>0</v>
      </c>
      <c r="G375" s="6" t="s">
        <v>2237</v>
      </c>
      <c r="H375" s="8">
        <v>0</v>
      </c>
      <c r="I375" s="6" t="s">
        <v>2237</v>
      </c>
      <c r="J375" s="8">
        <v>0</v>
      </c>
      <c r="K375" s="6" t="s">
        <v>2237</v>
      </c>
      <c r="L375" s="8">
        <v>0</v>
      </c>
      <c r="M375" s="6" t="s">
        <v>2237</v>
      </c>
      <c r="N375" s="8">
        <v>0</v>
      </c>
      <c r="O375" s="6" t="s">
        <v>2237</v>
      </c>
      <c r="P375" s="6" t="s">
        <v>2236</v>
      </c>
      <c r="Q375" s="9" t="s">
        <v>2242</v>
      </c>
      <c r="R375" s="9" t="s">
        <v>2238</v>
      </c>
      <c r="S375" s="9" t="s">
        <v>2243</v>
      </c>
      <c r="T375" s="9" t="s">
        <v>2327</v>
      </c>
      <c r="U37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E540-30101040296-D245401</v>
      </c>
      <c r="Z37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5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375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6" spans="1:31" x14ac:dyDescent="0.3">
      <c r="A376" s="6" t="s">
        <v>2686</v>
      </c>
      <c r="B376" s="6" t="s">
        <v>30</v>
      </c>
      <c r="C376" s="6" t="s">
        <v>1313</v>
      </c>
      <c r="D376" s="6" t="s">
        <v>1314</v>
      </c>
      <c r="E376" s="6" t="s">
        <v>2241</v>
      </c>
      <c r="F376" s="8">
        <v>0</v>
      </c>
      <c r="G376" s="6" t="s">
        <v>2237</v>
      </c>
      <c r="H376" s="8">
        <v>0</v>
      </c>
      <c r="I376" s="6" t="s">
        <v>2237</v>
      </c>
      <c r="J376" s="8">
        <v>0</v>
      </c>
      <c r="K376" s="6" t="s">
        <v>2237</v>
      </c>
      <c r="L376" s="8">
        <v>0</v>
      </c>
      <c r="M376" s="6" t="s">
        <v>2237</v>
      </c>
      <c r="N376" s="8">
        <v>0</v>
      </c>
      <c r="O376" s="6" t="s">
        <v>2237</v>
      </c>
      <c r="P376" s="6" t="s">
        <v>2236</v>
      </c>
      <c r="Q376" s="9" t="s">
        <v>2242</v>
      </c>
      <c r="R376" s="9" t="s">
        <v>2238</v>
      </c>
      <c r="S376" s="9" t="s">
        <v>2243</v>
      </c>
      <c r="T376" s="9" t="s">
        <v>2327</v>
      </c>
      <c r="U37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E540-30101040295-D245401</v>
      </c>
      <c r="Z37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6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376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7" spans="1:31" x14ac:dyDescent="0.3">
      <c r="A377" s="6" t="s">
        <v>2687</v>
      </c>
      <c r="B377" s="6" t="s">
        <v>30</v>
      </c>
      <c r="C377" s="6" t="s">
        <v>1311</v>
      </c>
      <c r="D377" s="6" t="s">
        <v>1312</v>
      </c>
      <c r="E377" s="6" t="s">
        <v>2241</v>
      </c>
      <c r="F377" s="8">
        <v>0</v>
      </c>
      <c r="G377" s="6" t="s">
        <v>2237</v>
      </c>
      <c r="H377" s="8">
        <v>0</v>
      </c>
      <c r="I377" s="6" t="s">
        <v>2237</v>
      </c>
      <c r="J377" s="8">
        <v>0</v>
      </c>
      <c r="K377" s="6" t="s">
        <v>2237</v>
      </c>
      <c r="L377" s="8">
        <v>59482.17</v>
      </c>
      <c r="M377" s="6" t="s">
        <v>2237</v>
      </c>
      <c r="N377" s="8">
        <v>17992.77</v>
      </c>
      <c r="O377" s="6" t="s">
        <v>2237</v>
      </c>
      <c r="P377" s="6" t="s">
        <v>2236</v>
      </c>
      <c r="Q377" s="9" t="s">
        <v>2242</v>
      </c>
      <c r="R377" s="9" t="s">
        <v>2238</v>
      </c>
      <c r="S377" s="9" t="s">
        <v>2243</v>
      </c>
      <c r="T377" s="9" t="s">
        <v>2327</v>
      </c>
      <c r="U37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E540-30101040294-D245401</v>
      </c>
      <c r="Z37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7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377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8" spans="1:31" x14ac:dyDescent="0.3">
      <c r="A378" s="6" t="s">
        <v>2688</v>
      </c>
      <c r="B378" s="6" t="s">
        <v>30</v>
      </c>
      <c r="C378" s="6" t="s">
        <v>2689</v>
      </c>
      <c r="D378" s="6" t="s">
        <v>1304</v>
      </c>
      <c r="E378" s="6" t="s">
        <v>2241</v>
      </c>
      <c r="F378" s="8">
        <v>0</v>
      </c>
      <c r="G378" s="6" t="s">
        <v>2237</v>
      </c>
      <c r="H378" s="8">
        <v>0</v>
      </c>
      <c r="I378" s="6" t="s">
        <v>2237</v>
      </c>
      <c r="J378" s="8">
        <v>0</v>
      </c>
      <c r="K378" s="6" t="s">
        <v>2237</v>
      </c>
      <c r="L378" s="8">
        <v>3295.5</v>
      </c>
      <c r="M378" s="6" t="s">
        <v>2237</v>
      </c>
      <c r="N378" s="8">
        <v>9010.76</v>
      </c>
      <c r="O378" s="6" t="s">
        <v>2237</v>
      </c>
      <c r="P378" s="6" t="s">
        <v>2236</v>
      </c>
      <c r="Q378" s="9" t="s">
        <v>2242</v>
      </c>
      <c r="R378" s="9" t="s">
        <v>2238</v>
      </c>
      <c r="S378" s="9" t="s">
        <v>2243</v>
      </c>
      <c r="T378" s="9" t="s">
        <v>2327</v>
      </c>
      <c r="U37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E540-30101040220-D245401</v>
      </c>
      <c r="Z37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8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378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79" spans="1:31" x14ac:dyDescent="0.3">
      <c r="A379" s="6" t="s">
        <v>2690</v>
      </c>
      <c r="B379" s="6" t="s">
        <v>30</v>
      </c>
      <c r="C379" s="6" t="s">
        <v>1301</v>
      </c>
      <c r="D379" s="6" t="s">
        <v>1302</v>
      </c>
      <c r="E379" s="6" t="s">
        <v>2241</v>
      </c>
      <c r="F379" s="8">
        <v>0</v>
      </c>
      <c r="G379" s="6" t="s">
        <v>2237</v>
      </c>
      <c r="H379" s="8">
        <v>0</v>
      </c>
      <c r="I379" s="6" t="s">
        <v>2237</v>
      </c>
      <c r="J379" s="8">
        <v>0</v>
      </c>
      <c r="K379" s="6" t="s">
        <v>2237</v>
      </c>
      <c r="L379" s="8">
        <v>0</v>
      </c>
      <c r="M379" s="6" t="s">
        <v>2237</v>
      </c>
      <c r="N379" s="8">
        <v>0</v>
      </c>
      <c r="O379" s="6" t="s">
        <v>2237</v>
      </c>
      <c r="P379" s="6" t="s">
        <v>2236</v>
      </c>
      <c r="Q379" s="9" t="s">
        <v>2242</v>
      </c>
      <c r="R379" s="9" t="s">
        <v>2238</v>
      </c>
      <c r="S379" s="9" t="s">
        <v>2243</v>
      </c>
      <c r="T379" s="9" t="s">
        <v>2327</v>
      </c>
      <c r="U37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7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7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7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7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E540-30101040217-D245401</v>
      </c>
      <c r="Z37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7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7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79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379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7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0" spans="1:31" x14ac:dyDescent="0.3">
      <c r="A380" s="6" t="s">
        <v>2691</v>
      </c>
      <c r="B380" s="6" t="s">
        <v>30</v>
      </c>
      <c r="C380" s="6" t="s">
        <v>1299</v>
      </c>
      <c r="D380" s="6" t="s">
        <v>1300</v>
      </c>
      <c r="E380" s="6" t="s">
        <v>2241</v>
      </c>
      <c r="F380" s="8">
        <v>0</v>
      </c>
      <c r="G380" s="6" t="s">
        <v>2237</v>
      </c>
      <c r="H380" s="8">
        <v>0</v>
      </c>
      <c r="I380" s="6" t="s">
        <v>2237</v>
      </c>
      <c r="J380" s="8">
        <v>0</v>
      </c>
      <c r="K380" s="6" t="s">
        <v>2237</v>
      </c>
      <c r="L380" s="8">
        <v>11263.16</v>
      </c>
      <c r="M380" s="6" t="s">
        <v>2237</v>
      </c>
      <c r="N380" s="8">
        <v>127600.61</v>
      </c>
      <c r="O380" s="6" t="s">
        <v>2237</v>
      </c>
      <c r="P380" s="6" t="s">
        <v>2236</v>
      </c>
      <c r="Q380" s="9" t="s">
        <v>2242</v>
      </c>
      <c r="R380" s="9" t="s">
        <v>2238</v>
      </c>
      <c r="S380" s="9" t="s">
        <v>2243</v>
      </c>
      <c r="T380" s="9" t="s">
        <v>2327</v>
      </c>
      <c r="U38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E540-30101040216-D245401</v>
      </c>
      <c r="Z38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0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380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1" spans="1:31" x14ac:dyDescent="0.3">
      <c r="A381" s="6" t="s">
        <v>2692</v>
      </c>
      <c r="B381" s="6" t="s">
        <v>30</v>
      </c>
      <c r="C381" s="6" t="s">
        <v>1297</v>
      </c>
      <c r="D381" s="6" t="s">
        <v>1298</v>
      </c>
      <c r="E381" s="6" t="s">
        <v>2241</v>
      </c>
      <c r="F381" s="8">
        <v>0</v>
      </c>
      <c r="G381" s="6" t="s">
        <v>2237</v>
      </c>
      <c r="H381" s="8">
        <v>0</v>
      </c>
      <c r="I381" s="6" t="s">
        <v>2237</v>
      </c>
      <c r="J381" s="8">
        <v>0</v>
      </c>
      <c r="K381" s="6" t="s">
        <v>2237</v>
      </c>
      <c r="L381" s="8">
        <v>3541.66</v>
      </c>
      <c r="M381" s="6" t="s">
        <v>2237</v>
      </c>
      <c r="N381" s="8">
        <v>65296.11</v>
      </c>
      <c r="O381" s="6" t="s">
        <v>2237</v>
      </c>
      <c r="P381" s="6" t="s">
        <v>2236</v>
      </c>
      <c r="Q381" s="9" t="s">
        <v>2242</v>
      </c>
      <c r="R381" s="9" t="s">
        <v>2238</v>
      </c>
      <c r="S381" s="9" t="s">
        <v>2243</v>
      </c>
      <c r="T381" s="9" t="s">
        <v>2327</v>
      </c>
      <c r="U38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E540-30101040215-D245401</v>
      </c>
      <c r="Z38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1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381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2" spans="1:31" x14ac:dyDescent="0.3">
      <c r="A382" s="6" t="s">
        <v>2693</v>
      </c>
      <c r="B382" s="6" t="s">
        <v>30</v>
      </c>
      <c r="C382" s="6" t="s">
        <v>1295</v>
      </c>
      <c r="D382" s="6" t="s">
        <v>1296</v>
      </c>
      <c r="E382" s="6" t="s">
        <v>2241</v>
      </c>
      <c r="F382" s="8">
        <v>0</v>
      </c>
      <c r="G382" s="6" t="s">
        <v>2237</v>
      </c>
      <c r="H382" s="8">
        <v>0</v>
      </c>
      <c r="I382" s="6" t="s">
        <v>2237</v>
      </c>
      <c r="J382" s="8">
        <v>0</v>
      </c>
      <c r="K382" s="6" t="s">
        <v>2237</v>
      </c>
      <c r="L382" s="8">
        <v>0</v>
      </c>
      <c r="M382" s="6" t="s">
        <v>2237</v>
      </c>
      <c r="N382" s="8">
        <v>199400</v>
      </c>
      <c r="O382" s="6" t="s">
        <v>2237</v>
      </c>
      <c r="P382" s="6" t="s">
        <v>2236</v>
      </c>
      <c r="Q382" s="9" t="s">
        <v>2242</v>
      </c>
      <c r="R382" s="9" t="s">
        <v>2238</v>
      </c>
      <c r="S382" s="9" t="s">
        <v>2243</v>
      </c>
      <c r="T382" s="9" t="s">
        <v>2327</v>
      </c>
      <c r="U38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E540-30101040214-D245401</v>
      </c>
      <c r="Z38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2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382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3" spans="1:31" x14ac:dyDescent="0.3">
      <c r="A383" s="6" t="s">
        <v>2694</v>
      </c>
      <c r="B383" s="6" t="s">
        <v>30</v>
      </c>
      <c r="C383" s="6" t="s">
        <v>1293</v>
      </c>
      <c r="D383" s="6" t="s">
        <v>1294</v>
      </c>
      <c r="E383" s="6" t="s">
        <v>2241</v>
      </c>
      <c r="F383" s="8">
        <v>0</v>
      </c>
      <c r="G383" s="6" t="s">
        <v>2237</v>
      </c>
      <c r="H383" s="8">
        <v>0</v>
      </c>
      <c r="I383" s="6" t="s">
        <v>2237</v>
      </c>
      <c r="J383" s="8">
        <v>0</v>
      </c>
      <c r="K383" s="6" t="s">
        <v>2237</v>
      </c>
      <c r="L383" s="8">
        <v>16237.5</v>
      </c>
      <c r="M383" s="6" t="s">
        <v>2237</v>
      </c>
      <c r="N383" s="8">
        <v>42637.5</v>
      </c>
      <c r="O383" s="6" t="s">
        <v>2237</v>
      </c>
      <c r="P383" s="6" t="s">
        <v>2236</v>
      </c>
      <c r="Q383" s="9" t="s">
        <v>2242</v>
      </c>
      <c r="R383" s="9" t="s">
        <v>2238</v>
      </c>
      <c r="S383" s="9" t="s">
        <v>2243</v>
      </c>
      <c r="T383" s="9" t="s">
        <v>2327</v>
      </c>
      <c r="U38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E540-30101040213-D245401</v>
      </c>
      <c r="Z38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3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383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4" spans="1:31" x14ac:dyDescent="0.3">
      <c r="A384" s="6" t="s">
        <v>2695</v>
      </c>
      <c r="B384" s="6" t="s">
        <v>30</v>
      </c>
      <c r="C384" s="6" t="s">
        <v>1309</v>
      </c>
      <c r="D384" s="6" t="s">
        <v>1310</v>
      </c>
      <c r="E384" s="6" t="s">
        <v>2241</v>
      </c>
      <c r="F384" s="8">
        <v>0</v>
      </c>
      <c r="G384" s="6" t="s">
        <v>2237</v>
      </c>
      <c r="H384" s="8">
        <v>0</v>
      </c>
      <c r="I384" s="6" t="s">
        <v>2237</v>
      </c>
      <c r="J384" s="8">
        <v>0</v>
      </c>
      <c r="K384" s="6" t="s">
        <v>2237</v>
      </c>
      <c r="L384" s="8">
        <v>0</v>
      </c>
      <c r="M384" s="6" t="s">
        <v>2237</v>
      </c>
      <c r="N384" s="8">
        <v>0</v>
      </c>
      <c r="O384" s="6" t="s">
        <v>2237</v>
      </c>
      <c r="P384" s="6" t="s">
        <v>2236</v>
      </c>
      <c r="Q384" s="9" t="s">
        <v>2242</v>
      </c>
      <c r="R384" s="9" t="s">
        <v>2238</v>
      </c>
      <c r="S384" s="9" t="s">
        <v>2243</v>
      </c>
      <c r="T384" s="9" t="s">
        <v>2327</v>
      </c>
      <c r="U38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E540-30101040247-D245401</v>
      </c>
      <c r="Z38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4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384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5" spans="1:31" x14ac:dyDescent="0.3">
      <c r="A385" s="6" t="s">
        <v>2696</v>
      </c>
      <c r="B385" s="6" t="s">
        <v>30</v>
      </c>
      <c r="C385" s="6" t="s">
        <v>1291</v>
      </c>
      <c r="D385" s="6" t="s">
        <v>1292</v>
      </c>
      <c r="E385" s="6" t="s">
        <v>2241</v>
      </c>
      <c r="F385" s="8">
        <v>0</v>
      </c>
      <c r="G385" s="6" t="s">
        <v>2237</v>
      </c>
      <c r="H385" s="8">
        <v>0</v>
      </c>
      <c r="I385" s="6" t="s">
        <v>2237</v>
      </c>
      <c r="J385" s="8">
        <v>0</v>
      </c>
      <c r="K385" s="6" t="s">
        <v>2237</v>
      </c>
      <c r="L385" s="8">
        <v>216757.53</v>
      </c>
      <c r="M385" s="6" t="s">
        <v>2237</v>
      </c>
      <c r="N385" s="8">
        <v>687821.17</v>
      </c>
      <c r="O385" s="6" t="s">
        <v>2237</v>
      </c>
      <c r="P385" s="6" t="s">
        <v>2236</v>
      </c>
      <c r="Q385" s="9" t="s">
        <v>2242</v>
      </c>
      <c r="R385" s="9" t="s">
        <v>2238</v>
      </c>
      <c r="S385" s="9" t="s">
        <v>2243</v>
      </c>
      <c r="T385" s="9" t="s">
        <v>2327</v>
      </c>
      <c r="U38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E540-30101040212-D245401</v>
      </c>
      <c r="Z38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5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385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6" spans="1:31" x14ac:dyDescent="0.3">
      <c r="A386" s="6" t="s">
        <v>2697</v>
      </c>
      <c r="B386" s="6" t="s">
        <v>30</v>
      </c>
      <c r="C386" s="6" t="s">
        <v>1289</v>
      </c>
      <c r="D386" s="6" t="s">
        <v>1290</v>
      </c>
      <c r="E386" s="6" t="s">
        <v>2241</v>
      </c>
      <c r="F386" s="8">
        <v>0</v>
      </c>
      <c r="G386" s="6" t="s">
        <v>2237</v>
      </c>
      <c r="H386" s="8">
        <v>0</v>
      </c>
      <c r="I386" s="6" t="s">
        <v>2237</v>
      </c>
      <c r="J386" s="8">
        <v>0</v>
      </c>
      <c r="K386" s="6" t="s">
        <v>2237</v>
      </c>
      <c r="L386" s="8">
        <v>15096.76</v>
      </c>
      <c r="M386" s="6" t="s">
        <v>2237</v>
      </c>
      <c r="N386" s="8">
        <v>48609.99</v>
      </c>
      <c r="O386" s="6" t="s">
        <v>2237</v>
      </c>
      <c r="P386" s="6" t="s">
        <v>2236</v>
      </c>
      <c r="Q386" s="9" t="s">
        <v>2242</v>
      </c>
      <c r="R386" s="9" t="s">
        <v>2238</v>
      </c>
      <c r="S386" s="9" t="s">
        <v>2243</v>
      </c>
      <c r="T386" s="9" t="s">
        <v>2327</v>
      </c>
      <c r="U38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E540-30101040211-D245401</v>
      </c>
      <c r="Z38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6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386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7" spans="1:31" x14ac:dyDescent="0.3">
      <c r="A387" s="6" t="s">
        <v>2698</v>
      </c>
      <c r="B387" s="6" t="s">
        <v>30</v>
      </c>
      <c r="C387" s="6" t="s">
        <v>1287</v>
      </c>
      <c r="D387" s="6" t="s">
        <v>1288</v>
      </c>
      <c r="E387" s="6" t="s">
        <v>2241</v>
      </c>
      <c r="F387" s="8">
        <v>0</v>
      </c>
      <c r="G387" s="6" t="s">
        <v>2237</v>
      </c>
      <c r="H387" s="8">
        <v>0</v>
      </c>
      <c r="I387" s="6" t="s">
        <v>2237</v>
      </c>
      <c r="J387" s="8">
        <v>0</v>
      </c>
      <c r="K387" s="6" t="s">
        <v>2237</v>
      </c>
      <c r="L387" s="8">
        <v>60142.02</v>
      </c>
      <c r="M387" s="6" t="s">
        <v>2237</v>
      </c>
      <c r="N387" s="8">
        <v>330360.01</v>
      </c>
      <c r="O387" s="6" t="s">
        <v>2237</v>
      </c>
      <c r="P387" s="6" t="s">
        <v>2236</v>
      </c>
      <c r="Q387" s="9" t="s">
        <v>2242</v>
      </c>
      <c r="R387" s="9" t="s">
        <v>2238</v>
      </c>
      <c r="S387" s="9" t="s">
        <v>2243</v>
      </c>
      <c r="T387" s="9" t="s">
        <v>2327</v>
      </c>
      <c r="U38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E540-30101040210-D245401</v>
      </c>
      <c r="Z38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7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387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8" spans="1:31" x14ac:dyDescent="0.3">
      <c r="A388" s="6" t="s">
        <v>2699</v>
      </c>
      <c r="B388" s="6" t="s">
        <v>30</v>
      </c>
      <c r="C388" s="6" t="s">
        <v>1285</v>
      </c>
      <c r="D388" s="6" t="s">
        <v>1286</v>
      </c>
      <c r="E388" s="6" t="s">
        <v>2241</v>
      </c>
      <c r="F388" s="8">
        <v>0</v>
      </c>
      <c r="G388" s="6" t="s">
        <v>2237</v>
      </c>
      <c r="H388" s="8">
        <v>0</v>
      </c>
      <c r="I388" s="6" t="s">
        <v>2237</v>
      </c>
      <c r="J388" s="8">
        <v>0</v>
      </c>
      <c r="K388" s="6" t="s">
        <v>2237</v>
      </c>
      <c r="L388" s="8">
        <v>19007</v>
      </c>
      <c r="M388" s="6" t="s">
        <v>2237</v>
      </c>
      <c r="N388" s="8">
        <v>299466.09999999998</v>
      </c>
      <c r="O388" s="6" t="s">
        <v>2237</v>
      </c>
      <c r="P388" s="6" t="s">
        <v>2236</v>
      </c>
      <c r="Q388" s="9" t="s">
        <v>2242</v>
      </c>
      <c r="R388" s="9" t="s">
        <v>2238</v>
      </c>
      <c r="S388" s="9" t="s">
        <v>2243</v>
      </c>
      <c r="T388" s="9" t="s">
        <v>2327</v>
      </c>
      <c r="U38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E540-30101040209-D245401</v>
      </c>
      <c r="Z38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8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388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89" spans="1:31" x14ac:dyDescent="0.3">
      <c r="A389" s="6" t="s">
        <v>2700</v>
      </c>
      <c r="B389" s="6" t="s">
        <v>30</v>
      </c>
      <c r="C389" s="6" t="s">
        <v>1283</v>
      </c>
      <c r="D389" s="6" t="s">
        <v>1284</v>
      </c>
      <c r="E389" s="6" t="s">
        <v>2241</v>
      </c>
      <c r="F389" s="8">
        <v>0</v>
      </c>
      <c r="G389" s="6" t="s">
        <v>2237</v>
      </c>
      <c r="H389" s="8">
        <v>0</v>
      </c>
      <c r="I389" s="6" t="s">
        <v>2237</v>
      </c>
      <c r="J389" s="8">
        <v>0</v>
      </c>
      <c r="K389" s="6" t="s">
        <v>2237</v>
      </c>
      <c r="L389" s="8">
        <v>24598</v>
      </c>
      <c r="M389" s="6" t="s">
        <v>2237</v>
      </c>
      <c r="N389" s="8">
        <v>226776</v>
      </c>
      <c r="O389" s="6" t="s">
        <v>2237</v>
      </c>
      <c r="P389" s="6" t="s">
        <v>2236</v>
      </c>
      <c r="Q389" s="9" t="s">
        <v>2242</v>
      </c>
      <c r="R389" s="9" t="s">
        <v>2238</v>
      </c>
      <c r="S389" s="9" t="s">
        <v>2243</v>
      </c>
      <c r="T389" s="9" t="s">
        <v>2327</v>
      </c>
      <c r="U38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8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8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8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8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E540-30101040208-D245401</v>
      </c>
      <c r="Z38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8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8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89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389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8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0" spans="1:31" x14ac:dyDescent="0.3">
      <c r="A390" s="6" t="s">
        <v>2701</v>
      </c>
      <c r="B390" s="6" t="s">
        <v>30</v>
      </c>
      <c r="C390" s="6" t="s">
        <v>1281</v>
      </c>
      <c r="D390" s="6" t="s">
        <v>1282</v>
      </c>
      <c r="E390" s="6" t="s">
        <v>2241</v>
      </c>
      <c r="F390" s="8">
        <v>0</v>
      </c>
      <c r="G390" s="6" t="s">
        <v>2237</v>
      </c>
      <c r="H390" s="8">
        <v>0</v>
      </c>
      <c r="I390" s="6" t="s">
        <v>2237</v>
      </c>
      <c r="J390" s="8">
        <v>0</v>
      </c>
      <c r="K390" s="6" t="s">
        <v>2237</v>
      </c>
      <c r="L390" s="8">
        <v>255244</v>
      </c>
      <c r="M390" s="6" t="s">
        <v>2237</v>
      </c>
      <c r="N390" s="8">
        <v>254115</v>
      </c>
      <c r="O390" s="6" t="s">
        <v>2237</v>
      </c>
      <c r="P390" s="6" t="s">
        <v>2236</v>
      </c>
      <c r="Q390" s="9" t="s">
        <v>2242</v>
      </c>
      <c r="R390" s="9" t="s">
        <v>2238</v>
      </c>
      <c r="S390" s="9" t="s">
        <v>2243</v>
      </c>
      <c r="T390" s="9" t="s">
        <v>2327</v>
      </c>
      <c r="U39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9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E540-30101040207-D245401</v>
      </c>
      <c r="Z39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90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390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1" spans="1:31" x14ac:dyDescent="0.3">
      <c r="A391" s="6" t="s">
        <v>2702</v>
      </c>
      <c r="B391" s="6" t="s">
        <v>30</v>
      </c>
      <c r="C391" s="6" t="s">
        <v>1279</v>
      </c>
      <c r="D391" s="6" t="s">
        <v>1280</v>
      </c>
      <c r="E391" s="6" t="s">
        <v>2241</v>
      </c>
      <c r="F391" s="8">
        <v>0</v>
      </c>
      <c r="G391" s="6" t="s">
        <v>2237</v>
      </c>
      <c r="H391" s="8">
        <v>0</v>
      </c>
      <c r="I391" s="6" t="s">
        <v>2237</v>
      </c>
      <c r="J391" s="8">
        <v>0</v>
      </c>
      <c r="K391" s="6" t="s">
        <v>2237</v>
      </c>
      <c r="L391" s="8">
        <v>39103.65</v>
      </c>
      <c r="M391" s="6" t="s">
        <v>2237</v>
      </c>
      <c r="N391" s="8">
        <v>408535.21</v>
      </c>
      <c r="O391" s="6" t="s">
        <v>2237</v>
      </c>
      <c r="P391" s="6" t="s">
        <v>2236</v>
      </c>
      <c r="Q391" s="9" t="s">
        <v>2242</v>
      </c>
      <c r="R391" s="9" t="s">
        <v>2238</v>
      </c>
      <c r="S391" s="9" t="s">
        <v>2243</v>
      </c>
      <c r="T391" s="9" t="s">
        <v>2327</v>
      </c>
      <c r="U39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9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E540-30101040205-D245401</v>
      </c>
      <c r="Z39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91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391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2" spans="1:31" x14ac:dyDescent="0.3">
      <c r="A392" s="6" t="s">
        <v>2703</v>
      </c>
      <c r="B392" s="6" t="s">
        <v>30</v>
      </c>
      <c r="C392" s="6" t="s">
        <v>1277</v>
      </c>
      <c r="D392" s="6" t="s">
        <v>1278</v>
      </c>
      <c r="E392" s="6" t="s">
        <v>2241</v>
      </c>
      <c r="F392" s="8">
        <v>0</v>
      </c>
      <c r="G392" s="6" t="s">
        <v>2237</v>
      </c>
      <c r="H392" s="8">
        <v>0</v>
      </c>
      <c r="I392" s="6" t="s">
        <v>2237</v>
      </c>
      <c r="J392" s="8">
        <v>0</v>
      </c>
      <c r="K392" s="6" t="s">
        <v>2237</v>
      </c>
      <c r="L392" s="8">
        <v>0</v>
      </c>
      <c r="M392" s="6" t="s">
        <v>2237</v>
      </c>
      <c r="N392" s="8">
        <v>1050</v>
      </c>
      <c r="O392" s="6" t="s">
        <v>2237</v>
      </c>
      <c r="P392" s="6" t="s">
        <v>2236</v>
      </c>
      <c r="Q392" s="9" t="s">
        <v>2242</v>
      </c>
      <c r="R392" s="9" t="s">
        <v>2238</v>
      </c>
      <c r="S392" s="9" t="s">
        <v>2243</v>
      </c>
      <c r="T392" s="9" t="s">
        <v>2327</v>
      </c>
      <c r="U39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E540-301010402-D245401</v>
      </c>
      <c r="Y39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E540-30101040204-D245401</v>
      </c>
      <c r="Z39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392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392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3" spans="1:31" x14ac:dyDescent="0.3">
      <c r="A393" s="6" t="s">
        <v>2704</v>
      </c>
      <c r="B393" s="6" t="s">
        <v>26</v>
      </c>
      <c r="C393" s="6" t="s">
        <v>916</v>
      </c>
      <c r="D393" s="6" t="s">
        <v>917</v>
      </c>
      <c r="E393" s="6" t="s">
        <v>2241</v>
      </c>
      <c r="F393" s="8">
        <v>44000</v>
      </c>
      <c r="G393" s="6" t="s">
        <v>2237</v>
      </c>
      <c r="H393" s="8">
        <v>44000</v>
      </c>
      <c r="I393" s="6" t="s">
        <v>2237</v>
      </c>
      <c r="J393" s="8">
        <v>0</v>
      </c>
      <c r="K393" s="6" t="s">
        <v>2237</v>
      </c>
      <c r="L393" s="8">
        <v>0</v>
      </c>
      <c r="M393" s="6" t="s">
        <v>2237</v>
      </c>
      <c r="N393" s="8">
        <v>14250.42</v>
      </c>
      <c r="O393" s="6" t="s">
        <v>2237</v>
      </c>
      <c r="P393" s="6" t="s">
        <v>2236</v>
      </c>
      <c r="Q393" s="9" t="s">
        <v>2242</v>
      </c>
      <c r="R393" s="9" t="s">
        <v>2238</v>
      </c>
      <c r="S393" s="9" t="s">
        <v>2243</v>
      </c>
      <c r="T393" s="9" t="s">
        <v>2244</v>
      </c>
      <c r="U39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E540-301010401-D245401</v>
      </c>
      <c r="Y3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9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3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93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4" spans="1:31" x14ac:dyDescent="0.3">
      <c r="A394" s="6" t="s">
        <v>2705</v>
      </c>
      <c r="B394" s="6" t="s">
        <v>30</v>
      </c>
      <c r="C394" s="6" t="s">
        <v>1275</v>
      </c>
      <c r="D394" s="6" t="s">
        <v>1276</v>
      </c>
      <c r="E394" s="6" t="s">
        <v>2241</v>
      </c>
      <c r="F394" s="8">
        <v>0</v>
      </c>
      <c r="G394" s="6" t="s">
        <v>2237</v>
      </c>
      <c r="H394" s="8">
        <v>0</v>
      </c>
      <c r="I394" s="6" t="s">
        <v>2237</v>
      </c>
      <c r="J394" s="8">
        <v>0</v>
      </c>
      <c r="K394" s="6" t="s">
        <v>2237</v>
      </c>
      <c r="L394" s="8">
        <v>0</v>
      </c>
      <c r="M394" s="6" t="s">
        <v>2237</v>
      </c>
      <c r="N394" s="8">
        <v>14250.42</v>
      </c>
      <c r="O394" s="6" t="s">
        <v>2237</v>
      </c>
      <c r="P394" s="6" t="s">
        <v>2236</v>
      </c>
      <c r="Q394" s="9" t="s">
        <v>2242</v>
      </c>
      <c r="R394" s="9" t="s">
        <v>2238</v>
      </c>
      <c r="S394" s="9" t="s">
        <v>2243</v>
      </c>
      <c r="T394" s="9" t="s">
        <v>2327</v>
      </c>
      <c r="U39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E540-301010401-D245401</v>
      </c>
      <c r="Y39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E540-30101040160-D245401</v>
      </c>
      <c r="Z39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394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394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5" spans="1:31" x14ac:dyDescent="0.3">
      <c r="A395" s="6" t="s">
        <v>2706</v>
      </c>
      <c r="B395" s="6" t="s">
        <v>26</v>
      </c>
      <c r="C395" s="6" t="s">
        <v>920</v>
      </c>
      <c r="D395" s="6" t="s">
        <v>921</v>
      </c>
      <c r="E395" s="6" t="s">
        <v>2241</v>
      </c>
      <c r="F395" s="8">
        <v>1768933</v>
      </c>
      <c r="G395" s="6" t="s">
        <v>2237</v>
      </c>
      <c r="H395" s="8">
        <v>1768933</v>
      </c>
      <c r="I395" s="6" t="s">
        <v>2237</v>
      </c>
      <c r="J395" s="8">
        <v>0</v>
      </c>
      <c r="K395" s="6" t="s">
        <v>2237</v>
      </c>
      <c r="L395" s="8">
        <v>0</v>
      </c>
      <c r="M395" s="6" t="s">
        <v>2237</v>
      </c>
      <c r="N395" s="8">
        <v>1462955.08</v>
      </c>
      <c r="O395" s="6" t="s">
        <v>2237</v>
      </c>
      <c r="P395" s="6" t="s">
        <v>2236</v>
      </c>
      <c r="Q395" s="9" t="s">
        <v>2242</v>
      </c>
      <c r="R395" s="9" t="s">
        <v>2238</v>
      </c>
      <c r="S395" s="9" t="s">
        <v>2243</v>
      </c>
      <c r="T395" s="9" t="s">
        <v>2256</v>
      </c>
      <c r="U39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E540-301010461-D245401</v>
      </c>
      <c r="Y3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39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395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6" spans="1:31" x14ac:dyDescent="0.3">
      <c r="A396" s="6" t="s">
        <v>2707</v>
      </c>
      <c r="B396" s="6" t="s">
        <v>30</v>
      </c>
      <c r="C396" s="6" t="s">
        <v>1327</v>
      </c>
      <c r="D396" s="6" t="s">
        <v>1328</v>
      </c>
      <c r="E396" s="6" t="s">
        <v>2241</v>
      </c>
      <c r="F396" s="8">
        <v>0</v>
      </c>
      <c r="G396" s="6" t="s">
        <v>2237</v>
      </c>
      <c r="H396" s="8">
        <v>0</v>
      </c>
      <c r="I396" s="6" t="s">
        <v>2237</v>
      </c>
      <c r="J396" s="8">
        <v>0</v>
      </c>
      <c r="K396" s="6" t="s">
        <v>2237</v>
      </c>
      <c r="L396" s="8">
        <v>0</v>
      </c>
      <c r="M396" s="6" t="s">
        <v>2237</v>
      </c>
      <c r="N396" s="8">
        <v>0</v>
      </c>
      <c r="O396" s="6" t="s">
        <v>2237</v>
      </c>
      <c r="P396" s="6" t="s">
        <v>2236</v>
      </c>
      <c r="Q396" s="9" t="s">
        <v>2242</v>
      </c>
      <c r="R396" s="9" t="s">
        <v>2238</v>
      </c>
      <c r="S396" s="9" t="s">
        <v>2243</v>
      </c>
      <c r="T396" s="9" t="s">
        <v>2327</v>
      </c>
      <c r="U39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E540-301010461-D245401</v>
      </c>
      <c r="Y39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E540-30101046162-D245401</v>
      </c>
      <c r="Z39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96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396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7" spans="1:31" x14ac:dyDescent="0.3">
      <c r="A397" s="6" t="s">
        <v>2708</v>
      </c>
      <c r="B397" s="6" t="s">
        <v>30</v>
      </c>
      <c r="C397" s="6" t="s">
        <v>1329</v>
      </c>
      <c r="D397" s="6" t="s">
        <v>1330</v>
      </c>
      <c r="E397" s="6" t="s">
        <v>2241</v>
      </c>
      <c r="F397" s="8">
        <v>0</v>
      </c>
      <c r="G397" s="6" t="s">
        <v>2237</v>
      </c>
      <c r="H397" s="8">
        <v>0</v>
      </c>
      <c r="I397" s="6" t="s">
        <v>2237</v>
      </c>
      <c r="J397" s="8">
        <v>0</v>
      </c>
      <c r="K397" s="6" t="s">
        <v>2237</v>
      </c>
      <c r="L397" s="8">
        <v>0</v>
      </c>
      <c r="M397" s="6" t="s">
        <v>2237</v>
      </c>
      <c r="N397" s="8">
        <v>0</v>
      </c>
      <c r="O397" s="6" t="s">
        <v>2237</v>
      </c>
      <c r="P397" s="6" t="s">
        <v>2236</v>
      </c>
      <c r="Q397" s="9" t="s">
        <v>2242</v>
      </c>
      <c r="R397" s="9" t="s">
        <v>2238</v>
      </c>
      <c r="S397" s="9" t="s">
        <v>2243</v>
      </c>
      <c r="T397" s="9" t="s">
        <v>2327</v>
      </c>
      <c r="U39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E540-301010461-D245401</v>
      </c>
      <c r="Y39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E540-30101046193-D245401</v>
      </c>
      <c r="Z39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97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397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8" spans="1:31" x14ac:dyDescent="0.3">
      <c r="A398" s="6" t="s">
        <v>2709</v>
      </c>
      <c r="B398" s="6" t="s">
        <v>30</v>
      </c>
      <c r="C398" s="6" t="s">
        <v>1325</v>
      </c>
      <c r="D398" s="6" t="s">
        <v>1326</v>
      </c>
      <c r="E398" s="6" t="s">
        <v>2241</v>
      </c>
      <c r="F398" s="8">
        <v>0</v>
      </c>
      <c r="G398" s="6" t="s">
        <v>2237</v>
      </c>
      <c r="H398" s="8">
        <v>0</v>
      </c>
      <c r="I398" s="6" t="s">
        <v>2237</v>
      </c>
      <c r="J398" s="8">
        <v>0</v>
      </c>
      <c r="K398" s="6" t="s">
        <v>2237</v>
      </c>
      <c r="L398" s="8">
        <v>0</v>
      </c>
      <c r="M398" s="6" t="s">
        <v>2237</v>
      </c>
      <c r="N398" s="8">
        <v>329002.18</v>
      </c>
      <c r="O398" s="6" t="s">
        <v>2237</v>
      </c>
      <c r="P398" s="6" t="s">
        <v>2236</v>
      </c>
      <c r="Q398" s="9" t="s">
        <v>2242</v>
      </c>
      <c r="R398" s="9" t="s">
        <v>2238</v>
      </c>
      <c r="S398" s="9" t="s">
        <v>2243</v>
      </c>
      <c r="T398" s="9" t="s">
        <v>2327</v>
      </c>
      <c r="U39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E540-301010461-D245401</v>
      </c>
      <c r="Y39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E540-30101046118-D245401</v>
      </c>
      <c r="Z39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98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398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399" spans="1:31" x14ac:dyDescent="0.3">
      <c r="A399" s="6" t="s">
        <v>2710</v>
      </c>
      <c r="B399" s="6" t="s">
        <v>30</v>
      </c>
      <c r="C399" s="6" t="s">
        <v>1323</v>
      </c>
      <c r="D399" s="6" t="s">
        <v>1324</v>
      </c>
      <c r="E399" s="6" t="s">
        <v>2241</v>
      </c>
      <c r="F399" s="8">
        <v>0</v>
      </c>
      <c r="G399" s="6" t="s">
        <v>2237</v>
      </c>
      <c r="H399" s="8">
        <v>0</v>
      </c>
      <c r="I399" s="6" t="s">
        <v>2237</v>
      </c>
      <c r="J399" s="8">
        <v>0</v>
      </c>
      <c r="K399" s="6" t="s">
        <v>2237</v>
      </c>
      <c r="L399" s="8">
        <v>0</v>
      </c>
      <c r="M399" s="6" t="s">
        <v>2237</v>
      </c>
      <c r="N399" s="8">
        <v>79719.94</v>
      </c>
      <c r="O399" s="6" t="s">
        <v>2237</v>
      </c>
      <c r="P399" s="6" t="s">
        <v>2236</v>
      </c>
      <c r="Q399" s="9" t="s">
        <v>2242</v>
      </c>
      <c r="R399" s="9" t="s">
        <v>2238</v>
      </c>
      <c r="S399" s="9" t="s">
        <v>2243</v>
      </c>
      <c r="T399" s="9" t="s">
        <v>2327</v>
      </c>
      <c r="U39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39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39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39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E540-301010461-D245401</v>
      </c>
      <c r="Y39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E540-30101046102-D245401</v>
      </c>
      <c r="Z39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39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39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399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399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39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0" spans="1:31" x14ac:dyDescent="0.3">
      <c r="A400" s="6" t="s">
        <v>2711</v>
      </c>
      <c r="B400" s="6" t="s">
        <v>30</v>
      </c>
      <c r="C400" s="6" t="s">
        <v>1321</v>
      </c>
      <c r="D400" s="6" t="s">
        <v>1322</v>
      </c>
      <c r="E400" s="6" t="s">
        <v>2241</v>
      </c>
      <c r="F400" s="8">
        <v>0</v>
      </c>
      <c r="G400" s="6" t="s">
        <v>2237</v>
      </c>
      <c r="H400" s="8">
        <v>0</v>
      </c>
      <c r="I400" s="6" t="s">
        <v>2237</v>
      </c>
      <c r="J400" s="8">
        <v>0</v>
      </c>
      <c r="K400" s="6" t="s">
        <v>2237</v>
      </c>
      <c r="L400" s="8">
        <v>0</v>
      </c>
      <c r="M400" s="6" t="s">
        <v>2237</v>
      </c>
      <c r="N400" s="8">
        <v>1054232.96</v>
      </c>
      <c r="O400" s="6" t="s">
        <v>2237</v>
      </c>
      <c r="P400" s="6" t="s">
        <v>2236</v>
      </c>
      <c r="Q400" s="9" t="s">
        <v>2242</v>
      </c>
      <c r="R400" s="9" t="s">
        <v>2238</v>
      </c>
      <c r="S400" s="9" t="s">
        <v>2243</v>
      </c>
      <c r="T400" s="9" t="s">
        <v>2327</v>
      </c>
      <c r="U40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E540-3010104-D245401</v>
      </c>
      <c r="X40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E540-301010461-D245401</v>
      </c>
      <c r="Y40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E540-30101046101-D245401</v>
      </c>
      <c r="Z40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00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400" s="10" t="str">
        <f>IF(IFERROR(INDEX(WBS_Dictionary!N$2:N$1212, MATCH(Table2[[#This Row],[WBS_ID]], Table26[WBS CODE],0)), "") = "", "null", IFERROR(INDEX(WBS_Dictionary!N$2:N$1212, MATCH(Table2[[#This Row],[WBS_ID]], Table26[WBS CODE],0)), ""))</f>
        <v>AWI 23-1</v>
      </c>
      <c r="AE40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1" spans="1:31" x14ac:dyDescent="0.3">
      <c r="A401" s="6" t="s">
        <v>2712</v>
      </c>
      <c r="B401" s="6" t="s">
        <v>21</v>
      </c>
      <c r="C401" s="6" t="s">
        <v>827</v>
      </c>
      <c r="D401" s="6" t="s">
        <v>828</v>
      </c>
      <c r="E401" s="6" t="s">
        <v>2241</v>
      </c>
      <c r="F401" s="8">
        <v>4186491</v>
      </c>
      <c r="G401" s="6" t="s">
        <v>2237</v>
      </c>
      <c r="H401" s="8">
        <v>4186491</v>
      </c>
      <c r="I401" s="6" t="s">
        <v>2237</v>
      </c>
      <c r="J401" s="8">
        <v>0</v>
      </c>
      <c r="K401" s="6" t="s">
        <v>2237</v>
      </c>
      <c r="L401" s="8">
        <v>415524.85</v>
      </c>
      <c r="M401" s="6" t="s">
        <v>2237</v>
      </c>
      <c r="N401" s="8">
        <v>3183804.75</v>
      </c>
      <c r="O401" s="6" t="s">
        <v>2237</v>
      </c>
      <c r="P401" s="6" t="s">
        <v>2236</v>
      </c>
      <c r="Q401" s="9" t="s">
        <v>2242</v>
      </c>
      <c r="R401" s="9" t="s">
        <v>2238</v>
      </c>
      <c r="S401" s="9" t="s">
        <v>2243</v>
      </c>
      <c r="T401" s="9" t="s">
        <v>2244</v>
      </c>
      <c r="U40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01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2" spans="1:31" x14ac:dyDescent="0.3">
      <c r="A402" s="6" t="s">
        <v>2713</v>
      </c>
      <c r="B402" s="6" t="s">
        <v>26</v>
      </c>
      <c r="C402" s="6" t="s">
        <v>912</v>
      </c>
      <c r="D402" s="6" t="s">
        <v>913</v>
      </c>
      <c r="E402" s="6" t="s">
        <v>2241</v>
      </c>
      <c r="F402" s="8">
        <v>3100864</v>
      </c>
      <c r="G402" s="6" t="s">
        <v>2237</v>
      </c>
      <c r="H402" s="8">
        <v>3100864</v>
      </c>
      <c r="I402" s="6" t="s">
        <v>2237</v>
      </c>
      <c r="J402" s="8">
        <v>0</v>
      </c>
      <c r="K402" s="6" t="s">
        <v>2237</v>
      </c>
      <c r="L402" s="8">
        <v>415524.85</v>
      </c>
      <c r="M402" s="6" t="s">
        <v>2237</v>
      </c>
      <c r="N402" s="8">
        <v>2504307.73</v>
      </c>
      <c r="O402" s="6" t="s">
        <v>2237</v>
      </c>
      <c r="P402" s="6" t="s">
        <v>2236</v>
      </c>
      <c r="Q402" s="9" t="s">
        <v>2242</v>
      </c>
      <c r="R402" s="9" t="s">
        <v>2238</v>
      </c>
      <c r="S402" s="9" t="s">
        <v>2243</v>
      </c>
      <c r="T402" s="9" t="s">
        <v>2256</v>
      </c>
      <c r="U40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02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3" spans="1:31" x14ac:dyDescent="0.3">
      <c r="A403" s="6" t="s">
        <v>2714</v>
      </c>
      <c r="B403" s="6" t="s">
        <v>30</v>
      </c>
      <c r="C403" s="6" t="s">
        <v>1251</v>
      </c>
      <c r="D403" s="6" t="s">
        <v>1252</v>
      </c>
      <c r="E403" s="6" t="s">
        <v>2241</v>
      </c>
      <c r="F403" s="8">
        <v>0</v>
      </c>
      <c r="G403" s="6" t="s">
        <v>2237</v>
      </c>
      <c r="H403" s="8">
        <v>0</v>
      </c>
      <c r="I403" s="6" t="s">
        <v>2237</v>
      </c>
      <c r="J403" s="8">
        <v>0</v>
      </c>
      <c r="K403" s="6" t="s">
        <v>2237</v>
      </c>
      <c r="L403" s="8">
        <v>0</v>
      </c>
      <c r="M403" s="6" t="s">
        <v>2237</v>
      </c>
      <c r="N403" s="8">
        <v>415673.72</v>
      </c>
      <c r="O403" s="6" t="s">
        <v>2237</v>
      </c>
      <c r="P403" s="6" t="s">
        <v>2236</v>
      </c>
      <c r="Q403" s="9" t="s">
        <v>2242</v>
      </c>
      <c r="R403" s="9" t="s">
        <v>2238</v>
      </c>
      <c r="S403" s="9" t="s">
        <v>2243</v>
      </c>
      <c r="T403" s="9" t="s">
        <v>2327</v>
      </c>
      <c r="U40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E540-30101030245-D245401</v>
      </c>
      <c r="Z4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3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403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4" spans="1:31" x14ac:dyDescent="0.3">
      <c r="A404" s="6" t="s">
        <v>2715</v>
      </c>
      <c r="B404" s="6" t="s">
        <v>30</v>
      </c>
      <c r="C404" s="6" t="s">
        <v>1249</v>
      </c>
      <c r="D404" s="6" t="s">
        <v>1250</v>
      </c>
      <c r="E404" s="6" t="s">
        <v>2241</v>
      </c>
      <c r="F404" s="8">
        <v>0</v>
      </c>
      <c r="G404" s="6" t="s">
        <v>2237</v>
      </c>
      <c r="H404" s="8">
        <v>0</v>
      </c>
      <c r="I404" s="6" t="s">
        <v>2237</v>
      </c>
      <c r="J404" s="8">
        <v>0</v>
      </c>
      <c r="K404" s="6" t="s">
        <v>2237</v>
      </c>
      <c r="L404" s="8">
        <v>1787.16</v>
      </c>
      <c r="M404" s="6" t="s">
        <v>2237</v>
      </c>
      <c r="N404" s="8">
        <v>6459.45</v>
      </c>
      <c r="O404" s="6" t="s">
        <v>2237</v>
      </c>
      <c r="P404" s="6" t="s">
        <v>2236</v>
      </c>
      <c r="Q404" s="9" t="s">
        <v>2242</v>
      </c>
      <c r="R404" s="9" t="s">
        <v>2238</v>
      </c>
      <c r="S404" s="9" t="s">
        <v>2243</v>
      </c>
      <c r="T404" s="9" t="s">
        <v>2327</v>
      </c>
      <c r="U40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E540-30101030224-D245401</v>
      </c>
      <c r="Z4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4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404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5" spans="1:31" x14ac:dyDescent="0.3">
      <c r="A405" s="6" t="s">
        <v>2716</v>
      </c>
      <c r="B405" s="6" t="s">
        <v>30</v>
      </c>
      <c r="C405" s="6" t="s">
        <v>1263</v>
      </c>
      <c r="D405" s="6" t="s">
        <v>1264</v>
      </c>
      <c r="E405" s="6" t="s">
        <v>2241</v>
      </c>
      <c r="F405" s="8">
        <v>0</v>
      </c>
      <c r="G405" s="6" t="s">
        <v>2237</v>
      </c>
      <c r="H405" s="8">
        <v>0</v>
      </c>
      <c r="I405" s="6" t="s">
        <v>2237</v>
      </c>
      <c r="J405" s="8">
        <v>0</v>
      </c>
      <c r="K405" s="6" t="s">
        <v>2237</v>
      </c>
      <c r="L405" s="8">
        <v>34196.720000000001</v>
      </c>
      <c r="M405" s="6" t="s">
        <v>2237</v>
      </c>
      <c r="N405" s="8">
        <v>1072.77</v>
      </c>
      <c r="O405" s="6" t="s">
        <v>2237</v>
      </c>
      <c r="P405" s="6" t="s">
        <v>2236</v>
      </c>
      <c r="Q405" s="9" t="s">
        <v>2242</v>
      </c>
      <c r="R405" s="9" t="s">
        <v>2238</v>
      </c>
      <c r="S405" s="9" t="s">
        <v>2243</v>
      </c>
      <c r="T405" s="9" t="s">
        <v>2327</v>
      </c>
      <c r="U40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E540-30101030298-D245401</v>
      </c>
      <c r="Z4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5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405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6" spans="1:31" x14ac:dyDescent="0.3">
      <c r="A406" s="6" t="s">
        <v>2717</v>
      </c>
      <c r="B406" s="6" t="s">
        <v>30</v>
      </c>
      <c r="C406" s="6" t="s">
        <v>1261</v>
      </c>
      <c r="D406" s="6" t="s">
        <v>1262</v>
      </c>
      <c r="E406" s="6" t="s">
        <v>2241</v>
      </c>
      <c r="F406" s="8">
        <v>0</v>
      </c>
      <c r="G406" s="6" t="s">
        <v>2237</v>
      </c>
      <c r="H406" s="8">
        <v>0</v>
      </c>
      <c r="I406" s="6" t="s">
        <v>2237</v>
      </c>
      <c r="J406" s="8">
        <v>0</v>
      </c>
      <c r="K406" s="6" t="s">
        <v>2237</v>
      </c>
      <c r="L406" s="8">
        <v>0</v>
      </c>
      <c r="M406" s="6" t="s">
        <v>2237</v>
      </c>
      <c r="N406" s="8">
        <v>0</v>
      </c>
      <c r="O406" s="6" t="s">
        <v>2237</v>
      </c>
      <c r="P406" s="6" t="s">
        <v>2236</v>
      </c>
      <c r="Q406" s="9" t="s">
        <v>2242</v>
      </c>
      <c r="R406" s="9" t="s">
        <v>2238</v>
      </c>
      <c r="S406" s="9" t="s">
        <v>2243</v>
      </c>
      <c r="T406" s="9" t="s">
        <v>2327</v>
      </c>
      <c r="U40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E540-30101030297-D245401</v>
      </c>
      <c r="Z4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6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406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7" spans="1:31" x14ac:dyDescent="0.3">
      <c r="A407" s="6" t="s">
        <v>2718</v>
      </c>
      <c r="B407" s="6" t="s">
        <v>30</v>
      </c>
      <c r="C407" s="6" t="s">
        <v>1259</v>
      </c>
      <c r="D407" s="6" t="s">
        <v>1260</v>
      </c>
      <c r="E407" s="6" t="s">
        <v>2241</v>
      </c>
      <c r="F407" s="8">
        <v>0</v>
      </c>
      <c r="G407" s="6" t="s">
        <v>2237</v>
      </c>
      <c r="H407" s="8">
        <v>0</v>
      </c>
      <c r="I407" s="6" t="s">
        <v>2237</v>
      </c>
      <c r="J407" s="8">
        <v>0</v>
      </c>
      <c r="K407" s="6" t="s">
        <v>2237</v>
      </c>
      <c r="L407" s="8">
        <v>0</v>
      </c>
      <c r="M407" s="6" t="s">
        <v>2237</v>
      </c>
      <c r="N407" s="8">
        <v>0</v>
      </c>
      <c r="O407" s="6" t="s">
        <v>2237</v>
      </c>
      <c r="P407" s="6" t="s">
        <v>2236</v>
      </c>
      <c r="Q407" s="9" t="s">
        <v>2242</v>
      </c>
      <c r="R407" s="9" t="s">
        <v>2238</v>
      </c>
      <c r="S407" s="9" t="s">
        <v>2243</v>
      </c>
      <c r="T407" s="9" t="s">
        <v>2327</v>
      </c>
      <c r="U40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E540-30101030296-D245401</v>
      </c>
      <c r="Z4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7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407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8" spans="1:31" x14ac:dyDescent="0.3">
      <c r="A408" s="6" t="s">
        <v>2719</v>
      </c>
      <c r="B408" s="6" t="s">
        <v>30</v>
      </c>
      <c r="C408" s="6" t="s">
        <v>1257</v>
      </c>
      <c r="D408" s="6" t="s">
        <v>1258</v>
      </c>
      <c r="E408" s="6" t="s">
        <v>2241</v>
      </c>
      <c r="F408" s="8">
        <v>0</v>
      </c>
      <c r="G408" s="6" t="s">
        <v>2237</v>
      </c>
      <c r="H408" s="8">
        <v>0</v>
      </c>
      <c r="I408" s="6" t="s">
        <v>2237</v>
      </c>
      <c r="J408" s="8">
        <v>0</v>
      </c>
      <c r="K408" s="6" t="s">
        <v>2237</v>
      </c>
      <c r="L408" s="8">
        <v>0</v>
      </c>
      <c r="M408" s="6" t="s">
        <v>2237</v>
      </c>
      <c r="N408" s="8">
        <v>0</v>
      </c>
      <c r="O408" s="6" t="s">
        <v>2237</v>
      </c>
      <c r="P408" s="6" t="s">
        <v>2236</v>
      </c>
      <c r="Q408" s="9" t="s">
        <v>2242</v>
      </c>
      <c r="R408" s="9" t="s">
        <v>2238</v>
      </c>
      <c r="S408" s="9" t="s">
        <v>2243</v>
      </c>
      <c r="T408" s="9" t="s">
        <v>2327</v>
      </c>
      <c r="U40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E540-30101030295-D245401</v>
      </c>
      <c r="Z4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8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408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09" spans="1:31" x14ac:dyDescent="0.3">
      <c r="A409" s="6" t="s">
        <v>2720</v>
      </c>
      <c r="B409" s="6" t="s">
        <v>30</v>
      </c>
      <c r="C409" s="6" t="s">
        <v>1255</v>
      </c>
      <c r="D409" s="6" t="s">
        <v>1256</v>
      </c>
      <c r="E409" s="6" t="s">
        <v>2241</v>
      </c>
      <c r="F409" s="8">
        <v>0</v>
      </c>
      <c r="G409" s="6" t="s">
        <v>2237</v>
      </c>
      <c r="H409" s="8">
        <v>0</v>
      </c>
      <c r="I409" s="6" t="s">
        <v>2237</v>
      </c>
      <c r="J409" s="8">
        <v>0</v>
      </c>
      <c r="K409" s="6" t="s">
        <v>2237</v>
      </c>
      <c r="L409" s="8">
        <v>22803.35</v>
      </c>
      <c r="M409" s="6" t="s">
        <v>2237</v>
      </c>
      <c r="N409" s="8">
        <v>12977.87</v>
      </c>
      <c r="O409" s="6" t="s">
        <v>2237</v>
      </c>
      <c r="P409" s="6" t="s">
        <v>2236</v>
      </c>
      <c r="Q409" s="9" t="s">
        <v>2242</v>
      </c>
      <c r="R409" s="9" t="s">
        <v>2238</v>
      </c>
      <c r="S409" s="9" t="s">
        <v>2243</v>
      </c>
      <c r="T409" s="9" t="s">
        <v>2327</v>
      </c>
      <c r="U40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0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0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0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0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E540-30101030294-D245401</v>
      </c>
      <c r="Z4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0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0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09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409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0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0" spans="1:31" x14ac:dyDescent="0.3">
      <c r="A410" s="6" t="s">
        <v>2721</v>
      </c>
      <c r="B410" s="6" t="s">
        <v>30</v>
      </c>
      <c r="C410" s="6" t="s">
        <v>2722</v>
      </c>
      <c r="D410" s="6" t="s">
        <v>1248</v>
      </c>
      <c r="E410" s="6" t="s">
        <v>2241</v>
      </c>
      <c r="F410" s="8">
        <v>0</v>
      </c>
      <c r="G410" s="6" t="s">
        <v>2237</v>
      </c>
      <c r="H410" s="8">
        <v>0</v>
      </c>
      <c r="I410" s="6" t="s">
        <v>2237</v>
      </c>
      <c r="J410" s="8">
        <v>0</v>
      </c>
      <c r="K410" s="6" t="s">
        <v>2237</v>
      </c>
      <c r="L410" s="8">
        <v>3831.97</v>
      </c>
      <c r="M410" s="6" t="s">
        <v>2237</v>
      </c>
      <c r="N410" s="8">
        <v>6569.31</v>
      </c>
      <c r="O410" s="6" t="s">
        <v>2237</v>
      </c>
      <c r="P410" s="6" t="s">
        <v>2236</v>
      </c>
      <c r="Q410" s="9" t="s">
        <v>2242</v>
      </c>
      <c r="R410" s="9" t="s">
        <v>2238</v>
      </c>
      <c r="S410" s="9" t="s">
        <v>2243</v>
      </c>
      <c r="T410" s="9" t="s">
        <v>2327</v>
      </c>
      <c r="U41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E540-30101030220-D245401</v>
      </c>
      <c r="Z4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0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410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1" spans="1:31" x14ac:dyDescent="0.3">
      <c r="A411" s="6" t="s">
        <v>2723</v>
      </c>
      <c r="B411" s="6" t="s">
        <v>30</v>
      </c>
      <c r="C411" s="6" t="s">
        <v>1245</v>
      </c>
      <c r="D411" s="6" t="s">
        <v>1246</v>
      </c>
      <c r="E411" s="6" t="s">
        <v>2241</v>
      </c>
      <c r="F411" s="8">
        <v>0</v>
      </c>
      <c r="G411" s="6" t="s">
        <v>2237</v>
      </c>
      <c r="H411" s="8">
        <v>0</v>
      </c>
      <c r="I411" s="6" t="s">
        <v>2237</v>
      </c>
      <c r="J411" s="8">
        <v>0</v>
      </c>
      <c r="K411" s="6" t="s">
        <v>2237</v>
      </c>
      <c r="L411" s="8">
        <v>0</v>
      </c>
      <c r="M411" s="6" t="s">
        <v>2237</v>
      </c>
      <c r="N411" s="8">
        <v>0</v>
      </c>
      <c r="O411" s="6" t="s">
        <v>2237</v>
      </c>
      <c r="P411" s="6" t="s">
        <v>2236</v>
      </c>
      <c r="Q411" s="9" t="s">
        <v>2242</v>
      </c>
      <c r="R411" s="9" t="s">
        <v>2238</v>
      </c>
      <c r="S411" s="9" t="s">
        <v>2243</v>
      </c>
      <c r="T411" s="9" t="s">
        <v>2327</v>
      </c>
      <c r="U41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E540-30101030217-D245401</v>
      </c>
      <c r="Z4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1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411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2" spans="1:31" x14ac:dyDescent="0.3">
      <c r="A412" s="6" t="s">
        <v>2724</v>
      </c>
      <c r="B412" s="6" t="s">
        <v>30</v>
      </c>
      <c r="C412" s="6" t="s">
        <v>1243</v>
      </c>
      <c r="D412" s="6" t="s">
        <v>1244</v>
      </c>
      <c r="E412" s="6" t="s">
        <v>2241</v>
      </c>
      <c r="F412" s="8">
        <v>0</v>
      </c>
      <c r="G412" s="6" t="s">
        <v>2237</v>
      </c>
      <c r="H412" s="8">
        <v>0</v>
      </c>
      <c r="I412" s="6" t="s">
        <v>2237</v>
      </c>
      <c r="J412" s="8">
        <v>0</v>
      </c>
      <c r="K412" s="6" t="s">
        <v>2237</v>
      </c>
      <c r="L412" s="8">
        <v>9777.98</v>
      </c>
      <c r="M412" s="6" t="s">
        <v>2237</v>
      </c>
      <c r="N412" s="8">
        <v>33177.69</v>
      </c>
      <c r="O412" s="6" t="s">
        <v>2237</v>
      </c>
      <c r="P412" s="6" t="s">
        <v>2236</v>
      </c>
      <c r="Q412" s="9" t="s">
        <v>2242</v>
      </c>
      <c r="R412" s="9" t="s">
        <v>2238</v>
      </c>
      <c r="S412" s="9" t="s">
        <v>2243</v>
      </c>
      <c r="T412" s="9" t="s">
        <v>2327</v>
      </c>
      <c r="U41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E540-30101030216-D245401</v>
      </c>
      <c r="Z4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2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412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3" spans="1:31" x14ac:dyDescent="0.3">
      <c r="A413" s="6" t="s">
        <v>2725</v>
      </c>
      <c r="B413" s="6" t="s">
        <v>30</v>
      </c>
      <c r="C413" s="6" t="s">
        <v>1241</v>
      </c>
      <c r="D413" s="6" t="s">
        <v>1242</v>
      </c>
      <c r="E413" s="6" t="s">
        <v>2241</v>
      </c>
      <c r="F413" s="8">
        <v>0</v>
      </c>
      <c r="G413" s="6" t="s">
        <v>2237</v>
      </c>
      <c r="H413" s="8">
        <v>0</v>
      </c>
      <c r="I413" s="6" t="s">
        <v>2237</v>
      </c>
      <c r="J413" s="8">
        <v>0</v>
      </c>
      <c r="K413" s="6" t="s">
        <v>2237</v>
      </c>
      <c r="L413" s="8">
        <v>17944.169999999998</v>
      </c>
      <c r="M413" s="6" t="s">
        <v>2237</v>
      </c>
      <c r="N413" s="8">
        <v>39787.769999999997</v>
      </c>
      <c r="O413" s="6" t="s">
        <v>2237</v>
      </c>
      <c r="P413" s="6" t="s">
        <v>2236</v>
      </c>
      <c r="Q413" s="9" t="s">
        <v>2242</v>
      </c>
      <c r="R413" s="9" t="s">
        <v>2238</v>
      </c>
      <c r="S413" s="9" t="s">
        <v>2243</v>
      </c>
      <c r="T413" s="9" t="s">
        <v>2327</v>
      </c>
      <c r="U41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E540-30101030215-D245401</v>
      </c>
      <c r="Z4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3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413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4" spans="1:31" x14ac:dyDescent="0.3">
      <c r="A414" s="6" t="s">
        <v>2726</v>
      </c>
      <c r="B414" s="6" t="s">
        <v>30</v>
      </c>
      <c r="C414" s="6" t="s">
        <v>1239</v>
      </c>
      <c r="D414" s="6" t="s">
        <v>1240</v>
      </c>
      <c r="E414" s="6" t="s">
        <v>2241</v>
      </c>
      <c r="F414" s="8">
        <v>0</v>
      </c>
      <c r="G414" s="6" t="s">
        <v>2237</v>
      </c>
      <c r="H414" s="8">
        <v>0</v>
      </c>
      <c r="I414" s="6" t="s">
        <v>2237</v>
      </c>
      <c r="J414" s="8">
        <v>0</v>
      </c>
      <c r="K414" s="6" t="s">
        <v>2237</v>
      </c>
      <c r="L414" s="8">
        <v>0</v>
      </c>
      <c r="M414" s="6" t="s">
        <v>2237</v>
      </c>
      <c r="N414" s="8">
        <v>0</v>
      </c>
      <c r="O414" s="6" t="s">
        <v>2237</v>
      </c>
      <c r="P414" s="6" t="s">
        <v>2236</v>
      </c>
      <c r="Q414" s="9" t="s">
        <v>2242</v>
      </c>
      <c r="R414" s="9" t="s">
        <v>2238</v>
      </c>
      <c r="S414" s="9" t="s">
        <v>2243</v>
      </c>
      <c r="T414" s="9" t="s">
        <v>2327</v>
      </c>
      <c r="U41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E540-30101030214-D245401</v>
      </c>
      <c r="Z4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4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414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5" spans="1:31" x14ac:dyDescent="0.3">
      <c r="A415" s="6" t="s">
        <v>2727</v>
      </c>
      <c r="B415" s="6" t="s">
        <v>30</v>
      </c>
      <c r="C415" s="6" t="s">
        <v>1237</v>
      </c>
      <c r="D415" s="6" t="s">
        <v>1238</v>
      </c>
      <c r="E415" s="6" t="s">
        <v>2241</v>
      </c>
      <c r="F415" s="8">
        <v>0</v>
      </c>
      <c r="G415" s="6" t="s">
        <v>2237</v>
      </c>
      <c r="H415" s="8">
        <v>0</v>
      </c>
      <c r="I415" s="6" t="s">
        <v>2237</v>
      </c>
      <c r="J415" s="8">
        <v>0</v>
      </c>
      <c r="K415" s="6" t="s">
        <v>2237</v>
      </c>
      <c r="L415" s="8">
        <v>337.5</v>
      </c>
      <c r="M415" s="6" t="s">
        <v>2237</v>
      </c>
      <c r="N415" s="8">
        <v>49600</v>
      </c>
      <c r="O415" s="6" t="s">
        <v>2237</v>
      </c>
      <c r="P415" s="6" t="s">
        <v>2236</v>
      </c>
      <c r="Q415" s="9" t="s">
        <v>2242</v>
      </c>
      <c r="R415" s="9" t="s">
        <v>2238</v>
      </c>
      <c r="S415" s="9" t="s">
        <v>2243</v>
      </c>
      <c r="T415" s="9" t="s">
        <v>2327</v>
      </c>
      <c r="U41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E540-30101030213-D245401</v>
      </c>
      <c r="Z4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5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415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6" spans="1:31" x14ac:dyDescent="0.3">
      <c r="A416" s="6" t="s">
        <v>2728</v>
      </c>
      <c r="B416" s="6" t="s">
        <v>30</v>
      </c>
      <c r="C416" s="6" t="s">
        <v>1253</v>
      </c>
      <c r="D416" s="6" t="s">
        <v>1254</v>
      </c>
      <c r="E416" s="6" t="s">
        <v>2241</v>
      </c>
      <c r="F416" s="8">
        <v>0</v>
      </c>
      <c r="G416" s="6" t="s">
        <v>2237</v>
      </c>
      <c r="H416" s="8">
        <v>0</v>
      </c>
      <c r="I416" s="6" t="s">
        <v>2237</v>
      </c>
      <c r="J416" s="8">
        <v>0</v>
      </c>
      <c r="K416" s="6" t="s">
        <v>2237</v>
      </c>
      <c r="L416" s="8">
        <v>0</v>
      </c>
      <c r="M416" s="6" t="s">
        <v>2237</v>
      </c>
      <c r="N416" s="8">
        <v>0</v>
      </c>
      <c r="O416" s="6" t="s">
        <v>2237</v>
      </c>
      <c r="P416" s="6" t="s">
        <v>2236</v>
      </c>
      <c r="Q416" s="9" t="s">
        <v>2242</v>
      </c>
      <c r="R416" s="9" t="s">
        <v>2238</v>
      </c>
      <c r="S416" s="9" t="s">
        <v>2243</v>
      </c>
      <c r="T416" s="9" t="s">
        <v>2327</v>
      </c>
      <c r="U41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E540-30101030247-D245401</v>
      </c>
      <c r="Z4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6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416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7" spans="1:31" x14ac:dyDescent="0.3">
      <c r="A417" s="6" t="s">
        <v>2729</v>
      </c>
      <c r="B417" s="6" t="s">
        <v>30</v>
      </c>
      <c r="C417" s="6" t="s">
        <v>1235</v>
      </c>
      <c r="D417" s="6" t="s">
        <v>1236</v>
      </c>
      <c r="E417" s="6" t="s">
        <v>2241</v>
      </c>
      <c r="F417" s="8">
        <v>0</v>
      </c>
      <c r="G417" s="6" t="s">
        <v>2237</v>
      </c>
      <c r="H417" s="8">
        <v>0</v>
      </c>
      <c r="I417" s="6" t="s">
        <v>2237</v>
      </c>
      <c r="J417" s="8">
        <v>0</v>
      </c>
      <c r="K417" s="6" t="s">
        <v>2237</v>
      </c>
      <c r="L417" s="8">
        <v>70058</v>
      </c>
      <c r="M417" s="6" t="s">
        <v>2237</v>
      </c>
      <c r="N417" s="8">
        <v>439155.86</v>
      </c>
      <c r="O417" s="6" t="s">
        <v>2237</v>
      </c>
      <c r="P417" s="6" t="s">
        <v>2236</v>
      </c>
      <c r="Q417" s="9" t="s">
        <v>2242</v>
      </c>
      <c r="R417" s="9" t="s">
        <v>2238</v>
      </c>
      <c r="S417" s="9" t="s">
        <v>2243</v>
      </c>
      <c r="T417" s="9" t="s">
        <v>2327</v>
      </c>
      <c r="U41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E540-30101030212-D245401</v>
      </c>
      <c r="Z4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7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417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8" spans="1:31" x14ac:dyDescent="0.3">
      <c r="A418" s="6" t="s">
        <v>2730</v>
      </c>
      <c r="B418" s="6" t="s">
        <v>30</v>
      </c>
      <c r="C418" s="6" t="s">
        <v>1233</v>
      </c>
      <c r="D418" s="6" t="s">
        <v>1234</v>
      </c>
      <c r="E418" s="6" t="s">
        <v>2241</v>
      </c>
      <c r="F418" s="8">
        <v>0</v>
      </c>
      <c r="G418" s="6" t="s">
        <v>2237</v>
      </c>
      <c r="H418" s="8">
        <v>0</v>
      </c>
      <c r="I418" s="6" t="s">
        <v>2237</v>
      </c>
      <c r="J418" s="8">
        <v>0</v>
      </c>
      <c r="K418" s="6" t="s">
        <v>2237</v>
      </c>
      <c r="L418" s="8">
        <v>0</v>
      </c>
      <c r="M418" s="6" t="s">
        <v>2237</v>
      </c>
      <c r="N418" s="8">
        <v>47835.3</v>
      </c>
      <c r="O418" s="6" t="s">
        <v>2237</v>
      </c>
      <c r="P418" s="6" t="s">
        <v>2236</v>
      </c>
      <c r="Q418" s="9" t="s">
        <v>2242</v>
      </c>
      <c r="R418" s="9" t="s">
        <v>2238</v>
      </c>
      <c r="S418" s="9" t="s">
        <v>2243</v>
      </c>
      <c r="T418" s="9" t="s">
        <v>2327</v>
      </c>
      <c r="U41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E540-30101030211-D245401</v>
      </c>
      <c r="Z4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8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418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19" spans="1:31" x14ac:dyDescent="0.3">
      <c r="A419" s="6" t="s">
        <v>2731</v>
      </c>
      <c r="B419" s="6" t="s">
        <v>30</v>
      </c>
      <c r="C419" s="6" t="s">
        <v>1231</v>
      </c>
      <c r="D419" s="6" t="s">
        <v>1232</v>
      </c>
      <c r="E419" s="6" t="s">
        <v>2241</v>
      </c>
      <c r="F419" s="8">
        <v>0</v>
      </c>
      <c r="G419" s="6" t="s">
        <v>2237</v>
      </c>
      <c r="H419" s="8">
        <v>0</v>
      </c>
      <c r="I419" s="6" t="s">
        <v>2237</v>
      </c>
      <c r="J419" s="8">
        <v>0</v>
      </c>
      <c r="K419" s="6" t="s">
        <v>2237</v>
      </c>
      <c r="L419" s="8">
        <v>10000</v>
      </c>
      <c r="M419" s="6" t="s">
        <v>2237</v>
      </c>
      <c r="N419" s="8">
        <v>208104.94</v>
      </c>
      <c r="O419" s="6" t="s">
        <v>2237</v>
      </c>
      <c r="P419" s="6" t="s">
        <v>2236</v>
      </c>
      <c r="Q419" s="9" t="s">
        <v>2242</v>
      </c>
      <c r="R419" s="9" t="s">
        <v>2238</v>
      </c>
      <c r="S419" s="9" t="s">
        <v>2243</v>
      </c>
      <c r="T419" s="9" t="s">
        <v>2327</v>
      </c>
      <c r="U41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1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1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1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1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E540-30101030210-D245401</v>
      </c>
      <c r="Z4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1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1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19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419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1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0" spans="1:31" x14ac:dyDescent="0.3">
      <c r="A420" s="6" t="s">
        <v>2732</v>
      </c>
      <c r="B420" s="6" t="s">
        <v>30</v>
      </c>
      <c r="C420" s="6" t="s">
        <v>1229</v>
      </c>
      <c r="D420" s="6" t="s">
        <v>1230</v>
      </c>
      <c r="E420" s="6" t="s">
        <v>2241</v>
      </c>
      <c r="F420" s="8">
        <v>0</v>
      </c>
      <c r="G420" s="6" t="s">
        <v>2237</v>
      </c>
      <c r="H420" s="8">
        <v>0</v>
      </c>
      <c r="I420" s="6" t="s">
        <v>2237</v>
      </c>
      <c r="J420" s="8">
        <v>0</v>
      </c>
      <c r="K420" s="6" t="s">
        <v>2237</v>
      </c>
      <c r="L420" s="8">
        <v>9849</v>
      </c>
      <c r="M420" s="6" t="s">
        <v>2237</v>
      </c>
      <c r="N420" s="8">
        <v>294408.34999999998</v>
      </c>
      <c r="O420" s="6" t="s">
        <v>2237</v>
      </c>
      <c r="P420" s="6" t="s">
        <v>2236</v>
      </c>
      <c r="Q420" s="9" t="s">
        <v>2242</v>
      </c>
      <c r="R420" s="9" t="s">
        <v>2238</v>
      </c>
      <c r="S420" s="9" t="s">
        <v>2243</v>
      </c>
      <c r="T420" s="9" t="s">
        <v>2327</v>
      </c>
      <c r="U42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2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E540-30101030209-D245401</v>
      </c>
      <c r="Z4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20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420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1" spans="1:31" x14ac:dyDescent="0.3">
      <c r="A421" s="6" t="s">
        <v>2733</v>
      </c>
      <c r="B421" s="6" t="s">
        <v>30</v>
      </c>
      <c r="C421" s="6" t="s">
        <v>1227</v>
      </c>
      <c r="D421" s="6" t="s">
        <v>1228</v>
      </c>
      <c r="E421" s="6" t="s">
        <v>2241</v>
      </c>
      <c r="F421" s="8">
        <v>0</v>
      </c>
      <c r="G421" s="6" t="s">
        <v>2237</v>
      </c>
      <c r="H421" s="8">
        <v>0</v>
      </c>
      <c r="I421" s="6" t="s">
        <v>2237</v>
      </c>
      <c r="J421" s="8">
        <v>0</v>
      </c>
      <c r="K421" s="6" t="s">
        <v>2237</v>
      </c>
      <c r="L421" s="8">
        <v>0</v>
      </c>
      <c r="M421" s="6" t="s">
        <v>2237</v>
      </c>
      <c r="N421" s="8">
        <v>94068</v>
      </c>
      <c r="O421" s="6" t="s">
        <v>2237</v>
      </c>
      <c r="P421" s="6" t="s">
        <v>2236</v>
      </c>
      <c r="Q421" s="9" t="s">
        <v>2242</v>
      </c>
      <c r="R421" s="9" t="s">
        <v>2238</v>
      </c>
      <c r="S421" s="9" t="s">
        <v>2243</v>
      </c>
      <c r="T421" s="9" t="s">
        <v>2327</v>
      </c>
      <c r="U42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2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E540-30101030208-D245401</v>
      </c>
      <c r="Z4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21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421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2" spans="1:31" x14ac:dyDescent="0.3">
      <c r="A422" s="6" t="s">
        <v>2734</v>
      </c>
      <c r="B422" s="6" t="s">
        <v>30</v>
      </c>
      <c r="C422" s="6" t="s">
        <v>1225</v>
      </c>
      <c r="D422" s="6" t="s">
        <v>1226</v>
      </c>
      <c r="E422" s="6" t="s">
        <v>2241</v>
      </c>
      <c r="F422" s="8">
        <v>0</v>
      </c>
      <c r="G422" s="6" t="s">
        <v>2237</v>
      </c>
      <c r="H422" s="8">
        <v>0</v>
      </c>
      <c r="I422" s="6" t="s">
        <v>2237</v>
      </c>
      <c r="J422" s="8">
        <v>0</v>
      </c>
      <c r="K422" s="6" t="s">
        <v>2237</v>
      </c>
      <c r="L422" s="8">
        <v>234939</v>
      </c>
      <c r="M422" s="6" t="s">
        <v>2237</v>
      </c>
      <c r="N422" s="8">
        <v>299496</v>
      </c>
      <c r="O422" s="6" t="s">
        <v>2237</v>
      </c>
      <c r="P422" s="6" t="s">
        <v>2236</v>
      </c>
      <c r="Q422" s="9" t="s">
        <v>2242</v>
      </c>
      <c r="R422" s="9" t="s">
        <v>2238</v>
      </c>
      <c r="S422" s="9" t="s">
        <v>2243</v>
      </c>
      <c r="T422" s="9" t="s">
        <v>2327</v>
      </c>
      <c r="U42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2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E540-30101030207-D245401</v>
      </c>
      <c r="Z4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22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422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3" spans="1:31" x14ac:dyDescent="0.3">
      <c r="A423" s="6" t="s">
        <v>2735</v>
      </c>
      <c r="B423" s="6" t="s">
        <v>30</v>
      </c>
      <c r="C423" s="6" t="s">
        <v>1223</v>
      </c>
      <c r="D423" s="6" t="s">
        <v>1224</v>
      </c>
      <c r="E423" s="6" t="s">
        <v>2241</v>
      </c>
      <c r="F423" s="8">
        <v>0</v>
      </c>
      <c r="G423" s="6" t="s">
        <v>2237</v>
      </c>
      <c r="H423" s="8">
        <v>0</v>
      </c>
      <c r="I423" s="6" t="s">
        <v>2237</v>
      </c>
      <c r="J423" s="8">
        <v>0</v>
      </c>
      <c r="K423" s="6" t="s">
        <v>2237</v>
      </c>
      <c r="L423" s="8">
        <v>0</v>
      </c>
      <c r="M423" s="6" t="s">
        <v>2237</v>
      </c>
      <c r="N423" s="8">
        <v>555095.69999999995</v>
      </c>
      <c r="O423" s="6" t="s">
        <v>2237</v>
      </c>
      <c r="P423" s="6" t="s">
        <v>2236</v>
      </c>
      <c r="Q423" s="9" t="s">
        <v>2242</v>
      </c>
      <c r="R423" s="9" t="s">
        <v>2238</v>
      </c>
      <c r="S423" s="9" t="s">
        <v>2243</v>
      </c>
      <c r="T423" s="9" t="s">
        <v>2327</v>
      </c>
      <c r="U42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2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E540-30101030205-D245401</v>
      </c>
      <c r="Z4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23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423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4" spans="1:31" x14ac:dyDescent="0.3">
      <c r="A424" s="6" t="s">
        <v>2736</v>
      </c>
      <c r="B424" s="6" t="s">
        <v>30</v>
      </c>
      <c r="C424" s="6" t="s">
        <v>1221</v>
      </c>
      <c r="D424" s="6" t="s">
        <v>1222</v>
      </c>
      <c r="E424" s="6" t="s">
        <v>2241</v>
      </c>
      <c r="F424" s="8">
        <v>0</v>
      </c>
      <c r="G424" s="6" t="s">
        <v>2237</v>
      </c>
      <c r="H424" s="8">
        <v>0</v>
      </c>
      <c r="I424" s="6" t="s">
        <v>2237</v>
      </c>
      <c r="J424" s="8">
        <v>0</v>
      </c>
      <c r="K424" s="6" t="s">
        <v>2237</v>
      </c>
      <c r="L424" s="8">
        <v>0</v>
      </c>
      <c r="M424" s="6" t="s">
        <v>2237</v>
      </c>
      <c r="N424" s="8">
        <v>825</v>
      </c>
      <c r="O424" s="6" t="s">
        <v>2237</v>
      </c>
      <c r="P424" s="6" t="s">
        <v>2236</v>
      </c>
      <c r="Q424" s="9" t="s">
        <v>2242</v>
      </c>
      <c r="R424" s="9" t="s">
        <v>2238</v>
      </c>
      <c r="S424" s="9" t="s">
        <v>2243</v>
      </c>
      <c r="T424" s="9" t="s">
        <v>2327</v>
      </c>
      <c r="U42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E540-301010302-D245401</v>
      </c>
      <c r="Y42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E540-30101030204-D245401</v>
      </c>
      <c r="Z4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24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424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5" spans="1:31" x14ac:dyDescent="0.3">
      <c r="A425" s="6" t="s">
        <v>2737</v>
      </c>
      <c r="B425" s="6" t="s">
        <v>26</v>
      </c>
      <c r="C425" s="6" t="s">
        <v>910</v>
      </c>
      <c r="D425" s="6" t="s">
        <v>911</v>
      </c>
      <c r="E425" s="6" t="s">
        <v>2241</v>
      </c>
      <c r="F425" s="8">
        <v>44000</v>
      </c>
      <c r="G425" s="6" t="s">
        <v>2237</v>
      </c>
      <c r="H425" s="8">
        <v>44000</v>
      </c>
      <c r="I425" s="6" t="s">
        <v>2237</v>
      </c>
      <c r="J425" s="8">
        <v>0</v>
      </c>
      <c r="K425" s="6" t="s">
        <v>2237</v>
      </c>
      <c r="L425" s="8">
        <v>0</v>
      </c>
      <c r="M425" s="6" t="s">
        <v>2237</v>
      </c>
      <c r="N425" s="8">
        <v>13955.48</v>
      </c>
      <c r="O425" s="6" t="s">
        <v>2237</v>
      </c>
      <c r="P425" s="6" t="s">
        <v>2236</v>
      </c>
      <c r="Q425" s="9" t="s">
        <v>2242</v>
      </c>
      <c r="R425" s="9" t="s">
        <v>2238</v>
      </c>
      <c r="S425" s="9" t="s">
        <v>2243</v>
      </c>
      <c r="T425" s="9" t="s">
        <v>2244</v>
      </c>
      <c r="U42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E540-301010301-D245401</v>
      </c>
      <c r="Y4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4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25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6" spans="1:31" x14ac:dyDescent="0.3">
      <c r="A426" s="6" t="s">
        <v>2738</v>
      </c>
      <c r="B426" s="6" t="s">
        <v>30</v>
      </c>
      <c r="C426" s="6" t="s">
        <v>1219</v>
      </c>
      <c r="D426" s="6" t="s">
        <v>1220</v>
      </c>
      <c r="E426" s="6" t="s">
        <v>2241</v>
      </c>
      <c r="F426" s="8">
        <v>0</v>
      </c>
      <c r="G426" s="6" t="s">
        <v>2237</v>
      </c>
      <c r="H426" s="8">
        <v>0</v>
      </c>
      <c r="I426" s="6" t="s">
        <v>2237</v>
      </c>
      <c r="J426" s="8">
        <v>0</v>
      </c>
      <c r="K426" s="6" t="s">
        <v>2237</v>
      </c>
      <c r="L426" s="8">
        <v>0</v>
      </c>
      <c r="M426" s="6" t="s">
        <v>2237</v>
      </c>
      <c r="N426" s="8">
        <v>13955.48</v>
      </c>
      <c r="O426" s="6" t="s">
        <v>2237</v>
      </c>
      <c r="P426" s="6" t="s">
        <v>2236</v>
      </c>
      <c r="Q426" s="9" t="s">
        <v>2242</v>
      </c>
      <c r="R426" s="9" t="s">
        <v>2238</v>
      </c>
      <c r="S426" s="9" t="s">
        <v>2243</v>
      </c>
      <c r="T426" s="9" t="s">
        <v>2327</v>
      </c>
      <c r="U42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E540-301010301-D245401</v>
      </c>
      <c r="Y42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E540-30101030160-D245401</v>
      </c>
      <c r="Z4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426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426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7" spans="1:31" x14ac:dyDescent="0.3">
      <c r="A427" s="6" t="s">
        <v>2739</v>
      </c>
      <c r="B427" s="6" t="s">
        <v>26</v>
      </c>
      <c r="C427" s="6" t="s">
        <v>914</v>
      </c>
      <c r="D427" s="6" t="s">
        <v>915</v>
      </c>
      <c r="E427" s="6" t="s">
        <v>2241</v>
      </c>
      <c r="F427" s="8">
        <v>1041627</v>
      </c>
      <c r="G427" s="6" t="s">
        <v>2237</v>
      </c>
      <c r="H427" s="8">
        <v>1041627</v>
      </c>
      <c r="I427" s="6" t="s">
        <v>2237</v>
      </c>
      <c r="J427" s="8">
        <v>0</v>
      </c>
      <c r="K427" s="6" t="s">
        <v>2237</v>
      </c>
      <c r="L427" s="8">
        <v>0</v>
      </c>
      <c r="M427" s="6" t="s">
        <v>2237</v>
      </c>
      <c r="N427" s="8">
        <v>665541.54</v>
      </c>
      <c r="O427" s="6" t="s">
        <v>2237</v>
      </c>
      <c r="P427" s="6" t="s">
        <v>2236</v>
      </c>
      <c r="Q427" s="9" t="s">
        <v>2242</v>
      </c>
      <c r="R427" s="9" t="s">
        <v>2238</v>
      </c>
      <c r="S427" s="9" t="s">
        <v>2243</v>
      </c>
      <c r="T427" s="9" t="s">
        <v>2244</v>
      </c>
      <c r="U42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E540-301010361-D245401</v>
      </c>
      <c r="Y4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2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27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8" spans="1:31" x14ac:dyDescent="0.3">
      <c r="A428" s="6" t="s">
        <v>2740</v>
      </c>
      <c r="B428" s="6" t="s">
        <v>30</v>
      </c>
      <c r="C428" s="6" t="s">
        <v>1271</v>
      </c>
      <c r="D428" s="6" t="s">
        <v>1272</v>
      </c>
      <c r="E428" s="6" t="s">
        <v>2241</v>
      </c>
      <c r="F428" s="8">
        <v>0</v>
      </c>
      <c r="G428" s="6" t="s">
        <v>2237</v>
      </c>
      <c r="H428" s="8">
        <v>0</v>
      </c>
      <c r="I428" s="6" t="s">
        <v>2237</v>
      </c>
      <c r="J428" s="8">
        <v>0</v>
      </c>
      <c r="K428" s="6" t="s">
        <v>2237</v>
      </c>
      <c r="L428" s="8">
        <v>0</v>
      </c>
      <c r="M428" s="6" t="s">
        <v>2237</v>
      </c>
      <c r="N428" s="8">
        <v>38422.660000000003</v>
      </c>
      <c r="O428" s="6" t="s">
        <v>2237</v>
      </c>
      <c r="P428" s="6" t="s">
        <v>2236</v>
      </c>
      <c r="Q428" s="9" t="s">
        <v>2242</v>
      </c>
      <c r="R428" s="9" t="s">
        <v>2238</v>
      </c>
      <c r="S428" s="9" t="s">
        <v>2243</v>
      </c>
      <c r="T428" s="9" t="s">
        <v>2327</v>
      </c>
      <c r="U42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E540-301010361-D245401</v>
      </c>
      <c r="Y42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E540-30101036162-D245401</v>
      </c>
      <c r="Z42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28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428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29" spans="1:31" x14ac:dyDescent="0.3">
      <c r="A429" s="6" t="s">
        <v>2741</v>
      </c>
      <c r="B429" s="6" t="s">
        <v>30</v>
      </c>
      <c r="C429" s="6" t="s">
        <v>1273</v>
      </c>
      <c r="D429" s="6" t="s">
        <v>1274</v>
      </c>
      <c r="E429" s="6" t="s">
        <v>2241</v>
      </c>
      <c r="F429" s="8">
        <v>0</v>
      </c>
      <c r="G429" s="6" t="s">
        <v>2237</v>
      </c>
      <c r="H429" s="8">
        <v>0</v>
      </c>
      <c r="I429" s="6" t="s">
        <v>2237</v>
      </c>
      <c r="J429" s="8">
        <v>0</v>
      </c>
      <c r="K429" s="6" t="s">
        <v>2237</v>
      </c>
      <c r="L429" s="8">
        <v>0</v>
      </c>
      <c r="M429" s="6" t="s">
        <v>2237</v>
      </c>
      <c r="N429" s="8">
        <v>0</v>
      </c>
      <c r="O429" s="6" t="s">
        <v>2237</v>
      </c>
      <c r="P429" s="6" t="s">
        <v>2236</v>
      </c>
      <c r="Q429" s="9" t="s">
        <v>2242</v>
      </c>
      <c r="R429" s="9" t="s">
        <v>2238</v>
      </c>
      <c r="S429" s="9" t="s">
        <v>2243</v>
      </c>
      <c r="T429" s="9" t="s">
        <v>2327</v>
      </c>
      <c r="U42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2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2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2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E540-301010361-D245401</v>
      </c>
      <c r="Y42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E540-30101036193-D245401</v>
      </c>
      <c r="Z42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2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2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29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429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2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30" spans="1:31" x14ac:dyDescent="0.3">
      <c r="A430" s="6" t="s">
        <v>2742</v>
      </c>
      <c r="B430" s="6" t="s">
        <v>30</v>
      </c>
      <c r="C430" s="6" t="s">
        <v>1269</v>
      </c>
      <c r="D430" s="6" t="s">
        <v>1270</v>
      </c>
      <c r="E430" s="6" t="s">
        <v>2241</v>
      </c>
      <c r="F430" s="8">
        <v>0</v>
      </c>
      <c r="G430" s="6" t="s">
        <v>2237</v>
      </c>
      <c r="H430" s="8">
        <v>0</v>
      </c>
      <c r="I430" s="6" t="s">
        <v>2237</v>
      </c>
      <c r="J430" s="8">
        <v>0</v>
      </c>
      <c r="K430" s="6" t="s">
        <v>2237</v>
      </c>
      <c r="L430" s="8">
        <v>0</v>
      </c>
      <c r="M430" s="6" t="s">
        <v>2237</v>
      </c>
      <c r="N430" s="8">
        <v>126062.42</v>
      </c>
      <c r="O430" s="6" t="s">
        <v>2237</v>
      </c>
      <c r="P430" s="6" t="s">
        <v>2236</v>
      </c>
      <c r="Q430" s="9" t="s">
        <v>2242</v>
      </c>
      <c r="R430" s="9" t="s">
        <v>2238</v>
      </c>
      <c r="S430" s="9" t="s">
        <v>2243</v>
      </c>
      <c r="T430" s="9" t="s">
        <v>2327</v>
      </c>
      <c r="U43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3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E540-301010361-D245401</v>
      </c>
      <c r="Y43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E540-30101036118-D245401</v>
      </c>
      <c r="Z43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3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30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430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3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31" spans="1:31" x14ac:dyDescent="0.3">
      <c r="A431" s="6" t="s">
        <v>2743</v>
      </c>
      <c r="B431" s="6" t="s">
        <v>30</v>
      </c>
      <c r="C431" s="6" t="s">
        <v>1267</v>
      </c>
      <c r="D431" s="6" t="s">
        <v>1268</v>
      </c>
      <c r="E431" s="6" t="s">
        <v>2241</v>
      </c>
      <c r="F431" s="8">
        <v>0</v>
      </c>
      <c r="G431" s="6" t="s">
        <v>2237</v>
      </c>
      <c r="H431" s="8">
        <v>0</v>
      </c>
      <c r="I431" s="6" t="s">
        <v>2237</v>
      </c>
      <c r="J431" s="8">
        <v>0</v>
      </c>
      <c r="K431" s="6" t="s">
        <v>2237</v>
      </c>
      <c r="L431" s="8">
        <v>0</v>
      </c>
      <c r="M431" s="6" t="s">
        <v>2237</v>
      </c>
      <c r="N431" s="8">
        <v>71550.58</v>
      </c>
      <c r="O431" s="6" t="s">
        <v>2237</v>
      </c>
      <c r="P431" s="6" t="s">
        <v>2236</v>
      </c>
      <c r="Q431" s="9" t="s">
        <v>2242</v>
      </c>
      <c r="R431" s="9" t="s">
        <v>2238</v>
      </c>
      <c r="S431" s="9" t="s">
        <v>2243</v>
      </c>
      <c r="T431" s="9" t="s">
        <v>2327</v>
      </c>
      <c r="U43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3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E540-301010361-D245401</v>
      </c>
      <c r="Y43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E540-30101036102-D245401</v>
      </c>
      <c r="Z43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3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31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431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3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32" spans="1:31" x14ac:dyDescent="0.3">
      <c r="A432" s="6" t="s">
        <v>2744</v>
      </c>
      <c r="B432" s="6" t="s">
        <v>30</v>
      </c>
      <c r="C432" s="6" t="s">
        <v>1265</v>
      </c>
      <c r="D432" s="6" t="s">
        <v>1266</v>
      </c>
      <c r="E432" s="6" t="s">
        <v>2241</v>
      </c>
      <c r="F432" s="8">
        <v>0</v>
      </c>
      <c r="G432" s="6" t="s">
        <v>2237</v>
      </c>
      <c r="H432" s="8">
        <v>0</v>
      </c>
      <c r="I432" s="6" t="s">
        <v>2237</v>
      </c>
      <c r="J432" s="8">
        <v>0</v>
      </c>
      <c r="K432" s="6" t="s">
        <v>2237</v>
      </c>
      <c r="L432" s="8">
        <v>0</v>
      </c>
      <c r="M432" s="6" t="s">
        <v>2237</v>
      </c>
      <c r="N432" s="8">
        <v>429505.88</v>
      </c>
      <c r="O432" s="6" t="s">
        <v>2237</v>
      </c>
      <c r="P432" s="6" t="s">
        <v>2236</v>
      </c>
      <c r="Q432" s="9" t="s">
        <v>2242</v>
      </c>
      <c r="R432" s="9" t="s">
        <v>2238</v>
      </c>
      <c r="S432" s="9" t="s">
        <v>2243</v>
      </c>
      <c r="T432" s="9" t="s">
        <v>2327</v>
      </c>
      <c r="U43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E540-3010103-D245401</v>
      </c>
      <c r="X43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E540-301010361-D245401</v>
      </c>
      <c r="Y43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E540-30101036101-D245401</v>
      </c>
      <c r="Z43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3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32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432" s="10" t="str">
        <f>IF(IFERROR(INDEX(WBS_Dictionary!N$2:N$1212, MATCH(Table2[[#This Row],[WBS_ID]], Table26[WBS CODE],0)), "") = "", "null", IFERROR(INDEX(WBS_Dictionary!N$2:N$1212, MATCH(Table2[[#This Row],[WBS_ID]], Table26[WBS CODE],0)), ""))</f>
        <v>AWI 21-7</v>
      </c>
      <c r="AE43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33" spans="1:31" hidden="1" x14ac:dyDescent="0.3">
      <c r="A433" s="6" t="s">
        <v>2745</v>
      </c>
      <c r="B433" s="6" t="s">
        <v>21</v>
      </c>
      <c r="C433" s="6" t="s">
        <v>720</v>
      </c>
      <c r="D433" s="6" t="s">
        <v>849</v>
      </c>
      <c r="E433" s="6" t="s">
        <v>2241</v>
      </c>
      <c r="F433" s="8">
        <v>409892</v>
      </c>
      <c r="G433" s="6" t="s">
        <v>2237</v>
      </c>
      <c r="H433" s="8">
        <v>409892</v>
      </c>
      <c r="I433" s="6" t="s">
        <v>2237</v>
      </c>
      <c r="J433" s="8">
        <v>0</v>
      </c>
      <c r="K433" s="6" t="s">
        <v>2237</v>
      </c>
      <c r="L433" s="8">
        <v>33488.239999999998</v>
      </c>
      <c r="M433" s="6" t="s">
        <v>2237</v>
      </c>
      <c r="N433" s="8">
        <v>274554.31</v>
      </c>
      <c r="O433" s="6" t="s">
        <v>2237</v>
      </c>
      <c r="P433" s="6" t="s">
        <v>2236</v>
      </c>
      <c r="Q433" s="9" t="s">
        <v>2242</v>
      </c>
      <c r="R433" s="9" t="s">
        <v>2238</v>
      </c>
      <c r="S433" s="9" t="s">
        <v>2243</v>
      </c>
      <c r="T433" s="9" t="s">
        <v>2244</v>
      </c>
      <c r="U43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3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3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34" spans="1:31" hidden="1" x14ac:dyDescent="0.3">
      <c r="A434" s="6" t="s">
        <v>2746</v>
      </c>
      <c r="B434" s="6" t="s">
        <v>26</v>
      </c>
      <c r="C434" s="6" t="s">
        <v>963</v>
      </c>
      <c r="D434" s="6" t="s">
        <v>964</v>
      </c>
      <c r="E434" s="6" t="s">
        <v>2241</v>
      </c>
      <c r="F434" s="8">
        <v>102473</v>
      </c>
      <c r="G434" s="6" t="s">
        <v>2237</v>
      </c>
      <c r="H434" s="8">
        <v>102473</v>
      </c>
      <c r="I434" s="6" t="s">
        <v>2237</v>
      </c>
      <c r="J434" s="8">
        <v>0</v>
      </c>
      <c r="K434" s="6" t="s">
        <v>2237</v>
      </c>
      <c r="L434" s="8">
        <v>28209.83</v>
      </c>
      <c r="M434" s="6" t="s">
        <v>2237</v>
      </c>
      <c r="N434" s="8">
        <v>0</v>
      </c>
      <c r="O434" s="6" t="s">
        <v>2237</v>
      </c>
      <c r="P434" s="6" t="s">
        <v>2236</v>
      </c>
      <c r="Q434" s="9" t="s">
        <v>2242</v>
      </c>
      <c r="R434" s="9" t="s">
        <v>2238</v>
      </c>
      <c r="S434" s="9" t="s">
        <v>2243</v>
      </c>
      <c r="T434" s="9" t="s">
        <v>2256</v>
      </c>
      <c r="U43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3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E540-301016104-D245401</v>
      </c>
      <c r="Y4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3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4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34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35" spans="1:31" hidden="1" x14ac:dyDescent="0.3">
      <c r="A435" s="6" t="s">
        <v>2747</v>
      </c>
      <c r="B435" s="6" t="s">
        <v>30</v>
      </c>
      <c r="C435" s="6" t="s">
        <v>1632</v>
      </c>
      <c r="D435" s="6" t="s">
        <v>1633</v>
      </c>
      <c r="E435" s="6" t="s">
        <v>2241</v>
      </c>
      <c r="F435" s="8">
        <v>0</v>
      </c>
      <c r="G435" s="6" t="s">
        <v>2237</v>
      </c>
      <c r="H435" s="8">
        <v>0</v>
      </c>
      <c r="I435" s="6" t="s">
        <v>2237</v>
      </c>
      <c r="J435" s="8">
        <v>0</v>
      </c>
      <c r="K435" s="6" t="s">
        <v>2237</v>
      </c>
      <c r="L435" s="8">
        <v>0</v>
      </c>
      <c r="M435" s="6" t="s">
        <v>2237</v>
      </c>
      <c r="N435" s="8">
        <v>0</v>
      </c>
      <c r="O435" s="6" t="s">
        <v>2237</v>
      </c>
      <c r="P435" s="6" t="s">
        <v>2236</v>
      </c>
      <c r="Q435" s="9" t="s">
        <v>2242</v>
      </c>
      <c r="R435" s="9" t="s">
        <v>2238</v>
      </c>
      <c r="S435" s="9" t="s">
        <v>2243</v>
      </c>
      <c r="T435" s="9" t="s">
        <v>2327</v>
      </c>
      <c r="U43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3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E540-301016104-D245401</v>
      </c>
      <c r="Y43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E540-30101610405-D245401</v>
      </c>
      <c r="Z43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5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35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35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36" spans="1:31" hidden="1" x14ac:dyDescent="0.3">
      <c r="A436" s="6" t="s">
        <v>2748</v>
      </c>
      <c r="B436" s="6" t="s">
        <v>30</v>
      </c>
      <c r="C436" s="6" t="s">
        <v>963</v>
      </c>
      <c r="D436" s="6" t="s">
        <v>1634</v>
      </c>
      <c r="E436" s="6" t="s">
        <v>2241</v>
      </c>
      <c r="F436" s="8">
        <v>0</v>
      </c>
      <c r="G436" s="6" t="s">
        <v>2237</v>
      </c>
      <c r="H436" s="8">
        <v>0</v>
      </c>
      <c r="I436" s="6" t="s">
        <v>2237</v>
      </c>
      <c r="J436" s="8">
        <v>0</v>
      </c>
      <c r="K436" s="6" t="s">
        <v>2237</v>
      </c>
      <c r="L436" s="8">
        <v>28209.83</v>
      </c>
      <c r="M436" s="6" t="s">
        <v>2237</v>
      </c>
      <c r="N436" s="8">
        <v>0</v>
      </c>
      <c r="O436" s="6" t="s">
        <v>2237</v>
      </c>
      <c r="P436" s="6" t="s">
        <v>2236</v>
      </c>
      <c r="Q436" s="9" t="s">
        <v>2242</v>
      </c>
      <c r="R436" s="9" t="s">
        <v>2238</v>
      </c>
      <c r="S436" s="9" t="s">
        <v>2243</v>
      </c>
      <c r="T436" s="9" t="s">
        <v>2327</v>
      </c>
      <c r="U43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3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E540-301016104-D245401</v>
      </c>
      <c r="Y43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E540-30101610423-D245401</v>
      </c>
      <c r="Z43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6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36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36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37" spans="1:31" hidden="1" x14ac:dyDescent="0.3">
      <c r="A437" s="6" t="s">
        <v>2749</v>
      </c>
      <c r="B437" s="6" t="s">
        <v>26</v>
      </c>
      <c r="C437" s="6" t="s">
        <v>961</v>
      </c>
      <c r="D437" s="6" t="s">
        <v>962</v>
      </c>
      <c r="E437" s="6" t="s">
        <v>2241</v>
      </c>
      <c r="F437" s="8">
        <v>102473</v>
      </c>
      <c r="G437" s="6" t="s">
        <v>2237</v>
      </c>
      <c r="H437" s="8">
        <v>102473</v>
      </c>
      <c r="I437" s="6" t="s">
        <v>2237</v>
      </c>
      <c r="J437" s="8">
        <v>0</v>
      </c>
      <c r="K437" s="6" t="s">
        <v>2237</v>
      </c>
      <c r="L437" s="8">
        <v>0</v>
      </c>
      <c r="M437" s="6" t="s">
        <v>2237</v>
      </c>
      <c r="N437" s="8">
        <v>79373.350000000006</v>
      </c>
      <c r="O437" s="6" t="s">
        <v>2237</v>
      </c>
      <c r="P437" s="6" t="s">
        <v>2236</v>
      </c>
      <c r="Q437" s="9" t="s">
        <v>2242</v>
      </c>
      <c r="R437" s="9" t="s">
        <v>2238</v>
      </c>
      <c r="S437" s="9" t="s">
        <v>2243</v>
      </c>
      <c r="T437" s="9" t="s">
        <v>2244</v>
      </c>
      <c r="U43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3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E540-301016103-D245401</v>
      </c>
      <c r="Y4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3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7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37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38" spans="1:31" hidden="1" x14ac:dyDescent="0.3">
      <c r="A438" s="6" t="s">
        <v>2750</v>
      </c>
      <c r="B438" s="6" t="s">
        <v>30</v>
      </c>
      <c r="C438" s="6" t="s">
        <v>1629</v>
      </c>
      <c r="D438" s="6" t="s">
        <v>1630</v>
      </c>
      <c r="E438" s="6" t="s">
        <v>2241</v>
      </c>
      <c r="F438" s="8">
        <v>0</v>
      </c>
      <c r="G438" s="6" t="s">
        <v>2237</v>
      </c>
      <c r="H438" s="8">
        <v>0</v>
      </c>
      <c r="I438" s="6" t="s">
        <v>2237</v>
      </c>
      <c r="J438" s="8">
        <v>0</v>
      </c>
      <c r="K438" s="6" t="s">
        <v>2237</v>
      </c>
      <c r="L438" s="8">
        <v>0</v>
      </c>
      <c r="M438" s="6" t="s">
        <v>2237</v>
      </c>
      <c r="N438" s="8">
        <v>0</v>
      </c>
      <c r="O438" s="6" t="s">
        <v>2237</v>
      </c>
      <c r="P438" s="6" t="s">
        <v>2236</v>
      </c>
      <c r="Q438" s="9" t="s">
        <v>2242</v>
      </c>
      <c r="R438" s="9" t="s">
        <v>2238</v>
      </c>
      <c r="S438" s="9" t="s">
        <v>2243</v>
      </c>
      <c r="T438" s="9" t="s">
        <v>2327</v>
      </c>
      <c r="U43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3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E540-301016103-D245401</v>
      </c>
      <c r="Y43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E540-30101610305-D245401</v>
      </c>
      <c r="Z43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8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38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38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39" spans="1:31" hidden="1" x14ac:dyDescent="0.3">
      <c r="A439" s="6" t="s">
        <v>2751</v>
      </c>
      <c r="B439" s="6" t="s">
        <v>30</v>
      </c>
      <c r="C439" s="6" t="s">
        <v>961</v>
      </c>
      <c r="D439" s="6" t="s">
        <v>1631</v>
      </c>
      <c r="E439" s="6" t="s">
        <v>2241</v>
      </c>
      <c r="F439" s="8">
        <v>0</v>
      </c>
      <c r="G439" s="6" t="s">
        <v>2237</v>
      </c>
      <c r="H439" s="8">
        <v>0</v>
      </c>
      <c r="I439" s="6" t="s">
        <v>2237</v>
      </c>
      <c r="J439" s="8">
        <v>0</v>
      </c>
      <c r="K439" s="6" t="s">
        <v>2237</v>
      </c>
      <c r="L439" s="8">
        <v>0</v>
      </c>
      <c r="M439" s="6" t="s">
        <v>2237</v>
      </c>
      <c r="N439" s="8">
        <v>79373.350000000006</v>
      </c>
      <c r="O439" s="6" t="s">
        <v>2237</v>
      </c>
      <c r="P439" s="6" t="s">
        <v>2236</v>
      </c>
      <c r="Q439" s="9" t="s">
        <v>2242</v>
      </c>
      <c r="R439" s="9" t="s">
        <v>2238</v>
      </c>
      <c r="S439" s="9" t="s">
        <v>2243</v>
      </c>
      <c r="T439" s="9" t="s">
        <v>2327</v>
      </c>
      <c r="U43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3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3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3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E540-301016103-D245401</v>
      </c>
      <c r="Y43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E540-30101610323-D245401</v>
      </c>
      <c r="Z43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39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39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39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0" spans="1:31" hidden="1" x14ac:dyDescent="0.3">
      <c r="A440" s="6" t="s">
        <v>2752</v>
      </c>
      <c r="B440" s="6" t="s">
        <v>26</v>
      </c>
      <c r="C440" s="6" t="s">
        <v>959</v>
      </c>
      <c r="D440" s="6" t="s">
        <v>960</v>
      </c>
      <c r="E440" s="6" t="s">
        <v>2241</v>
      </c>
      <c r="F440" s="8">
        <v>102473</v>
      </c>
      <c r="G440" s="6" t="s">
        <v>2237</v>
      </c>
      <c r="H440" s="8">
        <v>102473</v>
      </c>
      <c r="I440" s="6" t="s">
        <v>2237</v>
      </c>
      <c r="J440" s="8">
        <v>0</v>
      </c>
      <c r="K440" s="6" t="s">
        <v>2237</v>
      </c>
      <c r="L440" s="8">
        <v>0</v>
      </c>
      <c r="M440" s="6" t="s">
        <v>2237</v>
      </c>
      <c r="N440" s="8">
        <v>107048.84</v>
      </c>
      <c r="O440" s="6" t="s">
        <v>2237</v>
      </c>
      <c r="P440" s="6" t="s">
        <v>2236</v>
      </c>
      <c r="Q440" s="9" t="s">
        <v>2242</v>
      </c>
      <c r="R440" s="9" t="s">
        <v>2238</v>
      </c>
      <c r="S440" s="9" t="s">
        <v>2243</v>
      </c>
      <c r="T440" s="9" t="s">
        <v>2256</v>
      </c>
      <c r="U44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4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E540-301016102-D245401</v>
      </c>
      <c r="Y4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4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0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40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1" spans="1:31" hidden="1" x14ac:dyDescent="0.3">
      <c r="A441" s="6" t="s">
        <v>2753</v>
      </c>
      <c r="B441" s="6" t="s">
        <v>30</v>
      </c>
      <c r="C441" s="6" t="s">
        <v>1626</v>
      </c>
      <c r="D441" s="6" t="s">
        <v>1627</v>
      </c>
      <c r="E441" s="6" t="s">
        <v>2241</v>
      </c>
      <c r="F441" s="8">
        <v>0</v>
      </c>
      <c r="G441" s="6" t="s">
        <v>2237</v>
      </c>
      <c r="H441" s="8">
        <v>0</v>
      </c>
      <c r="I441" s="6" t="s">
        <v>2237</v>
      </c>
      <c r="J441" s="8">
        <v>0</v>
      </c>
      <c r="K441" s="6" t="s">
        <v>2237</v>
      </c>
      <c r="L441" s="8">
        <v>0</v>
      </c>
      <c r="M441" s="6" t="s">
        <v>2237</v>
      </c>
      <c r="N441" s="8">
        <v>41503.93</v>
      </c>
      <c r="O441" s="6" t="s">
        <v>2237</v>
      </c>
      <c r="P441" s="6" t="s">
        <v>2236</v>
      </c>
      <c r="Q441" s="9" t="s">
        <v>2242</v>
      </c>
      <c r="R441" s="9" t="s">
        <v>2238</v>
      </c>
      <c r="S441" s="9" t="s">
        <v>2243</v>
      </c>
      <c r="T441" s="9" t="s">
        <v>2327</v>
      </c>
      <c r="U44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4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E540-301016102-D245401</v>
      </c>
      <c r="Y44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E540-30101610205-D245401</v>
      </c>
      <c r="Z44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1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41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41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2" spans="1:31" hidden="1" x14ac:dyDescent="0.3">
      <c r="A442" s="6" t="s">
        <v>2754</v>
      </c>
      <c r="B442" s="6" t="s">
        <v>30</v>
      </c>
      <c r="C442" s="6" t="s">
        <v>959</v>
      </c>
      <c r="D442" s="6" t="s">
        <v>1628</v>
      </c>
      <c r="E442" s="6" t="s">
        <v>2241</v>
      </c>
      <c r="F442" s="8">
        <v>0</v>
      </c>
      <c r="G442" s="6" t="s">
        <v>2237</v>
      </c>
      <c r="H442" s="8">
        <v>0</v>
      </c>
      <c r="I442" s="6" t="s">
        <v>2237</v>
      </c>
      <c r="J442" s="8">
        <v>0</v>
      </c>
      <c r="K442" s="6" t="s">
        <v>2237</v>
      </c>
      <c r="L442" s="8">
        <v>0</v>
      </c>
      <c r="M442" s="6" t="s">
        <v>2237</v>
      </c>
      <c r="N442" s="8">
        <v>65544.91</v>
      </c>
      <c r="O442" s="6" t="s">
        <v>2237</v>
      </c>
      <c r="P442" s="6" t="s">
        <v>2236</v>
      </c>
      <c r="Q442" s="9" t="s">
        <v>2242</v>
      </c>
      <c r="R442" s="9" t="s">
        <v>2238</v>
      </c>
      <c r="S442" s="9" t="s">
        <v>2243</v>
      </c>
      <c r="T442" s="9" t="s">
        <v>2327</v>
      </c>
      <c r="U44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4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E540-301016102-D245401</v>
      </c>
      <c r="Y44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E540-30101610223-D245401</v>
      </c>
      <c r="Z44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2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42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42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3" spans="1:31" hidden="1" x14ac:dyDescent="0.3">
      <c r="A443" s="6" t="s">
        <v>2755</v>
      </c>
      <c r="B443" s="6" t="s">
        <v>26</v>
      </c>
      <c r="C443" s="6" t="s">
        <v>722</v>
      </c>
      <c r="D443" s="6" t="s">
        <v>957</v>
      </c>
      <c r="E443" s="6" t="s">
        <v>2241</v>
      </c>
      <c r="F443" s="8">
        <v>102473</v>
      </c>
      <c r="G443" s="6" t="s">
        <v>2237</v>
      </c>
      <c r="H443" s="8">
        <v>102473</v>
      </c>
      <c r="I443" s="6" t="s">
        <v>2237</v>
      </c>
      <c r="J443" s="8">
        <v>0</v>
      </c>
      <c r="K443" s="6" t="s">
        <v>2237</v>
      </c>
      <c r="L443" s="8">
        <v>5278.41</v>
      </c>
      <c r="M443" s="6" t="s">
        <v>2237</v>
      </c>
      <c r="N443" s="8">
        <v>88132.12</v>
      </c>
      <c r="O443" s="6" t="s">
        <v>2237</v>
      </c>
      <c r="P443" s="6" t="s">
        <v>2236</v>
      </c>
      <c r="Q443" s="9" t="s">
        <v>2242</v>
      </c>
      <c r="R443" s="9" t="s">
        <v>2238</v>
      </c>
      <c r="S443" s="9" t="s">
        <v>2243</v>
      </c>
      <c r="T443" s="9" t="s">
        <v>2256</v>
      </c>
      <c r="U44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4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E540-301016101-D245401</v>
      </c>
      <c r="Y4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4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3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43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4" spans="1:31" hidden="1" x14ac:dyDescent="0.3">
      <c r="A444" s="6" t="s">
        <v>2756</v>
      </c>
      <c r="B444" s="6" t="s">
        <v>30</v>
      </c>
      <c r="C444" s="6" t="s">
        <v>1623</v>
      </c>
      <c r="D444" s="6" t="s">
        <v>1624</v>
      </c>
      <c r="E444" s="6" t="s">
        <v>2241</v>
      </c>
      <c r="F444" s="8">
        <v>0</v>
      </c>
      <c r="G444" s="6" t="s">
        <v>2237</v>
      </c>
      <c r="H444" s="8">
        <v>0</v>
      </c>
      <c r="I444" s="6" t="s">
        <v>2237</v>
      </c>
      <c r="J444" s="8">
        <v>0</v>
      </c>
      <c r="K444" s="6" t="s">
        <v>2237</v>
      </c>
      <c r="L444" s="8">
        <v>0</v>
      </c>
      <c r="M444" s="6" t="s">
        <v>2237</v>
      </c>
      <c r="N444" s="8">
        <v>0</v>
      </c>
      <c r="O444" s="6" t="s">
        <v>2237</v>
      </c>
      <c r="P444" s="6" t="s">
        <v>2236</v>
      </c>
      <c r="Q444" s="9" t="s">
        <v>2242</v>
      </c>
      <c r="R444" s="9" t="s">
        <v>2238</v>
      </c>
      <c r="S444" s="9" t="s">
        <v>2243</v>
      </c>
      <c r="T444" s="9" t="s">
        <v>2327</v>
      </c>
      <c r="U44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4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E540-301016101-D245401</v>
      </c>
      <c r="Y44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E540-30101610105-D245401</v>
      </c>
      <c r="Z44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4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44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44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5" spans="1:31" hidden="1" x14ac:dyDescent="0.3">
      <c r="A445" s="6" t="s">
        <v>2757</v>
      </c>
      <c r="B445" s="6" t="s">
        <v>30</v>
      </c>
      <c r="C445" s="6" t="s">
        <v>722</v>
      </c>
      <c r="D445" s="6" t="s">
        <v>1625</v>
      </c>
      <c r="E445" s="6" t="s">
        <v>2241</v>
      </c>
      <c r="F445" s="8">
        <v>0</v>
      </c>
      <c r="G445" s="6" t="s">
        <v>2237</v>
      </c>
      <c r="H445" s="8">
        <v>0</v>
      </c>
      <c r="I445" s="6" t="s">
        <v>2237</v>
      </c>
      <c r="J445" s="8">
        <v>0</v>
      </c>
      <c r="K445" s="6" t="s">
        <v>2237</v>
      </c>
      <c r="L445" s="8">
        <v>5278.41</v>
      </c>
      <c r="M445" s="6" t="s">
        <v>2237</v>
      </c>
      <c r="N445" s="8">
        <v>88132.12</v>
      </c>
      <c r="O445" s="6" t="s">
        <v>2237</v>
      </c>
      <c r="P445" s="6" t="s">
        <v>2236</v>
      </c>
      <c r="Q445" s="9" t="s">
        <v>2242</v>
      </c>
      <c r="R445" s="9" t="s">
        <v>2238</v>
      </c>
      <c r="S445" s="9" t="s">
        <v>2243</v>
      </c>
      <c r="T445" s="9" t="s">
        <v>2327</v>
      </c>
      <c r="U44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E540-3010161-D245401</v>
      </c>
      <c r="X44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E540-301016101-D245401</v>
      </c>
      <c r="Y44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E540-30101610123-D245401</v>
      </c>
      <c r="Z44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5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445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45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4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6" spans="1:31" hidden="1" x14ac:dyDescent="0.3">
      <c r="A446" s="6" t="s">
        <v>2758</v>
      </c>
      <c r="B446" s="6" t="s">
        <v>21</v>
      </c>
      <c r="C446" s="6" t="s">
        <v>725</v>
      </c>
      <c r="D446" s="6" t="s">
        <v>848</v>
      </c>
      <c r="E446" s="6" t="s">
        <v>2241</v>
      </c>
      <c r="F446" s="8">
        <v>3168260</v>
      </c>
      <c r="G446" s="6" t="s">
        <v>2237</v>
      </c>
      <c r="H446" s="8">
        <v>3168260</v>
      </c>
      <c r="I446" s="6" t="s">
        <v>2237</v>
      </c>
      <c r="J446" s="8">
        <v>0</v>
      </c>
      <c r="K446" s="6" t="s">
        <v>2237</v>
      </c>
      <c r="L446" s="8">
        <v>17873.900000000001</v>
      </c>
      <c r="M446" s="6" t="s">
        <v>2237</v>
      </c>
      <c r="N446" s="8">
        <v>2525023.62</v>
      </c>
      <c r="O446" s="6" t="s">
        <v>2237</v>
      </c>
      <c r="P446" s="6" t="s">
        <v>2236</v>
      </c>
      <c r="Q446" s="9" t="s">
        <v>2242</v>
      </c>
      <c r="R446" s="9" t="s">
        <v>2238</v>
      </c>
      <c r="S446" s="9" t="s">
        <v>2243</v>
      </c>
      <c r="T446" s="9" t="s">
        <v>2244</v>
      </c>
      <c r="U44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4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6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7" spans="1:31" hidden="1" x14ac:dyDescent="0.3">
      <c r="A447" s="6" t="s">
        <v>2759</v>
      </c>
      <c r="B447" s="6" t="s">
        <v>26</v>
      </c>
      <c r="C447" s="6" t="s">
        <v>727</v>
      </c>
      <c r="D447" s="6" t="s">
        <v>956</v>
      </c>
      <c r="E447" s="6" t="s">
        <v>2241</v>
      </c>
      <c r="F447" s="8">
        <v>792065</v>
      </c>
      <c r="G447" s="6" t="s">
        <v>2237</v>
      </c>
      <c r="H447" s="8">
        <v>792065</v>
      </c>
      <c r="I447" s="6" t="s">
        <v>2237</v>
      </c>
      <c r="J447" s="8">
        <v>0</v>
      </c>
      <c r="K447" s="6" t="s">
        <v>2237</v>
      </c>
      <c r="L447" s="8">
        <v>17585.830000000002</v>
      </c>
      <c r="M447" s="6" t="s">
        <v>2237</v>
      </c>
      <c r="N447" s="8">
        <v>186020.8</v>
      </c>
      <c r="O447" s="6" t="s">
        <v>2237</v>
      </c>
      <c r="P447" s="6" t="s">
        <v>2236</v>
      </c>
      <c r="Q447" s="9" t="s">
        <v>2242</v>
      </c>
      <c r="R447" s="9" t="s">
        <v>2238</v>
      </c>
      <c r="S447" s="9" t="s">
        <v>2243</v>
      </c>
      <c r="T447" s="9" t="s">
        <v>2244</v>
      </c>
      <c r="U44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4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E540-301015604-D245401</v>
      </c>
      <c r="Y4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4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7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47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8" spans="1:31" hidden="1" x14ac:dyDescent="0.3">
      <c r="A448" s="6" t="s">
        <v>2760</v>
      </c>
      <c r="B448" s="6" t="s">
        <v>30</v>
      </c>
      <c r="C448" s="6" t="s">
        <v>1620</v>
      </c>
      <c r="D448" s="6" t="s">
        <v>1621</v>
      </c>
      <c r="E448" s="6" t="s">
        <v>2241</v>
      </c>
      <c r="F448" s="8">
        <v>0</v>
      </c>
      <c r="G448" s="6" t="s">
        <v>2237</v>
      </c>
      <c r="H448" s="8">
        <v>0</v>
      </c>
      <c r="I448" s="6" t="s">
        <v>2237</v>
      </c>
      <c r="J448" s="8">
        <v>0</v>
      </c>
      <c r="K448" s="6" t="s">
        <v>2237</v>
      </c>
      <c r="L448" s="8">
        <v>0</v>
      </c>
      <c r="M448" s="6" t="s">
        <v>2237</v>
      </c>
      <c r="N448" s="8">
        <v>0</v>
      </c>
      <c r="O448" s="6" t="s">
        <v>2237</v>
      </c>
      <c r="P448" s="6" t="s">
        <v>2236</v>
      </c>
      <c r="Q448" s="9" t="s">
        <v>2242</v>
      </c>
      <c r="R448" s="9" t="s">
        <v>2238</v>
      </c>
      <c r="S448" s="9" t="s">
        <v>2243</v>
      </c>
      <c r="T448" s="9" t="s">
        <v>2327</v>
      </c>
      <c r="U44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4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E540-301015604-D245401</v>
      </c>
      <c r="Y44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E540-30101560405-D245401</v>
      </c>
      <c r="Z44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8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48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48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49" spans="1:31" hidden="1" x14ac:dyDescent="0.3">
      <c r="A449" s="6" t="s">
        <v>2761</v>
      </c>
      <c r="B449" s="6" t="s">
        <v>30</v>
      </c>
      <c r="C449" s="6" t="s">
        <v>729</v>
      </c>
      <c r="D449" s="6" t="s">
        <v>1622</v>
      </c>
      <c r="E449" s="6" t="s">
        <v>2241</v>
      </c>
      <c r="F449" s="8">
        <v>0</v>
      </c>
      <c r="G449" s="6" t="s">
        <v>2237</v>
      </c>
      <c r="H449" s="8">
        <v>0</v>
      </c>
      <c r="I449" s="6" t="s">
        <v>2237</v>
      </c>
      <c r="J449" s="8">
        <v>0</v>
      </c>
      <c r="K449" s="6" t="s">
        <v>2237</v>
      </c>
      <c r="L449" s="8">
        <v>17585.830000000002</v>
      </c>
      <c r="M449" s="6" t="s">
        <v>2237</v>
      </c>
      <c r="N449" s="8">
        <v>186020.8</v>
      </c>
      <c r="O449" s="6" t="s">
        <v>2237</v>
      </c>
      <c r="P449" s="6" t="s">
        <v>2236</v>
      </c>
      <c r="Q449" s="9" t="s">
        <v>2242</v>
      </c>
      <c r="R449" s="9" t="s">
        <v>2238</v>
      </c>
      <c r="S449" s="9" t="s">
        <v>2243</v>
      </c>
      <c r="T449" s="9" t="s">
        <v>2327</v>
      </c>
      <c r="U44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4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4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4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E540-301015604-D245401</v>
      </c>
      <c r="Y44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E540-30101560423-D245401</v>
      </c>
      <c r="Z44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49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49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49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0" spans="1:31" hidden="1" x14ac:dyDescent="0.3">
      <c r="A450" s="6" t="s">
        <v>2762</v>
      </c>
      <c r="B450" s="6" t="s">
        <v>26</v>
      </c>
      <c r="C450" s="6" t="s">
        <v>731</v>
      </c>
      <c r="D450" s="6" t="s">
        <v>955</v>
      </c>
      <c r="E450" s="6" t="s">
        <v>2241</v>
      </c>
      <c r="F450" s="8">
        <v>792065</v>
      </c>
      <c r="G450" s="6" t="s">
        <v>2237</v>
      </c>
      <c r="H450" s="8">
        <v>792065</v>
      </c>
      <c r="I450" s="6" t="s">
        <v>2237</v>
      </c>
      <c r="J450" s="8">
        <v>0</v>
      </c>
      <c r="K450" s="6" t="s">
        <v>2237</v>
      </c>
      <c r="L450" s="8">
        <v>0</v>
      </c>
      <c r="M450" s="6" t="s">
        <v>2237</v>
      </c>
      <c r="N450" s="8">
        <v>799693.41</v>
      </c>
      <c r="O450" s="6" t="s">
        <v>2237</v>
      </c>
      <c r="P450" s="6" t="s">
        <v>2236</v>
      </c>
      <c r="Q450" s="9" t="s">
        <v>2242</v>
      </c>
      <c r="R450" s="9" t="s">
        <v>2238</v>
      </c>
      <c r="S450" s="9" t="s">
        <v>2243</v>
      </c>
      <c r="T450" s="9" t="s">
        <v>2256</v>
      </c>
      <c r="U45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E540-301015603-D245401</v>
      </c>
      <c r="Y4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5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0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0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1" spans="1:31" hidden="1" x14ac:dyDescent="0.3">
      <c r="A451" s="6" t="s">
        <v>2763</v>
      </c>
      <c r="B451" s="6" t="s">
        <v>30</v>
      </c>
      <c r="C451" s="6" t="s">
        <v>1617</v>
      </c>
      <c r="D451" s="6" t="s">
        <v>1618</v>
      </c>
      <c r="E451" s="6" t="s">
        <v>2241</v>
      </c>
      <c r="F451" s="8">
        <v>0</v>
      </c>
      <c r="G451" s="6" t="s">
        <v>2237</v>
      </c>
      <c r="H451" s="8">
        <v>0</v>
      </c>
      <c r="I451" s="6" t="s">
        <v>2237</v>
      </c>
      <c r="J451" s="8">
        <v>0</v>
      </c>
      <c r="K451" s="6" t="s">
        <v>2237</v>
      </c>
      <c r="L451" s="8">
        <v>0</v>
      </c>
      <c r="M451" s="6" t="s">
        <v>2237</v>
      </c>
      <c r="N451" s="8">
        <v>289576.33</v>
      </c>
      <c r="O451" s="6" t="s">
        <v>2237</v>
      </c>
      <c r="P451" s="6" t="s">
        <v>2236</v>
      </c>
      <c r="Q451" s="9" t="s">
        <v>2242</v>
      </c>
      <c r="R451" s="9" t="s">
        <v>2238</v>
      </c>
      <c r="S451" s="9" t="s">
        <v>2243</v>
      </c>
      <c r="T451" s="9" t="s">
        <v>2327</v>
      </c>
      <c r="U45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E540-301015603-D245401</v>
      </c>
      <c r="Y45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E540-30101560305-D245401</v>
      </c>
      <c r="Z45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1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1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51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2" spans="1:31" hidden="1" x14ac:dyDescent="0.3">
      <c r="A452" s="6" t="s">
        <v>2764</v>
      </c>
      <c r="B452" s="6" t="s">
        <v>30</v>
      </c>
      <c r="C452" s="6" t="s">
        <v>733</v>
      </c>
      <c r="D452" s="6" t="s">
        <v>1619</v>
      </c>
      <c r="E452" s="6" t="s">
        <v>2241</v>
      </c>
      <c r="F452" s="8">
        <v>0</v>
      </c>
      <c r="G452" s="6" t="s">
        <v>2237</v>
      </c>
      <c r="H452" s="8">
        <v>0</v>
      </c>
      <c r="I452" s="6" t="s">
        <v>2237</v>
      </c>
      <c r="J452" s="8">
        <v>0</v>
      </c>
      <c r="K452" s="6" t="s">
        <v>2237</v>
      </c>
      <c r="L452" s="8">
        <v>0</v>
      </c>
      <c r="M452" s="6" t="s">
        <v>2237</v>
      </c>
      <c r="N452" s="8">
        <v>510117.08</v>
      </c>
      <c r="O452" s="6" t="s">
        <v>2237</v>
      </c>
      <c r="P452" s="6" t="s">
        <v>2236</v>
      </c>
      <c r="Q452" s="9" t="s">
        <v>2242</v>
      </c>
      <c r="R452" s="9" t="s">
        <v>2238</v>
      </c>
      <c r="S452" s="9" t="s">
        <v>2243</v>
      </c>
      <c r="T452" s="9" t="s">
        <v>2327</v>
      </c>
      <c r="U45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E540-301015603-D245401</v>
      </c>
      <c r="Y45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E540-30101560323-D245401</v>
      </c>
      <c r="Z45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2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2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52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3" spans="1:31" hidden="1" x14ac:dyDescent="0.3">
      <c r="A453" s="6" t="s">
        <v>2765</v>
      </c>
      <c r="B453" s="6" t="s">
        <v>26</v>
      </c>
      <c r="C453" s="6" t="s">
        <v>735</v>
      </c>
      <c r="D453" s="6" t="s">
        <v>954</v>
      </c>
      <c r="E453" s="6" t="s">
        <v>2241</v>
      </c>
      <c r="F453" s="8">
        <v>792065</v>
      </c>
      <c r="G453" s="6" t="s">
        <v>2237</v>
      </c>
      <c r="H453" s="8">
        <v>792065</v>
      </c>
      <c r="I453" s="6" t="s">
        <v>2237</v>
      </c>
      <c r="J453" s="8">
        <v>0</v>
      </c>
      <c r="K453" s="6" t="s">
        <v>2237</v>
      </c>
      <c r="L453" s="8">
        <v>288.07</v>
      </c>
      <c r="M453" s="6" t="s">
        <v>2237</v>
      </c>
      <c r="N453" s="8">
        <v>709217.51</v>
      </c>
      <c r="O453" s="6" t="s">
        <v>2237</v>
      </c>
      <c r="P453" s="6" t="s">
        <v>2236</v>
      </c>
      <c r="Q453" s="9" t="s">
        <v>2242</v>
      </c>
      <c r="R453" s="9" t="s">
        <v>2238</v>
      </c>
      <c r="S453" s="9" t="s">
        <v>2243</v>
      </c>
      <c r="T453" s="9" t="s">
        <v>2256</v>
      </c>
      <c r="U45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E540-301015602-D245401</v>
      </c>
      <c r="Y4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5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3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3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4" spans="1:31" hidden="1" x14ac:dyDescent="0.3">
      <c r="A454" s="6" t="s">
        <v>2766</v>
      </c>
      <c r="B454" s="6" t="s">
        <v>30</v>
      </c>
      <c r="C454" s="6" t="s">
        <v>1614</v>
      </c>
      <c r="D454" s="6" t="s">
        <v>1615</v>
      </c>
      <c r="E454" s="6" t="s">
        <v>2241</v>
      </c>
      <c r="F454" s="8">
        <v>0</v>
      </c>
      <c r="G454" s="6" t="s">
        <v>2237</v>
      </c>
      <c r="H454" s="8">
        <v>0</v>
      </c>
      <c r="I454" s="6" t="s">
        <v>2237</v>
      </c>
      <c r="J454" s="8">
        <v>0</v>
      </c>
      <c r="K454" s="6" t="s">
        <v>2237</v>
      </c>
      <c r="L454" s="8">
        <v>0</v>
      </c>
      <c r="M454" s="6" t="s">
        <v>2237</v>
      </c>
      <c r="N454" s="8">
        <v>345435.73</v>
      </c>
      <c r="O454" s="6" t="s">
        <v>2237</v>
      </c>
      <c r="P454" s="6" t="s">
        <v>2236</v>
      </c>
      <c r="Q454" s="9" t="s">
        <v>2242</v>
      </c>
      <c r="R454" s="9" t="s">
        <v>2238</v>
      </c>
      <c r="S454" s="9" t="s">
        <v>2243</v>
      </c>
      <c r="T454" s="9" t="s">
        <v>2327</v>
      </c>
      <c r="U45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E540-301015602-D245401</v>
      </c>
      <c r="Y45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E540-30101560205-D245401</v>
      </c>
      <c r="Z45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4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54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5" spans="1:31" hidden="1" x14ac:dyDescent="0.3">
      <c r="A455" s="6" t="s">
        <v>2767</v>
      </c>
      <c r="B455" s="6" t="s">
        <v>30</v>
      </c>
      <c r="C455" s="6" t="s">
        <v>737</v>
      </c>
      <c r="D455" s="6" t="s">
        <v>1616</v>
      </c>
      <c r="E455" s="6" t="s">
        <v>2241</v>
      </c>
      <c r="F455" s="8">
        <v>0</v>
      </c>
      <c r="G455" s="6" t="s">
        <v>2237</v>
      </c>
      <c r="H455" s="8">
        <v>0</v>
      </c>
      <c r="I455" s="6" t="s">
        <v>2237</v>
      </c>
      <c r="J455" s="8">
        <v>0</v>
      </c>
      <c r="K455" s="6" t="s">
        <v>2237</v>
      </c>
      <c r="L455" s="8">
        <v>288.07</v>
      </c>
      <c r="M455" s="6" t="s">
        <v>2237</v>
      </c>
      <c r="N455" s="8">
        <v>363781.78</v>
      </c>
      <c r="O455" s="6" t="s">
        <v>2237</v>
      </c>
      <c r="P455" s="6" t="s">
        <v>2236</v>
      </c>
      <c r="Q455" s="9" t="s">
        <v>2242</v>
      </c>
      <c r="R455" s="9" t="s">
        <v>2238</v>
      </c>
      <c r="S455" s="9" t="s">
        <v>2243</v>
      </c>
      <c r="T455" s="9" t="s">
        <v>2327</v>
      </c>
      <c r="U45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E540-301015602-D245401</v>
      </c>
      <c r="Y45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E540-30101560223-D245401</v>
      </c>
      <c r="Z45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5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55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6" spans="1:31" hidden="1" x14ac:dyDescent="0.3">
      <c r="A456" s="6" t="s">
        <v>2768</v>
      </c>
      <c r="B456" s="6" t="s">
        <v>26</v>
      </c>
      <c r="C456" s="6" t="s">
        <v>739</v>
      </c>
      <c r="D456" s="6" t="s">
        <v>952</v>
      </c>
      <c r="E456" s="6" t="s">
        <v>2241</v>
      </c>
      <c r="F456" s="8">
        <v>792065</v>
      </c>
      <c r="G456" s="6" t="s">
        <v>2237</v>
      </c>
      <c r="H456" s="8">
        <v>792065</v>
      </c>
      <c r="I456" s="6" t="s">
        <v>2237</v>
      </c>
      <c r="J456" s="8">
        <v>0</v>
      </c>
      <c r="K456" s="6" t="s">
        <v>2237</v>
      </c>
      <c r="L456" s="8">
        <v>0</v>
      </c>
      <c r="M456" s="6" t="s">
        <v>2237</v>
      </c>
      <c r="N456" s="8">
        <v>830091.9</v>
      </c>
      <c r="O456" s="6" t="s">
        <v>2237</v>
      </c>
      <c r="P456" s="6" t="s">
        <v>2236</v>
      </c>
      <c r="Q456" s="9" t="s">
        <v>2242</v>
      </c>
      <c r="R456" s="9" t="s">
        <v>2238</v>
      </c>
      <c r="S456" s="9" t="s">
        <v>2243</v>
      </c>
      <c r="T456" s="9" t="s">
        <v>2256</v>
      </c>
      <c r="U45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E540-301015601-D245401</v>
      </c>
      <c r="Y4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5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6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6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4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7" spans="1:31" hidden="1" x14ac:dyDescent="0.3">
      <c r="A457" s="6" t="s">
        <v>2769</v>
      </c>
      <c r="B457" s="6" t="s">
        <v>30</v>
      </c>
      <c r="C457" s="6" t="s">
        <v>1611</v>
      </c>
      <c r="D457" s="6" t="s">
        <v>1612</v>
      </c>
      <c r="E457" s="6" t="s">
        <v>2241</v>
      </c>
      <c r="F457" s="8">
        <v>0</v>
      </c>
      <c r="G457" s="6" t="s">
        <v>2237</v>
      </c>
      <c r="H457" s="8">
        <v>0</v>
      </c>
      <c r="I457" s="6" t="s">
        <v>2237</v>
      </c>
      <c r="J457" s="8">
        <v>0</v>
      </c>
      <c r="K457" s="6" t="s">
        <v>2237</v>
      </c>
      <c r="L457" s="8">
        <v>0</v>
      </c>
      <c r="M457" s="6" t="s">
        <v>2237</v>
      </c>
      <c r="N457" s="8">
        <v>0</v>
      </c>
      <c r="O457" s="6" t="s">
        <v>2237</v>
      </c>
      <c r="P457" s="6" t="s">
        <v>2236</v>
      </c>
      <c r="Q457" s="9" t="s">
        <v>2242</v>
      </c>
      <c r="R457" s="9" t="s">
        <v>2238</v>
      </c>
      <c r="S457" s="9" t="s">
        <v>2243</v>
      </c>
      <c r="T457" s="9" t="s">
        <v>2327</v>
      </c>
      <c r="U45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E540-301015601-D245401</v>
      </c>
      <c r="Y45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E540-30101560105-D245401</v>
      </c>
      <c r="Z45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7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7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57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8" spans="1:31" hidden="1" x14ac:dyDescent="0.3">
      <c r="A458" s="6" t="s">
        <v>2770</v>
      </c>
      <c r="B458" s="6" t="s">
        <v>30</v>
      </c>
      <c r="C458" s="6" t="s">
        <v>741</v>
      </c>
      <c r="D458" s="6" t="s">
        <v>1613</v>
      </c>
      <c r="E458" s="6" t="s">
        <v>2241</v>
      </c>
      <c r="F458" s="8">
        <v>0</v>
      </c>
      <c r="G458" s="6" t="s">
        <v>2237</v>
      </c>
      <c r="H458" s="8">
        <v>0</v>
      </c>
      <c r="I458" s="6" t="s">
        <v>2237</v>
      </c>
      <c r="J458" s="8">
        <v>0</v>
      </c>
      <c r="K458" s="6" t="s">
        <v>2237</v>
      </c>
      <c r="L458" s="8">
        <v>0</v>
      </c>
      <c r="M458" s="6" t="s">
        <v>2237</v>
      </c>
      <c r="N458" s="8">
        <v>830091.9</v>
      </c>
      <c r="O458" s="6" t="s">
        <v>2237</v>
      </c>
      <c r="P458" s="6" t="s">
        <v>2236</v>
      </c>
      <c r="Q458" s="9" t="s">
        <v>2242</v>
      </c>
      <c r="R458" s="9" t="s">
        <v>2238</v>
      </c>
      <c r="S458" s="9" t="s">
        <v>2243</v>
      </c>
      <c r="T458" s="9" t="s">
        <v>2327</v>
      </c>
      <c r="U45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E540-3010156-D245401</v>
      </c>
      <c r="X45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E540-301015601-D245401</v>
      </c>
      <c r="Y45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E540-30101560123-D245401</v>
      </c>
      <c r="Z45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8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458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458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4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59" spans="1:31" hidden="1" x14ac:dyDescent="0.3">
      <c r="A459" s="6" t="s">
        <v>2771</v>
      </c>
      <c r="B459" s="6" t="s">
        <v>21</v>
      </c>
      <c r="C459" s="6" t="s">
        <v>743</v>
      </c>
      <c r="D459" s="6" t="s">
        <v>850</v>
      </c>
      <c r="E459" s="6" t="s">
        <v>2241</v>
      </c>
      <c r="F459" s="8">
        <v>2484108</v>
      </c>
      <c r="G459" s="6" t="s">
        <v>2237</v>
      </c>
      <c r="H459" s="8">
        <v>2484108</v>
      </c>
      <c r="I459" s="6" t="s">
        <v>2237</v>
      </c>
      <c r="J459" s="8">
        <v>0</v>
      </c>
      <c r="K459" s="6" t="s">
        <v>2237</v>
      </c>
      <c r="L459" s="8">
        <v>10798.15</v>
      </c>
      <c r="M459" s="6" t="s">
        <v>2237</v>
      </c>
      <c r="N459" s="8">
        <v>2472778.98</v>
      </c>
      <c r="O459" s="6" t="s">
        <v>2237</v>
      </c>
      <c r="P459" s="6" t="s">
        <v>2236</v>
      </c>
      <c r="Q459" s="9" t="s">
        <v>2242</v>
      </c>
      <c r="R459" s="9" t="s">
        <v>2238</v>
      </c>
      <c r="S459" s="9" t="s">
        <v>2243</v>
      </c>
      <c r="T459" s="9" t="s">
        <v>2244</v>
      </c>
      <c r="U45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5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5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E540-3010169-D245401</v>
      </c>
      <c r="X4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5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59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4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60" spans="1:31" hidden="1" x14ac:dyDescent="0.3">
      <c r="A460" s="6" t="s">
        <v>2772</v>
      </c>
      <c r="B460" s="6" t="s">
        <v>26</v>
      </c>
      <c r="C460" s="6" t="s">
        <v>965</v>
      </c>
      <c r="D460" s="6" t="s">
        <v>966</v>
      </c>
      <c r="E460" s="6" t="s">
        <v>2241</v>
      </c>
      <c r="F460" s="8">
        <v>2484108</v>
      </c>
      <c r="G460" s="6" t="s">
        <v>2237</v>
      </c>
      <c r="H460" s="8">
        <v>2484108</v>
      </c>
      <c r="I460" s="6" t="s">
        <v>2237</v>
      </c>
      <c r="J460" s="8">
        <v>0</v>
      </c>
      <c r="K460" s="6" t="s">
        <v>2237</v>
      </c>
      <c r="L460" s="8">
        <v>10798.15</v>
      </c>
      <c r="M460" s="6" t="s">
        <v>2237</v>
      </c>
      <c r="N460" s="8">
        <v>2472778.98</v>
      </c>
      <c r="O460" s="6" t="s">
        <v>2237</v>
      </c>
      <c r="P460" s="6" t="s">
        <v>2236</v>
      </c>
      <c r="Q460" s="9" t="s">
        <v>2242</v>
      </c>
      <c r="R460" s="9" t="s">
        <v>2238</v>
      </c>
      <c r="S460" s="9" t="s">
        <v>2243</v>
      </c>
      <c r="T460" s="9" t="s">
        <v>2256</v>
      </c>
      <c r="U46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E540-3010169-D245401</v>
      </c>
      <c r="X46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E540-301016903-D245401</v>
      </c>
      <c r="Y4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6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0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460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4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61" spans="1:31" hidden="1" x14ac:dyDescent="0.3">
      <c r="A461" s="6" t="s">
        <v>2773</v>
      </c>
      <c r="B461" s="6" t="s">
        <v>30</v>
      </c>
      <c r="C461" s="6" t="s">
        <v>965</v>
      </c>
      <c r="D461" s="6" t="s">
        <v>1635</v>
      </c>
      <c r="E461" s="6" t="s">
        <v>2241</v>
      </c>
      <c r="F461" s="8">
        <v>0</v>
      </c>
      <c r="G461" s="6" t="s">
        <v>2237</v>
      </c>
      <c r="H461" s="8">
        <v>0</v>
      </c>
      <c r="I461" s="6" t="s">
        <v>2237</v>
      </c>
      <c r="J461" s="8">
        <v>0</v>
      </c>
      <c r="K461" s="6" t="s">
        <v>2237</v>
      </c>
      <c r="L461" s="8">
        <v>10798.15</v>
      </c>
      <c r="M461" s="6" t="s">
        <v>2237</v>
      </c>
      <c r="N461" s="8">
        <v>2472778.98</v>
      </c>
      <c r="O461" s="6" t="s">
        <v>2237</v>
      </c>
      <c r="P461" s="6" t="s">
        <v>2236</v>
      </c>
      <c r="Q461" s="9" t="s">
        <v>2242</v>
      </c>
      <c r="R461" s="9" t="s">
        <v>2238</v>
      </c>
      <c r="S461" s="9" t="s">
        <v>2243</v>
      </c>
      <c r="T461" s="9" t="s">
        <v>2327</v>
      </c>
      <c r="U46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E540-3010169-D245401</v>
      </c>
      <c r="X46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E540-301016903-D245401</v>
      </c>
      <c r="Y46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E540-30101690306-D245401</v>
      </c>
      <c r="Z46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1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461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461" s="10" t="str">
        <f>IF(IFERROR(INDEX(WBS_Dictionary!M$2:M$1212, MATCH(Table2[[#This Row],[WBS_ID]], Table26[WBS CODE],0)), "") = "", "null", IFERROR(INDEX(WBS_Dictionary!M$2:M$1212, MATCH(Table2[[#This Row],[WBS_ID]], Table26[WBS CODE],0)), ""))</f>
        <v>Rig Mobilization</v>
      </c>
      <c r="AD4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4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462" spans="1:31" x14ac:dyDescent="0.3">
      <c r="A462" s="6" t="s">
        <v>2774</v>
      </c>
      <c r="B462" s="6" t="s">
        <v>21</v>
      </c>
      <c r="C462" s="6" t="s">
        <v>821</v>
      </c>
      <c r="D462" s="6" t="s">
        <v>822</v>
      </c>
      <c r="E462" s="6" t="s">
        <v>2241</v>
      </c>
      <c r="F462" s="8">
        <v>4349342</v>
      </c>
      <c r="G462" s="6" t="s">
        <v>2237</v>
      </c>
      <c r="H462" s="8">
        <v>4349342</v>
      </c>
      <c r="I462" s="6" t="s">
        <v>2237</v>
      </c>
      <c r="J462" s="8">
        <v>0</v>
      </c>
      <c r="K462" s="6" t="s">
        <v>2237</v>
      </c>
      <c r="L462" s="8">
        <v>770549.73</v>
      </c>
      <c r="M462" s="6" t="s">
        <v>2237</v>
      </c>
      <c r="N462" s="8">
        <v>2329448.86</v>
      </c>
      <c r="O462" s="6" t="s">
        <v>2237</v>
      </c>
      <c r="P462" s="6" t="s">
        <v>2236</v>
      </c>
      <c r="Q462" s="9" t="s">
        <v>2242</v>
      </c>
      <c r="R462" s="9" t="s">
        <v>2238</v>
      </c>
      <c r="S462" s="9" t="s">
        <v>2243</v>
      </c>
      <c r="T462" s="9" t="s">
        <v>2244</v>
      </c>
      <c r="U46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6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62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63" spans="1:31" x14ac:dyDescent="0.3">
      <c r="A463" s="6" t="s">
        <v>2775</v>
      </c>
      <c r="B463" s="6" t="s">
        <v>26</v>
      </c>
      <c r="C463" s="6" t="s">
        <v>898</v>
      </c>
      <c r="D463" s="6" t="s">
        <v>899</v>
      </c>
      <c r="E463" s="6" t="s">
        <v>2241</v>
      </c>
      <c r="F463" s="8">
        <v>3449664</v>
      </c>
      <c r="G463" s="6" t="s">
        <v>2237</v>
      </c>
      <c r="H463" s="8">
        <v>3449664</v>
      </c>
      <c r="I463" s="6" t="s">
        <v>2237</v>
      </c>
      <c r="J463" s="8">
        <v>0</v>
      </c>
      <c r="K463" s="6" t="s">
        <v>2237</v>
      </c>
      <c r="L463" s="8">
        <v>770549.73</v>
      </c>
      <c r="M463" s="6" t="s">
        <v>2237</v>
      </c>
      <c r="N463" s="8">
        <v>1531447.08</v>
      </c>
      <c r="O463" s="6" t="s">
        <v>2237</v>
      </c>
      <c r="P463" s="6" t="s">
        <v>2236</v>
      </c>
      <c r="Q463" s="9" t="s">
        <v>2242</v>
      </c>
      <c r="R463" s="9" t="s">
        <v>2238</v>
      </c>
      <c r="S463" s="9" t="s">
        <v>2243</v>
      </c>
      <c r="T463" s="9" t="s">
        <v>2244</v>
      </c>
      <c r="U46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6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63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64" spans="1:31" x14ac:dyDescent="0.3">
      <c r="A464" s="6" t="s">
        <v>2776</v>
      </c>
      <c r="B464" s="6" t="s">
        <v>30</v>
      </c>
      <c r="C464" s="6" t="s">
        <v>1137</v>
      </c>
      <c r="D464" s="6" t="s">
        <v>1138</v>
      </c>
      <c r="E464" s="6" t="s">
        <v>2241</v>
      </c>
      <c r="F464" s="8">
        <v>0</v>
      </c>
      <c r="G464" s="6" t="s">
        <v>2237</v>
      </c>
      <c r="H464" s="8">
        <v>0</v>
      </c>
      <c r="I464" s="6" t="s">
        <v>2237</v>
      </c>
      <c r="J464" s="8">
        <v>0</v>
      </c>
      <c r="K464" s="6" t="s">
        <v>2237</v>
      </c>
      <c r="L464" s="8">
        <v>0</v>
      </c>
      <c r="M464" s="6" t="s">
        <v>2237</v>
      </c>
      <c r="N464" s="8">
        <v>219911.21</v>
      </c>
      <c r="O464" s="6" t="s">
        <v>2237</v>
      </c>
      <c r="P464" s="6" t="s">
        <v>2236</v>
      </c>
      <c r="Q464" s="9" t="s">
        <v>2242</v>
      </c>
      <c r="R464" s="9" t="s">
        <v>2238</v>
      </c>
      <c r="S464" s="9" t="s">
        <v>2243</v>
      </c>
      <c r="T464" s="9" t="s">
        <v>2327</v>
      </c>
      <c r="U46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6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E540-30101010245-D245401</v>
      </c>
      <c r="Z46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64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464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65" spans="1:31" x14ac:dyDescent="0.3">
      <c r="A465" s="6" t="s">
        <v>2777</v>
      </c>
      <c r="B465" s="6" t="s">
        <v>30</v>
      </c>
      <c r="C465" s="6" t="s">
        <v>1135</v>
      </c>
      <c r="D465" s="6" t="s">
        <v>1136</v>
      </c>
      <c r="E465" s="6" t="s">
        <v>2241</v>
      </c>
      <c r="F465" s="8">
        <v>0</v>
      </c>
      <c r="G465" s="6" t="s">
        <v>2237</v>
      </c>
      <c r="H465" s="8">
        <v>0</v>
      </c>
      <c r="I465" s="6" t="s">
        <v>2237</v>
      </c>
      <c r="J465" s="8">
        <v>0</v>
      </c>
      <c r="K465" s="6" t="s">
        <v>2237</v>
      </c>
      <c r="L465" s="8">
        <v>12694.62</v>
      </c>
      <c r="M465" s="6" t="s">
        <v>2237</v>
      </c>
      <c r="N465" s="8">
        <v>7572.76</v>
      </c>
      <c r="O465" s="6" t="s">
        <v>2237</v>
      </c>
      <c r="P465" s="6" t="s">
        <v>2236</v>
      </c>
      <c r="Q465" s="9" t="s">
        <v>2242</v>
      </c>
      <c r="R465" s="9" t="s">
        <v>2238</v>
      </c>
      <c r="S465" s="9" t="s">
        <v>2243</v>
      </c>
      <c r="T465" s="9" t="s">
        <v>2327</v>
      </c>
      <c r="U46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6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E540-30101010224-D245401</v>
      </c>
      <c r="Z46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65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465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66" spans="1:31" x14ac:dyDescent="0.3">
      <c r="A466" s="6" t="s">
        <v>2778</v>
      </c>
      <c r="B466" s="6" t="s">
        <v>30</v>
      </c>
      <c r="C466" s="6" t="s">
        <v>1150</v>
      </c>
      <c r="D466" s="6" t="s">
        <v>1151</v>
      </c>
      <c r="E466" s="6" t="s">
        <v>2241</v>
      </c>
      <c r="F466" s="8">
        <v>0</v>
      </c>
      <c r="G466" s="6" t="s">
        <v>2237</v>
      </c>
      <c r="H466" s="8">
        <v>0</v>
      </c>
      <c r="I466" s="6" t="s">
        <v>2237</v>
      </c>
      <c r="J466" s="8">
        <v>0</v>
      </c>
      <c r="K466" s="6" t="s">
        <v>2237</v>
      </c>
      <c r="L466" s="8">
        <v>3538.47</v>
      </c>
      <c r="M466" s="6" t="s">
        <v>2237</v>
      </c>
      <c r="N466" s="8">
        <v>9498.84</v>
      </c>
      <c r="O466" s="6" t="s">
        <v>2237</v>
      </c>
      <c r="P466" s="6" t="s">
        <v>2236</v>
      </c>
      <c r="Q466" s="9" t="s">
        <v>2242</v>
      </c>
      <c r="R466" s="9" t="s">
        <v>2238</v>
      </c>
      <c r="S466" s="9" t="s">
        <v>2243</v>
      </c>
      <c r="T466" s="9" t="s">
        <v>2327</v>
      </c>
      <c r="U46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6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E540-30101010298-D245401</v>
      </c>
      <c r="Z46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66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466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67" spans="1:31" x14ac:dyDescent="0.3">
      <c r="A467" s="6" t="s">
        <v>2779</v>
      </c>
      <c r="B467" s="6" t="s">
        <v>30</v>
      </c>
      <c r="C467" s="6" t="s">
        <v>1148</v>
      </c>
      <c r="D467" s="6" t="s">
        <v>1149</v>
      </c>
      <c r="E467" s="6" t="s">
        <v>2241</v>
      </c>
      <c r="F467" s="8">
        <v>0</v>
      </c>
      <c r="G467" s="6" t="s">
        <v>2237</v>
      </c>
      <c r="H467" s="8">
        <v>0</v>
      </c>
      <c r="I467" s="6" t="s">
        <v>2237</v>
      </c>
      <c r="J467" s="8">
        <v>0</v>
      </c>
      <c r="K467" s="6" t="s">
        <v>2237</v>
      </c>
      <c r="L467" s="8">
        <v>0</v>
      </c>
      <c r="M467" s="6" t="s">
        <v>2237</v>
      </c>
      <c r="N467" s="8">
        <v>0</v>
      </c>
      <c r="O467" s="6" t="s">
        <v>2237</v>
      </c>
      <c r="P467" s="6" t="s">
        <v>2236</v>
      </c>
      <c r="Q467" s="9" t="s">
        <v>2242</v>
      </c>
      <c r="R467" s="9" t="s">
        <v>2238</v>
      </c>
      <c r="S467" s="9" t="s">
        <v>2243</v>
      </c>
      <c r="T467" s="9" t="s">
        <v>2327</v>
      </c>
      <c r="U46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6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E540-30101010297-D245401</v>
      </c>
      <c r="Z46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67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467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68" spans="1:31" x14ac:dyDescent="0.3">
      <c r="A468" s="6" t="s">
        <v>2780</v>
      </c>
      <c r="B468" s="6" t="s">
        <v>30</v>
      </c>
      <c r="C468" s="6" t="s">
        <v>1146</v>
      </c>
      <c r="D468" s="6" t="s">
        <v>1147</v>
      </c>
      <c r="E468" s="6" t="s">
        <v>2241</v>
      </c>
      <c r="F468" s="8">
        <v>0</v>
      </c>
      <c r="G468" s="6" t="s">
        <v>2237</v>
      </c>
      <c r="H468" s="8">
        <v>0</v>
      </c>
      <c r="I468" s="6" t="s">
        <v>2237</v>
      </c>
      <c r="J468" s="8">
        <v>0</v>
      </c>
      <c r="K468" s="6" t="s">
        <v>2237</v>
      </c>
      <c r="L468" s="8">
        <v>0</v>
      </c>
      <c r="M468" s="6" t="s">
        <v>2237</v>
      </c>
      <c r="N468" s="8">
        <v>0</v>
      </c>
      <c r="O468" s="6" t="s">
        <v>2237</v>
      </c>
      <c r="P468" s="6" t="s">
        <v>2236</v>
      </c>
      <c r="Q468" s="9" t="s">
        <v>2242</v>
      </c>
      <c r="R468" s="9" t="s">
        <v>2238</v>
      </c>
      <c r="S468" s="9" t="s">
        <v>2243</v>
      </c>
      <c r="T468" s="9" t="s">
        <v>2327</v>
      </c>
      <c r="U46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6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E540-30101010296-D245401</v>
      </c>
      <c r="Z46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68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468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69" spans="1:31" x14ac:dyDescent="0.3">
      <c r="A469" s="6" t="s">
        <v>2781</v>
      </c>
      <c r="B469" s="6" t="s">
        <v>30</v>
      </c>
      <c r="C469" s="6" t="s">
        <v>1144</v>
      </c>
      <c r="D469" s="6" t="s">
        <v>1145</v>
      </c>
      <c r="E469" s="6" t="s">
        <v>2241</v>
      </c>
      <c r="F469" s="8">
        <v>0</v>
      </c>
      <c r="G469" s="6" t="s">
        <v>2237</v>
      </c>
      <c r="H469" s="8">
        <v>0</v>
      </c>
      <c r="I469" s="6" t="s">
        <v>2237</v>
      </c>
      <c r="J469" s="8">
        <v>0</v>
      </c>
      <c r="K469" s="6" t="s">
        <v>2237</v>
      </c>
      <c r="L469" s="8">
        <v>0</v>
      </c>
      <c r="M469" s="6" t="s">
        <v>2237</v>
      </c>
      <c r="N469" s="8">
        <v>0</v>
      </c>
      <c r="O469" s="6" t="s">
        <v>2237</v>
      </c>
      <c r="P469" s="6" t="s">
        <v>2236</v>
      </c>
      <c r="Q469" s="9" t="s">
        <v>2242</v>
      </c>
      <c r="R469" s="9" t="s">
        <v>2238</v>
      </c>
      <c r="S469" s="9" t="s">
        <v>2243</v>
      </c>
      <c r="T469" s="9" t="s">
        <v>2327</v>
      </c>
      <c r="U46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6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6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6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6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E540-30101010295-D245401</v>
      </c>
      <c r="Z46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6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6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69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469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6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0" spans="1:31" x14ac:dyDescent="0.3">
      <c r="A470" s="6" t="s">
        <v>2782</v>
      </c>
      <c r="B470" s="6" t="s">
        <v>30</v>
      </c>
      <c r="C470" s="6" t="s">
        <v>1142</v>
      </c>
      <c r="D470" s="6" t="s">
        <v>1143</v>
      </c>
      <c r="E470" s="6" t="s">
        <v>2241</v>
      </c>
      <c r="F470" s="8">
        <v>0</v>
      </c>
      <c r="G470" s="6" t="s">
        <v>2237</v>
      </c>
      <c r="H470" s="8">
        <v>0</v>
      </c>
      <c r="I470" s="6" t="s">
        <v>2237</v>
      </c>
      <c r="J470" s="8">
        <v>0</v>
      </c>
      <c r="K470" s="6" t="s">
        <v>2237</v>
      </c>
      <c r="L470" s="8">
        <v>23852.46</v>
      </c>
      <c r="M470" s="6" t="s">
        <v>2237</v>
      </c>
      <c r="N470" s="8">
        <v>11942.24</v>
      </c>
      <c r="O470" s="6" t="s">
        <v>2237</v>
      </c>
      <c r="P470" s="6" t="s">
        <v>2236</v>
      </c>
      <c r="Q470" s="9" t="s">
        <v>2242</v>
      </c>
      <c r="R470" s="9" t="s">
        <v>2238</v>
      </c>
      <c r="S470" s="9" t="s">
        <v>2243</v>
      </c>
      <c r="T470" s="9" t="s">
        <v>2327</v>
      </c>
      <c r="U47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E540-30101010294-D245401</v>
      </c>
      <c r="Z47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0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470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1" spans="1:31" x14ac:dyDescent="0.3">
      <c r="A471" s="6" t="s">
        <v>2783</v>
      </c>
      <c r="B471" s="6" t="s">
        <v>30</v>
      </c>
      <c r="C471" s="6" t="s">
        <v>2784</v>
      </c>
      <c r="D471" s="6" t="s">
        <v>1134</v>
      </c>
      <c r="E471" s="6" t="s">
        <v>2241</v>
      </c>
      <c r="F471" s="8">
        <v>0</v>
      </c>
      <c r="G471" s="6" t="s">
        <v>2237</v>
      </c>
      <c r="H471" s="8">
        <v>0</v>
      </c>
      <c r="I471" s="6" t="s">
        <v>2237</v>
      </c>
      <c r="J471" s="8">
        <v>0</v>
      </c>
      <c r="K471" s="6" t="s">
        <v>2237</v>
      </c>
      <c r="L471" s="8">
        <v>7395.75</v>
      </c>
      <c r="M471" s="6" t="s">
        <v>2237</v>
      </c>
      <c r="N471" s="8">
        <v>4450.16</v>
      </c>
      <c r="O471" s="6" t="s">
        <v>2237</v>
      </c>
      <c r="P471" s="6" t="s">
        <v>2236</v>
      </c>
      <c r="Q471" s="9" t="s">
        <v>2242</v>
      </c>
      <c r="R471" s="9" t="s">
        <v>2238</v>
      </c>
      <c r="S471" s="9" t="s">
        <v>2243</v>
      </c>
      <c r="T471" s="9" t="s">
        <v>2327</v>
      </c>
      <c r="U47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E540-30101010220-D245401</v>
      </c>
      <c r="Z47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471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2" spans="1:31" x14ac:dyDescent="0.3">
      <c r="A472" s="6" t="s">
        <v>2785</v>
      </c>
      <c r="B472" s="6" t="s">
        <v>30</v>
      </c>
      <c r="C472" s="6" t="s">
        <v>1131</v>
      </c>
      <c r="D472" s="6" t="s">
        <v>1132</v>
      </c>
      <c r="E472" s="6" t="s">
        <v>2241</v>
      </c>
      <c r="F472" s="8">
        <v>0</v>
      </c>
      <c r="G472" s="6" t="s">
        <v>2237</v>
      </c>
      <c r="H472" s="8">
        <v>0</v>
      </c>
      <c r="I472" s="6" t="s">
        <v>2237</v>
      </c>
      <c r="J472" s="8">
        <v>0</v>
      </c>
      <c r="K472" s="6" t="s">
        <v>2237</v>
      </c>
      <c r="L472" s="8">
        <v>0</v>
      </c>
      <c r="M472" s="6" t="s">
        <v>2237</v>
      </c>
      <c r="N472" s="8">
        <v>0</v>
      </c>
      <c r="O472" s="6" t="s">
        <v>2237</v>
      </c>
      <c r="P472" s="6" t="s">
        <v>2236</v>
      </c>
      <c r="Q472" s="9" t="s">
        <v>2242</v>
      </c>
      <c r="R472" s="9" t="s">
        <v>2238</v>
      </c>
      <c r="S472" s="9" t="s">
        <v>2243</v>
      </c>
      <c r="T472" s="9" t="s">
        <v>2327</v>
      </c>
      <c r="U47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E540-30101010217-D245401</v>
      </c>
      <c r="Z47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2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472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3" spans="1:31" x14ac:dyDescent="0.3">
      <c r="A473" s="6" t="s">
        <v>2786</v>
      </c>
      <c r="B473" s="6" t="s">
        <v>30</v>
      </c>
      <c r="C473" s="6" t="s">
        <v>1129</v>
      </c>
      <c r="D473" s="6" t="s">
        <v>1130</v>
      </c>
      <c r="E473" s="6" t="s">
        <v>2241</v>
      </c>
      <c r="F473" s="8">
        <v>0</v>
      </c>
      <c r="G473" s="6" t="s">
        <v>2237</v>
      </c>
      <c r="H473" s="8">
        <v>0</v>
      </c>
      <c r="I473" s="6" t="s">
        <v>2237</v>
      </c>
      <c r="J473" s="8">
        <v>0</v>
      </c>
      <c r="K473" s="6" t="s">
        <v>2237</v>
      </c>
      <c r="L473" s="8">
        <v>19199.04</v>
      </c>
      <c r="M473" s="6" t="s">
        <v>2237</v>
      </c>
      <c r="N473" s="8">
        <v>58439.03</v>
      </c>
      <c r="O473" s="6" t="s">
        <v>2237</v>
      </c>
      <c r="P473" s="6" t="s">
        <v>2236</v>
      </c>
      <c r="Q473" s="9" t="s">
        <v>2242</v>
      </c>
      <c r="R473" s="9" t="s">
        <v>2238</v>
      </c>
      <c r="S473" s="9" t="s">
        <v>2243</v>
      </c>
      <c r="T473" s="9" t="s">
        <v>2327</v>
      </c>
      <c r="U47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E540-30101010216-D245401</v>
      </c>
      <c r="Z47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3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473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4" spans="1:31" x14ac:dyDescent="0.3">
      <c r="A474" s="6" t="s">
        <v>2787</v>
      </c>
      <c r="B474" s="6" t="s">
        <v>30</v>
      </c>
      <c r="C474" s="6" t="s">
        <v>1127</v>
      </c>
      <c r="D474" s="6" t="s">
        <v>1128</v>
      </c>
      <c r="E474" s="6" t="s">
        <v>2241</v>
      </c>
      <c r="F474" s="8">
        <v>0</v>
      </c>
      <c r="G474" s="6" t="s">
        <v>2237</v>
      </c>
      <c r="H474" s="8">
        <v>0</v>
      </c>
      <c r="I474" s="6" t="s">
        <v>2237</v>
      </c>
      <c r="J474" s="8">
        <v>0</v>
      </c>
      <c r="K474" s="6" t="s">
        <v>2237</v>
      </c>
      <c r="L474" s="8">
        <v>1578.84</v>
      </c>
      <c r="M474" s="6" t="s">
        <v>2237</v>
      </c>
      <c r="N474" s="8">
        <v>45711.43</v>
      </c>
      <c r="O474" s="6" t="s">
        <v>2237</v>
      </c>
      <c r="P474" s="6" t="s">
        <v>2236</v>
      </c>
      <c r="Q474" s="9" t="s">
        <v>2242</v>
      </c>
      <c r="R474" s="9" t="s">
        <v>2238</v>
      </c>
      <c r="S474" s="9" t="s">
        <v>2243</v>
      </c>
      <c r="T474" s="9" t="s">
        <v>2327</v>
      </c>
      <c r="U47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E540-30101010215-D245401</v>
      </c>
      <c r="Z47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4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474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5" spans="1:31" x14ac:dyDescent="0.3">
      <c r="A475" s="6" t="s">
        <v>2788</v>
      </c>
      <c r="B475" s="6" t="s">
        <v>30</v>
      </c>
      <c r="C475" s="6" t="s">
        <v>1125</v>
      </c>
      <c r="D475" s="6" t="s">
        <v>1126</v>
      </c>
      <c r="E475" s="6" t="s">
        <v>2241</v>
      </c>
      <c r="F475" s="8">
        <v>0</v>
      </c>
      <c r="G475" s="6" t="s">
        <v>2237</v>
      </c>
      <c r="H475" s="8">
        <v>0</v>
      </c>
      <c r="I475" s="6" t="s">
        <v>2237</v>
      </c>
      <c r="J475" s="8">
        <v>0</v>
      </c>
      <c r="K475" s="6" t="s">
        <v>2237</v>
      </c>
      <c r="L475" s="8">
        <v>0</v>
      </c>
      <c r="M475" s="6" t="s">
        <v>2237</v>
      </c>
      <c r="N475" s="8">
        <v>0</v>
      </c>
      <c r="O475" s="6" t="s">
        <v>2237</v>
      </c>
      <c r="P475" s="6" t="s">
        <v>2236</v>
      </c>
      <c r="Q475" s="9" t="s">
        <v>2242</v>
      </c>
      <c r="R475" s="9" t="s">
        <v>2238</v>
      </c>
      <c r="S475" s="9" t="s">
        <v>2243</v>
      </c>
      <c r="T475" s="9" t="s">
        <v>2327</v>
      </c>
      <c r="U47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E540-30101010214-D245401</v>
      </c>
      <c r="Z47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5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475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6" spans="1:31" x14ac:dyDescent="0.3">
      <c r="A476" s="6" t="s">
        <v>2789</v>
      </c>
      <c r="B476" s="6" t="s">
        <v>30</v>
      </c>
      <c r="C476" s="6" t="s">
        <v>1123</v>
      </c>
      <c r="D476" s="6" t="s">
        <v>1124</v>
      </c>
      <c r="E476" s="6" t="s">
        <v>2241</v>
      </c>
      <c r="F476" s="8">
        <v>0</v>
      </c>
      <c r="G476" s="6" t="s">
        <v>2237</v>
      </c>
      <c r="H476" s="8">
        <v>0</v>
      </c>
      <c r="I476" s="6" t="s">
        <v>2237</v>
      </c>
      <c r="J476" s="8">
        <v>0</v>
      </c>
      <c r="K476" s="6" t="s">
        <v>2237</v>
      </c>
      <c r="L476" s="8">
        <v>10975</v>
      </c>
      <c r="M476" s="6" t="s">
        <v>2237</v>
      </c>
      <c r="N476" s="8">
        <v>23525</v>
      </c>
      <c r="O476" s="6" t="s">
        <v>2237</v>
      </c>
      <c r="P476" s="6" t="s">
        <v>2236</v>
      </c>
      <c r="Q476" s="9" t="s">
        <v>2242</v>
      </c>
      <c r="R476" s="9" t="s">
        <v>2238</v>
      </c>
      <c r="S476" s="9" t="s">
        <v>2243</v>
      </c>
      <c r="T476" s="9" t="s">
        <v>2327</v>
      </c>
      <c r="U47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E540-30101010213-D245401</v>
      </c>
      <c r="Z47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6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476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7" spans="1:31" x14ac:dyDescent="0.3">
      <c r="A477" s="6" t="s">
        <v>2790</v>
      </c>
      <c r="B477" s="6" t="s">
        <v>30</v>
      </c>
      <c r="C477" s="6" t="s">
        <v>1140</v>
      </c>
      <c r="D477" s="6" t="s">
        <v>1141</v>
      </c>
      <c r="E477" s="6" t="s">
        <v>2241</v>
      </c>
      <c r="F477" s="8">
        <v>0</v>
      </c>
      <c r="G477" s="6" t="s">
        <v>2237</v>
      </c>
      <c r="H477" s="8">
        <v>0</v>
      </c>
      <c r="I477" s="6" t="s">
        <v>2237</v>
      </c>
      <c r="J477" s="8">
        <v>0</v>
      </c>
      <c r="K477" s="6" t="s">
        <v>2237</v>
      </c>
      <c r="L477" s="8">
        <v>0</v>
      </c>
      <c r="M477" s="6" t="s">
        <v>2237</v>
      </c>
      <c r="N477" s="8">
        <v>0</v>
      </c>
      <c r="O477" s="6" t="s">
        <v>2237</v>
      </c>
      <c r="P477" s="6" t="s">
        <v>2236</v>
      </c>
      <c r="Q477" s="9" t="s">
        <v>2242</v>
      </c>
      <c r="R477" s="9" t="s">
        <v>2238</v>
      </c>
      <c r="S477" s="9" t="s">
        <v>2243</v>
      </c>
      <c r="T477" s="9" t="s">
        <v>2327</v>
      </c>
      <c r="U47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E540-30101010247-D245401</v>
      </c>
      <c r="Z47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7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477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8" spans="1:31" x14ac:dyDescent="0.3">
      <c r="A478" s="6" t="s">
        <v>2791</v>
      </c>
      <c r="B478" s="6" t="s">
        <v>30</v>
      </c>
      <c r="C478" s="6" t="s">
        <v>1121</v>
      </c>
      <c r="D478" s="6" t="s">
        <v>1122</v>
      </c>
      <c r="E478" s="6" t="s">
        <v>2241</v>
      </c>
      <c r="F478" s="8">
        <v>0</v>
      </c>
      <c r="G478" s="6" t="s">
        <v>2237</v>
      </c>
      <c r="H478" s="8">
        <v>0</v>
      </c>
      <c r="I478" s="6" t="s">
        <v>2237</v>
      </c>
      <c r="J478" s="8">
        <v>0</v>
      </c>
      <c r="K478" s="6" t="s">
        <v>2237</v>
      </c>
      <c r="L478" s="8">
        <v>317427.13</v>
      </c>
      <c r="M478" s="6" t="s">
        <v>2237</v>
      </c>
      <c r="N478" s="8">
        <v>257054.57</v>
      </c>
      <c r="O478" s="6" t="s">
        <v>2237</v>
      </c>
      <c r="P478" s="6" t="s">
        <v>2236</v>
      </c>
      <c r="Q478" s="9" t="s">
        <v>2242</v>
      </c>
      <c r="R478" s="9" t="s">
        <v>2238</v>
      </c>
      <c r="S478" s="9" t="s">
        <v>2243</v>
      </c>
      <c r="T478" s="9" t="s">
        <v>2327</v>
      </c>
      <c r="U47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E540-30101010212-D245401</v>
      </c>
      <c r="Z47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8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478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79" spans="1:31" x14ac:dyDescent="0.3">
      <c r="A479" s="6" t="s">
        <v>2792</v>
      </c>
      <c r="B479" s="6" t="s">
        <v>30</v>
      </c>
      <c r="C479" s="6" t="s">
        <v>1119</v>
      </c>
      <c r="D479" s="6" t="s">
        <v>1120</v>
      </c>
      <c r="E479" s="6" t="s">
        <v>2241</v>
      </c>
      <c r="F479" s="8">
        <v>0</v>
      </c>
      <c r="G479" s="6" t="s">
        <v>2237</v>
      </c>
      <c r="H479" s="8">
        <v>0</v>
      </c>
      <c r="I479" s="6" t="s">
        <v>2237</v>
      </c>
      <c r="J479" s="8">
        <v>0</v>
      </c>
      <c r="K479" s="6" t="s">
        <v>2237</v>
      </c>
      <c r="L479" s="8">
        <v>0</v>
      </c>
      <c r="M479" s="6" t="s">
        <v>2237</v>
      </c>
      <c r="N479" s="8">
        <v>64407.34</v>
      </c>
      <c r="O479" s="6" t="s">
        <v>2237</v>
      </c>
      <c r="P479" s="6" t="s">
        <v>2236</v>
      </c>
      <c r="Q479" s="9" t="s">
        <v>2242</v>
      </c>
      <c r="R479" s="9" t="s">
        <v>2238</v>
      </c>
      <c r="S479" s="9" t="s">
        <v>2243</v>
      </c>
      <c r="T479" s="9" t="s">
        <v>2327</v>
      </c>
      <c r="U47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7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7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7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7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E540-30101010211-D245401</v>
      </c>
      <c r="Z47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7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7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79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479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7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0" spans="1:31" x14ac:dyDescent="0.3">
      <c r="A480" s="6" t="s">
        <v>2793</v>
      </c>
      <c r="B480" s="6" t="s">
        <v>30</v>
      </c>
      <c r="C480" s="6" t="s">
        <v>1117</v>
      </c>
      <c r="D480" s="6" t="s">
        <v>1118</v>
      </c>
      <c r="E480" s="6" t="s">
        <v>2241</v>
      </c>
      <c r="F480" s="8">
        <v>0</v>
      </c>
      <c r="G480" s="6" t="s">
        <v>2237</v>
      </c>
      <c r="H480" s="8">
        <v>0</v>
      </c>
      <c r="I480" s="6" t="s">
        <v>2237</v>
      </c>
      <c r="J480" s="8">
        <v>0</v>
      </c>
      <c r="K480" s="6" t="s">
        <v>2237</v>
      </c>
      <c r="L480" s="8">
        <v>136392.56</v>
      </c>
      <c r="M480" s="6" t="s">
        <v>2237</v>
      </c>
      <c r="N480" s="8">
        <v>383225.5</v>
      </c>
      <c r="O480" s="6" t="s">
        <v>2237</v>
      </c>
      <c r="P480" s="6" t="s">
        <v>2236</v>
      </c>
      <c r="Q480" s="9" t="s">
        <v>2242</v>
      </c>
      <c r="R480" s="9" t="s">
        <v>2238</v>
      </c>
      <c r="S480" s="9" t="s">
        <v>2243</v>
      </c>
      <c r="T480" s="9" t="s">
        <v>2327</v>
      </c>
      <c r="U48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8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E540-30101010210-D245401</v>
      </c>
      <c r="Z48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80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480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1" spans="1:31" x14ac:dyDescent="0.3">
      <c r="A481" s="6" t="s">
        <v>2794</v>
      </c>
      <c r="B481" s="6" t="s">
        <v>30</v>
      </c>
      <c r="C481" s="6" t="s">
        <v>1115</v>
      </c>
      <c r="D481" s="6" t="s">
        <v>1116</v>
      </c>
      <c r="E481" s="6" t="s">
        <v>2241</v>
      </c>
      <c r="F481" s="8">
        <v>0</v>
      </c>
      <c r="G481" s="6" t="s">
        <v>2237</v>
      </c>
      <c r="H481" s="8">
        <v>0</v>
      </c>
      <c r="I481" s="6" t="s">
        <v>2237</v>
      </c>
      <c r="J481" s="8">
        <v>0</v>
      </c>
      <c r="K481" s="6" t="s">
        <v>2237</v>
      </c>
      <c r="L481" s="8">
        <v>52975.55</v>
      </c>
      <c r="M481" s="6" t="s">
        <v>2237</v>
      </c>
      <c r="N481" s="8">
        <v>0</v>
      </c>
      <c r="O481" s="6" t="s">
        <v>2237</v>
      </c>
      <c r="P481" s="6" t="s">
        <v>2236</v>
      </c>
      <c r="Q481" s="9" t="s">
        <v>2242</v>
      </c>
      <c r="R481" s="9" t="s">
        <v>2238</v>
      </c>
      <c r="S481" s="9" t="s">
        <v>2243</v>
      </c>
      <c r="T481" s="9" t="s">
        <v>2327</v>
      </c>
      <c r="U48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8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E540-30101010209-D245401</v>
      </c>
      <c r="Z48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81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481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2" spans="1:31" x14ac:dyDescent="0.3">
      <c r="A482" s="6" t="s">
        <v>2795</v>
      </c>
      <c r="B482" s="6" t="s">
        <v>30</v>
      </c>
      <c r="C482" s="6" t="s">
        <v>1113</v>
      </c>
      <c r="D482" s="6" t="s">
        <v>1114</v>
      </c>
      <c r="E482" s="6" t="s">
        <v>2241</v>
      </c>
      <c r="F482" s="8">
        <v>0</v>
      </c>
      <c r="G482" s="6" t="s">
        <v>2237</v>
      </c>
      <c r="H482" s="8">
        <v>0</v>
      </c>
      <c r="I482" s="6" t="s">
        <v>2237</v>
      </c>
      <c r="J482" s="8">
        <v>0</v>
      </c>
      <c r="K482" s="6" t="s">
        <v>2237</v>
      </c>
      <c r="L482" s="8">
        <v>0</v>
      </c>
      <c r="M482" s="6" t="s">
        <v>2237</v>
      </c>
      <c r="N482" s="8">
        <v>226776</v>
      </c>
      <c r="O482" s="6" t="s">
        <v>2237</v>
      </c>
      <c r="P482" s="6" t="s">
        <v>2236</v>
      </c>
      <c r="Q482" s="9" t="s">
        <v>2242</v>
      </c>
      <c r="R482" s="9" t="s">
        <v>2238</v>
      </c>
      <c r="S482" s="9" t="s">
        <v>2243</v>
      </c>
      <c r="T482" s="9" t="s">
        <v>2327</v>
      </c>
      <c r="U48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8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E540-30101010208-D245401</v>
      </c>
      <c r="Z48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82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482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3" spans="1:31" x14ac:dyDescent="0.3">
      <c r="A483" s="6" t="s">
        <v>2796</v>
      </c>
      <c r="B483" s="6" t="s">
        <v>30</v>
      </c>
      <c r="C483" s="6" t="s">
        <v>1111</v>
      </c>
      <c r="D483" s="6" t="s">
        <v>1112</v>
      </c>
      <c r="E483" s="6" t="s">
        <v>2241</v>
      </c>
      <c r="F483" s="8">
        <v>0</v>
      </c>
      <c r="G483" s="6" t="s">
        <v>2237</v>
      </c>
      <c r="H483" s="8">
        <v>0</v>
      </c>
      <c r="I483" s="6" t="s">
        <v>2237</v>
      </c>
      <c r="J483" s="8">
        <v>0</v>
      </c>
      <c r="K483" s="6" t="s">
        <v>2237</v>
      </c>
      <c r="L483" s="8">
        <v>99469</v>
      </c>
      <c r="M483" s="6" t="s">
        <v>2237</v>
      </c>
      <c r="N483" s="8">
        <v>218933</v>
      </c>
      <c r="O483" s="6" t="s">
        <v>2237</v>
      </c>
      <c r="P483" s="6" t="s">
        <v>2236</v>
      </c>
      <c r="Q483" s="9" t="s">
        <v>2242</v>
      </c>
      <c r="R483" s="9" t="s">
        <v>2238</v>
      </c>
      <c r="S483" s="9" t="s">
        <v>2243</v>
      </c>
      <c r="T483" s="9" t="s">
        <v>2327</v>
      </c>
      <c r="U48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8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E540-30101010207-D245401</v>
      </c>
      <c r="Z48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83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483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4" spans="1:31" x14ac:dyDescent="0.3">
      <c r="A484" s="6" t="s">
        <v>2797</v>
      </c>
      <c r="B484" s="6" t="s">
        <v>30</v>
      </c>
      <c r="C484" s="6" t="s">
        <v>1109</v>
      </c>
      <c r="D484" s="6" t="s">
        <v>1110</v>
      </c>
      <c r="E484" s="6" t="s">
        <v>2241</v>
      </c>
      <c r="F484" s="8">
        <v>0</v>
      </c>
      <c r="G484" s="6" t="s">
        <v>2237</v>
      </c>
      <c r="H484" s="8">
        <v>0</v>
      </c>
      <c r="I484" s="6" t="s">
        <v>2237</v>
      </c>
      <c r="J484" s="8">
        <v>0</v>
      </c>
      <c r="K484" s="6" t="s">
        <v>2237</v>
      </c>
      <c r="L484" s="8">
        <v>83551.31</v>
      </c>
      <c r="M484" s="6" t="s">
        <v>2237</v>
      </c>
      <c r="N484" s="8">
        <v>0</v>
      </c>
      <c r="O484" s="6" t="s">
        <v>2237</v>
      </c>
      <c r="P484" s="6" t="s">
        <v>2236</v>
      </c>
      <c r="Q484" s="9" t="s">
        <v>2242</v>
      </c>
      <c r="R484" s="9" t="s">
        <v>2238</v>
      </c>
      <c r="S484" s="9" t="s">
        <v>2243</v>
      </c>
      <c r="T484" s="9" t="s">
        <v>2327</v>
      </c>
      <c r="U48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8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E540-30101010205-D245401</v>
      </c>
      <c r="Z48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84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484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5" spans="1:31" x14ac:dyDescent="0.3">
      <c r="A485" s="6" t="s">
        <v>2798</v>
      </c>
      <c r="B485" s="6" t="s">
        <v>30</v>
      </c>
      <c r="C485" s="6" t="s">
        <v>1107</v>
      </c>
      <c r="D485" s="6" t="s">
        <v>1108</v>
      </c>
      <c r="E485" s="6" t="s">
        <v>2241</v>
      </c>
      <c r="F485" s="8">
        <v>0</v>
      </c>
      <c r="G485" s="6" t="s">
        <v>2237</v>
      </c>
      <c r="H485" s="8">
        <v>0</v>
      </c>
      <c r="I485" s="6" t="s">
        <v>2237</v>
      </c>
      <c r="J485" s="8">
        <v>0</v>
      </c>
      <c r="K485" s="6" t="s">
        <v>2237</v>
      </c>
      <c r="L485" s="8">
        <v>1500</v>
      </c>
      <c r="M485" s="6" t="s">
        <v>2237</v>
      </c>
      <c r="N485" s="8">
        <v>0</v>
      </c>
      <c r="O485" s="6" t="s">
        <v>2237</v>
      </c>
      <c r="P485" s="6" t="s">
        <v>2236</v>
      </c>
      <c r="Q485" s="9" t="s">
        <v>2242</v>
      </c>
      <c r="R485" s="9" t="s">
        <v>2238</v>
      </c>
      <c r="S485" s="9" t="s">
        <v>2243</v>
      </c>
      <c r="T485" s="9" t="s">
        <v>2327</v>
      </c>
      <c r="U48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E540-301010102-D245401</v>
      </c>
      <c r="Y48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E540-30101010204-D245401</v>
      </c>
      <c r="Z48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85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485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6" spans="1:31" x14ac:dyDescent="0.3">
      <c r="A486" s="6" t="s">
        <v>2799</v>
      </c>
      <c r="B486" s="6" t="s">
        <v>26</v>
      </c>
      <c r="C486" s="6" t="s">
        <v>896</v>
      </c>
      <c r="D486" s="6" t="s">
        <v>897</v>
      </c>
      <c r="E486" s="6" t="s">
        <v>2241</v>
      </c>
      <c r="F486" s="8">
        <v>44000</v>
      </c>
      <c r="G486" s="6" t="s">
        <v>2237</v>
      </c>
      <c r="H486" s="8">
        <v>44000</v>
      </c>
      <c r="I486" s="6" t="s">
        <v>2237</v>
      </c>
      <c r="J486" s="8">
        <v>0</v>
      </c>
      <c r="K486" s="6" t="s">
        <v>2237</v>
      </c>
      <c r="L486" s="8">
        <v>0</v>
      </c>
      <c r="M486" s="6" t="s">
        <v>2237</v>
      </c>
      <c r="N486" s="8">
        <v>26254.71</v>
      </c>
      <c r="O486" s="6" t="s">
        <v>2237</v>
      </c>
      <c r="P486" s="6" t="s">
        <v>2236</v>
      </c>
      <c r="Q486" s="9" t="s">
        <v>2242</v>
      </c>
      <c r="R486" s="9" t="s">
        <v>2238</v>
      </c>
      <c r="S486" s="9" t="s">
        <v>2243</v>
      </c>
      <c r="T486" s="9" t="s">
        <v>2244</v>
      </c>
      <c r="U48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E540-301010101-D245401</v>
      </c>
      <c r="Y4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8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4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86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7" spans="1:31" x14ac:dyDescent="0.3">
      <c r="A487" s="6" t="s">
        <v>2800</v>
      </c>
      <c r="B487" s="6" t="s">
        <v>30</v>
      </c>
      <c r="C487" s="6" t="s">
        <v>1105</v>
      </c>
      <c r="D487" s="6" t="s">
        <v>1106</v>
      </c>
      <c r="E487" s="6" t="s">
        <v>2241</v>
      </c>
      <c r="F487" s="8">
        <v>0</v>
      </c>
      <c r="G487" s="6" t="s">
        <v>2237</v>
      </c>
      <c r="H487" s="8">
        <v>0</v>
      </c>
      <c r="I487" s="6" t="s">
        <v>2237</v>
      </c>
      <c r="J487" s="8">
        <v>0</v>
      </c>
      <c r="K487" s="6" t="s">
        <v>2237</v>
      </c>
      <c r="L487" s="8">
        <v>0</v>
      </c>
      <c r="M487" s="6" t="s">
        <v>2237</v>
      </c>
      <c r="N487" s="8">
        <v>26254.71</v>
      </c>
      <c r="O487" s="6" t="s">
        <v>2237</v>
      </c>
      <c r="P487" s="6" t="s">
        <v>2236</v>
      </c>
      <c r="Q487" s="9" t="s">
        <v>2242</v>
      </c>
      <c r="R487" s="9" t="s">
        <v>2238</v>
      </c>
      <c r="S487" s="9" t="s">
        <v>2243</v>
      </c>
      <c r="T487" s="9" t="s">
        <v>2327</v>
      </c>
      <c r="U48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E540-301010101-D245401</v>
      </c>
      <c r="Y48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E540-30101010160-D245401</v>
      </c>
      <c r="Z48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487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487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8" spans="1:31" x14ac:dyDescent="0.3">
      <c r="A488" s="6" t="s">
        <v>2801</v>
      </c>
      <c r="B488" s="6" t="s">
        <v>26</v>
      </c>
      <c r="C488" s="6" t="s">
        <v>901</v>
      </c>
      <c r="D488" s="6" t="s">
        <v>902</v>
      </c>
      <c r="E488" s="6" t="s">
        <v>2241</v>
      </c>
      <c r="F488" s="8">
        <v>855678</v>
      </c>
      <c r="G488" s="6" t="s">
        <v>2237</v>
      </c>
      <c r="H488" s="8">
        <v>855678</v>
      </c>
      <c r="I488" s="6" t="s">
        <v>2237</v>
      </c>
      <c r="J488" s="8">
        <v>0</v>
      </c>
      <c r="K488" s="6" t="s">
        <v>2237</v>
      </c>
      <c r="L488" s="8">
        <v>0</v>
      </c>
      <c r="M488" s="6" t="s">
        <v>2237</v>
      </c>
      <c r="N488" s="8">
        <v>771747.07</v>
      </c>
      <c r="O488" s="6" t="s">
        <v>2237</v>
      </c>
      <c r="P488" s="6" t="s">
        <v>2236</v>
      </c>
      <c r="Q488" s="9" t="s">
        <v>2242</v>
      </c>
      <c r="R488" s="9" t="s">
        <v>2238</v>
      </c>
      <c r="S488" s="9" t="s">
        <v>2243</v>
      </c>
      <c r="T488" s="9" t="s">
        <v>2256</v>
      </c>
      <c r="U48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E540-301010161-D245401</v>
      </c>
      <c r="Y4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8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88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89" spans="1:31" x14ac:dyDescent="0.3">
      <c r="A489" s="6" t="s">
        <v>2802</v>
      </c>
      <c r="B489" s="6" t="s">
        <v>30</v>
      </c>
      <c r="C489" s="6" t="s">
        <v>1159</v>
      </c>
      <c r="D489" s="6" t="s">
        <v>1160</v>
      </c>
      <c r="E489" s="6" t="s">
        <v>2241</v>
      </c>
      <c r="F489" s="8">
        <v>0</v>
      </c>
      <c r="G489" s="6" t="s">
        <v>2237</v>
      </c>
      <c r="H489" s="8">
        <v>0</v>
      </c>
      <c r="I489" s="6" t="s">
        <v>2237</v>
      </c>
      <c r="J489" s="8">
        <v>0</v>
      </c>
      <c r="K489" s="6" t="s">
        <v>2237</v>
      </c>
      <c r="L489" s="8">
        <v>0</v>
      </c>
      <c r="M489" s="6" t="s">
        <v>2237</v>
      </c>
      <c r="N489" s="8">
        <v>45349.48</v>
      </c>
      <c r="O489" s="6" t="s">
        <v>2237</v>
      </c>
      <c r="P489" s="6" t="s">
        <v>2236</v>
      </c>
      <c r="Q489" s="9" t="s">
        <v>2242</v>
      </c>
      <c r="R489" s="9" t="s">
        <v>2238</v>
      </c>
      <c r="S489" s="9" t="s">
        <v>2243</v>
      </c>
      <c r="T489" s="9" t="s">
        <v>2327</v>
      </c>
      <c r="U48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8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8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8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E540-301010161-D245401</v>
      </c>
      <c r="Y48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E540-30101016162-D245401</v>
      </c>
      <c r="Z48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8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8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89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489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8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0" spans="1:31" x14ac:dyDescent="0.3">
      <c r="A490" s="6" t="s">
        <v>2803</v>
      </c>
      <c r="B490" s="6" t="s">
        <v>30</v>
      </c>
      <c r="C490" s="6" t="s">
        <v>1161</v>
      </c>
      <c r="D490" s="6" t="s">
        <v>1162</v>
      </c>
      <c r="E490" s="6" t="s">
        <v>2241</v>
      </c>
      <c r="F490" s="8">
        <v>0</v>
      </c>
      <c r="G490" s="6" t="s">
        <v>2237</v>
      </c>
      <c r="H490" s="8">
        <v>0</v>
      </c>
      <c r="I490" s="6" t="s">
        <v>2237</v>
      </c>
      <c r="J490" s="8">
        <v>0</v>
      </c>
      <c r="K490" s="6" t="s">
        <v>2237</v>
      </c>
      <c r="L490" s="8">
        <v>0</v>
      </c>
      <c r="M490" s="6" t="s">
        <v>2237</v>
      </c>
      <c r="N490" s="8">
        <v>0</v>
      </c>
      <c r="O490" s="6" t="s">
        <v>2237</v>
      </c>
      <c r="P490" s="6" t="s">
        <v>2236</v>
      </c>
      <c r="Q490" s="9" t="s">
        <v>2242</v>
      </c>
      <c r="R490" s="9" t="s">
        <v>2238</v>
      </c>
      <c r="S490" s="9" t="s">
        <v>2243</v>
      </c>
      <c r="T490" s="9" t="s">
        <v>2327</v>
      </c>
      <c r="U49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9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E540-301010161-D245401</v>
      </c>
      <c r="Y49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E540-30101016193-D245401</v>
      </c>
      <c r="Z49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90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490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9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1" spans="1:31" x14ac:dyDescent="0.3">
      <c r="A491" s="6" t="s">
        <v>2804</v>
      </c>
      <c r="B491" s="6" t="s">
        <v>30</v>
      </c>
      <c r="C491" s="6" t="s">
        <v>1157</v>
      </c>
      <c r="D491" s="6" t="s">
        <v>1158</v>
      </c>
      <c r="E491" s="6" t="s">
        <v>2241</v>
      </c>
      <c r="F491" s="8">
        <v>0</v>
      </c>
      <c r="G491" s="6" t="s">
        <v>2237</v>
      </c>
      <c r="H491" s="8">
        <v>0</v>
      </c>
      <c r="I491" s="6" t="s">
        <v>2237</v>
      </c>
      <c r="J491" s="8">
        <v>0</v>
      </c>
      <c r="K491" s="6" t="s">
        <v>2237</v>
      </c>
      <c r="L491" s="8">
        <v>0</v>
      </c>
      <c r="M491" s="6" t="s">
        <v>2237</v>
      </c>
      <c r="N491" s="8">
        <v>95453.759999999995</v>
      </c>
      <c r="O491" s="6" t="s">
        <v>2237</v>
      </c>
      <c r="P491" s="6" t="s">
        <v>2236</v>
      </c>
      <c r="Q491" s="9" t="s">
        <v>2242</v>
      </c>
      <c r="R491" s="9" t="s">
        <v>2238</v>
      </c>
      <c r="S491" s="9" t="s">
        <v>2243</v>
      </c>
      <c r="T491" s="9" t="s">
        <v>2327</v>
      </c>
      <c r="U49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9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E540-301010161-D245401</v>
      </c>
      <c r="Y49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E540-30101016118-D245401</v>
      </c>
      <c r="Z49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91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491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9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2" spans="1:31" x14ac:dyDescent="0.3">
      <c r="A492" s="6" t="s">
        <v>2805</v>
      </c>
      <c r="B492" s="6" t="s">
        <v>30</v>
      </c>
      <c r="C492" s="6" t="s">
        <v>1154</v>
      </c>
      <c r="D492" s="6" t="s">
        <v>1155</v>
      </c>
      <c r="E492" s="6" t="s">
        <v>2241</v>
      </c>
      <c r="F492" s="8">
        <v>0</v>
      </c>
      <c r="G492" s="6" t="s">
        <v>2237</v>
      </c>
      <c r="H492" s="8">
        <v>0</v>
      </c>
      <c r="I492" s="6" t="s">
        <v>2237</v>
      </c>
      <c r="J492" s="8">
        <v>0</v>
      </c>
      <c r="K492" s="6" t="s">
        <v>2237</v>
      </c>
      <c r="L492" s="8">
        <v>0</v>
      </c>
      <c r="M492" s="6" t="s">
        <v>2237</v>
      </c>
      <c r="N492" s="8">
        <v>55714.09</v>
      </c>
      <c r="O492" s="6" t="s">
        <v>2237</v>
      </c>
      <c r="P492" s="6" t="s">
        <v>2236</v>
      </c>
      <c r="Q492" s="9" t="s">
        <v>2242</v>
      </c>
      <c r="R492" s="9" t="s">
        <v>2238</v>
      </c>
      <c r="S492" s="9" t="s">
        <v>2243</v>
      </c>
      <c r="T492" s="9" t="s">
        <v>2327</v>
      </c>
      <c r="U49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9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E540-301010161-D245401</v>
      </c>
      <c r="Y49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E540-30101016102-D245401</v>
      </c>
      <c r="Z49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92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492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9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3" spans="1:31" x14ac:dyDescent="0.3">
      <c r="A493" s="6" t="s">
        <v>2806</v>
      </c>
      <c r="B493" s="6" t="s">
        <v>30</v>
      </c>
      <c r="C493" s="6" t="s">
        <v>1152</v>
      </c>
      <c r="D493" s="6" t="s">
        <v>1153</v>
      </c>
      <c r="E493" s="6" t="s">
        <v>2241</v>
      </c>
      <c r="F493" s="8">
        <v>0</v>
      </c>
      <c r="G493" s="6" t="s">
        <v>2237</v>
      </c>
      <c r="H493" s="8">
        <v>0</v>
      </c>
      <c r="I493" s="6" t="s">
        <v>2237</v>
      </c>
      <c r="J493" s="8">
        <v>0</v>
      </c>
      <c r="K493" s="6" t="s">
        <v>2237</v>
      </c>
      <c r="L493" s="8">
        <v>0</v>
      </c>
      <c r="M493" s="6" t="s">
        <v>2237</v>
      </c>
      <c r="N493" s="8">
        <v>575229.74</v>
      </c>
      <c r="O493" s="6" t="s">
        <v>2237</v>
      </c>
      <c r="P493" s="6" t="s">
        <v>2236</v>
      </c>
      <c r="Q493" s="9" t="s">
        <v>2242</v>
      </c>
      <c r="R493" s="9" t="s">
        <v>2238</v>
      </c>
      <c r="S493" s="9" t="s">
        <v>2243</v>
      </c>
      <c r="T493" s="9" t="s">
        <v>2327</v>
      </c>
      <c r="U49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E540-3010101-D245401</v>
      </c>
      <c r="X49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E540-301010161-D245401</v>
      </c>
      <c r="Y49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E540-30101016101-D245401</v>
      </c>
      <c r="Z49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493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493" s="10" t="str">
        <f>IF(IFERROR(INDEX(WBS_Dictionary!N$2:N$1212, MATCH(Table2[[#This Row],[WBS_ID]], Table26[WBS CODE],0)), "") = "", "null", IFERROR(INDEX(WBS_Dictionary!N$2:N$1212, MATCH(Table2[[#This Row],[WBS_ID]], Table26[WBS CODE],0)), ""))</f>
        <v>AWI 2-6</v>
      </c>
      <c r="AE49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4" spans="1:31" x14ac:dyDescent="0.3">
      <c r="A494" s="6" t="s">
        <v>2807</v>
      </c>
      <c r="B494" s="6" t="s">
        <v>21</v>
      </c>
      <c r="C494" s="6" t="s">
        <v>824</v>
      </c>
      <c r="D494" s="6" t="s">
        <v>825</v>
      </c>
      <c r="E494" s="6" t="s">
        <v>2241</v>
      </c>
      <c r="F494" s="8">
        <v>6199971</v>
      </c>
      <c r="G494" s="6" t="s">
        <v>2237</v>
      </c>
      <c r="H494" s="8">
        <v>6199971</v>
      </c>
      <c r="I494" s="6" t="s">
        <v>2237</v>
      </c>
      <c r="J494" s="8">
        <v>0</v>
      </c>
      <c r="K494" s="6" t="s">
        <v>2237</v>
      </c>
      <c r="L494" s="8">
        <v>422425.44</v>
      </c>
      <c r="M494" s="6" t="s">
        <v>2237</v>
      </c>
      <c r="N494" s="8">
        <v>4720721.5199999996</v>
      </c>
      <c r="O494" s="6" t="s">
        <v>2237</v>
      </c>
      <c r="P494" s="6" t="s">
        <v>2236</v>
      </c>
      <c r="Q494" s="9" t="s">
        <v>2242</v>
      </c>
      <c r="R494" s="9" t="s">
        <v>2238</v>
      </c>
      <c r="S494" s="9" t="s">
        <v>2243</v>
      </c>
      <c r="T494" s="9" t="s">
        <v>2244</v>
      </c>
      <c r="U49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4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4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9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4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94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49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5" spans="1:31" x14ac:dyDescent="0.3">
      <c r="A495" s="6" t="s">
        <v>2808</v>
      </c>
      <c r="B495" s="6" t="s">
        <v>26</v>
      </c>
      <c r="C495" s="6" t="s">
        <v>906</v>
      </c>
      <c r="D495" s="6" t="s">
        <v>907</v>
      </c>
      <c r="E495" s="6" t="s">
        <v>2241</v>
      </c>
      <c r="F495" s="8">
        <v>4384216</v>
      </c>
      <c r="G495" s="6" t="s">
        <v>2237</v>
      </c>
      <c r="H495" s="8">
        <v>4384216</v>
      </c>
      <c r="I495" s="6" t="s">
        <v>2237</v>
      </c>
      <c r="J495" s="8">
        <v>0</v>
      </c>
      <c r="K495" s="6" t="s">
        <v>2237</v>
      </c>
      <c r="L495" s="8">
        <v>419271.48</v>
      </c>
      <c r="M495" s="6" t="s">
        <v>2237</v>
      </c>
      <c r="N495" s="8">
        <v>3512169.78</v>
      </c>
      <c r="O495" s="6" t="s">
        <v>2237</v>
      </c>
      <c r="P495" s="6" t="s">
        <v>2236</v>
      </c>
      <c r="Q495" s="9" t="s">
        <v>2242</v>
      </c>
      <c r="R495" s="9" t="s">
        <v>2238</v>
      </c>
      <c r="S495" s="9" t="s">
        <v>2243</v>
      </c>
      <c r="T495" s="9" t="s">
        <v>2256</v>
      </c>
      <c r="U49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49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4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49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495" s="10" t="str">
        <f>IF(IFERROR(INDEX(WBS_Dictionary!N$2:N$1212, MATCH(Table2[[#This Row],[WBS_ID]], Table26[WBS CODE],0)), "") = "", "null", IFERROR(INDEX(WBS_Dictionary!N$2:N$1212, MATCH(Table2[[#This Row],[WBS_ID]], Table26[WBS CODE],0)), ""))</f>
        <v>AWI 2-7</v>
      </c>
      <c r="AE49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6" spans="1:31" x14ac:dyDescent="0.3">
      <c r="A496" s="6" t="s">
        <v>2809</v>
      </c>
      <c r="B496" s="6" t="s">
        <v>30</v>
      </c>
      <c r="C496" s="6" t="s">
        <v>1195</v>
      </c>
      <c r="D496" s="6" t="s">
        <v>1196</v>
      </c>
      <c r="E496" s="6" t="s">
        <v>2241</v>
      </c>
      <c r="F496" s="8">
        <v>0</v>
      </c>
      <c r="G496" s="6" t="s">
        <v>2237</v>
      </c>
      <c r="H496" s="8">
        <v>0</v>
      </c>
      <c r="I496" s="6" t="s">
        <v>2237</v>
      </c>
      <c r="J496" s="8">
        <v>0</v>
      </c>
      <c r="K496" s="6" t="s">
        <v>2237</v>
      </c>
      <c r="L496" s="8">
        <v>0</v>
      </c>
      <c r="M496" s="6" t="s">
        <v>2237</v>
      </c>
      <c r="N496" s="8">
        <v>636198.74</v>
      </c>
      <c r="O496" s="6" t="s">
        <v>2237</v>
      </c>
      <c r="P496" s="6" t="s">
        <v>2236</v>
      </c>
      <c r="Q496" s="9" t="s">
        <v>2242</v>
      </c>
      <c r="R496" s="9" t="s">
        <v>2238</v>
      </c>
      <c r="S496" s="9" t="s">
        <v>2243</v>
      </c>
      <c r="T496" s="9" t="s">
        <v>2327</v>
      </c>
      <c r="U49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49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49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E540-30101020245-D245401</v>
      </c>
      <c r="Z49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96" s="10" t="str">
        <f>IF(IFERROR(INDEX(WBS_Dictionary!M$2:M$1212, MATCH(Table2[[#This Row],[WBS_ID]], Table26[WBS CODE],0)), "") = "", "null", IFERROR(INDEX(WBS_Dictionary!M$2:M$1212, MATCH(Table2[[#This Row],[WBS_ID]], Table26[WBS CODE],0)), ""))</f>
        <v>Drilling Rig O&amp;M</v>
      </c>
      <c r="AD496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49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7" spans="1:31" x14ac:dyDescent="0.3">
      <c r="A497" s="6" t="s">
        <v>2810</v>
      </c>
      <c r="B497" s="6" t="s">
        <v>30</v>
      </c>
      <c r="C497" s="6" t="s">
        <v>1193</v>
      </c>
      <c r="D497" s="6" t="s">
        <v>1194</v>
      </c>
      <c r="E497" s="6" t="s">
        <v>2241</v>
      </c>
      <c r="F497" s="8">
        <v>0</v>
      </c>
      <c r="G497" s="6" t="s">
        <v>2237</v>
      </c>
      <c r="H497" s="8">
        <v>0</v>
      </c>
      <c r="I497" s="6" t="s">
        <v>2237</v>
      </c>
      <c r="J497" s="8">
        <v>0</v>
      </c>
      <c r="K497" s="6" t="s">
        <v>2237</v>
      </c>
      <c r="L497" s="8">
        <v>928.1</v>
      </c>
      <c r="M497" s="6" t="s">
        <v>2237</v>
      </c>
      <c r="N497" s="8">
        <v>14521.32</v>
      </c>
      <c r="O497" s="6" t="s">
        <v>2237</v>
      </c>
      <c r="P497" s="6" t="s">
        <v>2236</v>
      </c>
      <c r="Q497" s="9" t="s">
        <v>2242</v>
      </c>
      <c r="R497" s="9" t="s">
        <v>2238</v>
      </c>
      <c r="S497" s="9" t="s">
        <v>2243</v>
      </c>
      <c r="T497" s="9" t="s">
        <v>2327</v>
      </c>
      <c r="U49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49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49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E540-30101020224-D245401</v>
      </c>
      <c r="Z49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97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497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49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8" spans="1:31" x14ac:dyDescent="0.3">
      <c r="A498" s="6" t="s">
        <v>2811</v>
      </c>
      <c r="B498" s="6" t="s">
        <v>30</v>
      </c>
      <c r="C498" s="6" t="s">
        <v>1207</v>
      </c>
      <c r="D498" s="6" t="s">
        <v>1208</v>
      </c>
      <c r="E498" s="6" t="s">
        <v>2241</v>
      </c>
      <c r="F498" s="8">
        <v>0</v>
      </c>
      <c r="G498" s="6" t="s">
        <v>2237</v>
      </c>
      <c r="H498" s="8">
        <v>0</v>
      </c>
      <c r="I498" s="6" t="s">
        <v>2237</v>
      </c>
      <c r="J498" s="8">
        <v>0</v>
      </c>
      <c r="K498" s="6" t="s">
        <v>2237</v>
      </c>
      <c r="L498" s="8">
        <v>28454.06</v>
      </c>
      <c r="M498" s="6" t="s">
        <v>2237</v>
      </c>
      <c r="N498" s="8">
        <v>13606.35</v>
      </c>
      <c r="O498" s="6" t="s">
        <v>2237</v>
      </c>
      <c r="P498" s="6" t="s">
        <v>2236</v>
      </c>
      <c r="Q498" s="9" t="s">
        <v>2242</v>
      </c>
      <c r="R498" s="9" t="s">
        <v>2238</v>
      </c>
      <c r="S498" s="9" t="s">
        <v>2243</v>
      </c>
      <c r="T498" s="9" t="s">
        <v>2327</v>
      </c>
      <c r="U49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49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49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E540-30101020298-D245401</v>
      </c>
      <c r="Z49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98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498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49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499" spans="1:31" x14ac:dyDescent="0.3">
      <c r="A499" s="6" t="s">
        <v>2812</v>
      </c>
      <c r="B499" s="6" t="s">
        <v>30</v>
      </c>
      <c r="C499" s="6" t="s">
        <v>1205</v>
      </c>
      <c r="D499" s="6" t="s">
        <v>1206</v>
      </c>
      <c r="E499" s="6" t="s">
        <v>2241</v>
      </c>
      <c r="F499" s="8">
        <v>0</v>
      </c>
      <c r="G499" s="6" t="s">
        <v>2237</v>
      </c>
      <c r="H499" s="8">
        <v>0</v>
      </c>
      <c r="I499" s="6" t="s">
        <v>2237</v>
      </c>
      <c r="J499" s="8">
        <v>0</v>
      </c>
      <c r="K499" s="6" t="s">
        <v>2237</v>
      </c>
      <c r="L499" s="8">
        <v>0</v>
      </c>
      <c r="M499" s="6" t="s">
        <v>2237</v>
      </c>
      <c r="N499" s="8">
        <v>0</v>
      </c>
      <c r="O499" s="6" t="s">
        <v>2237</v>
      </c>
      <c r="P499" s="6" t="s">
        <v>2236</v>
      </c>
      <c r="Q499" s="9" t="s">
        <v>2242</v>
      </c>
      <c r="R499" s="9" t="s">
        <v>2238</v>
      </c>
      <c r="S499" s="9" t="s">
        <v>2243</v>
      </c>
      <c r="T499" s="9" t="s">
        <v>2327</v>
      </c>
      <c r="U49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49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49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49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49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E540-30101020297-D245401</v>
      </c>
      <c r="Z49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49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49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499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499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49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0" spans="1:31" x14ac:dyDescent="0.3">
      <c r="A500" s="6" t="s">
        <v>2813</v>
      </c>
      <c r="B500" s="6" t="s">
        <v>30</v>
      </c>
      <c r="C500" s="6" t="s">
        <v>1203</v>
      </c>
      <c r="D500" s="6" t="s">
        <v>1204</v>
      </c>
      <c r="E500" s="6" t="s">
        <v>2241</v>
      </c>
      <c r="F500" s="8">
        <v>0</v>
      </c>
      <c r="G500" s="6" t="s">
        <v>2237</v>
      </c>
      <c r="H500" s="8">
        <v>0</v>
      </c>
      <c r="I500" s="6" t="s">
        <v>2237</v>
      </c>
      <c r="J500" s="8">
        <v>0</v>
      </c>
      <c r="K500" s="6" t="s">
        <v>2237</v>
      </c>
      <c r="L500" s="8">
        <v>0</v>
      </c>
      <c r="M500" s="6" t="s">
        <v>2237</v>
      </c>
      <c r="N500" s="8">
        <v>0</v>
      </c>
      <c r="O500" s="6" t="s">
        <v>2237</v>
      </c>
      <c r="P500" s="6" t="s">
        <v>2236</v>
      </c>
      <c r="Q500" s="9" t="s">
        <v>2242</v>
      </c>
      <c r="R500" s="9" t="s">
        <v>2238</v>
      </c>
      <c r="S500" s="9" t="s">
        <v>2243</v>
      </c>
      <c r="T500" s="9" t="s">
        <v>2327</v>
      </c>
      <c r="U50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E540-30101020296-D245401</v>
      </c>
      <c r="Z50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0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500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1" spans="1:31" x14ac:dyDescent="0.3">
      <c r="A501" s="6" t="s">
        <v>2814</v>
      </c>
      <c r="B501" s="6" t="s">
        <v>30</v>
      </c>
      <c r="C501" s="6" t="s">
        <v>1201</v>
      </c>
      <c r="D501" s="6" t="s">
        <v>1202</v>
      </c>
      <c r="E501" s="6" t="s">
        <v>2241</v>
      </c>
      <c r="F501" s="8">
        <v>0</v>
      </c>
      <c r="G501" s="6" t="s">
        <v>2237</v>
      </c>
      <c r="H501" s="8">
        <v>0</v>
      </c>
      <c r="I501" s="6" t="s">
        <v>2237</v>
      </c>
      <c r="J501" s="8">
        <v>0</v>
      </c>
      <c r="K501" s="6" t="s">
        <v>2237</v>
      </c>
      <c r="L501" s="8">
        <v>0</v>
      </c>
      <c r="M501" s="6" t="s">
        <v>2237</v>
      </c>
      <c r="N501" s="8">
        <v>0</v>
      </c>
      <c r="O501" s="6" t="s">
        <v>2237</v>
      </c>
      <c r="P501" s="6" t="s">
        <v>2236</v>
      </c>
      <c r="Q501" s="9" t="s">
        <v>2242</v>
      </c>
      <c r="R501" s="9" t="s">
        <v>2238</v>
      </c>
      <c r="S501" s="9" t="s">
        <v>2243</v>
      </c>
      <c r="T501" s="9" t="s">
        <v>2327</v>
      </c>
      <c r="U50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E540-30101020295-D245401</v>
      </c>
      <c r="Z5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1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501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2" spans="1:31" x14ac:dyDescent="0.3">
      <c r="A502" s="6" t="s">
        <v>2815</v>
      </c>
      <c r="B502" s="6" t="s">
        <v>30</v>
      </c>
      <c r="C502" s="6" t="s">
        <v>1199</v>
      </c>
      <c r="D502" s="6" t="s">
        <v>1200</v>
      </c>
      <c r="E502" s="6" t="s">
        <v>2241</v>
      </c>
      <c r="F502" s="8">
        <v>0</v>
      </c>
      <c r="G502" s="6" t="s">
        <v>2237</v>
      </c>
      <c r="H502" s="8">
        <v>0</v>
      </c>
      <c r="I502" s="6" t="s">
        <v>2237</v>
      </c>
      <c r="J502" s="8">
        <v>0</v>
      </c>
      <c r="K502" s="6" t="s">
        <v>2237</v>
      </c>
      <c r="L502" s="8">
        <v>21514.36</v>
      </c>
      <c r="M502" s="6" t="s">
        <v>2237</v>
      </c>
      <c r="N502" s="8">
        <v>27067.599999999999</v>
      </c>
      <c r="O502" s="6" t="s">
        <v>2237</v>
      </c>
      <c r="P502" s="6" t="s">
        <v>2236</v>
      </c>
      <c r="Q502" s="9" t="s">
        <v>2242</v>
      </c>
      <c r="R502" s="9" t="s">
        <v>2238</v>
      </c>
      <c r="S502" s="9" t="s">
        <v>2243</v>
      </c>
      <c r="T502" s="9" t="s">
        <v>2327</v>
      </c>
      <c r="U50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E540-30101020294-D245401</v>
      </c>
      <c r="Z5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2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502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3" spans="1:31" x14ac:dyDescent="0.3">
      <c r="A503" s="6" t="s">
        <v>2816</v>
      </c>
      <c r="B503" s="6" t="s">
        <v>30</v>
      </c>
      <c r="C503" s="6" t="s">
        <v>2817</v>
      </c>
      <c r="D503" s="6" t="s">
        <v>1192</v>
      </c>
      <c r="E503" s="6" t="s">
        <v>2241</v>
      </c>
      <c r="F503" s="8">
        <v>0</v>
      </c>
      <c r="G503" s="6" t="s">
        <v>2237</v>
      </c>
      <c r="H503" s="8">
        <v>0</v>
      </c>
      <c r="I503" s="6" t="s">
        <v>2237</v>
      </c>
      <c r="J503" s="8">
        <v>0</v>
      </c>
      <c r="K503" s="6" t="s">
        <v>2237</v>
      </c>
      <c r="L503" s="8">
        <v>1059.79</v>
      </c>
      <c r="M503" s="6" t="s">
        <v>2237</v>
      </c>
      <c r="N503" s="8">
        <v>10083.5</v>
      </c>
      <c r="O503" s="6" t="s">
        <v>2237</v>
      </c>
      <c r="P503" s="6" t="s">
        <v>2236</v>
      </c>
      <c r="Q503" s="9" t="s">
        <v>2242</v>
      </c>
      <c r="R503" s="9" t="s">
        <v>2238</v>
      </c>
      <c r="S503" s="9" t="s">
        <v>2243</v>
      </c>
      <c r="T503" s="9" t="s">
        <v>2327</v>
      </c>
      <c r="U50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E540-30101020220-D245401</v>
      </c>
      <c r="Z5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3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503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4" spans="1:31" x14ac:dyDescent="0.3">
      <c r="A504" s="6" t="s">
        <v>2818</v>
      </c>
      <c r="B504" s="6" t="s">
        <v>30</v>
      </c>
      <c r="C504" s="6" t="s">
        <v>1189</v>
      </c>
      <c r="D504" s="6" t="s">
        <v>1190</v>
      </c>
      <c r="E504" s="6" t="s">
        <v>2241</v>
      </c>
      <c r="F504" s="8">
        <v>0</v>
      </c>
      <c r="G504" s="6" t="s">
        <v>2237</v>
      </c>
      <c r="H504" s="8">
        <v>0</v>
      </c>
      <c r="I504" s="6" t="s">
        <v>2237</v>
      </c>
      <c r="J504" s="8">
        <v>0</v>
      </c>
      <c r="K504" s="6" t="s">
        <v>2237</v>
      </c>
      <c r="L504" s="8">
        <v>0</v>
      </c>
      <c r="M504" s="6" t="s">
        <v>2237</v>
      </c>
      <c r="N504" s="8">
        <v>0</v>
      </c>
      <c r="O504" s="6" t="s">
        <v>2237</v>
      </c>
      <c r="P504" s="6" t="s">
        <v>2236</v>
      </c>
      <c r="Q504" s="9" t="s">
        <v>2242</v>
      </c>
      <c r="R504" s="9" t="s">
        <v>2238</v>
      </c>
      <c r="S504" s="9" t="s">
        <v>2243</v>
      </c>
      <c r="T504" s="9" t="s">
        <v>2327</v>
      </c>
      <c r="U50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E540-30101020217-D245401</v>
      </c>
      <c r="Z5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4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504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5" spans="1:31" x14ac:dyDescent="0.3">
      <c r="A505" s="6" t="s">
        <v>2819</v>
      </c>
      <c r="B505" s="6" t="s">
        <v>30</v>
      </c>
      <c r="C505" s="6" t="s">
        <v>1187</v>
      </c>
      <c r="D505" s="6" t="s">
        <v>1188</v>
      </c>
      <c r="E505" s="6" t="s">
        <v>2241</v>
      </c>
      <c r="F505" s="8">
        <v>0</v>
      </c>
      <c r="G505" s="6" t="s">
        <v>2237</v>
      </c>
      <c r="H505" s="8">
        <v>0</v>
      </c>
      <c r="I505" s="6" t="s">
        <v>2237</v>
      </c>
      <c r="J505" s="8">
        <v>0</v>
      </c>
      <c r="K505" s="6" t="s">
        <v>2237</v>
      </c>
      <c r="L505" s="8">
        <v>64108.81</v>
      </c>
      <c r="M505" s="6" t="s">
        <v>2237</v>
      </c>
      <c r="N505" s="8">
        <v>211145.09</v>
      </c>
      <c r="O505" s="6" t="s">
        <v>2237</v>
      </c>
      <c r="P505" s="6" t="s">
        <v>2236</v>
      </c>
      <c r="Q505" s="9" t="s">
        <v>2242</v>
      </c>
      <c r="R505" s="9" t="s">
        <v>2238</v>
      </c>
      <c r="S505" s="9" t="s">
        <v>2243</v>
      </c>
      <c r="T505" s="9" t="s">
        <v>2327</v>
      </c>
      <c r="U50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E540-30101020216-D245401</v>
      </c>
      <c r="Z5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5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505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6" spans="1:31" x14ac:dyDescent="0.3">
      <c r="A506" s="6" t="s">
        <v>2820</v>
      </c>
      <c r="B506" s="6" t="s">
        <v>30</v>
      </c>
      <c r="C506" s="6" t="s">
        <v>1185</v>
      </c>
      <c r="D506" s="6" t="s">
        <v>1186</v>
      </c>
      <c r="E506" s="6" t="s">
        <v>2241</v>
      </c>
      <c r="F506" s="8">
        <v>0</v>
      </c>
      <c r="G506" s="6" t="s">
        <v>2237</v>
      </c>
      <c r="H506" s="8">
        <v>0</v>
      </c>
      <c r="I506" s="6" t="s">
        <v>2237</v>
      </c>
      <c r="J506" s="8">
        <v>0</v>
      </c>
      <c r="K506" s="6" t="s">
        <v>2237</v>
      </c>
      <c r="L506" s="8">
        <v>17669.43</v>
      </c>
      <c r="M506" s="6" t="s">
        <v>2237</v>
      </c>
      <c r="N506" s="8">
        <v>55185.55</v>
      </c>
      <c r="O506" s="6" t="s">
        <v>2237</v>
      </c>
      <c r="P506" s="6" t="s">
        <v>2236</v>
      </c>
      <c r="Q506" s="9" t="s">
        <v>2242</v>
      </c>
      <c r="R506" s="9" t="s">
        <v>2238</v>
      </c>
      <c r="S506" s="9" t="s">
        <v>2243</v>
      </c>
      <c r="T506" s="9" t="s">
        <v>2327</v>
      </c>
      <c r="U50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E540-30101020215-D245401</v>
      </c>
      <c r="Z5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6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506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7" spans="1:31" x14ac:dyDescent="0.3">
      <c r="A507" s="6" t="s">
        <v>2821</v>
      </c>
      <c r="B507" s="6" t="s">
        <v>30</v>
      </c>
      <c r="C507" s="6" t="s">
        <v>1183</v>
      </c>
      <c r="D507" s="6" t="s">
        <v>1184</v>
      </c>
      <c r="E507" s="6" t="s">
        <v>2241</v>
      </c>
      <c r="F507" s="8">
        <v>0</v>
      </c>
      <c r="G507" s="6" t="s">
        <v>2237</v>
      </c>
      <c r="H507" s="8">
        <v>0</v>
      </c>
      <c r="I507" s="6" t="s">
        <v>2237</v>
      </c>
      <c r="J507" s="8">
        <v>0</v>
      </c>
      <c r="K507" s="6" t="s">
        <v>2237</v>
      </c>
      <c r="L507" s="8">
        <v>0</v>
      </c>
      <c r="M507" s="6" t="s">
        <v>2237</v>
      </c>
      <c r="N507" s="8">
        <v>183600</v>
      </c>
      <c r="O507" s="6" t="s">
        <v>2237</v>
      </c>
      <c r="P507" s="6" t="s">
        <v>2236</v>
      </c>
      <c r="Q507" s="9" t="s">
        <v>2242</v>
      </c>
      <c r="R507" s="9" t="s">
        <v>2238</v>
      </c>
      <c r="S507" s="9" t="s">
        <v>2243</v>
      </c>
      <c r="T507" s="9" t="s">
        <v>2327</v>
      </c>
      <c r="U50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E540-30101020214-D245401</v>
      </c>
      <c r="Z5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7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507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8" spans="1:31" x14ac:dyDescent="0.3">
      <c r="A508" s="6" t="s">
        <v>2822</v>
      </c>
      <c r="B508" s="6" t="s">
        <v>30</v>
      </c>
      <c r="C508" s="6" t="s">
        <v>1181</v>
      </c>
      <c r="D508" s="6" t="s">
        <v>1182</v>
      </c>
      <c r="E508" s="6" t="s">
        <v>2241</v>
      </c>
      <c r="F508" s="8">
        <v>0</v>
      </c>
      <c r="G508" s="6" t="s">
        <v>2237</v>
      </c>
      <c r="H508" s="8">
        <v>0</v>
      </c>
      <c r="I508" s="6" t="s">
        <v>2237</v>
      </c>
      <c r="J508" s="8">
        <v>0</v>
      </c>
      <c r="K508" s="6" t="s">
        <v>2237</v>
      </c>
      <c r="L508" s="8">
        <v>3937.5</v>
      </c>
      <c r="M508" s="6" t="s">
        <v>2237</v>
      </c>
      <c r="N508" s="8">
        <v>53900</v>
      </c>
      <c r="O508" s="6" t="s">
        <v>2237</v>
      </c>
      <c r="P508" s="6" t="s">
        <v>2236</v>
      </c>
      <c r="Q508" s="9" t="s">
        <v>2242</v>
      </c>
      <c r="R508" s="9" t="s">
        <v>2238</v>
      </c>
      <c r="S508" s="9" t="s">
        <v>2243</v>
      </c>
      <c r="T508" s="9" t="s">
        <v>2327</v>
      </c>
      <c r="U50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8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E540-30101020213-D245401</v>
      </c>
      <c r="Z5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8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508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09" spans="1:31" x14ac:dyDescent="0.3">
      <c r="A509" s="6" t="s">
        <v>2823</v>
      </c>
      <c r="B509" s="6" t="s">
        <v>30</v>
      </c>
      <c r="C509" s="6" t="s">
        <v>1197</v>
      </c>
      <c r="D509" s="6" t="s">
        <v>1198</v>
      </c>
      <c r="E509" s="6" t="s">
        <v>2241</v>
      </c>
      <c r="F509" s="8">
        <v>0</v>
      </c>
      <c r="G509" s="6" t="s">
        <v>2237</v>
      </c>
      <c r="H509" s="8">
        <v>0</v>
      </c>
      <c r="I509" s="6" t="s">
        <v>2237</v>
      </c>
      <c r="J509" s="8">
        <v>0</v>
      </c>
      <c r="K509" s="6" t="s">
        <v>2237</v>
      </c>
      <c r="L509" s="8">
        <v>0</v>
      </c>
      <c r="M509" s="6" t="s">
        <v>2237</v>
      </c>
      <c r="N509" s="8">
        <v>0</v>
      </c>
      <c r="O509" s="6" t="s">
        <v>2237</v>
      </c>
      <c r="P509" s="6" t="s">
        <v>2236</v>
      </c>
      <c r="Q509" s="9" t="s">
        <v>2242</v>
      </c>
      <c r="R509" s="9" t="s">
        <v>2238</v>
      </c>
      <c r="S509" s="9" t="s">
        <v>2243</v>
      </c>
      <c r="T509" s="9" t="s">
        <v>2327</v>
      </c>
      <c r="U50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0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0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0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0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E540-30101020247-D245401</v>
      </c>
      <c r="Z5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0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0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09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509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0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0" spans="1:31" x14ac:dyDescent="0.3">
      <c r="A510" s="6" t="s">
        <v>2824</v>
      </c>
      <c r="B510" s="6" t="s">
        <v>30</v>
      </c>
      <c r="C510" s="6" t="s">
        <v>1179</v>
      </c>
      <c r="D510" s="6" t="s">
        <v>1180</v>
      </c>
      <c r="E510" s="6" t="s">
        <v>2241</v>
      </c>
      <c r="F510" s="8">
        <v>0</v>
      </c>
      <c r="G510" s="6" t="s">
        <v>2237</v>
      </c>
      <c r="H510" s="8">
        <v>0</v>
      </c>
      <c r="I510" s="6" t="s">
        <v>2237</v>
      </c>
      <c r="J510" s="8">
        <v>0</v>
      </c>
      <c r="K510" s="6" t="s">
        <v>2237</v>
      </c>
      <c r="L510" s="8">
        <v>123800.23</v>
      </c>
      <c r="M510" s="6" t="s">
        <v>2237</v>
      </c>
      <c r="N510" s="8">
        <v>452778.44</v>
      </c>
      <c r="O510" s="6" t="s">
        <v>2237</v>
      </c>
      <c r="P510" s="6" t="s">
        <v>2236</v>
      </c>
      <c r="Q510" s="9" t="s">
        <v>2242</v>
      </c>
      <c r="R510" s="9" t="s">
        <v>2238</v>
      </c>
      <c r="S510" s="9" t="s">
        <v>2243</v>
      </c>
      <c r="T510" s="9" t="s">
        <v>2327</v>
      </c>
      <c r="U51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0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E540-30101020212-D245401</v>
      </c>
      <c r="Z5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0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510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1" spans="1:31" x14ac:dyDescent="0.3">
      <c r="A511" s="6" t="s">
        <v>2825</v>
      </c>
      <c r="B511" s="6" t="s">
        <v>30</v>
      </c>
      <c r="C511" s="6" t="s">
        <v>1177</v>
      </c>
      <c r="D511" s="6" t="s">
        <v>1178</v>
      </c>
      <c r="E511" s="6" t="s">
        <v>2241</v>
      </c>
      <c r="F511" s="8">
        <v>0</v>
      </c>
      <c r="G511" s="6" t="s">
        <v>2237</v>
      </c>
      <c r="H511" s="8">
        <v>0</v>
      </c>
      <c r="I511" s="6" t="s">
        <v>2237</v>
      </c>
      <c r="J511" s="8">
        <v>0</v>
      </c>
      <c r="K511" s="6" t="s">
        <v>2237</v>
      </c>
      <c r="L511" s="8">
        <v>15096.76</v>
      </c>
      <c r="M511" s="6" t="s">
        <v>2237</v>
      </c>
      <c r="N511" s="8">
        <v>80541.2</v>
      </c>
      <c r="O511" s="6" t="s">
        <v>2237</v>
      </c>
      <c r="P511" s="6" t="s">
        <v>2236</v>
      </c>
      <c r="Q511" s="9" t="s">
        <v>2242</v>
      </c>
      <c r="R511" s="9" t="s">
        <v>2238</v>
      </c>
      <c r="S511" s="9" t="s">
        <v>2243</v>
      </c>
      <c r="T511" s="9" t="s">
        <v>2327</v>
      </c>
      <c r="U51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E540-30101020211-D245401</v>
      </c>
      <c r="Z5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1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511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2" spans="1:31" x14ac:dyDescent="0.3">
      <c r="A512" s="6" t="s">
        <v>2826</v>
      </c>
      <c r="B512" s="6" t="s">
        <v>30</v>
      </c>
      <c r="C512" s="6" t="s">
        <v>1175</v>
      </c>
      <c r="D512" s="6" t="s">
        <v>1176</v>
      </c>
      <c r="E512" s="6" t="s">
        <v>2241</v>
      </c>
      <c r="F512" s="8">
        <v>0</v>
      </c>
      <c r="G512" s="6" t="s">
        <v>2237</v>
      </c>
      <c r="H512" s="8">
        <v>0</v>
      </c>
      <c r="I512" s="6" t="s">
        <v>2237</v>
      </c>
      <c r="J512" s="8">
        <v>0</v>
      </c>
      <c r="K512" s="6" t="s">
        <v>2237</v>
      </c>
      <c r="L512" s="8">
        <v>21260</v>
      </c>
      <c r="M512" s="6" t="s">
        <v>2237</v>
      </c>
      <c r="N512" s="8">
        <v>539568.66</v>
      </c>
      <c r="O512" s="6" t="s">
        <v>2237</v>
      </c>
      <c r="P512" s="6" t="s">
        <v>2236</v>
      </c>
      <c r="Q512" s="9" t="s">
        <v>2242</v>
      </c>
      <c r="R512" s="9" t="s">
        <v>2238</v>
      </c>
      <c r="S512" s="9" t="s">
        <v>2243</v>
      </c>
      <c r="T512" s="9" t="s">
        <v>2327</v>
      </c>
      <c r="U51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E540-30101020210-D245401</v>
      </c>
      <c r="Z5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2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512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3" spans="1:31" x14ac:dyDescent="0.3">
      <c r="A513" s="6" t="s">
        <v>2827</v>
      </c>
      <c r="B513" s="6" t="s">
        <v>30</v>
      </c>
      <c r="C513" s="6" t="s">
        <v>1173</v>
      </c>
      <c r="D513" s="6" t="s">
        <v>1174</v>
      </c>
      <c r="E513" s="6" t="s">
        <v>2241</v>
      </c>
      <c r="F513" s="8">
        <v>0</v>
      </c>
      <c r="G513" s="6" t="s">
        <v>2237</v>
      </c>
      <c r="H513" s="8">
        <v>0</v>
      </c>
      <c r="I513" s="6" t="s">
        <v>2237</v>
      </c>
      <c r="J513" s="8">
        <v>0</v>
      </c>
      <c r="K513" s="6" t="s">
        <v>2237</v>
      </c>
      <c r="L513" s="8">
        <v>20517.099999999999</v>
      </c>
      <c r="M513" s="6" t="s">
        <v>2237</v>
      </c>
      <c r="N513" s="8">
        <v>569931.80000000005</v>
      </c>
      <c r="O513" s="6" t="s">
        <v>2237</v>
      </c>
      <c r="P513" s="6" t="s">
        <v>2236</v>
      </c>
      <c r="Q513" s="9" t="s">
        <v>2242</v>
      </c>
      <c r="R513" s="9" t="s">
        <v>2238</v>
      </c>
      <c r="S513" s="9" t="s">
        <v>2243</v>
      </c>
      <c r="T513" s="9" t="s">
        <v>2327</v>
      </c>
      <c r="U51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E540-30101020209-D245401</v>
      </c>
      <c r="Z5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3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513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4" spans="1:31" x14ac:dyDescent="0.3">
      <c r="A514" s="6" t="s">
        <v>2828</v>
      </c>
      <c r="B514" s="6" t="s">
        <v>30</v>
      </c>
      <c r="C514" s="6" t="s">
        <v>1171</v>
      </c>
      <c r="D514" s="6" t="s">
        <v>1172</v>
      </c>
      <c r="E514" s="6" t="s">
        <v>2241</v>
      </c>
      <c r="F514" s="8">
        <v>0</v>
      </c>
      <c r="G514" s="6" t="s">
        <v>2237</v>
      </c>
      <c r="H514" s="8">
        <v>0</v>
      </c>
      <c r="I514" s="6" t="s">
        <v>2237</v>
      </c>
      <c r="J514" s="8">
        <v>0</v>
      </c>
      <c r="K514" s="6" t="s">
        <v>2237</v>
      </c>
      <c r="L514" s="8">
        <v>0</v>
      </c>
      <c r="M514" s="6" t="s">
        <v>2237</v>
      </c>
      <c r="N514" s="8">
        <v>129276</v>
      </c>
      <c r="O514" s="6" t="s">
        <v>2237</v>
      </c>
      <c r="P514" s="6" t="s">
        <v>2236</v>
      </c>
      <c r="Q514" s="9" t="s">
        <v>2242</v>
      </c>
      <c r="R514" s="9" t="s">
        <v>2238</v>
      </c>
      <c r="S514" s="9" t="s">
        <v>2243</v>
      </c>
      <c r="T514" s="9" t="s">
        <v>2327</v>
      </c>
      <c r="U51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E540-30101020208-D245401</v>
      </c>
      <c r="Z5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4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514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5" spans="1:31" x14ac:dyDescent="0.3">
      <c r="A515" s="6" t="s">
        <v>2829</v>
      </c>
      <c r="B515" s="6" t="s">
        <v>30</v>
      </c>
      <c r="C515" s="6" t="s">
        <v>1169</v>
      </c>
      <c r="D515" s="6" t="s">
        <v>1170</v>
      </c>
      <c r="E515" s="6" t="s">
        <v>2241</v>
      </c>
      <c r="F515" s="8">
        <v>0</v>
      </c>
      <c r="G515" s="6" t="s">
        <v>2237</v>
      </c>
      <c r="H515" s="8">
        <v>0</v>
      </c>
      <c r="I515" s="6" t="s">
        <v>2237</v>
      </c>
      <c r="J515" s="8">
        <v>0</v>
      </c>
      <c r="K515" s="6" t="s">
        <v>2237</v>
      </c>
      <c r="L515" s="8">
        <v>97649</v>
      </c>
      <c r="M515" s="6" t="s">
        <v>2237</v>
      </c>
      <c r="N515" s="8">
        <v>330676</v>
      </c>
      <c r="O515" s="6" t="s">
        <v>2237</v>
      </c>
      <c r="P515" s="6" t="s">
        <v>2236</v>
      </c>
      <c r="Q515" s="9" t="s">
        <v>2242</v>
      </c>
      <c r="R515" s="9" t="s">
        <v>2238</v>
      </c>
      <c r="S515" s="9" t="s">
        <v>2243</v>
      </c>
      <c r="T515" s="9" t="s">
        <v>2327</v>
      </c>
      <c r="U51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E540-30101020207-D245401</v>
      </c>
      <c r="Z5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5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515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6" spans="1:31" x14ac:dyDescent="0.3">
      <c r="A516" s="6" t="s">
        <v>2830</v>
      </c>
      <c r="B516" s="6" t="s">
        <v>30</v>
      </c>
      <c r="C516" s="6" t="s">
        <v>1167</v>
      </c>
      <c r="D516" s="6" t="s">
        <v>1168</v>
      </c>
      <c r="E516" s="6" t="s">
        <v>2241</v>
      </c>
      <c r="F516" s="8">
        <v>0</v>
      </c>
      <c r="G516" s="6" t="s">
        <v>2237</v>
      </c>
      <c r="H516" s="8">
        <v>0</v>
      </c>
      <c r="I516" s="6" t="s">
        <v>2237</v>
      </c>
      <c r="J516" s="8">
        <v>0</v>
      </c>
      <c r="K516" s="6" t="s">
        <v>2237</v>
      </c>
      <c r="L516" s="8">
        <v>3276.34</v>
      </c>
      <c r="M516" s="6" t="s">
        <v>2237</v>
      </c>
      <c r="N516" s="8">
        <v>202739.53</v>
      </c>
      <c r="O516" s="6" t="s">
        <v>2237</v>
      </c>
      <c r="P516" s="6" t="s">
        <v>2236</v>
      </c>
      <c r="Q516" s="9" t="s">
        <v>2242</v>
      </c>
      <c r="R516" s="9" t="s">
        <v>2238</v>
      </c>
      <c r="S516" s="9" t="s">
        <v>2243</v>
      </c>
      <c r="T516" s="9" t="s">
        <v>2327</v>
      </c>
      <c r="U516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6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6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6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6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E540-30101020205-D245401</v>
      </c>
      <c r="Z5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6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516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7" spans="1:31" x14ac:dyDescent="0.3">
      <c r="A517" s="6" t="s">
        <v>2831</v>
      </c>
      <c r="B517" s="6" t="s">
        <v>30</v>
      </c>
      <c r="C517" s="6" t="s">
        <v>1165</v>
      </c>
      <c r="D517" s="6" t="s">
        <v>1166</v>
      </c>
      <c r="E517" s="6" t="s">
        <v>2241</v>
      </c>
      <c r="F517" s="8">
        <v>0</v>
      </c>
      <c r="G517" s="6" t="s">
        <v>2237</v>
      </c>
      <c r="H517" s="8">
        <v>0</v>
      </c>
      <c r="I517" s="6" t="s">
        <v>2237</v>
      </c>
      <c r="J517" s="8">
        <v>0</v>
      </c>
      <c r="K517" s="6" t="s">
        <v>2237</v>
      </c>
      <c r="L517" s="8">
        <v>0</v>
      </c>
      <c r="M517" s="6" t="s">
        <v>2237</v>
      </c>
      <c r="N517" s="8">
        <v>1350</v>
      </c>
      <c r="O517" s="6" t="s">
        <v>2237</v>
      </c>
      <c r="P517" s="6" t="s">
        <v>2236</v>
      </c>
      <c r="Q517" s="9" t="s">
        <v>2242</v>
      </c>
      <c r="R517" s="9" t="s">
        <v>2238</v>
      </c>
      <c r="S517" s="9" t="s">
        <v>2243</v>
      </c>
      <c r="T517" s="9" t="s">
        <v>2327</v>
      </c>
      <c r="U517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7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7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7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E540-301010202-D245401</v>
      </c>
      <c r="Y517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E540-30101020204-D245401</v>
      </c>
      <c r="Z5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517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517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8" spans="1:31" x14ac:dyDescent="0.3">
      <c r="A518" s="6" t="s">
        <v>2832</v>
      </c>
      <c r="B518" s="6" t="s">
        <v>26</v>
      </c>
      <c r="C518" s="6" t="s">
        <v>903</v>
      </c>
      <c r="D518" s="6" t="s">
        <v>904</v>
      </c>
      <c r="E518" s="6" t="s">
        <v>2241</v>
      </c>
      <c r="F518" s="8">
        <v>44000</v>
      </c>
      <c r="G518" s="6" t="s">
        <v>2237</v>
      </c>
      <c r="H518" s="8">
        <v>44000</v>
      </c>
      <c r="I518" s="6" t="s">
        <v>2237</v>
      </c>
      <c r="J518" s="8">
        <v>0</v>
      </c>
      <c r="K518" s="6" t="s">
        <v>2237</v>
      </c>
      <c r="L518" s="8">
        <v>0</v>
      </c>
      <c r="M518" s="6" t="s">
        <v>2237</v>
      </c>
      <c r="N518" s="8">
        <v>43003.199999999997</v>
      </c>
      <c r="O518" s="6" t="s">
        <v>2237</v>
      </c>
      <c r="P518" s="6" t="s">
        <v>2236</v>
      </c>
      <c r="Q518" s="9" t="s">
        <v>2242</v>
      </c>
      <c r="R518" s="9" t="s">
        <v>2238</v>
      </c>
      <c r="S518" s="9" t="s">
        <v>2243</v>
      </c>
      <c r="T518" s="9" t="s">
        <v>2256</v>
      </c>
      <c r="U518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8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8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8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E540-301010201-D245401</v>
      </c>
      <c r="Y5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5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18" s="10" t="str">
        <f>IF(IFERROR(INDEX(WBS_Dictionary!N$2:N$1212, MATCH(Table2[[#This Row],[WBS_ID]], Table26[WBS CODE],0)), "") = "", "null", IFERROR(INDEX(WBS_Dictionary!N$2:N$1212, MATCH(Table2[[#This Row],[WBS_ID]], Table26[WBS CODE],0)), ""))</f>
        <v>AWI 2-7</v>
      </c>
      <c r="AE51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19" spans="1:31" x14ac:dyDescent="0.3">
      <c r="A519" s="6" t="s">
        <v>2833</v>
      </c>
      <c r="B519" s="6" t="s">
        <v>30</v>
      </c>
      <c r="C519" s="6" t="s">
        <v>1163</v>
      </c>
      <c r="D519" s="6" t="s">
        <v>1164</v>
      </c>
      <c r="E519" s="6" t="s">
        <v>2241</v>
      </c>
      <c r="F519" s="8">
        <v>0</v>
      </c>
      <c r="G519" s="6" t="s">
        <v>2237</v>
      </c>
      <c r="H519" s="8">
        <v>0</v>
      </c>
      <c r="I519" s="6" t="s">
        <v>2237</v>
      </c>
      <c r="J519" s="8">
        <v>0</v>
      </c>
      <c r="K519" s="6" t="s">
        <v>2237</v>
      </c>
      <c r="L519" s="8">
        <v>0</v>
      </c>
      <c r="M519" s="6" t="s">
        <v>2237</v>
      </c>
      <c r="N519" s="8">
        <v>43003.199999999997</v>
      </c>
      <c r="O519" s="6" t="s">
        <v>2237</v>
      </c>
      <c r="P519" s="6" t="s">
        <v>2236</v>
      </c>
      <c r="Q519" s="9" t="s">
        <v>2242</v>
      </c>
      <c r="R519" s="9" t="s">
        <v>2238</v>
      </c>
      <c r="S519" s="9" t="s">
        <v>2243</v>
      </c>
      <c r="T519" s="9" t="s">
        <v>2327</v>
      </c>
      <c r="U519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19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19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19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E540-301010201-D245401</v>
      </c>
      <c r="Y519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E540-30101020160-D245401</v>
      </c>
      <c r="Z5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1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1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519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519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1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20" spans="1:31" x14ac:dyDescent="0.3">
      <c r="A520" s="6" t="s">
        <v>2834</v>
      </c>
      <c r="B520" s="6" t="s">
        <v>26</v>
      </c>
      <c r="C520" s="6" t="s">
        <v>908</v>
      </c>
      <c r="D520" s="6" t="s">
        <v>909</v>
      </c>
      <c r="E520" s="6" t="s">
        <v>2241</v>
      </c>
      <c r="F520" s="8">
        <v>1771755</v>
      </c>
      <c r="G520" s="6" t="s">
        <v>2237</v>
      </c>
      <c r="H520" s="8">
        <v>1771755</v>
      </c>
      <c r="I520" s="6" t="s">
        <v>2237</v>
      </c>
      <c r="J520" s="8">
        <v>0</v>
      </c>
      <c r="K520" s="6" t="s">
        <v>2237</v>
      </c>
      <c r="L520" s="8">
        <v>3153.96</v>
      </c>
      <c r="M520" s="6" t="s">
        <v>2237</v>
      </c>
      <c r="N520" s="8">
        <v>1165548.54</v>
      </c>
      <c r="O520" s="6" t="s">
        <v>2237</v>
      </c>
      <c r="P520" s="6" t="s">
        <v>2236</v>
      </c>
      <c r="Q520" s="9" t="s">
        <v>2242</v>
      </c>
      <c r="R520" s="9" t="s">
        <v>2238</v>
      </c>
      <c r="S520" s="9" t="s">
        <v>2243</v>
      </c>
      <c r="T520" s="9" t="s">
        <v>2244</v>
      </c>
      <c r="U520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20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20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20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E540-301010261-D245401</v>
      </c>
      <c r="Y5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2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2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5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20" s="10" t="str">
        <f>IF(IFERROR(INDEX(WBS_Dictionary!N$2:N$1212, MATCH(Table2[[#This Row],[WBS_ID]], Table26[WBS CODE],0)), "") = "", "null", IFERROR(INDEX(WBS_Dictionary!N$2:N$1212, MATCH(Table2[[#This Row],[WBS_ID]], Table26[WBS CODE],0)), ""))</f>
        <v>AWI 2-7</v>
      </c>
      <c r="AE52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21" spans="1:31" x14ac:dyDescent="0.3">
      <c r="A521" s="6" t="s">
        <v>2835</v>
      </c>
      <c r="B521" s="6" t="s">
        <v>30</v>
      </c>
      <c r="C521" s="6" t="s">
        <v>1215</v>
      </c>
      <c r="D521" s="6" t="s">
        <v>1216</v>
      </c>
      <c r="E521" s="6" t="s">
        <v>2241</v>
      </c>
      <c r="F521" s="8">
        <v>0</v>
      </c>
      <c r="G521" s="6" t="s">
        <v>2237</v>
      </c>
      <c r="H521" s="8">
        <v>0</v>
      </c>
      <c r="I521" s="6" t="s">
        <v>2237</v>
      </c>
      <c r="J521" s="8">
        <v>0</v>
      </c>
      <c r="K521" s="6" t="s">
        <v>2237</v>
      </c>
      <c r="L521" s="8">
        <v>0</v>
      </c>
      <c r="M521" s="6" t="s">
        <v>2237</v>
      </c>
      <c r="N521" s="8">
        <v>33522.6</v>
      </c>
      <c r="O521" s="6" t="s">
        <v>2237</v>
      </c>
      <c r="P521" s="6" t="s">
        <v>2236</v>
      </c>
      <c r="Q521" s="9" t="s">
        <v>2242</v>
      </c>
      <c r="R521" s="9" t="s">
        <v>2238</v>
      </c>
      <c r="S521" s="9" t="s">
        <v>2243</v>
      </c>
      <c r="T521" s="9" t="s">
        <v>2327</v>
      </c>
      <c r="U521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21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21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21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E540-301010261-D245401</v>
      </c>
      <c r="Y521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E540-30101026162-D245401</v>
      </c>
      <c r="Z5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2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2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521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521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2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22" spans="1:31" x14ac:dyDescent="0.3">
      <c r="A522" s="6" t="s">
        <v>2836</v>
      </c>
      <c r="B522" s="6" t="s">
        <v>30</v>
      </c>
      <c r="C522" s="6" t="s">
        <v>1217</v>
      </c>
      <c r="D522" s="6" t="s">
        <v>1218</v>
      </c>
      <c r="E522" s="6" t="s">
        <v>2241</v>
      </c>
      <c r="F522" s="8">
        <v>0</v>
      </c>
      <c r="G522" s="6" t="s">
        <v>2237</v>
      </c>
      <c r="H522" s="8">
        <v>0</v>
      </c>
      <c r="I522" s="6" t="s">
        <v>2237</v>
      </c>
      <c r="J522" s="8">
        <v>0</v>
      </c>
      <c r="K522" s="6" t="s">
        <v>2237</v>
      </c>
      <c r="L522" s="8">
        <v>0</v>
      </c>
      <c r="M522" s="6" t="s">
        <v>2237</v>
      </c>
      <c r="N522" s="8">
        <v>0</v>
      </c>
      <c r="O522" s="6" t="s">
        <v>2237</v>
      </c>
      <c r="P522" s="6" t="s">
        <v>2236</v>
      </c>
      <c r="Q522" s="9" t="s">
        <v>2242</v>
      </c>
      <c r="R522" s="9" t="s">
        <v>2238</v>
      </c>
      <c r="S522" s="9" t="s">
        <v>2243</v>
      </c>
      <c r="T522" s="9" t="s">
        <v>2327</v>
      </c>
      <c r="U522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22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22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22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E540-301010261-D245401</v>
      </c>
      <c r="Y522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E540-30101026193-D245401</v>
      </c>
      <c r="Z5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2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2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522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522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2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23" spans="1:31" x14ac:dyDescent="0.3">
      <c r="A523" s="6" t="s">
        <v>2837</v>
      </c>
      <c r="B523" s="6" t="s">
        <v>30</v>
      </c>
      <c r="C523" s="6" t="s">
        <v>1213</v>
      </c>
      <c r="D523" s="6" t="s">
        <v>1214</v>
      </c>
      <c r="E523" s="6" t="s">
        <v>2241</v>
      </c>
      <c r="F523" s="8">
        <v>0</v>
      </c>
      <c r="G523" s="6" t="s">
        <v>2237</v>
      </c>
      <c r="H523" s="8">
        <v>0</v>
      </c>
      <c r="I523" s="6" t="s">
        <v>2237</v>
      </c>
      <c r="J523" s="8">
        <v>0</v>
      </c>
      <c r="K523" s="6" t="s">
        <v>2237</v>
      </c>
      <c r="L523" s="8">
        <v>0</v>
      </c>
      <c r="M523" s="6" t="s">
        <v>2237</v>
      </c>
      <c r="N523" s="8">
        <v>295020.14</v>
      </c>
      <c r="O523" s="6" t="s">
        <v>2237</v>
      </c>
      <c r="P523" s="6" t="s">
        <v>2236</v>
      </c>
      <c r="Q523" s="9" t="s">
        <v>2242</v>
      </c>
      <c r="R523" s="9" t="s">
        <v>2238</v>
      </c>
      <c r="S523" s="9" t="s">
        <v>2243</v>
      </c>
      <c r="T523" s="9" t="s">
        <v>2327</v>
      </c>
      <c r="U523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23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23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23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E540-301010261-D245401</v>
      </c>
      <c r="Y523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E540-30101026118-D245401</v>
      </c>
      <c r="Z5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2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523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523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24" spans="1:31" x14ac:dyDescent="0.3">
      <c r="A524" s="6" t="s">
        <v>2838</v>
      </c>
      <c r="B524" s="6" t="s">
        <v>30</v>
      </c>
      <c r="C524" s="6" t="s">
        <v>1211</v>
      </c>
      <c r="D524" s="6" t="s">
        <v>1212</v>
      </c>
      <c r="E524" s="6" t="s">
        <v>2241</v>
      </c>
      <c r="F524" s="8">
        <v>0</v>
      </c>
      <c r="G524" s="6" t="s">
        <v>2237</v>
      </c>
      <c r="H524" s="8">
        <v>0</v>
      </c>
      <c r="I524" s="6" t="s">
        <v>2237</v>
      </c>
      <c r="J524" s="8">
        <v>0</v>
      </c>
      <c r="K524" s="6" t="s">
        <v>2237</v>
      </c>
      <c r="L524" s="8">
        <v>0</v>
      </c>
      <c r="M524" s="6" t="s">
        <v>2237</v>
      </c>
      <c r="N524" s="8">
        <v>111558.08</v>
      </c>
      <c r="O524" s="6" t="s">
        <v>2237</v>
      </c>
      <c r="P524" s="6" t="s">
        <v>2236</v>
      </c>
      <c r="Q524" s="9" t="s">
        <v>2242</v>
      </c>
      <c r="R524" s="9" t="s">
        <v>2238</v>
      </c>
      <c r="S524" s="9" t="s">
        <v>2243</v>
      </c>
      <c r="T524" s="9" t="s">
        <v>2327</v>
      </c>
      <c r="U524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24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24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24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E540-301010261-D245401</v>
      </c>
      <c r="Y524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E540-30101026102-D245401</v>
      </c>
      <c r="Z5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2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524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524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25" spans="1:31" x14ac:dyDescent="0.3">
      <c r="A525" s="6" t="s">
        <v>2839</v>
      </c>
      <c r="B525" s="6" t="s">
        <v>30</v>
      </c>
      <c r="C525" s="6" t="s">
        <v>1209</v>
      </c>
      <c r="D525" s="6" t="s">
        <v>1210</v>
      </c>
      <c r="E525" s="6" t="s">
        <v>2241</v>
      </c>
      <c r="F525" s="8">
        <v>0</v>
      </c>
      <c r="G525" s="6" t="s">
        <v>2237</v>
      </c>
      <c r="H525" s="8">
        <v>0</v>
      </c>
      <c r="I525" s="6" t="s">
        <v>2237</v>
      </c>
      <c r="J525" s="8">
        <v>0</v>
      </c>
      <c r="K525" s="6" t="s">
        <v>2237</v>
      </c>
      <c r="L525" s="8">
        <v>3153.96</v>
      </c>
      <c r="M525" s="6" t="s">
        <v>2237</v>
      </c>
      <c r="N525" s="8">
        <v>725447.72</v>
      </c>
      <c r="O525" s="6" t="s">
        <v>2237</v>
      </c>
      <c r="P525" s="6" t="s">
        <v>2236</v>
      </c>
      <c r="Q525" s="9" t="s">
        <v>2242</v>
      </c>
      <c r="R525" s="9" t="s">
        <v>2238</v>
      </c>
      <c r="S525" s="9" t="s">
        <v>2243</v>
      </c>
      <c r="T525" s="9" t="s">
        <v>2327</v>
      </c>
      <c r="U525" s="10" t="str">
        <f>IF(IFERROR(INDEX(WBS_Dictionary!E$2:E$1212, MATCH(Table2[[#This Row],[WBS_ID]], Table26[WBS CODE],0)), "") = "", "null", IFERROR(INDEX(WBS_Dictionary!E$2:E$1212, MATCH(Table2[[#This Row],[WBS_ID]], Table26[WBS CODE],0)), ""))</f>
        <v>E540-30-D245401</v>
      </c>
      <c r="V525" s="10" t="str">
        <f>IF(IFERROR(INDEX(WBS_Dictionary!F$2:F$1212, MATCH(Table2[[#This Row],[WBS_ID]], Table26[WBS CODE],0)), "") = "", "null", IFERROR(INDEX(WBS_Dictionary!F$2:F$1212, MATCH(Table2[[#This Row],[WBS_ID]], Table26[WBS CODE],0)), ""))</f>
        <v>E540-30101-D245401</v>
      </c>
      <c r="W525" s="10" t="str">
        <f>IF(IFERROR(INDEX(WBS_Dictionary!G$2:G$1212, MATCH(Table2[[#This Row],[WBS_ID]], Table26[WBS CODE],0)), "") = "", "null", IFERROR(INDEX(WBS_Dictionary!G$2:G$1212, MATCH(Table2[[#This Row],[WBS_ID]], Table26[WBS CODE],0)), ""))</f>
        <v>E540-3010102-D245401</v>
      </c>
      <c r="X525" s="10" t="str">
        <f>IF(IFERROR(INDEX(WBS_Dictionary!H$2:H$1212, MATCH(Table2[[#This Row],[WBS_ID]], Table26[WBS CODE],0)), "") = "", "null", IFERROR(INDEX(WBS_Dictionary!H$2:H$1212, MATCH(Table2[[#This Row],[WBS_ID]], Table26[WBS CODE],0)), ""))</f>
        <v>E540-301010261-D245401</v>
      </c>
      <c r="Y525" s="10" t="str">
        <f>IF(IFERROR(INDEX(WBS_Dictionary!I$2:I$1212, MATCH(Table2[[#This Row],[WBS_ID]], Table26[WBS CODE],0)), "") = "", "null", IFERROR(INDEX(WBS_Dictionary!I$2:I$1212, MATCH(Table2[[#This Row],[WBS_ID]], Table26[WBS CODE],0)), ""))</f>
        <v>E540-30101026101-D245401</v>
      </c>
      <c r="Z5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5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52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525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525" s="10" t="str">
        <f>IF(IFERROR(INDEX(WBS_Dictionary!N$2:N$1212, MATCH(Table2[[#This Row],[WBS_ID]], Table26[WBS CODE],0)), "") = "", "null", IFERROR(INDEX(WBS_Dictionary!N$2:N$1212, MATCH(Table2[[#This Row],[WBS_ID]], Table26[WBS CODE],0)), ""))</f>
        <v>AWI 2-7 ML</v>
      </c>
      <c r="AE52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526" spans="1:31" hidden="1" x14ac:dyDescent="0.3">
      <c r="A526" s="12" t="s">
        <v>2232</v>
      </c>
      <c r="B526" s="12" t="s">
        <v>2233</v>
      </c>
      <c r="C526" s="13" t="s">
        <v>2840</v>
      </c>
      <c r="D526" s="12" t="s">
        <v>2841</v>
      </c>
      <c r="E526" s="12" t="s">
        <v>2236</v>
      </c>
      <c r="F526" s="8">
        <v>35164285.969999999</v>
      </c>
      <c r="G526" s="12" t="s">
        <v>2237</v>
      </c>
      <c r="H526" s="12">
        <v>33472051.52</v>
      </c>
      <c r="I526" s="12" t="s">
        <v>2237</v>
      </c>
      <c r="J526" s="12">
        <v>0</v>
      </c>
      <c r="K526" s="12" t="s">
        <v>2237</v>
      </c>
      <c r="L526" s="12">
        <v>34172.870000000003</v>
      </c>
      <c r="M526" s="12" t="s">
        <v>2237</v>
      </c>
      <c r="N526" s="8">
        <v>30669524.899999999</v>
      </c>
      <c r="O526" s="12" t="s">
        <v>2237</v>
      </c>
      <c r="P526" s="12" t="s">
        <v>2236</v>
      </c>
      <c r="Q526" s="10" t="s">
        <v>2236</v>
      </c>
      <c r="R526" s="10" t="s">
        <v>2238</v>
      </c>
      <c r="S526" s="10" t="s">
        <v>2236</v>
      </c>
      <c r="T526" s="10" t="s">
        <v>2239</v>
      </c>
      <c r="U5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27" spans="1:31" hidden="1" x14ac:dyDescent="0.3">
      <c r="A527" s="12" t="s">
        <v>2240</v>
      </c>
      <c r="B527" s="12" t="s">
        <v>15</v>
      </c>
      <c r="C527" s="13" t="s">
        <v>1771</v>
      </c>
      <c r="D527" s="12" t="s">
        <v>1772</v>
      </c>
      <c r="E527" s="12" t="s">
        <v>2842</v>
      </c>
      <c r="F527" s="8">
        <v>35164285.969999999</v>
      </c>
      <c r="G527" s="12" t="s">
        <v>2237</v>
      </c>
      <c r="H527" s="12">
        <v>33472051.52</v>
      </c>
      <c r="I527" s="12" t="s">
        <v>2237</v>
      </c>
      <c r="J527" s="12">
        <v>0</v>
      </c>
      <c r="K527" s="12" t="s">
        <v>2237</v>
      </c>
      <c r="L527" s="12">
        <v>34172.870000000003</v>
      </c>
      <c r="M527" s="12" t="s">
        <v>2237</v>
      </c>
      <c r="N527" s="8">
        <v>30669524.899999999</v>
      </c>
      <c r="O527" s="12" t="s">
        <v>2237</v>
      </c>
      <c r="P527" s="12" t="s">
        <v>2236</v>
      </c>
      <c r="Q527" s="10" t="s">
        <v>2242</v>
      </c>
      <c r="R527" s="10" t="s">
        <v>2238</v>
      </c>
      <c r="S527" s="10" t="s">
        <v>2843</v>
      </c>
      <c r="T527" s="10" t="s">
        <v>2844</v>
      </c>
      <c r="U5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28" spans="1:31" hidden="1" x14ac:dyDescent="0.3">
      <c r="A528" s="12" t="s">
        <v>2245</v>
      </c>
      <c r="B528" s="12" t="s">
        <v>18</v>
      </c>
      <c r="C528" s="13" t="s">
        <v>261</v>
      </c>
      <c r="D528" s="12" t="s">
        <v>1773</v>
      </c>
      <c r="E528" s="12" t="s">
        <v>2842</v>
      </c>
      <c r="F528" s="8">
        <v>2245889.25</v>
      </c>
      <c r="G528" s="12" t="s">
        <v>2237</v>
      </c>
      <c r="H528" s="12">
        <v>2245888.75</v>
      </c>
      <c r="I528" s="12" t="s">
        <v>2237</v>
      </c>
      <c r="J528" s="12">
        <v>0</v>
      </c>
      <c r="K528" s="12" t="s">
        <v>2237</v>
      </c>
      <c r="L528" s="12">
        <v>0</v>
      </c>
      <c r="M528" s="12" t="s">
        <v>2237</v>
      </c>
      <c r="N528" s="8">
        <v>1945666.61</v>
      </c>
      <c r="O528" s="12" t="s">
        <v>2237</v>
      </c>
      <c r="P528" s="12" t="s">
        <v>2236</v>
      </c>
      <c r="Q528" s="10" t="s">
        <v>2242</v>
      </c>
      <c r="R528" s="10" t="s">
        <v>2238</v>
      </c>
      <c r="S528" s="10" t="s">
        <v>2243</v>
      </c>
      <c r="T528" s="10" t="s">
        <v>2844</v>
      </c>
      <c r="U5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2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2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29" spans="1:31" hidden="1" x14ac:dyDescent="0.3">
      <c r="A529" s="12" t="s">
        <v>2246</v>
      </c>
      <c r="B529" s="12" t="s">
        <v>21</v>
      </c>
      <c r="C529" s="12" t="s">
        <v>269</v>
      </c>
      <c r="D529" s="12" t="s">
        <v>1774</v>
      </c>
      <c r="E529" s="12" t="s">
        <v>2842</v>
      </c>
      <c r="F529" s="8">
        <v>15604</v>
      </c>
      <c r="G529" s="12" t="s">
        <v>2237</v>
      </c>
      <c r="H529" s="12">
        <v>15604</v>
      </c>
      <c r="I529" s="12" t="s">
        <v>2237</v>
      </c>
      <c r="J529" s="12">
        <v>0</v>
      </c>
      <c r="K529" s="12" t="s">
        <v>2237</v>
      </c>
      <c r="L529" s="12">
        <v>0</v>
      </c>
      <c r="M529" s="12" t="s">
        <v>2237</v>
      </c>
      <c r="N529" s="8">
        <v>5049.74</v>
      </c>
      <c r="O529" s="12" t="s">
        <v>2237</v>
      </c>
      <c r="P529" s="12" t="s">
        <v>2236</v>
      </c>
      <c r="Q529" s="10" t="s">
        <v>2242</v>
      </c>
      <c r="R529" s="10" t="s">
        <v>2238</v>
      </c>
      <c r="S529" s="10" t="s">
        <v>2243</v>
      </c>
      <c r="T529" s="10" t="s">
        <v>2642</v>
      </c>
      <c r="U5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2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2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E530-3012982-D225301</v>
      </c>
      <c r="X5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2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29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5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0" spans="1:31" hidden="1" x14ac:dyDescent="0.3">
      <c r="A530" s="12" t="s">
        <v>2247</v>
      </c>
      <c r="B530" s="12" t="s">
        <v>26</v>
      </c>
      <c r="C530" s="12" t="s">
        <v>1033</v>
      </c>
      <c r="D530" s="12" t="s">
        <v>1775</v>
      </c>
      <c r="E530" s="12" t="s">
        <v>2842</v>
      </c>
      <c r="F530" s="8">
        <v>7925</v>
      </c>
      <c r="G530" s="12" t="s">
        <v>2237</v>
      </c>
      <c r="H530" s="12">
        <v>7925</v>
      </c>
      <c r="I530" s="12" t="s">
        <v>2237</v>
      </c>
      <c r="J530" s="12">
        <v>0</v>
      </c>
      <c r="K530" s="12" t="s">
        <v>2237</v>
      </c>
      <c r="L530" s="12">
        <v>0</v>
      </c>
      <c r="M530" s="12" t="s">
        <v>2237</v>
      </c>
      <c r="N530" s="8">
        <v>0</v>
      </c>
      <c r="O530" s="12" t="s">
        <v>2237</v>
      </c>
      <c r="P530" s="12" t="s">
        <v>2236</v>
      </c>
      <c r="Q530" s="10" t="s">
        <v>2242</v>
      </c>
      <c r="R530" s="10" t="s">
        <v>2238</v>
      </c>
      <c r="S530" s="10" t="s">
        <v>2243</v>
      </c>
      <c r="T530" s="10" t="s">
        <v>2642</v>
      </c>
      <c r="U5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3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3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E530-3012982-D225301</v>
      </c>
      <c r="X53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E530-301298265-D225301</v>
      </c>
      <c r="Y5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3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30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530" s="10" t="str">
        <f>IF(IFERROR(INDEX(WBS_Dictionary!L$2:L$1212, MATCH(Table2[[#This Row],[WBS_ID]], Table26[WBS CODE],0)), "") = "", "null", IFERROR(INDEX(WBS_Dictionary!L$2:L$1212, MATCH(Table2[[#This Row],[WBS_ID]], Table26[WBS CODE],0)), ""))</f>
        <v>Internet and IT Support Service</v>
      </c>
      <c r="AC5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1" spans="1:31" hidden="1" x14ac:dyDescent="0.3">
      <c r="A531" s="12" t="s">
        <v>2248</v>
      </c>
      <c r="B531" s="12" t="s">
        <v>30</v>
      </c>
      <c r="C531" s="12" t="s">
        <v>1033</v>
      </c>
      <c r="D531" s="12" t="s">
        <v>1776</v>
      </c>
      <c r="E531" s="12" t="s">
        <v>2842</v>
      </c>
      <c r="F531" s="8">
        <v>0</v>
      </c>
      <c r="G531" s="12" t="s">
        <v>2237</v>
      </c>
      <c r="H531" s="12">
        <v>0</v>
      </c>
      <c r="I531" s="12" t="s">
        <v>2237</v>
      </c>
      <c r="J531" s="12">
        <v>0</v>
      </c>
      <c r="K531" s="12" t="s">
        <v>2237</v>
      </c>
      <c r="L531" s="12">
        <v>0</v>
      </c>
      <c r="M531" s="12" t="s">
        <v>2237</v>
      </c>
      <c r="N531" s="8">
        <v>0</v>
      </c>
      <c r="O531" s="12" t="s">
        <v>2237</v>
      </c>
      <c r="P531" s="12" t="s">
        <v>2236</v>
      </c>
      <c r="Q531" s="10" t="s">
        <v>2242</v>
      </c>
      <c r="R531" s="10" t="s">
        <v>2238</v>
      </c>
      <c r="S531" s="10" t="s">
        <v>2243</v>
      </c>
      <c r="T531" s="10" t="s">
        <v>2645</v>
      </c>
      <c r="U5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3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3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E530-3012982-D225301</v>
      </c>
      <c r="X53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E530-301298265-D225301</v>
      </c>
      <c r="Y53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E530-30129826504-D225301</v>
      </c>
      <c r="Z53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31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531" s="10" t="str">
        <f>IF(IFERROR(INDEX(WBS_Dictionary!L$2:L$1212, MATCH(Table2[[#This Row],[WBS_ID]], Table26[WBS CODE],0)), "") = "", "null", IFERROR(INDEX(WBS_Dictionary!L$2:L$1212, MATCH(Table2[[#This Row],[WBS_ID]], Table26[WBS CODE],0)), ""))</f>
        <v>Internet and IT Support Service</v>
      </c>
      <c r="AC531" s="10" t="str">
        <f>IF(IFERROR(INDEX(WBS_Dictionary!M$2:M$1212, MATCH(Table2[[#This Row],[WBS_ID]], Table26[WBS CODE],0)), "") = "", "null", IFERROR(INDEX(WBS_Dictionary!M$2:M$1212, MATCH(Table2[[#This Row],[WBS_ID]], Table26[WBS CODE],0)), ""))</f>
        <v>Internet and IT Support Service</v>
      </c>
      <c r="AD5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2" spans="1:31" hidden="1" x14ac:dyDescent="0.3">
      <c r="A532" s="12" t="s">
        <v>2250</v>
      </c>
      <c r="B532" s="12" t="s">
        <v>26</v>
      </c>
      <c r="C532" s="12" t="s">
        <v>266</v>
      </c>
      <c r="D532" s="12" t="s">
        <v>1777</v>
      </c>
      <c r="E532" s="12" t="s">
        <v>2842</v>
      </c>
      <c r="F532" s="8">
        <v>7679</v>
      </c>
      <c r="G532" s="12" t="s">
        <v>2237</v>
      </c>
      <c r="H532" s="12">
        <v>7679</v>
      </c>
      <c r="I532" s="12" t="s">
        <v>2237</v>
      </c>
      <c r="J532" s="12">
        <v>0</v>
      </c>
      <c r="K532" s="12" t="s">
        <v>2237</v>
      </c>
      <c r="L532" s="12">
        <v>0</v>
      </c>
      <c r="M532" s="12" t="s">
        <v>2237</v>
      </c>
      <c r="N532" s="8">
        <v>5049.74</v>
      </c>
      <c r="O532" s="12" t="s">
        <v>2237</v>
      </c>
      <c r="P532" s="12" t="s">
        <v>2236</v>
      </c>
      <c r="Q532" s="10" t="s">
        <v>2242</v>
      </c>
      <c r="R532" s="10" t="s">
        <v>2238</v>
      </c>
      <c r="S532" s="10" t="s">
        <v>2243</v>
      </c>
      <c r="T532" s="10" t="s">
        <v>2642</v>
      </c>
      <c r="U5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3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3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E530-3012982-D225301</v>
      </c>
      <c r="X53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E530-301298264-D225301</v>
      </c>
      <c r="Y5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3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32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532" s="10" t="str">
        <f>IF(IFERROR(INDEX(WBS_Dictionary!L$2:L$1212, MATCH(Table2[[#This Row],[WBS_ID]], Table26[WBS CODE],0)), "") = "", "null", IFERROR(INDEX(WBS_Dictionary!L$2:L$1212, MATCH(Table2[[#This Row],[WBS_ID]], Table26[WBS CODE],0)), ""))</f>
        <v>Hardware Supply</v>
      </c>
      <c r="AC5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3" spans="1:31" hidden="1" x14ac:dyDescent="0.3">
      <c r="A533" s="12" t="s">
        <v>2251</v>
      </c>
      <c r="B533" s="12" t="s">
        <v>30</v>
      </c>
      <c r="C533" s="12" t="s">
        <v>266</v>
      </c>
      <c r="D533" s="12" t="s">
        <v>1778</v>
      </c>
      <c r="E533" s="12" t="s">
        <v>2842</v>
      </c>
      <c r="F533" s="8">
        <v>0</v>
      </c>
      <c r="G533" s="12" t="s">
        <v>2237</v>
      </c>
      <c r="H533" s="12">
        <v>0</v>
      </c>
      <c r="I533" s="12" t="s">
        <v>2237</v>
      </c>
      <c r="J533" s="12">
        <v>0</v>
      </c>
      <c r="K533" s="12" t="s">
        <v>2237</v>
      </c>
      <c r="L533" s="12">
        <v>0</v>
      </c>
      <c r="M533" s="12" t="s">
        <v>2237</v>
      </c>
      <c r="N533" s="8">
        <v>5049.74</v>
      </c>
      <c r="O533" s="12" t="s">
        <v>2237</v>
      </c>
      <c r="P533" s="12" t="s">
        <v>2236</v>
      </c>
      <c r="Q533" s="10" t="s">
        <v>2242</v>
      </c>
      <c r="R533" s="10" t="s">
        <v>2238</v>
      </c>
      <c r="S533" s="10" t="s">
        <v>2243</v>
      </c>
      <c r="T533" s="10" t="s">
        <v>2645</v>
      </c>
      <c r="U5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3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3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E530-3012982-D225301</v>
      </c>
      <c r="X53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E530-301298264-D225301</v>
      </c>
      <c r="Y533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E530-30129826460-D225301</v>
      </c>
      <c r="Z53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33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533" s="10" t="str">
        <f>IF(IFERROR(INDEX(WBS_Dictionary!L$2:L$1212, MATCH(Table2[[#This Row],[WBS_ID]], Table26[WBS CODE],0)), "") = "", "null", IFERROR(INDEX(WBS_Dictionary!L$2:L$1212, MATCH(Table2[[#This Row],[WBS_ID]], Table26[WBS CODE],0)), ""))</f>
        <v>Hardware Supply</v>
      </c>
      <c r="AC533" s="10" t="str">
        <f>IF(IFERROR(INDEX(WBS_Dictionary!M$2:M$1212, MATCH(Table2[[#This Row],[WBS_ID]], Table26[WBS CODE],0)), "") = "", "null", IFERROR(INDEX(WBS_Dictionary!M$2:M$1212, MATCH(Table2[[#This Row],[WBS_ID]], Table26[WBS CODE],0)), ""))</f>
        <v>Hardware Supply</v>
      </c>
      <c r="AD5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4" spans="1:31" hidden="1" x14ac:dyDescent="0.3">
      <c r="A534" s="12" t="s">
        <v>2252</v>
      </c>
      <c r="B534" s="12" t="s">
        <v>21</v>
      </c>
      <c r="C534" s="12" t="s">
        <v>273</v>
      </c>
      <c r="D534" s="12" t="s">
        <v>1779</v>
      </c>
      <c r="E534" s="12" t="s">
        <v>2842</v>
      </c>
      <c r="F534" s="8">
        <v>141559</v>
      </c>
      <c r="G534" s="12" t="s">
        <v>2237</v>
      </c>
      <c r="H534" s="12">
        <v>141559</v>
      </c>
      <c r="I534" s="12" t="s">
        <v>2237</v>
      </c>
      <c r="J534" s="12">
        <v>0</v>
      </c>
      <c r="K534" s="12" t="s">
        <v>2237</v>
      </c>
      <c r="L534" s="12">
        <v>0</v>
      </c>
      <c r="M534" s="12" t="s">
        <v>2237</v>
      </c>
      <c r="N534" s="8">
        <v>111242.84</v>
      </c>
      <c r="O534" s="12" t="s">
        <v>2237</v>
      </c>
      <c r="P534" s="12" t="s">
        <v>2236</v>
      </c>
      <c r="Q534" s="10" t="s">
        <v>2242</v>
      </c>
      <c r="R534" s="10" t="s">
        <v>2238</v>
      </c>
      <c r="S534" s="10" t="s">
        <v>2243</v>
      </c>
      <c r="T534" s="10" t="s">
        <v>2642</v>
      </c>
      <c r="U5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3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3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E530-3012914-D225301</v>
      </c>
      <c r="X5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3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34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5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5" spans="1:31" hidden="1" x14ac:dyDescent="0.3">
      <c r="A535" s="12" t="s">
        <v>2253</v>
      </c>
      <c r="B535" s="12" t="s">
        <v>26</v>
      </c>
      <c r="C535" s="12" t="s">
        <v>273</v>
      </c>
      <c r="D535" s="12" t="s">
        <v>1780</v>
      </c>
      <c r="E535" s="12" t="s">
        <v>2842</v>
      </c>
      <c r="F535" s="8">
        <v>141559</v>
      </c>
      <c r="G535" s="12" t="s">
        <v>2237</v>
      </c>
      <c r="H535" s="12">
        <v>141559</v>
      </c>
      <c r="I535" s="12" t="s">
        <v>2237</v>
      </c>
      <c r="J535" s="12">
        <v>0</v>
      </c>
      <c r="K535" s="12" t="s">
        <v>2237</v>
      </c>
      <c r="L535" s="12">
        <v>0</v>
      </c>
      <c r="M535" s="12" t="s">
        <v>2237</v>
      </c>
      <c r="N535" s="8">
        <v>111242.84</v>
      </c>
      <c r="O535" s="12" t="s">
        <v>2237</v>
      </c>
      <c r="P535" s="12" t="s">
        <v>2236</v>
      </c>
      <c r="Q535" s="10" t="s">
        <v>2242</v>
      </c>
      <c r="R535" s="10" t="s">
        <v>2238</v>
      </c>
      <c r="S535" s="10" t="s">
        <v>2243</v>
      </c>
      <c r="T535" s="10" t="s">
        <v>2642</v>
      </c>
      <c r="U5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3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3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E530-3012914-D225301</v>
      </c>
      <c r="X53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E530-301291463-D225301</v>
      </c>
      <c r="Y5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3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35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535" s="10" t="str">
        <f>IF(IFERROR(INDEX(WBS_Dictionary!L$2:L$1212, MATCH(Table2[[#This Row],[WBS_ID]], Table26[WBS CODE],0)), "") = "", "null", IFERROR(INDEX(WBS_Dictionary!L$2:L$1212, MATCH(Table2[[#This Row],[WBS_ID]], Table26[WBS CODE],0)), ""))</f>
        <v>Drilling Facilities Support</v>
      </c>
      <c r="AC5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6" spans="1:31" hidden="1" x14ac:dyDescent="0.3">
      <c r="A536" s="12" t="s">
        <v>2254</v>
      </c>
      <c r="B536" s="12" t="s">
        <v>30</v>
      </c>
      <c r="C536" s="12" t="s">
        <v>273</v>
      </c>
      <c r="D536" s="12" t="s">
        <v>1781</v>
      </c>
      <c r="E536" s="12" t="s">
        <v>2842</v>
      </c>
      <c r="F536" s="8">
        <v>0</v>
      </c>
      <c r="G536" s="12" t="s">
        <v>2237</v>
      </c>
      <c r="H536" s="12">
        <v>0</v>
      </c>
      <c r="I536" s="12" t="s">
        <v>2237</v>
      </c>
      <c r="J536" s="12">
        <v>0</v>
      </c>
      <c r="K536" s="12" t="s">
        <v>2237</v>
      </c>
      <c r="L536" s="12">
        <v>0</v>
      </c>
      <c r="M536" s="12" t="s">
        <v>2237</v>
      </c>
      <c r="N536" s="8">
        <v>111242.84</v>
      </c>
      <c r="O536" s="12" t="s">
        <v>2237</v>
      </c>
      <c r="P536" s="12" t="s">
        <v>2236</v>
      </c>
      <c r="Q536" s="10" t="s">
        <v>2242</v>
      </c>
      <c r="R536" s="10" t="s">
        <v>2238</v>
      </c>
      <c r="S536" s="10" t="s">
        <v>2243</v>
      </c>
      <c r="T536" s="10" t="s">
        <v>2645</v>
      </c>
      <c r="U5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53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53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E530-3012914-D225301</v>
      </c>
      <c r="X53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E530-301291463-D225301</v>
      </c>
      <c r="Y536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E530-30129146321-D225301</v>
      </c>
      <c r="Z53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536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536" s="10" t="str">
        <f>IF(IFERROR(INDEX(WBS_Dictionary!L$2:L$1212, MATCH(Table2[[#This Row],[WBS_ID]], Table26[WBS CODE],0)), "") = "", "null", IFERROR(INDEX(WBS_Dictionary!L$2:L$1212, MATCH(Table2[[#This Row],[WBS_ID]], Table26[WBS CODE],0)), ""))</f>
        <v>Drilling Facilities Support</v>
      </c>
      <c r="AC536" s="10" t="str">
        <f>IF(IFERROR(INDEX(WBS_Dictionary!M$2:M$1212, MATCH(Table2[[#This Row],[WBS_ID]], Table26[WBS CODE],0)), "") = "", "null", IFERROR(INDEX(WBS_Dictionary!M$2:M$1212, MATCH(Table2[[#This Row],[WBS_ID]], Table26[WBS CODE],0)), ""))</f>
        <v>Drilling Facilities Support</v>
      </c>
      <c r="AD5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7" spans="1:31" hidden="1" x14ac:dyDescent="0.3">
      <c r="A537" s="12" t="s">
        <v>2255</v>
      </c>
      <c r="B537" s="12" t="s">
        <v>2366</v>
      </c>
      <c r="C537" s="12" t="s">
        <v>2845</v>
      </c>
      <c r="D537" s="12" t="s">
        <v>2846</v>
      </c>
      <c r="E537" s="12" t="s">
        <v>2236</v>
      </c>
      <c r="F537" s="8">
        <v>0</v>
      </c>
      <c r="G537" s="12" t="s">
        <v>2237</v>
      </c>
      <c r="H537" s="12">
        <v>0</v>
      </c>
      <c r="I537" s="12" t="s">
        <v>2237</v>
      </c>
      <c r="J537" s="12">
        <v>0</v>
      </c>
      <c r="K537" s="12" t="s">
        <v>2237</v>
      </c>
      <c r="L537" s="12">
        <v>0</v>
      </c>
      <c r="M537" s="12" t="s">
        <v>2237</v>
      </c>
      <c r="N537" s="8">
        <v>1.86</v>
      </c>
      <c r="O537" s="12" t="s">
        <v>2237</v>
      </c>
      <c r="P537" s="12" t="s">
        <v>2236</v>
      </c>
      <c r="Q537" s="10" t="s">
        <v>2236</v>
      </c>
      <c r="R537" s="10" t="s">
        <v>2236</v>
      </c>
      <c r="S537" s="10" t="s">
        <v>2236</v>
      </c>
      <c r="T537" s="10" t="s">
        <v>2847</v>
      </c>
      <c r="U5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8" spans="1:31" hidden="1" x14ac:dyDescent="0.3">
      <c r="A538" s="12" t="s">
        <v>2257</v>
      </c>
      <c r="B538" s="12" t="s">
        <v>2371</v>
      </c>
      <c r="C538" s="12" t="s">
        <v>2848</v>
      </c>
      <c r="D538" s="12" t="s">
        <v>2849</v>
      </c>
      <c r="E538" s="12" t="s">
        <v>2236</v>
      </c>
      <c r="F538" s="8">
        <v>0</v>
      </c>
      <c r="G538" s="12" t="s">
        <v>2237</v>
      </c>
      <c r="H538" s="12">
        <v>0</v>
      </c>
      <c r="I538" s="12" t="s">
        <v>2237</v>
      </c>
      <c r="J538" s="12">
        <v>0</v>
      </c>
      <c r="K538" s="12" t="s">
        <v>2237</v>
      </c>
      <c r="L538" s="12">
        <v>0</v>
      </c>
      <c r="M538" s="12" t="s">
        <v>2237</v>
      </c>
      <c r="N538" s="8">
        <v>0</v>
      </c>
      <c r="O538" s="12" t="s">
        <v>2237</v>
      </c>
      <c r="P538" s="12" t="s">
        <v>2236</v>
      </c>
      <c r="Q538" s="10" t="s">
        <v>2236</v>
      </c>
      <c r="R538" s="10" t="s">
        <v>2236</v>
      </c>
      <c r="S538" s="10" t="s">
        <v>2236</v>
      </c>
      <c r="T538" s="10" t="s">
        <v>2236</v>
      </c>
      <c r="U5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39" spans="1:31" hidden="1" x14ac:dyDescent="0.3">
      <c r="A539" s="12" t="s">
        <v>2259</v>
      </c>
      <c r="B539" s="12" t="s">
        <v>2371</v>
      </c>
      <c r="C539" s="12" t="s">
        <v>2850</v>
      </c>
      <c r="D539" s="12" t="s">
        <v>2851</v>
      </c>
      <c r="E539" s="12" t="s">
        <v>2236</v>
      </c>
      <c r="F539" s="8">
        <v>0</v>
      </c>
      <c r="G539" s="12" t="s">
        <v>2237</v>
      </c>
      <c r="H539" s="12">
        <v>0</v>
      </c>
      <c r="I539" s="12" t="s">
        <v>2237</v>
      </c>
      <c r="J539" s="12">
        <v>0</v>
      </c>
      <c r="K539" s="12" t="s">
        <v>2237</v>
      </c>
      <c r="L539" s="12">
        <v>0</v>
      </c>
      <c r="M539" s="12" t="s">
        <v>2237</v>
      </c>
      <c r="N539" s="8">
        <v>0</v>
      </c>
      <c r="O539" s="12" t="s">
        <v>2237</v>
      </c>
      <c r="P539" s="12" t="s">
        <v>2236</v>
      </c>
      <c r="Q539" s="10" t="s">
        <v>2236</v>
      </c>
      <c r="R539" s="10" t="s">
        <v>2236</v>
      </c>
      <c r="S539" s="10" t="s">
        <v>2236</v>
      </c>
      <c r="T539" s="10" t="s">
        <v>2236</v>
      </c>
      <c r="U5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0" spans="1:31" hidden="1" x14ac:dyDescent="0.3">
      <c r="A540" s="12" t="s">
        <v>2260</v>
      </c>
      <c r="B540" s="12" t="s">
        <v>2371</v>
      </c>
      <c r="C540" s="12" t="s">
        <v>2852</v>
      </c>
      <c r="D540" s="12" t="s">
        <v>2853</v>
      </c>
      <c r="E540" s="12" t="s">
        <v>2236</v>
      </c>
      <c r="F540" s="8">
        <v>0</v>
      </c>
      <c r="G540" s="12" t="s">
        <v>2237</v>
      </c>
      <c r="H540" s="12">
        <v>0</v>
      </c>
      <c r="I540" s="12" t="s">
        <v>2237</v>
      </c>
      <c r="J540" s="12">
        <v>0</v>
      </c>
      <c r="K540" s="12" t="s">
        <v>2237</v>
      </c>
      <c r="L540" s="12">
        <v>0</v>
      </c>
      <c r="M540" s="12" t="s">
        <v>2237</v>
      </c>
      <c r="N540" s="8">
        <v>0</v>
      </c>
      <c r="O540" s="12" t="s">
        <v>2237</v>
      </c>
      <c r="P540" s="12" t="s">
        <v>2236</v>
      </c>
      <c r="Q540" s="10" t="s">
        <v>2236</v>
      </c>
      <c r="R540" s="10" t="s">
        <v>2236</v>
      </c>
      <c r="S540" s="10" t="s">
        <v>2236</v>
      </c>
      <c r="T540" s="10" t="s">
        <v>2236</v>
      </c>
      <c r="U5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1" spans="1:31" hidden="1" x14ac:dyDescent="0.3">
      <c r="A541" s="12" t="s">
        <v>2261</v>
      </c>
      <c r="B541" s="12" t="s">
        <v>2371</v>
      </c>
      <c r="C541" s="12" t="s">
        <v>2854</v>
      </c>
      <c r="D541" s="12" t="s">
        <v>2855</v>
      </c>
      <c r="E541" s="12" t="s">
        <v>2236</v>
      </c>
      <c r="F541" s="8">
        <v>0</v>
      </c>
      <c r="G541" s="12" t="s">
        <v>2237</v>
      </c>
      <c r="H541" s="12">
        <v>0</v>
      </c>
      <c r="I541" s="12" t="s">
        <v>2237</v>
      </c>
      <c r="J541" s="12">
        <v>0</v>
      </c>
      <c r="K541" s="12" t="s">
        <v>2237</v>
      </c>
      <c r="L541" s="12">
        <v>0</v>
      </c>
      <c r="M541" s="12" t="s">
        <v>2237</v>
      </c>
      <c r="N541" s="8">
        <v>0</v>
      </c>
      <c r="O541" s="12" t="s">
        <v>2237</v>
      </c>
      <c r="P541" s="12" t="s">
        <v>2236</v>
      </c>
      <c r="Q541" s="10" t="s">
        <v>2236</v>
      </c>
      <c r="R541" s="10" t="s">
        <v>2236</v>
      </c>
      <c r="S541" s="10" t="s">
        <v>2236</v>
      </c>
      <c r="T541" s="10" t="s">
        <v>2236</v>
      </c>
      <c r="U5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2" spans="1:31" hidden="1" x14ac:dyDescent="0.3">
      <c r="A542" s="12" t="s">
        <v>2262</v>
      </c>
      <c r="B542" s="12" t="s">
        <v>2371</v>
      </c>
      <c r="C542" s="12" t="s">
        <v>2856</v>
      </c>
      <c r="D542" s="12" t="s">
        <v>2857</v>
      </c>
      <c r="E542" s="12" t="s">
        <v>2236</v>
      </c>
      <c r="F542" s="8">
        <v>0</v>
      </c>
      <c r="G542" s="12" t="s">
        <v>2237</v>
      </c>
      <c r="H542" s="12">
        <v>0</v>
      </c>
      <c r="I542" s="12" t="s">
        <v>2237</v>
      </c>
      <c r="J542" s="12">
        <v>0</v>
      </c>
      <c r="K542" s="12" t="s">
        <v>2237</v>
      </c>
      <c r="L542" s="12">
        <v>0</v>
      </c>
      <c r="M542" s="12" t="s">
        <v>2237</v>
      </c>
      <c r="N542" s="8">
        <v>0</v>
      </c>
      <c r="O542" s="12" t="s">
        <v>2237</v>
      </c>
      <c r="P542" s="12" t="s">
        <v>2236</v>
      </c>
      <c r="Q542" s="10" t="s">
        <v>2236</v>
      </c>
      <c r="R542" s="10" t="s">
        <v>2236</v>
      </c>
      <c r="S542" s="10" t="s">
        <v>2236</v>
      </c>
      <c r="T542" s="10" t="s">
        <v>2236</v>
      </c>
      <c r="U5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3" spans="1:31" hidden="1" x14ac:dyDescent="0.3">
      <c r="A543" s="12" t="s">
        <v>2263</v>
      </c>
      <c r="B543" s="12" t="s">
        <v>2371</v>
      </c>
      <c r="C543" s="12" t="s">
        <v>2858</v>
      </c>
      <c r="D543" s="12" t="s">
        <v>2859</v>
      </c>
      <c r="E543" s="12" t="s">
        <v>2236</v>
      </c>
      <c r="F543" s="8">
        <v>0</v>
      </c>
      <c r="G543" s="12" t="s">
        <v>2237</v>
      </c>
      <c r="H543" s="12">
        <v>0</v>
      </c>
      <c r="I543" s="12" t="s">
        <v>2237</v>
      </c>
      <c r="J543" s="12">
        <v>0</v>
      </c>
      <c r="K543" s="12" t="s">
        <v>2237</v>
      </c>
      <c r="L543" s="12">
        <v>0</v>
      </c>
      <c r="M543" s="12" t="s">
        <v>2237</v>
      </c>
      <c r="N543" s="8">
        <v>0</v>
      </c>
      <c r="O543" s="12" t="s">
        <v>2237</v>
      </c>
      <c r="P543" s="12" t="s">
        <v>2236</v>
      </c>
      <c r="Q543" s="10" t="s">
        <v>2236</v>
      </c>
      <c r="R543" s="10" t="s">
        <v>2236</v>
      </c>
      <c r="S543" s="10" t="s">
        <v>2236</v>
      </c>
      <c r="T543" s="10" t="s">
        <v>2236</v>
      </c>
      <c r="U5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4" spans="1:31" hidden="1" x14ac:dyDescent="0.3">
      <c r="A544" s="12" t="s">
        <v>2265</v>
      </c>
      <c r="B544" s="12" t="s">
        <v>2371</v>
      </c>
      <c r="C544" s="12" t="s">
        <v>2860</v>
      </c>
      <c r="D544" s="12" t="s">
        <v>2861</v>
      </c>
      <c r="E544" s="12" t="s">
        <v>2236</v>
      </c>
      <c r="F544" s="8">
        <v>0</v>
      </c>
      <c r="G544" s="12" t="s">
        <v>2237</v>
      </c>
      <c r="H544" s="12">
        <v>0</v>
      </c>
      <c r="I544" s="12" t="s">
        <v>2237</v>
      </c>
      <c r="J544" s="12">
        <v>0</v>
      </c>
      <c r="K544" s="12" t="s">
        <v>2237</v>
      </c>
      <c r="L544" s="12">
        <v>0</v>
      </c>
      <c r="M544" s="12" t="s">
        <v>2237</v>
      </c>
      <c r="N544" s="8">
        <v>0</v>
      </c>
      <c r="O544" s="12" t="s">
        <v>2237</v>
      </c>
      <c r="P544" s="12" t="s">
        <v>2236</v>
      </c>
      <c r="Q544" s="10" t="s">
        <v>2236</v>
      </c>
      <c r="R544" s="10" t="s">
        <v>2236</v>
      </c>
      <c r="S544" s="10" t="s">
        <v>2236</v>
      </c>
      <c r="T544" s="10" t="s">
        <v>2236</v>
      </c>
      <c r="U5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5" spans="1:31" hidden="1" x14ac:dyDescent="0.3">
      <c r="A545" s="12" t="s">
        <v>2266</v>
      </c>
      <c r="B545" s="12" t="s">
        <v>2371</v>
      </c>
      <c r="C545" s="12" t="s">
        <v>2862</v>
      </c>
      <c r="D545" s="12" t="s">
        <v>2863</v>
      </c>
      <c r="E545" s="12" t="s">
        <v>2236</v>
      </c>
      <c r="F545" s="8">
        <v>0</v>
      </c>
      <c r="G545" s="12" t="s">
        <v>2237</v>
      </c>
      <c r="H545" s="12">
        <v>0</v>
      </c>
      <c r="I545" s="12" t="s">
        <v>2237</v>
      </c>
      <c r="J545" s="12">
        <v>0</v>
      </c>
      <c r="K545" s="12" t="s">
        <v>2237</v>
      </c>
      <c r="L545" s="12">
        <v>0</v>
      </c>
      <c r="M545" s="12" t="s">
        <v>2237</v>
      </c>
      <c r="N545" s="8">
        <v>0</v>
      </c>
      <c r="O545" s="12" t="s">
        <v>2237</v>
      </c>
      <c r="P545" s="12" t="s">
        <v>2236</v>
      </c>
      <c r="Q545" s="10" t="s">
        <v>2236</v>
      </c>
      <c r="R545" s="10" t="s">
        <v>2236</v>
      </c>
      <c r="S545" s="10" t="s">
        <v>2236</v>
      </c>
      <c r="T545" s="10" t="s">
        <v>2236</v>
      </c>
      <c r="U5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6" spans="1:31" hidden="1" x14ac:dyDescent="0.3">
      <c r="A546" s="12" t="s">
        <v>2267</v>
      </c>
      <c r="B546" s="12" t="s">
        <v>2366</v>
      </c>
      <c r="C546" s="12" t="s">
        <v>2864</v>
      </c>
      <c r="D546" s="12" t="s">
        <v>2865</v>
      </c>
      <c r="E546" s="12" t="s">
        <v>2236</v>
      </c>
      <c r="F546" s="8">
        <v>0</v>
      </c>
      <c r="G546" s="12" t="s">
        <v>2237</v>
      </c>
      <c r="H546" s="12">
        <v>0</v>
      </c>
      <c r="I546" s="12" t="s">
        <v>2237</v>
      </c>
      <c r="J546" s="12">
        <v>0</v>
      </c>
      <c r="K546" s="12" t="s">
        <v>2237</v>
      </c>
      <c r="L546" s="12">
        <v>0</v>
      </c>
      <c r="M546" s="12" t="s">
        <v>2237</v>
      </c>
      <c r="N546" s="8">
        <v>575.45000000000005</v>
      </c>
      <c r="O546" s="12" t="s">
        <v>2237</v>
      </c>
      <c r="P546" s="12" t="s">
        <v>2236</v>
      </c>
      <c r="Q546" s="10" t="s">
        <v>2236</v>
      </c>
      <c r="R546" s="10" t="s">
        <v>2236</v>
      </c>
      <c r="S546" s="10" t="s">
        <v>2236</v>
      </c>
      <c r="T546" s="10" t="s">
        <v>2866</v>
      </c>
      <c r="U5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7" spans="1:31" hidden="1" x14ac:dyDescent="0.3">
      <c r="A547" s="12" t="s">
        <v>2268</v>
      </c>
      <c r="B547" s="12" t="s">
        <v>2371</v>
      </c>
      <c r="C547" s="12" t="s">
        <v>2867</v>
      </c>
      <c r="D547" s="12" t="s">
        <v>2868</v>
      </c>
      <c r="E547" s="12" t="s">
        <v>2236</v>
      </c>
      <c r="F547" s="8">
        <v>0</v>
      </c>
      <c r="G547" s="12" t="s">
        <v>2237</v>
      </c>
      <c r="H547" s="12">
        <v>0</v>
      </c>
      <c r="I547" s="12" t="s">
        <v>2237</v>
      </c>
      <c r="J547" s="12">
        <v>0</v>
      </c>
      <c r="K547" s="12" t="s">
        <v>2237</v>
      </c>
      <c r="L547" s="12">
        <v>0</v>
      </c>
      <c r="M547" s="12" t="s">
        <v>2237</v>
      </c>
      <c r="N547" s="8">
        <v>0</v>
      </c>
      <c r="O547" s="12" t="s">
        <v>2237</v>
      </c>
      <c r="P547" s="12" t="s">
        <v>2236</v>
      </c>
      <c r="Q547" s="10" t="s">
        <v>2236</v>
      </c>
      <c r="R547" s="10" t="s">
        <v>2236</v>
      </c>
      <c r="S547" s="10" t="s">
        <v>2236</v>
      </c>
      <c r="T547" s="10" t="s">
        <v>2236</v>
      </c>
      <c r="U5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8" spans="1:31" hidden="1" x14ac:dyDescent="0.3">
      <c r="A548" s="12" t="s">
        <v>2269</v>
      </c>
      <c r="B548" s="12" t="s">
        <v>2371</v>
      </c>
      <c r="C548" s="12" t="s">
        <v>2869</v>
      </c>
      <c r="D548" s="12" t="s">
        <v>2870</v>
      </c>
      <c r="E548" s="12" t="s">
        <v>2236</v>
      </c>
      <c r="F548" s="8">
        <v>0</v>
      </c>
      <c r="G548" s="12" t="s">
        <v>2237</v>
      </c>
      <c r="H548" s="12">
        <v>0</v>
      </c>
      <c r="I548" s="12" t="s">
        <v>2237</v>
      </c>
      <c r="J548" s="12">
        <v>0</v>
      </c>
      <c r="K548" s="12" t="s">
        <v>2237</v>
      </c>
      <c r="L548" s="12">
        <v>0</v>
      </c>
      <c r="M548" s="12" t="s">
        <v>2237</v>
      </c>
      <c r="N548" s="8">
        <v>0</v>
      </c>
      <c r="O548" s="12" t="s">
        <v>2237</v>
      </c>
      <c r="P548" s="12" t="s">
        <v>2236</v>
      </c>
      <c r="Q548" s="10" t="s">
        <v>2236</v>
      </c>
      <c r="R548" s="10" t="s">
        <v>2236</v>
      </c>
      <c r="S548" s="10" t="s">
        <v>2236</v>
      </c>
      <c r="T548" s="10" t="s">
        <v>2236</v>
      </c>
      <c r="U5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49" spans="1:31" hidden="1" x14ac:dyDescent="0.3">
      <c r="A549" s="12" t="s">
        <v>2271</v>
      </c>
      <c r="B549" s="12" t="s">
        <v>2371</v>
      </c>
      <c r="C549" s="12" t="s">
        <v>2871</v>
      </c>
      <c r="D549" s="12" t="s">
        <v>2872</v>
      </c>
      <c r="E549" s="12" t="s">
        <v>2236</v>
      </c>
      <c r="F549" s="8">
        <v>0</v>
      </c>
      <c r="G549" s="12" t="s">
        <v>2237</v>
      </c>
      <c r="H549" s="12">
        <v>0</v>
      </c>
      <c r="I549" s="12" t="s">
        <v>2237</v>
      </c>
      <c r="J549" s="12">
        <v>0</v>
      </c>
      <c r="K549" s="12" t="s">
        <v>2237</v>
      </c>
      <c r="L549" s="12">
        <v>0</v>
      </c>
      <c r="M549" s="12" t="s">
        <v>2237</v>
      </c>
      <c r="N549" s="8">
        <v>0</v>
      </c>
      <c r="O549" s="12" t="s">
        <v>2237</v>
      </c>
      <c r="P549" s="12" t="s">
        <v>2236</v>
      </c>
      <c r="Q549" s="10" t="s">
        <v>2236</v>
      </c>
      <c r="R549" s="10" t="s">
        <v>2236</v>
      </c>
      <c r="S549" s="10" t="s">
        <v>2236</v>
      </c>
      <c r="T549" s="10" t="s">
        <v>2236</v>
      </c>
      <c r="U5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0" spans="1:31" hidden="1" x14ac:dyDescent="0.3">
      <c r="A550" s="12" t="s">
        <v>2272</v>
      </c>
      <c r="B550" s="12" t="s">
        <v>2371</v>
      </c>
      <c r="C550" s="12" t="s">
        <v>2873</v>
      </c>
      <c r="D550" s="12" t="s">
        <v>2874</v>
      </c>
      <c r="E550" s="12" t="s">
        <v>2236</v>
      </c>
      <c r="F550" s="8">
        <v>0</v>
      </c>
      <c r="G550" s="12" t="s">
        <v>2237</v>
      </c>
      <c r="H550" s="12">
        <v>0</v>
      </c>
      <c r="I550" s="12" t="s">
        <v>2237</v>
      </c>
      <c r="J550" s="12">
        <v>0</v>
      </c>
      <c r="K550" s="12" t="s">
        <v>2237</v>
      </c>
      <c r="L550" s="12">
        <v>0</v>
      </c>
      <c r="M550" s="12" t="s">
        <v>2237</v>
      </c>
      <c r="N550" s="8">
        <v>0</v>
      </c>
      <c r="O550" s="12" t="s">
        <v>2237</v>
      </c>
      <c r="P550" s="12" t="s">
        <v>2236</v>
      </c>
      <c r="Q550" s="10" t="s">
        <v>2236</v>
      </c>
      <c r="R550" s="10" t="s">
        <v>2236</v>
      </c>
      <c r="S550" s="10" t="s">
        <v>2236</v>
      </c>
      <c r="T550" s="10" t="s">
        <v>2236</v>
      </c>
      <c r="U5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1" spans="1:31" hidden="1" x14ac:dyDescent="0.3">
      <c r="A551" s="12" t="s">
        <v>2273</v>
      </c>
      <c r="B551" s="12" t="s">
        <v>2366</v>
      </c>
      <c r="C551" s="12" t="s">
        <v>2875</v>
      </c>
      <c r="D551" s="12" t="s">
        <v>2876</v>
      </c>
      <c r="E551" s="12" t="s">
        <v>2236</v>
      </c>
      <c r="F551" s="8">
        <v>0</v>
      </c>
      <c r="G551" s="12" t="s">
        <v>2237</v>
      </c>
      <c r="H551" s="12">
        <v>0</v>
      </c>
      <c r="I551" s="12" t="s">
        <v>2237</v>
      </c>
      <c r="J551" s="12">
        <v>0</v>
      </c>
      <c r="K551" s="12" t="s">
        <v>2237</v>
      </c>
      <c r="L551" s="12">
        <v>0</v>
      </c>
      <c r="M551" s="12" t="s">
        <v>2237</v>
      </c>
      <c r="N551" s="8">
        <v>3548.47</v>
      </c>
      <c r="O551" s="12" t="s">
        <v>2237</v>
      </c>
      <c r="P551" s="12" t="s">
        <v>2236</v>
      </c>
      <c r="Q551" s="10" t="s">
        <v>2236</v>
      </c>
      <c r="R551" s="10" t="s">
        <v>2236</v>
      </c>
      <c r="S551" s="10" t="s">
        <v>2236</v>
      </c>
      <c r="T551" s="10" t="s">
        <v>2877</v>
      </c>
      <c r="U5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2" spans="1:31" hidden="1" x14ac:dyDescent="0.3">
      <c r="A552" s="12" t="s">
        <v>2275</v>
      </c>
      <c r="B552" s="12" t="s">
        <v>2371</v>
      </c>
      <c r="C552" s="12" t="s">
        <v>2878</v>
      </c>
      <c r="D552" s="12" t="s">
        <v>2879</v>
      </c>
      <c r="E552" s="12" t="s">
        <v>2236</v>
      </c>
      <c r="F552" s="8">
        <v>0</v>
      </c>
      <c r="G552" s="12" t="s">
        <v>2237</v>
      </c>
      <c r="H552" s="12">
        <v>0</v>
      </c>
      <c r="I552" s="12" t="s">
        <v>2237</v>
      </c>
      <c r="J552" s="12">
        <v>0</v>
      </c>
      <c r="K552" s="12" t="s">
        <v>2237</v>
      </c>
      <c r="L552" s="12">
        <v>0</v>
      </c>
      <c r="M552" s="12" t="s">
        <v>2237</v>
      </c>
      <c r="N552" s="8">
        <v>0</v>
      </c>
      <c r="O552" s="12" t="s">
        <v>2237</v>
      </c>
      <c r="P552" s="12" t="s">
        <v>2236</v>
      </c>
      <c r="Q552" s="10" t="s">
        <v>2236</v>
      </c>
      <c r="R552" s="10" t="s">
        <v>2236</v>
      </c>
      <c r="S552" s="10" t="s">
        <v>2236</v>
      </c>
      <c r="T552" s="10" t="s">
        <v>2236</v>
      </c>
      <c r="U5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3" spans="1:31" hidden="1" x14ac:dyDescent="0.3">
      <c r="A553" s="12" t="s">
        <v>2276</v>
      </c>
      <c r="B553" s="12" t="s">
        <v>2371</v>
      </c>
      <c r="C553" s="12" t="s">
        <v>2880</v>
      </c>
      <c r="D553" s="12" t="s">
        <v>2881</v>
      </c>
      <c r="E553" s="12" t="s">
        <v>2236</v>
      </c>
      <c r="F553" s="8">
        <v>0</v>
      </c>
      <c r="G553" s="12" t="s">
        <v>2237</v>
      </c>
      <c r="H553" s="12">
        <v>0</v>
      </c>
      <c r="I553" s="12" t="s">
        <v>2237</v>
      </c>
      <c r="J553" s="12">
        <v>0</v>
      </c>
      <c r="K553" s="12" t="s">
        <v>2237</v>
      </c>
      <c r="L553" s="12">
        <v>0</v>
      </c>
      <c r="M553" s="12" t="s">
        <v>2237</v>
      </c>
      <c r="N553" s="8">
        <v>0</v>
      </c>
      <c r="O553" s="12" t="s">
        <v>2237</v>
      </c>
      <c r="P553" s="12" t="s">
        <v>2236</v>
      </c>
      <c r="Q553" s="10" t="s">
        <v>2236</v>
      </c>
      <c r="R553" s="10" t="s">
        <v>2236</v>
      </c>
      <c r="S553" s="10" t="s">
        <v>2236</v>
      </c>
      <c r="T553" s="10" t="s">
        <v>2236</v>
      </c>
      <c r="U5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4" spans="1:31" hidden="1" x14ac:dyDescent="0.3">
      <c r="A554" s="12" t="s">
        <v>2277</v>
      </c>
      <c r="B554" s="12" t="s">
        <v>2371</v>
      </c>
      <c r="C554" s="12" t="s">
        <v>2882</v>
      </c>
      <c r="D554" s="12" t="s">
        <v>2883</v>
      </c>
      <c r="E554" s="12" t="s">
        <v>2236</v>
      </c>
      <c r="F554" s="8">
        <v>0</v>
      </c>
      <c r="G554" s="12" t="s">
        <v>2237</v>
      </c>
      <c r="H554" s="12">
        <v>0</v>
      </c>
      <c r="I554" s="12" t="s">
        <v>2237</v>
      </c>
      <c r="J554" s="12">
        <v>0</v>
      </c>
      <c r="K554" s="12" t="s">
        <v>2237</v>
      </c>
      <c r="L554" s="12">
        <v>0</v>
      </c>
      <c r="M554" s="12" t="s">
        <v>2237</v>
      </c>
      <c r="N554" s="8">
        <v>0</v>
      </c>
      <c r="O554" s="12" t="s">
        <v>2237</v>
      </c>
      <c r="P554" s="12" t="s">
        <v>2236</v>
      </c>
      <c r="Q554" s="10" t="s">
        <v>2236</v>
      </c>
      <c r="R554" s="10" t="s">
        <v>2236</v>
      </c>
      <c r="S554" s="10" t="s">
        <v>2236</v>
      </c>
      <c r="T554" s="10" t="s">
        <v>2236</v>
      </c>
      <c r="U5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5" spans="1:31" hidden="1" x14ac:dyDescent="0.3">
      <c r="A555" s="12" t="s">
        <v>2278</v>
      </c>
      <c r="B555" s="12" t="s">
        <v>2371</v>
      </c>
      <c r="C555" s="12" t="s">
        <v>2884</v>
      </c>
      <c r="D555" s="12" t="s">
        <v>2885</v>
      </c>
      <c r="E555" s="12" t="s">
        <v>2236</v>
      </c>
      <c r="F555" s="8">
        <v>0</v>
      </c>
      <c r="G555" s="12" t="s">
        <v>2237</v>
      </c>
      <c r="H555" s="12">
        <v>0</v>
      </c>
      <c r="I555" s="12" t="s">
        <v>2237</v>
      </c>
      <c r="J555" s="12">
        <v>0</v>
      </c>
      <c r="K555" s="12" t="s">
        <v>2237</v>
      </c>
      <c r="L555" s="12">
        <v>0</v>
      </c>
      <c r="M555" s="12" t="s">
        <v>2237</v>
      </c>
      <c r="N555" s="8">
        <v>0</v>
      </c>
      <c r="O555" s="12" t="s">
        <v>2237</v>
      </c>
      <c r="P555" s="12" t="s">
        <v>2236</v>
      </c>
      <c r="Q555" s="10" t="s">
        <v>2236</v>
      </c>
      <c r="R555" s="10" t="s">
        <v>2236</v>
      </c>
      <c r="S555" s="10" t="s">
        <v>2236</v>
      </c>
      <c r="T555" s="10" t="s">
        <v>2236</v>
      </c>
      <c r="U5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6" spans="1:31" hidden="1" x14ac:dyDescent="0.3">
      <c r="A556" s="12" t="s">
        <v>2279</v>
      </c>
      <c r="B556" s="12" t="s">
        <v>2371</v>
      </c>
      <c r="C556" s="12" t="s">
        <v>2886</v>
      </c>
      <c r="D556" s="12" t="s">
        <v>2887</v>
      </c>
      <c r="E556" s="12" t="s">
        <v>2236</v>
      </c>
      <c r="F556" s="8">
        <v>0</v>
      </c>
      <c r="G556" s="12" t="s">
        <v>2237</v>
      </c>
      <c r="H556" s="12">
        <v>0</v>
      </c>
      <c r="I556" s="12" t="s">
        <v>2237</v>
      </c>
      <c r="J556" s="12">
        <v>0</v>
      </c>
      <c r="K556" s="12" t="s">
        <v>2237</v>
      </c>
      <c r="L556" s="12">
        <v>0</v>
      </c>
      <c r="M556" s="12" t="s">
        <v>2237</v>
      </c>
      <c r="N556" s="8">
        <v>0</v>
      </c>
      <c r="O556" s="12" t="s">
        <v>2237</v>
      </c>
      <c r="P556" s="12" t="s">
        <v>2236</v>
      </c>
      <c r="Q556" s="10" t="s">
        <v>2236</v>
      </c>
      <c r="R556" s="10" t="s">
        <v>2236</v>
      </c>
      <c r="S556" s="10" t="s">
        <v>2236</v>
      </c>
      <c r="T556" s="10" t="s">
        <v>2236</v>
      </c>
      <c r="U5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7" spans="1:31" hidden="1" x14ac:dyDescent="0.3">
      <c r="A557" s="12" t="s">
        <v>2280</v>
      </c>
      <c r="B557" s="12" t="s">
        <v>2371</v>
      </c>
      <c r="C557" s="12" t="s">
        <v>2888</v>
      </c>
      <c r="D557" s="12" t="s">
        <v>2889</v>
      </c>
      <c r="E557" s="12" t="s">
        <v>2236</v>
      </c>
      <c r="F557" s="8">
        <v>0</v>
      </c>
      <c r="G557" s="12" t="s">
        <v>2237</v>
      </c>
      <c r="H557" s="12">
        <v>0</v>
      </c>
      <c r="I557" s="12" t="s">
        <v>2237</v>
      </c>
      <c r="J557" s="12">
        <v>0</v>
      </c>
      <c r="K557" s="12" t="s">
        <v>2237</v>
      </c>
      <c r="L557" s="12">
        <v>0</v>
      </c>
      <c r="M557" s="12" t="s">
        <v>2237</v>
      </c>
      <c r="N557" s="8">
        <v>0</v>
      </c>
      <c r="O557" s="12" t="s">
        <v>2237</v>
      </c>
      <c r="P557" s="12" t="s">
        <v>2236</v>
      </c>
      <c r="Q557" s="10" t="s">
        <v>2236</v>
      </c>
      <c r="R557" s="10" t="s">
        <v>2236</v>
      </c>
      <c r="S557" s="10" t="s">
        <v>2236</v>
      </c>
      <c r="T557" s="10" t="s">
        <v>2236</v>
      </c>
      <c r="U5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8" spans="1:31" hidden="1" x14ac:dyDescent="0.3">
      <c r="A558" s="12" t="s">
        <v>2281</v>
      </c>
      <c r="B558" s="12" t="s">
        <v>2371</v>
      </c>
      <c r="C558" s="12" t="s">
        <v>2890</v>
      </c>
      <c r="D558" s="12" t="s">
        <v>2891</v>
      </c>
      <c r="E558" s="12" t="s">
        <v>2236</v>
      </c>
      <c r="F558" s="8">
        <v>0</v>
      </c>
      <c r="G558" s="12" t="s">
        <v>2237</v>
      </c>
      <c r="H558" s="12">
        <v>0</v>
      </c>
      <c r="I558" s="12" t="s">
        <v>2237</v>
      </c>
      <c r="J558" s="12">
        <v>0</v>
      </c>
      <c r="K558" s="12" t="s">
        <v>2237</v>
      </c>
      <c r="L558" s="12">
        <v>0</v>
      </c>
      <c r="M558" s="12" t="s">
        <v>2237</v>
      </c>
      <c r="N558" s="8">
        <v>0</v>
      </c>
      <c r="O558" s="12" t="s">
        <v>2237</v>
      </c>
      <c r="P558" s="12" t="s">
        <v>2236</v>
      </c>
      <c r="Q558" s="10" t="s">
        <v>2236</v>
      </c>
      <c r="R558" s="10" t="s">
        <v>2236</v>
      </c>
      <c r="S558" s="10" t="s">
        <v>2236</v>
      </c>
      <c r="T558" s="10" t="s">
        <v>2236</v>
      </c>
      <c r="U5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59" spans="1:31" hidden="1" x14ac:dyDescent="0.3">
      <c r="A559" s="12" t="s">
        <v>2282</v>
      </c>
      <c r="B559" s="12" t="s">
        <v>2371</v>
      </c>
      <c r="C559" s="12" t="s">
        <v>2892</v>
      </c>
      <c r="D559" s="12" t="s">
        <v>2893</v>
      </c>
      <c r="E559" s="12" t="s">
        <v>2236</v>
      </c>
      <c r="F559" s="8">
        <v>0</v>
      </c>
      <c r="G559" s="12" t="s">
        <v>2237</v>
      </c>
      <c r="H559" s="12">
        <v>0</v>
      </c>
      <c r="I559" s="12" t="s">
        <v>2237</v>
      </c>
      <c r="J559" s="12">
        <v>0</v>
      </c>
      <c r="K559" s="12" t="s">
        <v>2237</v>
      </c>
      <c r="L559" s="12">
        <v>0</v>
      </c>
      <c r="M559" s="12" t="s">
        <v>2237</v>
      </c>
      <c r="N559" s="8">
        <v>0</v>
      </c>
      <c r="O559" s="12" t="s">
        <v>2237</v>
      </c>
      <c r="P559" s="12" t="s">
        <v>2236</v>
      </c>
      <c r="Q559" s="10" t="s">
        <v>2236</v>
      </c>
      <c r="R559" s="10" t="s">
        <v>2236</v>
      </c>
      <c r="S559" s="10" t="s">
        <v>2236</v>
      </c>
      <c r="T559" s="10" t="s">
        <v>2236</v>
      </c>
      <c r="U5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0" spans="1:31" hidden="1" x14ac:dyDescent="0.3">
      <c r="A560" s="12" t="s">
        <v>2283</v>
      </c>
      <c r="B560" s="12" t="s">
        <v>2371</v>
      </c>
      <c r="C560" s="12" t="s">
        <v>2894</v>
      </c>
      <c r="D560" s="12" t="s">
        <v>2895</v>
      </c>
      <c r="E560" s="12" t="s">
        <v>2236</v>
      </c>
      <c r="F560" s="8">
        <v>0</v>
      </c>
      <c r="G560" s="12" t="s">
        <v>2237</v>
      </c>
      <c r="H560" s="12">
        <v>0</v>
      </c>
      <c r="I560" s="12" t="s">
        <v>2237</v>
      </c>
      <c r="J560" s="12">
        <v>0</v>
      </c>
      <c r="K560" s="12" t="s">
        <v>2237</v>
      </c>
      <c r="L560" s="12">
        <v>0</v>
      </c>
      <c r="M560" s="12" t="s">
        <v>2237</v>
      </c>
      <c r="N560" s="8">
        <v>0</v>
      </c>
      <c r="O560" s="12" t="s">
        <v>2237</v>
      </c>
      <c r="P560" s="12" t="s">
        <v>2236</v>
      </c>
      <c r="Q560" s="10" t="s">
        <v>2236</v>
      </c>
      <c r="R560" s="10" t="s">
        <v>2236</v>
      </c>
      <c r="S560" s="10" t="s">
        <v>2236</v>
      </c>
      <c r="T560" s="10" t="s">
        <v>2236</v>
      </c>
      <c r="U5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1" spans="1:31" hidden="1" x14ac:dyDescent="0.3">
      <c r="A561" s="12" t="s">
        <v>2284</v>
      </c>
      <c r="B561" s="12" t="s">
        <v>2371</v>
      </c>
      <c r="C561" s="12" t="s">
        <v>2896</v>
      </c>
      <c r="D561" s="12" t="s">
        <v>2897</v>
      </c>
      <c r="E561" s="12" t="s">
        <v>2236</v>
      </c>
      <c r="F561" s="8">
        <v>0</v>
      </c>
      <c r="G561" s="12" t="s">
        <v>2237</v>
      </c>
      <c r="H561" s="12">
        <v>0</v>
      </c>
      <c r="I561" s="12" t="s">
        <v>2237</v>
      </c>
      <c r="J561" s="12">
        <v>0</v>
      </c>
      <c r="K561" s="12" t="s">
        <v>2237</v>
      </c>
      <c r="L561" s="12">
        <v>0</v>
      </c>
      <c r="M561" s="12" t="s">
        <v>2237</v>
      </c>
      <c r="N561" s="8">
        <v>0</v>
      </c>
      <c r="O561" s="12" t="s">
        <v>2237</v>
      </c>
      <c r="P561" s="12" t="s">
        <v>2236</v>
      </c>
      <c r="Q561" s="10" t="s">
        <v>2236</v>
      </c>
      <c r="R561" s="10" t="s">
        <v>2236</v>
      </c>
      <c r="S561" s="10" t="s">
        <v>2236</v>
      </c>
      <c r="T561" s="10" t="s">
        <v>2236</v>
      </c>
      <c r="U5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2" spans="1:31" hidden="1" x14ac:dyDescent="0.3">
      <c r="A562" s="12" t="s">
        <v>2285</v>
      </c>
      <c r="B562" s="12" t="s">
        <v>2371</v>
      </c>
      <c r="C562" s="12" t="s">
        <v>2898</v>
      </c>
      <c r="D562" s="12" t="s">
        <v>2899</v>
      </c>
      <c r="E562" s="12" t="s">
        <v>2236</v>
      </c>
      <c r="F562" s="8">
        <v>0</v>
      </c>
      <c r="G562" s="12" t="s">
        <v>2237</v>
      </c>
      <c r="H562" s="12">
        <v>0</v>
      </c>
      <c r="I562" s="12" t="s">
        <v>2237</v>
      </c>
      <c r="J562" s="12">
        <v>0</v>
      </c>
      <c r="K562" s="12" t="s">
        <v>2237</v>
      </c>
      <c r="L562" s="12">
        <v>0</v>
      </c>
      <c r="M562" s="12" t="s">
        <v>2237</v>
      </c>
      <c r="N562" s="8">
        <v>0</v>
      </c>
      <c r="O562" s="12" t="s">
        <v>2237</v>
      </c>
      <c r="P562" s="12" t="s">
        <v>2236</v>
      </c>
      <c r="Q562" s="10" t="s">
        <v>2236</v>
      </c>
      <c r="R562" s="10" t="s">
        <v>2236</v>
      </c>
      <c r="S562" s="10" t="s">
        <v>2236</v>
      </c>
      <c r="T562" s="10" t="s">
        <v>2236</v>
      </c>
      <c r="U5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3" spans="1:31" hidden="1" x14ac:dyDescent="0.3">
      <c r="A563" s="12" t="s">
        <v>2286</v>
      </c>
      <c r="B563" s="12" t="s">
        <v>2371</v>
      </c>
      <c r="C563" s="12" t="s">
        <v>2900</v>
      </c>
      <c r="D563" s="12" t="s">
        <v>2901</v>
      </c>
      <c r="E563" s="12" t="s">
        <v>2236</v>
      </c>
      <c r="F563" s="8">
        <v>0</v>
      </c>
      <c r="G563" s="12" t="s">
        <v>2237</v>
      </c>
      <c r="H563" s="12">
        <v>0</v>
      </c>
      <c r="I563" s="12" t="s">
        <v>2237</v>
      </c>
      <c r="J563" s="12">
        <v>0</v>
      </c>
      <c r="K563" s="12" t="s">
        <v>2237</v>
      </c>
      <c r="L563" s="12">
        <v>0</v>
      </c>
      <c r="M563" s="12" t="s">
        <v>2237</v>
      </c>
      <c r="N563" s="8">
        <v>0</v>
      </c>
      <c r="O563" s="12" t="s">
        <v>2237</v>
      </c>
      <c r="P563" s="12" t="s">
        <v>2236</v>
      </c>
      <c r="Q563" s="10" t="s">
        <v>2236</v>
      </c>
      <c r="R563" s="10" t="s">
        <v>2236</v>
      </c>
      <c r="S563" s="10" t="s">
        <v>2236</v>
      </c>
      <c r="T563" s="10" t="s">
        <v>2236</v>
      </c>
      <c r="U5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4" spans="1:31" hidden="1" x14ac:dyDescent="0.3">
      <c r="A564" s="12" t="s">
        <v>2287</v>
      </c>
      <c r="B564" s="12" t="s">
        <v>2371</v>
      </c>
      <c r="C564" s="12" t="s">
        <v>2902</v>
      </c>
      <c r="D564" s="12" t="s">
        <v>2903</v>
      </c>
      <c r="E564" s="12" t="s">
        <v>2236</v>
      </c>
      <c r="F564" s="8">
        <v>0</v>
      </c>
      <c r="G564" s="12" t="s">
        <v>2237</v>
      </c>
      <c r="H564" s="12">
        <v>0</v>
      </c>
      <c r="I564" s="12" t="s">
        <v>2237</v>
      </c>
      <c r="J564" s="12">
        <v>0</v>
      </c>
      <c r="K564" s="12" t="s">
        <v>2237</v>
      </c>
      <c r="L564" s="12">
        <v>0</v>
      </c>
      <c r="M564" s="12" t="s">
        <v>2237</v>
      </c>
      <c r="N564" s="8">
        <v>0</v>
      </c>
      <c r="O564" s="12" t="s">
        <v>2237</v>
      </c>
      <c r="P564" s="12" t="s">
        <v>2236</v>
      </c>
      <c r="Q564" s="10" t="s">
        <v>2236</v>
      </c>
      <c r="R564" s="10" t="s">
        <v>2236</v>
      </c>
      <c r="S564" s="10" t="s">
        <v>2236</v>
      </c>
      <c r="T564" s="10" t="s">
        <v>2236</v>
      </c>
      <c r="U5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5" spans="1:31" hidden="1" x14ac:dyDescent="0.3">
      <c r="A565" s="12" t="s">
        <v>2288</v>
      </c>
      <c r="B565" s="12" t="s">
        <v>2371</v>
      </c>
      <c r="C565" s="12" t="s">
        <v>2904</v>
      </c>
      <c r="D565" s="12" t="s">
        <v>2905</v>
      </c>
      <c r="E565" s="12" t="s">
        <v>2236</v>
      </c>
      <c r="F565" s="8">
        <v>0</v>
      </c>
      <c r="G565" s="12" t="s">
        <v>2237</v>
      </c>
      <c r="H565" s="12">
        <v>0</v>
      </c>
      <c r="I565" s="12" t="s">
        <v>2237</v>
      </c>
      <c r="J565" s="12">
        <v>0</v>
      </c>
      <c r="K565" s="12" t="s">
        <v>2237</v>
      </c>
      <c r="L565" s="12">
        <v>0</v>
      </c>
      <c r="M565" s="12" t="s">
        <v>2237</v>
      </c>
      <c r="N565" s="8">
        <v>0</v>
      </c>
      <c r="O565" s="12" t="s">
        <v>2237</v>
      </c>
      <c r="P565" s="12" t="s">
        <v>2236</v>
      </c>
      <c r="Q565" s="10" t="s">
        <v>2236</v>
      </c>
      <c r="R565" s="10" t="s">
        <v>2236</v>
      </c>
      <c r="S565" s="10" t="s">
        <v>2236</v>
      </c>
      <c r="T565" s="10" t="s">
        <v>2236</v>
      </c>
      <c r="U5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6" spans="1:31" hidden="1" x14ac:dyDescent="0.3">
      <c r="A566" s="12" t="s">
        <v>2289</v>
      </c>
      <c r="B566" s="12" t="s">
        <v>2371</v>
      </c>
      <c r="C566" s="12" t="s">
        <v>2906</v>
      </c>
      <c r="D566" s="12" t="s">
        <v>2907</v>
      </c>
      <c r="E566" s="12" t="s">
        <v>2236</v>
      </c>
      <c r="F566" s="8">
        <v>0</v>
      </c>
      <c r="G566" s="12" t="s">
        <v>2237</v>
      </c>
      <c r="H566" s="12">
        <v>0</v>
      </c>
      <c r="I566" s="12" t="s">
        <v>2237</v>
      </c>
      <c r="J566" s="12">
        <v>0</v>
      </c>
      <c r="K566" s="12" t="s">
        <v>2237</v>
      </c>
      <c r="L566" s="12">
        <v>0</v>
      </c>
      <c r="M566" s="12" t="s">
        <v>2237</v>
      </c>
      <c r="N566" s="8">
        <v>0</v>
      </c>
      <c r="O566" s="12" t="s">
        <v>2237</v>
      </c>
      <c r="P566" s="12" t="s">
        <v>2236</v>
      </c>
      <c r="Q566" s="10" t="s">
        <v>2236</v>
      </c>
      <c r="R566" s="10" t="s">
        <v>2236</v>
      </c>
      <c r="S566" s="10" t="s">
        <v>2236</v>
      </c>
      <c r="T566" s="10" t="s">
        <v>2236</v>
      </c>
      <c r="U5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7" spans="1:31" hidden="1" x14ac:dyDescent="0.3">
      <c r="A567" s="12" t="s">
        <v>2290</v>
      </c>
      <c r="B567" s="12" t="s">
        <v>2371</v>
      </c>
      <c r="C567" s="12" t="s">
        <v>2908</v>
      </c>
      <c r="D567" s="12" t="s">
        <v>2909</v>
      </c>
      <c r="E567" s="12" t="s">
        <v>2236</v>
      </c>
      <c r="F567" s="8">
        <v>0</v>
      </c>
      <c r="G567" s="12" t="s">
        <v>2237</v>
      </c>
      <c r="H567" s="12">
        <v>0</v>
      </c>
      <c r="I567" s="12" t="s">
        <v>2237</v>
      </c>
      <c r="J567" s="12">
        <v>0</v>
      </c>
      <c r="K567" s="12" t="s">
        <v>2237</v>
      </c>
      <c r="L567" s="12">
        <v>0</v>
      </c>
      <c r="M567" s="12" t="s">
        <v>2237</v>
      </c>
      <c r="N567" s="8">
        <v>0</v>
      </c>
      <c r="O567" s="12" t="s">
        <v>2237</v>
      </c>
      <c r="P567" s="12" t="s">
        <v>2236</v>
      </c>
      <c r="Q567" s="10" t="s">
        <v>2236</v>
      </c>
      <c r="R567" s="10" t="s">
        <v>2236</v>
      </c>
      <c r="S567" s="10" t="s">
        <v>2236</v>
      </c>
      <c r="T567" s="10" t="s">
        <v>2236</v>
      </c>
      <c r="U5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8" spans="1:31" hidden="1" x14ac:dyDescent="0.3">
      <c r="A568" s="12" t="s">
        <v>2291</v>
      </c>
      <c r="B568" s="12" t="s">
        <v>2371</v>
      </c>
      <c r="C568" s="12" t="s">
        <v>2910</v>
      </c>
      <c r="D568" s="12" t="s">
        <v>2911</v>
      </c>
      <c r="E568" s="12" t="s">
        <v>2236</v>
      </c>
      <c r="F568" s="8">
        <v>0</v>
      </c>
      <c r="G568" s="12" t="s">
        <v>2237</v>
      </c>
      <c r="H568" s="12">
        <v>0</v>
      </c>
      <c r="I568" s="12" t="s">
        <v>2237</v>
      </c>
      <c r="J568" s="12">
        <v>0</v>
      </c>
      <c r="K568" s="12" t="s">
        <v>2237</v>
      </c>
      <c r="L568" s="12">
        <v>0</v>
      </c>
      <c r="M568" s="12" t="s">
        <v>2237</v>
      </c>
      <c r="N568" s="8">
        <v>0</v>
      </c>
      <c r="O568" s="12" t="s">
        <v>2237</v>
      </c>
      <c r="P568" s="12" t="s">
        <v>2236</v>
      </c>
      <c r="Q568" s="10" t="s">
        <v>2236</v>
      </c>
      <c r="R568" s="10" t="s">
        <v>2236</v>
      </c>
      <c r="S568" s="10" t="s">
        <v>2236</v>
      </c>
      <c r="T568" s="10" t="s">
        <v>2236</v>
      </c>
      <c r="U5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69" spans="1:31" hidden="1" x14ac:dyDescent="0.3">
      <c r="A569" s="12" t="s">
        <v>2292</v>
      </c>
      <c r="B569" s="12" t="s">
        <v>2371</v>
      </c>
      <c r="C569" s="12" t="s">
        <v>2912</v>
      </c>
      <c r="D569" s="12" t="s">
        <v>2913</v>
      </c>
      <c r="E569" s="12" t="s">
        <v>2236</v>
      </c>
      <c r="F569" s="8">
        <v>0</v>
      </c>
      <c r="G569" s="12" t="s">
        <v>2237</v>
      </c>
      <c r="H569" s="12">
        <v>0</v>
      </c>
      <c r="I569" s="12" t="s">
        <v>2237</v>
      </c>
      <c r="J569" s="12">
        <v>0</v>
      </c>
      <c r="K569" s="12" t="s">
        <v>2237</v>
      </c>
      <c r="L569" s="12">
        <v>0</v>
      </c>
      <c r="M569" s="12" t="s">
        <v>2237</v>
      </c>
      <c r="N569" s="8">
        <v>0</v>
      </c>
      <c r="O569" s="12" t="s">
        <v>2237</v>
      </c>
      <c r="P569" s="12" t="s">
        <v>2236</v>
      </c>
      <c r="Q569" s="10" t="s">
        <v>2236</v>
      </c>
      <c r="R569" s="10" t="s">
        <v>2236</v>
      </c>
      <c r="S569" s="10" t="s">
        <v>2236</v>
      </c>
      <c r="T569" s="10" t="s">
        <v>2236</v>
      </c>
      <c r="U5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0" spans="1:31" hidden="1" x14ac:dyDescent="0.3">
      <c r="A570" s="12" t="s">
        <v>2293</v>
      </c>
      <c r="B570" s="12" t="s">
        <v>2371</v>
      </c>
      <c r="C570" s="12" t="s">
        <v>2914</v>
      </c>
      <c r="D570" s="12" t="s">
        <v>2915</v>
      </c>
      <c r="E570" s="12" t="s">
        <v>2236</v>
      </c>
      <c r="F570" s="8">
        <v>0</v>
      </c>
      <c r="G570" s="12" t="s">
        <v>2237</v>
      </c>
      <c r="H570" s="12">
        <v>0</v>
      </c>
      <c r="I570" s="12" t="s">
        <v>2237</v>
      </c>
      <c r="J570" s="12">
        <v>0</v>
      </c>
      <c r="K570" s="12" t="s">
        <v>2237</v>
      </c>
      <c r="L570" s="12">
        <v>0</v>
      </c>
      <c r="M570" s="12" t="s">
        <v>2237</v>
      </c>
      <c r="N570" s="8">
        <v>0</v>
      </c>
      <c r="O570" s="12" t="s">
        <v>2237</v>
      </c>
      <c r="P570" s="12" t="s">
        <v>2236</v>
      </c>
      <c r="Q570" s="10" t="s">
        <v>2236</v>
      </c>
      <c r="R570" s="10" t="s">
        <v>2236</v>
      </c>
      <c r="S570" s="10" t="s">
        <v>2236</v>
      </c>
      <c r="T570" s="10" t="s">
        <v>2236</v>
      </c>
      <c r="U5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1" spans="1:31" hidden="1" x14ac:dyDescent="0.3">
      <c r="A571" s="12" t="s">
        <v>2294</v>
      </c>
      <c r="B571" s="12" t="s">
        <v>2371</v>
      </c>
      <c r="C571" s="12" t="s">
        <v>2916</v>
      </c>
      <c r="D571" s="12" t="s">
        <v>2917</v>
      </c>
      <c r="E571" s="12" t="s">
        <v>2236</v>
      </c>
      <c r="F571" s="8">
        <v>0</v>
      </c>
      <c r="G571" s="12" t="s">
        <v>2237</v>
      </c>
      <c r="H571" s="12">
        <v>0</v>
      </c>
      <c r="I571" s="12" t="s">
        <v>2237</v>
      </c>
      <c r="J571" s="12">
        <v>0</v>
      </c>
      <c r="K571" s="12" t="s">
        <v>2237</v>
      </c>
      <c r="L571" s="12">
        <v>0</v>
      </c>
      <c r="M571" s="12" t="s">
        <v>2237</v>
      </c>
      <c r="N571" s="8">
        <v>0</v>
      </c>
      <c r="O571" s="12" t="s">
        <v>2237</v>
      </c>
      <c r="P571" s="12" t="s">
        <v>2236</v>
      </c>
      <c r="Q571" s="10" t="s">
        <v>2236</v>
      </c>
      <c r="R571" s="10" t="s">
        <v>2236</v>
      </c>
      <c r="S571" s="10" t="s">
        <v>2236</v>
      </c>
      <c r="T571" s="10" t="s">
        <v>2236</v>
      </c>
      <c r="U5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2" spans="1:31" hidden="1" x14ac:dyDescent="0.3">
      <c r="A572" s="12" t="s">
        <v>2295</v>
      </c>
      <c r="B572" s="12" t="s">
        <v>2371</v>
      </c>
      <c r="C572" s="12" t="s">
        <v>2902</v>
      </c>
      <c r="D572" s="12" t="s">
        <v>2918</v>
      </c>
      <c r="E572" s="12" t="s">
        <v>2236</v>
      </c>
      <c r="F572" s="8">
        <v>0</v>
      </c>
      <c r="G572" s="12" t="s">
        <v>2237</v>
      </c>
      <c r="H572" s="12">
        <v>0</v>
      </c>
      <c r="I572" s="12" t="s">
        <v>2237</v>
      </c>
      <c r="J572" s="12">
        <v>0</v>
      </c>
      <c r="K572" s="12" t="s">
        <v>2237</v>
      </c>
      <c r="L572" s="12">
        <v>0</v>
      </c>
      <c r="M572" s="12" t="s">
        <v>2237</v>
      </c>
      <c r="N572" s="8">
        <v>0</v>
      </c>
      <c r="O572" s="12" t="s">
        <v>2237</v>
      </c>
      <c r="P572" s="12" t="s">
        <v>2236</v>
      </c>
      <c r="Q572" s="10" t="s">
        <v>2236</v>
      </c>
      <c r="R572" s="10" t="s">
        <v>2236</v>
      </c>
      <c r="S572" s="10" t="s">
        <v>2236</v>
      </c>
      <c r="T572" s="10" t="s">
        <v>2236</v>
      </c>
      <c r="U5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3" spans="1:31" hidden="1" x14ac:dyDescent="0.3">
      <c r="A573" s="12" t="s">
        <v>2296</v>
      </c>
      <c r="B573" s="12" t="s">
        <v>2371</v>
      </c>
      <c r="C573" s="12" t="s">
        <v>2919</v>
      </c>
      <c r="D573" s="12" t="s">
        <v>2920</v>
      </c>
      <c r="E573" s="12" t="s">
        <v>2236</v>
      </c>
      <c r="F573" s="8">
        <v>0</v>
      </c>
      <c r="G573" s="12" t="s">
        <v>2237</v>
      </c>
      <c r="H573" s="12">
        <v>0</v>
      </c>
      <c r="I573" s="12" t="s">
        <v>2237</v>
      </c>
      <c r="J573" s="12">
        <v>0</v>
      </c>
      <c r="K573" s="12" t="s">
        <v>2237</v>
      </c>
      <c r="L573" s="12">
        <v>0</v>
      </c>
      <c r="M573" s="12" t="s">
        <v>2237</v>
      </c>
      <c r="N573" s="8">
        <v>0</v>
      </c>
      <c r="O573" s="12" t="s">
        <v>2237</v>
      </c>
      <c r="P573" s="12" t="s">
        <v>2236</v>
      </c>
      <c r="Q573" s="10" t="s">
        <v>2236</v>
      </c>
      <c r="R573" s="10" t="s">
        <v>2236</v>
      </c>
      <c r="S573" s="10" t="s">
        <v>2236</v>
      </c>
      <c r="T573" s="10" t="s">
        <v>2236</v>
      </c>
      <c r="U5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4" spans="1:31" hidden="1" x14ac:dyDescent="0.3">
      <c r="A574" s="12" t="s">
        <v>2297</v>
      </c>
      <c r="B574" s="12" t="s">
        <v>2371</v>
      </c>
      <c r="C574" s="12" t="s">
        <v>2921</v>
      </c>
      <c r="D574" s="12" t="s">
        <v>2922</v>
      </c>
      <c r="E574" s="12" t="s">
        <v>2236</v>
      </c>
      <c r="F574" s="8">
        <v>0</v>
      </c>
      <c r="G574" s="12" t="s">
        <v>2237</v>
      </c>
      <c r="H574" s="12">
        <v>0</v>
      </c>
      <c r="I574" s="12" t="s">
        <v>2237</v>
      </c>
      <c r="J574" s="12">
        <v>0</v>
      </c>
      <c r="K574" s="12" t="s">
        <v>2237</v>
      </c>
      <c r="L574" s="12">
        <v>0</v>
      </c>
      <c r="M574" s="12" t="s">
        <v>2237</v>
      </c>
      <c r="N574" s="8">
        <v>0</v>
      </c>
      <c r="O574" s="12" t="s">
        <v>2237</v>
      </c>
      <c r="P574" s="12" t="s">
        <v>2236</v>
      </c>
      <c r="Q574" s="10" t="s">
        <v>2236</v>
      </c>
      <c r="R574" s="10" t="s">
        <v>2236</v>
      </c>
      <c r="S574" s="10" t="s">
        <v>2236</v>
      </c>
      <c r="T574" s="10" t="s">
        <v>2236</v>
      </c>
      <c r="U5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5" spans="1:31" hidden="1" x14ac:dyDescent="0.3">
      <c r="A575" s="12" t="s">
        <v>2298</v>
      </c>
      <c r="B575" s="12" t="s">
        <v>2371</v>
      </c>
      <c r="C575" s="12" t="s">
        <v>2923</v>
      </c>
      <c r="D575" s="12" t="s">
        <v>2924</v>
      </c>
      <c r="E575" s="12" t="s">
        <v>2236</v>
      </c>
      <c r="F575" s="8">
        <v>0</v>
      </c>
      <c r="G575" s="12" t="s">
        <v>2237</v>
      </c>
      <c r="H575" s="12">
        <v>0</v>
      </c>
      <c r="I575" s="12" t="s">
        <v>2237</v>
      </c>
      <c r="J575" s="12">
        <v>0</v>
      </c>
      <c r="K575" s="12" t="s">
        <v>2237</v>
      </c>
      <c r="L575" s="12">
        <v>0</v>
      </c>
      <c r="M575" s="12" t="s">
        <v>2237</v>
      </c>
      <c r="N575" s="8">
        <v>0</v>
      </c>
      <c r="O575" s="12" t="s">
        <v>2237</v>
      </c>
      <c r="P575" s="12" t="s">
        <v>2236</v>
      </c>
      <c r="Q575" s="10" t="s">
        <v>2236</v>
      </c>
      <c r="R575" s="10" t="s">
        <v>2236</v>
      </c>
      <c r="S575" s="10" t="s">
        <v>2236</v>
      </c>
      <c r="T575" s="10" t="s">
        <v>2236</v>
      </c>
      <c r="U5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6" spans="1:31" hidden="1" x14ac:dyDescent="0.3">
      <c r="A576" s="12" t="s">
        <v>2299</v>
      </c>
      <c r="B576" s="12" t="s">
        <v>2371</v>
      </c>
      <c r="C576" s="12" t="s">
        <v>2925</v>
      </c>
      <c r="D576" s="12" t="s">
        <v>2926</v>
      </c>
      <c r="E576" s="12" t="s">
        <v>2236</v>
      </c>
      <c r="F576" s="8">
        <v>0</v>
      </c>
      <c r="G576" s="12" t="s">
        <v>2237</v>
      </c>
      <c r="H576" s="12">
        <v>0</v>
      </c>
      <c r="I576" s="12" t="s">
        <v>2237</v>
      </c>
      <c r="J576" s="12">
        <v>0</v>
      </c>
      <c r="K576" s="12" t="s">
        <v>2237</v>
      </c>
      <c r="L576" s="12">
        <v>0</v>
      </c>
      <c r="M576" s="12" t="s">
        <v>2237</v>
      </c>
      <c r="N576" s="8">
        <v>0</v>
      </c>
      <c r="O576" s="12" t="s">
        <v>2237</v>
      </c>
      <c r="P576" s="12" t="s">
        <v>2236</v>
      </c>
      <c r="Q576" s="10" t="s">
        <v>2236</v>
      </c>
      <c r="R576" s="10" t="s">
        <v>2236</v>
      </c>
      <c r="S576" s="10" t="s">
        <v>2236</v>
      </c>
      <c r="T576" s="10" t="s">
        <v>2236</v>
      </c>
      <c r="U5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7" spans="1:31" hidden="1" x14ac:dyDescent="0.3">
      <c r="A577" s="12" t="s">
        <v>2300</v>
      </c>
      <c r="B577" s="12" t="s">
        <v>2366</v>
      </c>
      <c r="C577" s="12" t="s">
        <v>2927</v>
      </c>
      <c r="D577" s="12" t="s">
        <v>2928</v>
      </c>
      <c r="E577" s="12" t="s">
        <v>2236</v>
      </c>
      <c r="F577" s="8">
        <v>0</v>
      </c>
      <c r="G577" s="12" t="s">
        <v>2237</v>
      </c>
      <c r="H577" s="12">
        <v>0</v>
      </c>
      <c r="I577" s="12" t="s">
        <v>2237</v>
      </c>
      <c r="J577" s="12">
        <v>0</v>
      </c>
      <c r="K577" s="12" t="s">
        <v>2237</v>
      </c>
      <c r="L577" s="12">
        <v>0</v>
      </c>
      <c r="M577" s="12" t="s">
        <v>2237</v>
      </c>
      <c r="N577" s="8">
        <v>3.48</v>
      </c>
      <c r="O577" s="12" t="s">
        <v>2237</v>
      </c>
      <c r="P577" s="12" t="s">
        <v>2236</v>
      </c>
      <c r="Q577" s="10" t="s">
        <v>2236</v>
      </c>
      <c r="R577" s="10" t="s">
        <v>2236</v>
      </c>
      <c r="S577" s="10" t="s">
        <v>2236</v>
      </c>
      <c r="T577" s="10" t="s">
        <v>2929</v>
      </c>
      <c r="U5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8" spans="1:31" hidden="1" x14ac:dyDescent="0.3">
      <c r="A578" s="12" t="s">
        <v>2301</v>
      </c>
      <c r="B578" s="12" t="s">
        <v>2371</v>
      </c>
      <c r="C578" s="12" t="s">
        <v>2930</v>
      </c>
      <c r="D578" s="12" t="s">
        <v>2931</v>
      </c>
      <c r="E578" s="12" t="s">
        <v>2236</v>
      </c>
      <c r="F578" s="8">
        <v>0</v>
      </c>
      <c r="G578" s="12" t="s">
        <v>2237</v>
      </c>
      <c r="H578" s="12">
        <v>0</v>
      </c>
      <c r="I578" s="12" t="s">
        <v>2237</v>
      </c>
      <c r="J578" s="12">
        <v>0</v>
      </c>
      <c r="K578" s="12" t="s">
        <v>2237</v>
      </c>
      <c r="L578" s="12">
        <v>0</v>
      </c>
      <c r="M578" s="12" t="s">
        <v>2237</v>
      </c>
      <c r="N578" s="8">
        <v>0</v>
      </c>
      <c r="O578" s="12" t="s">
        <v>2237</v>
      </c>
      <c r="P578" s="12" t="s">
        <v>2236</v>
      </c>
      <c r="Q578" s="10" t="s">
        <v>2236</v>
      </c>
      <c r="R578" s="10" t="s">
        <v>2236</v>
      </c>
      <c r="S578" s="10" t="s">
        <v>2236</v>
      </c>
      <c r="T578" s="10" t="s">
        <v>2236</v>
      </c>
      <c r="U5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79" spans="1:31" hidden="1" x14ac:dyDescent="0.3">
      <c r="A579" s="12" t="s">
        <v>2302</v>
      </c>
      <c r="B579" s="12" t="s">
        <v>2371</v>
      </c>
      <c r="C579" s="12" t="s">
        <v>2932</v>
      </c>
      <c r="D579" s="12" t="s">
        <v>2933</v>
      </c>
      <c r="E579" s="12" t="s">
        <v>2236</v>
      </c>
      <c r="F579" s="8">
        <v>0</v>
      </c>
      <c r="G579" s="12" t="s">
        <v>2237</v>
      </c>
      <c r="H579" s="12">
        <v>0</v>
      </c>
      <c r="I579" s="12" t="s">
        <v>2237</v>
      </c>
      <c r="J579" s="12">
        <v>0</v>
      </c>
      <c r="K579" s="12" t="s">
        <v>2237</v>
      </c>
      <c r="L579" s="12">
        <v>0</v>
      </c>
      <c r="M579" s="12" t="s">
        <v>2237</v>
      </c>
      <c r="N579" s="8">
        <v>0</v>
      </c>
      <c r="O579" s="12" t="s">
        <v>2237</v>
      </c>
      <c r="P579" s="12" t="s">
        <v>2236</v>
      </c>
      <c r="Q579" s="10" t="s">
        <v>2236</v>
      </c>
      <c r="R579" s="10" t="s">
        <v>2236</v>
      </c>
      <c r="S579" s="10" t="s">
        <v>2236</v>
      </c>
      <c r="T579" s="10" t="s">
        <v>2236</v>
      </c>
      <c r="U5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0" spans="1:31" hidden="1" x14ac:dyDescent="0.3">
      <c r="A580" s="12" t="s">
        <v>2303</v>
      </c>
      <c r="B580" s="12" t="s">
        <v>2371</v>
      </c>
      <c r="C580" s="12" t="s">
        <v>2934</v>
      </c>
      <c r="D580" s="12" t="s">
        <v>2935</v>
      </c>
      <c r="E580" s="12" t="s">
        <v>2236</v>
      </c>
      <c r="F580" s="8">
        <v>0</v>
      </c>
      <c r="G580" s="12" t="s">
        <v>2237</v>
      </c>
      <c r="H580" s="12">
        <v>0</v>
      </c>
      <c r="I580" s="12" t="s">
        <v>2237</v>
      </c>
      <c r="J580" s="12">
        <v>0</v>
      </c>
      <c r="K580" s="12" t="s">
        <v>2237</v>
      </c>
      <c r="L580" s="12">
        <v>0</v>
      </c>
      <c r="M580" s="12" t="s">
        <v>2237</v>
      </c>
      <c r="N580" s="8">
        <v>0</v>
      </c>
      <c r="O580" s="12" t="s">
        <v>2237</v>
      </c>
      <c r="P580" s="12" t="s">
        <v>2236</v>
      </c>
      <c r="Q580" s="10" t="s">
        <v>2236</v>
      </c>
      <c r="R580" s="10" t="s">
        <v>2236</v>
      </c>
      <c r="S580" s="10" t="s">
        <v>2236</v>
      </c>
      <c r="T580" s="10" t="s">
        <v>2236</v>
      </c>
      <c r="U5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1" spans="1:31" hidden="1" x14ac:dyDescent="0.3">
      <c r="A581" s="12" t="s">
        <v>2304</v>
      </c>
      <c r="B581" s="12" t="s">
        <v>2371</v>
      </c>
      <c r="C581" s="12" t="s">
        <v>2936</v>
      </c>
      <c r="D581" s="12" t="s">
        <v>2937</v>
      </c>
      <c r="E581" s="12" t="s">
        <v>2236</v>
      </c>
      <c r="F581" s="8">
        <v>0</v>
      </c>
      <c r="G581" s="12" t="s">
        <v>2237</v>
      </c>
      <c r="H581" s="12">
        <v>0</v>
      </c>
      <c r="I581" s="12" t="s">
        <v>2237</v>
      </c>
      <c r="J581" s="12">
        <v>0</v>
      </c>
      <c r="K581" s="12" t="s">
        <v>2237</v>
      </c>
      <c r="L581" s="12">
        <v>0</v>
      </c>
      <c r="M581" s="12" t="s">
        <v>2237</v>
      </c>
      <c r="N581" s="8">
        <v>0</v>
      </c>
      <c r="O581" s="12" t="s">
        <v>2237</v>
      </c>
      <c r="P581" s="12" t="s">
        <v>2236</v>
      </c>
      <c r="Q581" s="10" t="s">
        <v>2236</v>
      </c>
      <c r="R581" s="10" t="s">
        <v>2236</v>
      </c>
      <c r="S581" s="10" t="s">
        <v>2236</v>
      </c>
      <c r="T581" s="10" t="s">
        <v>2236</v>
      </c>
      <c r="U5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2" spans="1:31" hidden="1" x14ac:dyDescent="0.3">
      <c r="A582" s="12" t="s">
        <v>2305</v>
      </c>
      <c r="B582" s="12" t="s">
        <v>2371</v>
      </c>
      <c r="C582" s="12" t="s">
        <v>2902</v>
      </c>
      <c r="D582" s="12" t="s">
        <v>2938</v>
      </c>
      <c r="E582" s="12" t="s">
        <v>2236</v>
      </c>
      <c r="F582" s="8">
        <v>0</v>
      </c>
      <c r="G582" s="12" t="s">
        <v>2237</v>
      </c>
      <c r="H582" s="12">
        <v>0</v>
      </c>
      <c r="I582" s="12" t="s">
        <v>2237</v>
      </c>
      <c r="J582" s="12">
        <v>0</v>
      </c>
      <c r="K582" s="12" t="s">
        <v>2237</v>
      </c>
      <c r="L582" s="12">
        <v>0</v>
      </c>
      <c r="M582" s="12" t="s">
        <v>2237</v>
      </c>
      <c r="N582" s="8">
        <v>0</v>
      </c>
      <c r="O582" s="12" t="s">
        <v>2237</v>
      </c>
      <c r="P582" s="12" t="s">
        <v>2236</v>
      </c>
      <c r="Q582" s="10" t="s">
        <v>2236</v>
      </c>
      <c r="R582" s="10" t="s">
        <v>2236</v>
      </c>
      <c r="S582" s="10" t="s">
        <v>2236</v>
      </c>
      <c r="T582" s="10" t="s">
        <v>2236</v>
      </c>
      <c r="U5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3" spans="1:31" hidden="1" x14ac:dyDescent="0.3">
      <c r="A583" s="12" t="s">
        <v>2306</v>
      </c>
      <c r="B583" s="12" t="s">
        <v>2371</v>
      </c>
      <c r="C583" s="12" t="s">
        <v>2939</v>
      </c>
      <c r="D583" s="12" t="s">
        <v>2940</v>
      </c>
      <c r="E583" s="12" t="s">
        <v>2236</v>
      </c>
      <c r="F583" s="8">
        <v>0</v>
      </c>
      <c r="G583" s="12" t="s">
        <v>2237</v>
      </c>
      <c r="H583" s="12">
        <v>0</v>
      </c>
      <c r="I583" s="12" t="s">
        <v>2237</v>
      </c>
      <c r="J583" s="12">
        <v>0</v>
      </c>
      <c r="K583" s="12" t="s">
        <v>2237</v>
      </c>
      <c r="L583" s="12">
        <v>0</v>
      </c>
      <c r="M583" s="12" t="s">
        <v>2237</v>
      </c>
      <c r="N583" s="8">
        <v>0</v>
      </c>
      <c r="O583" s="12" t="s">
        <v>2237</v>
      </c>
      <c r="P583" s="12" t="s">
        <v>2236</v>
      </c>
      <c r="Q583" s="10" t="s">
        <v>2236</v>
      </c>
      <c r="R583" s="10" t="s">
        <v>2236</v>
      </c>
      <c r="S583" s="10" t="s">
        <v>2236</v>
      </c>
      <c r="T583" s="10" t="s">
        <v>2236</v>
      </c>
      <c r="U5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4" spans="1:31" hidden="1" x14ac:dyDescent="0.3">
      <c r="A584" s="12" t="s">
        <v>2307</v>
      </c>
      <c r="B584" s="12" t="s">
        <v>2371</v>
      </c>
      <c r="C584" s="12" t="s">
        <v>2941</v>
      </c>
      <c r="D584" s="12" t="s">
        <v>2942</v>
      </c>
      <c r="E584" s="12" t="s">
        <v>2236</v>
      </c>
      <c r="F584" s="8">
        <v>0</v>
      </c>
      <c r="G584" s="12" t="s">
        <v>2237</v>
      </c>
      <c r="H584" s="12">
        <v>0</v>
      </c>
      <c r="I584" s="12" t="s">
        <v>2237</v>
      </c>
      <c r="J584" s="12">
        <v>0</v>
      </c>
      <c r="K584" s="12" t="s">
        <v>2237</v>
      </c>
      <c r="L584" s="12">
        <v>0</v>
      </c>
      <c r="M584" s="12" t="s">
        <v>2237</v>
      </c>
      <c r="N584" s="8">
        <v>0</v>
      </c>
      <c r="O584" s="12" t="s">
        <v>2237</v>
      </c>
      <c r="P584" s="12" t="s">
        <v>2236</v>
      </c>
      <c r="Q584" s="10" t="s">
        <v>2236</v>
      </c>
      <c r="R584" s="10" t="s">
        <v>2236</v>
      </c>
      <c r="S584" s="10" t="s">
        <v>2236</v>
      </c>
      <c r="T584" s="10" t="s">
        <v>2236</v>
      </c>
      <c r="U5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5" spans="1:31" hidden="1" x14ac:dyDescent="0.3">
      <c r="A585" s="12" t="s">
        <v>2308</v>
      </c>
      <c r="B585" s="12" t="s">
        <v>2371</v>
      </c>
      <c r="C585" s="12" t="s">
        <v>2943</v>
      </c>
      <c r="D585" s="12" t="s">
        <v>2944</v>
      </c>
      <c r="E585" s="12" t="s">
        <v>2236</v>
      </c>
      <c r="F585" s="8">
        <v>0</v>
      </c>
      <c r="G585" s="12" t="s">
        <v>2237</v>
      </c>
      <c r="H585" s="12">
        <v>0</v>
      </c>
      <c r="I585" s="12" t="s">
        <v>2237</v>
      </c>
      <c r="J585" s="12">
        <v>0</v>
      </c>
      <c r="K585" s="12" t="s">
        <v>2237</v>
      </c>
      <c r="L585" s="12">
        <v>0</v>
      </c>
      <c r="M585" s="12" t="s">
        <v>2237</v>
      </c>
      <c r="N585" s="8">
        <v>0</v>
      </c>
      <c r="O585" s="12" t="s">
        <v>2237</v>
      </c>
      <c r="P585" s="12" t="s">
        <v>2236</v>
      </c>
      <c r="Q585" s="10" t="s">
        <v>2236</v>
      </c>
      <c r="R585" s="10" t="s">
        <v>2236</v>
      </c>
      <c r="S585" s="10" t="s">
        <v>2236</v>
      </c>
      <c r="T585" s="10" t="s">
        <v>2236</v>
      </c>
      <c r="U5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6" spans="1:31" hidden="1" x14ac:dyDescent="0.3">
      <c r="A586" s="12" t="s">
        <v>2309</v>
      </c>
      <c r="B586" s="12" t="s">
        <v>2371</v>
      </c>
      <c r="C586" s="12" t="s">
        <v>2941</v>
      </c>
      <c r="D586" s="12" t="s">
        <v>2945</v>
      </c>
      <c r="E586" s="12" t="s">
        <v>2236</v>
      </c>
      <c r="F586" s="8">
        <v>0</v>
      </c>
      <c r="G586" s="12" t="s">
        <v>2237</v>
      </c>
      <c r="H586" s="12">
        <v>0</v>
      </c>
      <c r="I586" s="12" t="s">
        <v>2237</v>
      </c>
      <c r="J586" s="12">
        <v>0</v>
      </c>
      <c r="K586" s="12" t="s">
        <v>2237</v>
      </c>
      <c r="L586" s="12">
        <v>0</v>
      </c>
      <c r="M586" s="12" t="s">
        <v>2237</v>
      </c>
      <c r="N586" s="8">
        <v>0</v>
      </c>
      <c r="O586" s="12" t="s">
        <v>2237</v>
      </c>
      <c r="P586" s="12" t="s">
        <v>2236</v>
      </c>
      <c r="Q586" s="10" t="s">
        <v>2236</v>
      </c>
      <c r="R586" s="10" t="s">
        <v>2236</v>
      </c>
      <c r="S586" s="10" t="s">
        <v>2236</v>
      </c>
      <c r="T586" s="10" t="s">
        <v>2236</v>
      </c>
      <c r="U5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7" spans="1:31" hidden="1" x14ac:dyDescent="0.3">
      <c r="A587" s="12" t="s">
        <v>2310</v>
      </c>
      <c r="B587" s="12" t="s">
        <v>2371</v>
      </c>
      <c r="C587" s="12" t="s">
        <v>2946</v>
      </c>
      <c r="D587" s="12" t="s">
        <v>2947</v>
      </c>
      <c r="E587" s="12" t="s">
        <v>2236</v>
      </c>
      <c r="F587" s="8">
        <v>0</v>
      </c>
      <c r="G587" s="12" t="s">
        <v>2237</v>
      </c>
      <c r="H587" s="12">
        <v>0</v>
      </c>
      <c r="I587" s="12" t="s">
        <v>2237</v>
      </c>
      <c r="J587" s="12">
        <v>0</v>
      </c>
      <c r="K587" s="12" t="s">
        <v>2237</v>
      </c>
      <c r="L587" s="12">
        <v>0</v>
      </c>
      <c r="M587" s="12" t="s">
        <v>2237</v>
      </c>
      <c r="N587" s="8">
        <v>0</v>
      </c>
      <c r="O587" s="12" t="s">
        <v>2237</v>
      </c>
      <c r="P587" s="12" t="s">
        <v>2236</v>
      </c>
      <c r="Q587" s="10" t="s">
        <v>2236</v>
      </c>
      <c r="R587" s="10" t="s">
        <v>2236</v>
      </c>
      <c r="S587" s="10" t="s">
        <v>2236</v>
      </c>
      <c r="T587" s="10" t="s">
        <v>2236</v>
      </c>
      <c r="U5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8" spans="1:31" hidden="1" x14ac:dyDescent="0.3">
      <c r="A588" s="12" t="s">
        <v>2311</v>
      </c>
      <c r="B588" s="12" t="s">
        <v>2371</v>
      </c>
      <c r="C588" s="12" t="s">
        <v>2941</v>
      </c>
      <c r="D588" s="12" t="s">
        <v>2948</v>
      </c>
      <c r="E588" s="12" t="s">
        <v>2236</v>
      </c>
      <c r="F588" s="8">
        <v>0</v>
      </c>
      <c r="G588" s="12" t="s">
        <v>2237</v>
      </c>
      <c r="H588" s="12">
        <v>0</v>
      </c>
      <c r="I588" s="12" t="s">
        <v>2237</v>
      </c>
      <c r="J588" s="12">
        <v>0</v>
      </c>
      <c r="K588" s="12" t="s">
        <v>2237</v>
      </c>
      <c r="L588" s="12">
        <v>0</v>
      </c>
      <c r="M588" s="12" t="s">
        <v>2237</v>
      </c>
      <c r="N588" s="8">
        <v>0</v>
      </c>
      <c r="O588" s="12" t="s">
        <v>2237</v>
      </c>
      <c r="P588" s="12" t="s">
        <v>2236</v>
      </c>
      <c r="Q588" s="10" t="s">
        <v>2236</v>
      </c>
      <c r="R588" s="10" t="s">
        <v>2236</v>
      </c>
      <c r="S588" s="10" t="s">
        <v>2236</v>
      </c>
      <c r="T588" s="10" t="s">
        <v>2236</v>
      </c>
      <c r="U5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89" spans="1:31" hidden="1" x14ac:dyDescent="0.3">
      <c r="A589" s="12" t="s">
        <v>2312</v>
      </c>
      <c r="B589" s="12" t="s">
        <v>2371</v>
      </c>
      <c r="C589" s="12" t="s">
        <v>2949</v>
      </c>
      <c r="D589" s="12" t="s">
        <v>2950</v>
      </c>
      <c r="E589" s="12" t="s">
        <v>2236</v>
      </c>
      <c r="F589" s="8">
        <v>0</v>
      </c>
      <c r="G589" s="12" t="s">
        <v>2237</v>
      </c>
      <c r="H589" s="12">
        <v>0</v>
      </c>
      <c r="I589" s="12" t="s">
        <v>2237</v>
      </c>
      <c r="J589" s="12">
        <v>0</v>
      </c>
      <c r="K589" s="12" t="s">
        <v>2237</v>
      </c>
      <c r="L589" s="12">
        <v>0</v>
      </c>
      <c r="M589" s="12" t="s">
        <v>2237</v>
      </c>
      <c r="N589" s="8">
        <v>0</v>
      </c>
      <c r="O589" s="12" t="s">
        <v>2237</v>
      </c>
      <c r="P589" s="12" t="s">
        <v>2236</v>
      </c>
      <c r="Q589" s="10" t="s">
        <v>2236</v>
      </c>
      <c r="R589" s="10" t="s">
        <v>2236</v>
      </c>
      <c r="S589" s="10" t="s">
        <v>2236</v>
      </c>
      <c r="T589" s="10" t="s">
        <v>2236</v>
      </c>
      <c r="U5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0" spans="1:31" hidden="1" x14ac:dyDescent="0.3">
      <c r="A590" s="12" t="s">
        <v>2313</v>
      </c>
      <c r="B590" s="12" t="s">
        <v>2371</v>
      </c>
      <c r="C590" s="12" t="s">
        <v>2902</v>
      </c>
      <c r="D590" s="12" t="s">
        <v>2951</v>
      </c>
      <c r="E590" s="12" t="s">
        <v>2236</v>
      </c>
      <c r="F590" s="8">
        <v>0</v>
      </c>
      <c r="G590" s="12" t="s">
        <v>2237</v>
      </c>
      <c r="H590" s="12">
        <v>0</v>
      </c>
      <c r="I590" s="12" t="s">
        <v>2237</v>
      </c>
      <c r="J590" s="12">
        <v>0</v>
      </c>
      <c r="K590" s="12" t="s">
        <v>2237</v>
      </c>
      <c r="L590" s="12">
        <v>0</v>
      </c>
      <c r="M590" s="12" t="s">
        <v>2237</v>
      </c>
      <c r="N590" s="8">
        <v>0</v>
      </c>
      <c r="O590" s="12" t="s">
        <v>2237</v>
      </c>
      <c r="P590" s="12" t="s">
        <v>2236</v>
      </c>
      <c r="Q590" s="10" t="s">
        <v>2236</v>
      </c>
      <c r="R590" s="10" t="s">
        <v>2236</v>
      </c>
      <c r="S590" s="10" t="s">
        <v>2236</v>
      </c>
      <c r="T590" s="10" t="s">
        <v>2236</v>
      </c>
      <c r="U5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1" spans="1:31" hidden="1" x14ac:dyDescent="0.3">
      <c r="A591" s="12" t="s">
        <v>2314</v>
      </c>
      <c r="B591" s="12" t="s">
        <v>2366</v>
      </c>
      <c r="C591" s="12" t="s">
        <v>2952</v>
      </c>
      <c r="D591" s="12" t="s">
        <v>2953</v>
      </c>
      <c r="E591" s="12" t="s">
        <v>2236</v>
      </c>
      <c r="F591" s="8">
        <v>0</v>
      </c>
      <c r="G591" s="12" t="s">
        <v>2237</v>
      </c>
      <c r="H591" s="12">
        <v>0</v>
      </c>
      <c r="I591" s="12" t="s">
        <v>2237</v>
      </c>
      <c r="J591" s="12">
        <v>0</v>
      </c>
      <c r="K591" s="12" t="s">
        <v>2237</v>
      </c>
      <c r="L591" s="12">
        <v>0</v>
      </c>
      <c r="M591" s="12" t="s">
        <v>2237</v>
      </c>
      <c r="N591" s="8">
        <v>952.2</v>
      </c>
      <c r="O591" s="12" t="s">
        <v>2237</v>
      </c>
      <c r="P591" s="12" t="s">
        <v>2236</v>
      </c>
      <c r="Q591" s="10" t="s">
        <v>2236</v>
      </c>
      <c r="R591" s="10" t="s">
        <v>2236</v>
      </c>
      <c r="S591" s="10" t="s">
        <v>2236</v>
      </c>
      <c r="T591" s="10" t="s">
        <v>2866</v>
      </c>
      <c r="U5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2" spans="1:31" hidden="1" x14ac:dyDescent="0.3">
      <c r="A592" s="12" t="s">
        <v>2315</v>
      </c>
      <c r="B592" s="12" t="s">
        <v>2371</v>
      </c>
      <c r="C592" s="12" t="s">
        <v>2954</v>
      </c>
      <c r="D592" s="12" t="s">
        <v>2955</v>
      </c>
      <c r="E592" s="12" t="s">
        <v>2236</v>
      </c>
      <c r="F592" s="8">
        <v>0</v>
      </c>
      <c r="G592" s="12" t="s">
        <v>2237</v>
      </c>
      <c r="H592" s="12">
        <v>0</v>
      </c>
      <c r="I592" s="12" t="s">
        <v>2237</v>
      </c>
      <c r="J592" s="12">
        <v>0</v>
      </c>
      <c r="K592" s="12" t="s">
        <v>2237</v>
      </c>
      <c r="L592" s="12">
        <v>0</v>
      </c>
      <c r="M592" s="12" t="s">
        <v>2237</v>
      </c>
      <c r="N592" s="8">
        <v>0</v>
      </c>
      <c r="O592" s="12" t="s">
        <v>2237</v>
      </c>
      <c r="P592" s="12" t="s">
        <v>2236</v>
      </c>
      <c r="Q592" s="10" t="s">
        <v>2236</v>
      </c>
      <c r="R592" s="10" t="s">
        <v>2236</v>
      </c>
      <c r="S592" s="10" t="s">
        <v>2236</v>
      </c>
      <c r="T592" s="10" t="s">
        <v>2236</v>
      </c>
      <c r="U5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3" spans="1:31" hidden="1" x14ac:dyDescent="0.3">
      <c r="A593" s="12" t="s">
        <v>2316</v>
      </c>
      <c r="B593" s="12" t="s">
        <v>2371</v>
      </c>
      <c r="C593" s="12" t="s">
        <v>2956</v>
      </c>
      <c r="D593" s="12" t="s">
        <v>2957</v>
      </c>
      <c r="E593" s="12" t="s">
        <v>2236</v>
      </c>
      <c r="F593" s="8">
        <v>0</v>
      </c>
      <c r="G593" s="12" t="s">
        <v>2237</v>
      </c>
      <c r="H593" s="12">
        <v>0</v>
      </c>
      <c r="I593" s="12" t="s">
        <v>2237</v>
      </c>
      <c r="J593" s="12">
        <v>0</v>
      </c>
      <c r="K593" s="12" t="s">
        <v>2237</v>
      </c>
      <c r="L593" s="12">
        <v>0</v>
      </c>
      <c r="M593" s="12" t="s">
        <v>2237</v>
      </c>
      <c r="N593" s="8">
        <v>0</v>
      </c>
      <c r="O593" s="12" t="s">
        <v>2237</v>
      </c>
      <c r="P593" s="12" t="s">
        <v>2236</v>
      </c>
      <c r="Q593" s="10" t="s">
        <v>2236</v>
      </c>
      <c r="R593" s="10" t="s">
        <v>2236</v>
      </c>
      <c r="S593" s="10" t="s">
        <v>2236</v>
      </c>
      <c r="T593" s="10" t="s">
        <v>2236</v>
      </c>
      <c r="U5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4" spans="1:31" hidden="1" x14ac:dyDescent="0.3">
      <c r="A594" s="12" t="s">
        <v>2317</v>
      </c>
      <c r="B594" s="12" t="s">
        <v>2371</v>
      </c>
      <c r="C594" s="12" t="s">
        <v>2958</v>
      </c>
      <c r="D594" s="12" t="s">
        <v>2959</v>
      </c>
      <c r="E594" s="12" t="s">
        <v>2236</v>
      </c>
      <c r="F594" s="8">
        <v>0</v>
      </c>
      <c r="G594" s="12" t="s">
        <v>2237</v>
      </c>
      <c r="H594" s="12">
        <v>0</v>
      </c>
      <c r="I594" s="12" t="s">
        <v>2237</v>
      </c>
      <c r="J594" s="12">
        <v>0</v>
      </c>
      <c r="K594" s="12" t="s">
        <v>2237</v>
      </c>
      <c r="L594" s="12">
        <v>0</v>
      </c>
      <c r="M594" s="12" t="s">
        <v>2237</v>
      </c>
      <c r="N594" s="8">
        <v>0</v>
      </c>
      <c r="O594" s="12" t="s">
        <v>2237</v>
      </c>
      <c r="P594" s="12" t="s">
        <v>2236</v>
      </c>
      <c r="Q594" s="10" t="s">
        <v>2236</v>
      </c>
      <c r="R594" s="10" t="s">
        <v>2236</v>
      </c>
      <c r="S594" s="10" t="s">
        <v>2236</v>
      </c>
      <c r="T594" s="10" t="s">
        <v>2236</v>
      </c>
      <c r="U5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5" spans="1:31" hidden="1" x14ac:dyDescent="0.3">
      <c r="A595" s="12" t="s">
        <v>2318</v>
      </c>
      <c r="B595" s="12" t="s">
        <v>2371</v>
      </c>
      <c r="C595" s="12" t="s">
        <v>2902</v>
      </c>
      <c r="D595" s="12" t="s">
        <v>2960</v>
      </c>
      <c r="E595" s="12" t="s">
        <v>2236</v>
      </c>
      <c r="F595" s="8">
        <v>0</v>
      </c>
      <c r="G595" s="12" t="s">
        <v>2237</v>
      </c>
      <c r="H595" s="12">
        <v>0</v>
      </c>
      <c r="I595" s="12" t="s">
        <v>2237</v>
      </c>
      <c r="J595" s="12">
        <v>0</v>
      </c>
      <c r="K595" s="12" t="s">
        <v>2237</v>
      </c>
      <c r="L595" s="12">
        <v>0</v>
      </c>
      <c r="M595" s="12" t="s">
        <v>2237</v>
      </c>
      <c r="N595" s="8">
        <v>0</v>
      </c>
      <c r="O595" s="12" t="s">
        <v>2237</v>
      </c>
      <c r="P595" s="12" t="s">
        <v>2236</v>
      </c>
      <c r="Q595" s="10" t="s">
        <v>2236</v>
      </c>
      <c r="R595" s="10" t="s">
        <v>2236</v>
      </c>
      <c r="S595" s="10" t="s">
        <v>2236</v>
      </c>
      <c r="T595" s="10" t="s">
        <v>2236</v>
      </c>
      <c r="U5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6" spans="1:31" hidden="1" x14ac:dyDescent="0.3">
      <c r="A596" s="12" t="s">
        <v>2319</v>
      </c>
      <c r="B596" s="12" t="s">
        <v>2371</v>
      </c>
      <c r="C596" s="12" t="s">
        <v>2961</v>
      </c>
      <c r="D596" s="12" t="s">
        <v>2962</v>
      </c>
      <c r="E596" s="12" t="s">
        <v>2236</v>
      </c>
      <c r="F596" s="8">
        <v>0</v>
      </c>
      <c r="G596" s="12" t="s">
        <v>2237</v>
      </c>
      <c r="H596" s="12">
        <v>0</v>
      </c>
      <c r="I596" s="12" t="s">
        <v>2237</v>
      </c>
      <c r="J596" s="12">
        <v>0</v>
      </c>
      <c r="K596" s="12" t="s">
        <v>2237</v>
      </c>
      <c r="L596" s="12">
        <v>0</v>
      </c>
      <c r="M596" s="12" t="s">
        <v>2237</v>
      </c>
      <c r="N596" s="8">
        <v>0</v>
      </c>
      <c r="O596" s="12" t="s">
        <v>2237</v>
      </c>
      <c r="P596" s="12" t="s">
        <v>2236</v>
      </c>
      <c r="Q596" s="10" t="s">
        <v>2236</v>
      </c>
      <c r="R596" s="10" t="s">
        <v>2236</v>
      </c>
      <c r="S596" s="10" t="s">
        <v>2236</v>
      </c>
      <c r="T596" s="10" t="s">
        <v>2236</v>
      </c>
      <c r="U5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7" spans="1:31" hidden="1" x14ac:dyDescent="0.3">
      <c r="A597" s="12" t="s">
        <v>2320</v>
      </c>
      <c r="B597" s="12" t="s">
        <v>2371</v>
      </c>
      <c r="C597" s="12" t="s">
        <v>2963</v>
      </c>
      <c r="D597" s="12" t="s">
        <v>2964</v>
      </c>
      <c r="E597" s="12" t="s">
        <v>2236</v>
      </c>
      <c r="F597" s="8">
        <v>0</v>
      </c>
      <c r="G597" s="12" t="s">
        <v>2237</v>
      </c>
      <c r="H597" s="12">
        <v>0</v>
      </c>
      <c r="I597" s="12" t="s">
        <v>2237</v>
      </c>
      <c r="J597" s="12">
        <v>0</v>
      </c>
      <c r="K597" s="12" t="s">
        <v>2237</v>
      </c>
      <c r="L597" s="12">
        <v>0</v>
      </c>
      <c r="M597" s="12" t="s">
        <v>2237</v>
      </c>
      <c r="N597" s="8">
        <v>0</v>
      </c>
      <c r="O597" s="12" t="s">
        <v>2237</v>
      </c>
      <c r="P597" s="12" t="s">
        <v>2236</v>
      </c>
      <c r="Q597" s="10" t="s">
        <v>2236</v>
      </c>
      <c r="R597" s="10" t="s">
        <v>2236</v>
      </c>
      <c r="S597" s="10" t="s">
        <v>2236</v>
      </c>
      <c r="T597" s="10" t="s">
        <v>2236</v>
      </c>
      <c r="U5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8" spans="1:31" hidden="1" x14ac:dyDescent="0.3">
      <c r="A598" s="12" t="s">
        <v>2321</v>
      </c>
      <c r="B598" s="12" t="s">
        <v>2371</v>
      </c>
      <c r="C598" s="12" t="s">
        <v>2965</v>
      </c>
      <c r="D598" s="12" t="s">
        <v>2966</v>
      </c>
      <c r="E598" s="12" t="s">
        <v>2236</v>
      </c>
      <c r="F598" s="8">
        <v>0</v>
      </c>
      <c r="G598" s="12" t="s">
        <v>2237</v>
      </c>
      <c r="H598" s="12">
        <v>0</v>
      </c>
      <c r="I598" s="12" t="s">
        <v>2237</v>
      </c>
      <c r="J598" s="12">
        <v>0</v>
      </c>
      <c r="K598" s="12" t="s">
        <v>2237</v>
      </c>
      <c r="L598" s="12">
        <v>0</v>
      </c>
      <c r="M598" s="12" t="s">
        <v>2237</v>
      </c>
      <c r="N598" s="8">
        <v>0</v>
      </c>
      <c r="O598" s="12" t="s">
        <v>2237</v>
      </c>
      <c r="P598" s="12" t="s">
        <v>2236</v>
      </c>
      <c r="Q598" s="10" t="s">
        <v>2236</v>
      </c>
      <c r="R598" s="10" t="s">
        <v>2236</v>
      </c>
      <c r="S598" s="10" t="s">
        <v>2236</v>
      </c>
      <c r="T598" s="10" t="s">
        <v>2236</v>
      </c>
      <c r="U5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599" spans="1:31" hidden="1" x14ac:dyDescent="0.3">
      <c r="A599" s="12" t="s">
        <v>2322</v>
      </c>
      <c r="B599" s="12" t="s">
        <v>2371</v>
      </c>
      <c r="C599" s="12" t="s">
        <v>2967</v>
      </c>
      <c r="D599" s="12" t="s">
        <v>2968</v>
      </c>
      <c r="E599" s="12" t="s">
        <v>2236</v>
      </c>
      <c r="F599" s="8">
        <v>0</v>
      </c>
      <c r="G599" s="12" t="s">
        <v>2237</v>
      </c>
      <c r="H599" s="12">
        <v>0</v>
      </c>
      <c r="I599" s="12" t="s">
        <v>2237</v>
      </c>
      <c r="J599" s="12">
        <v>0</v>
      </c>
      <c r="K599" s="12" t="s">
        <v>2237</v>
      </c>
      <c r="L599" s="12">
        <v>0</v>
      </c>
      <c r="M599" s="12" t="s">
        <v>2237</v>
      </c>
      <c r="N599" s="8">
        <v>0</v>
      </c>
      <c r="O599" s="12" t="s">
        <v>2237</v>
      </c>
      <c r="P599" s="12" t="s">
        <v>2236</v>
      </c>
      <c r="Q599" s="10" t="s">
        <v>2236</v>
      </c>
      <c r="R599" s="10" t="s">
        <v>2236</v>
      </c>
      <c r="S599" s="10" t="s">
        <v>2236</v>
      </c>
      <c r="T599" s="10" t="s">
        <v>2236</v>
      </c>
      <c r="U5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5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5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5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5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5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5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5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5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5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5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0" spans="1:31" hidden="1" x14ac:dyDescent="0.3">
      <c r="A600" s="12" t="s">
        <v>2323</v>
      </c>
      <c r="B600" s="12" t="s">
        <v>2371</v>
      </c>
      <c r="C600" s="12" t="s">
        <v>2969</v>
      </c>
      <c r="D600" s="12" t="s">
        <v>2970</v>
      </c>
      <c r="E600" s="12" t="s">
        <v>2236</v>
      </c>
      <c r="F600" s="8">
        <v>0</v>
      </c>
      <c r="G600" s="12" t="s">
        <v>2237</v>
      </c>
      <c r="H600" s="12">
        <v>0</v>
      </c>
      <c r="I600" s="12" t="s">
        <v>2237</v>
      </c>
      <c r="J600" s="12">
        <v>0</v>
      </c>
      <c r="K600" s="12" t="s">
        <v>2237</v>
      </c>
      <c r="L600" s="12">
        <v>0</v>
      </c>
      <c r="M600" s="12" t="s">
        <v>2237</v>
      </c>
      <c r="N600" s="8">
        <v>0</v>
      </c>
      <c r="O600" s="12" t="s">
        <v>2237</v>
      </c>
      <c r="P600" s="12" t="s">
        <v>2236</v>
      </c>
      <c r="Q600" s="10" t="s">
        <v>2236</v>
      </c>
      <c r="R600" s="10" t="s">
        <v>2236</v>
      </c>
      <c r="S600" s="10" t="s">
        <v>2236</v>
      </c>
      <c r="T600" s="10" t="s">
        <v>2236</v>
      </c>
      <c r="U6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1" spans="1:31" hidden="1" x14ac:dyDescent="0.3">
      <c r="A601" s="12" t="s">
        <v>2324</v>
      </c>
      <c r="B601" s="12" t="s">
        <v>2371</v>
      </c>
      <c r="C601" s="12" t="s">
        <v>2902</v>
      </c>
      <c r="D601" s="12" t="s">
        <v>2971</v>
      </c>
      <c r="E601" s="12" t="s">
        <v>2236</v>
      </c>
      <c r="F601" s="8">
        <v>0</v>
      </c>
      <c r="G601" s="12" t="s">
        <v>2237</v>
      </c>
      <c r="H601" s="12">
        <v>0</v>
      </c>
      <c r="I601" s="12" t="s">
        <v>2237</v>
      </c>
      <c r="J601" s="12">
        <v>0</v>
      </c>
      <c r="K601" s="12" t="s">
        <v>2237</v>
      </c>
      <c r="L601" s="12">
        <v>0</v>
      </c>
      <c r="M601" s="12" t="s">
        <v>2237</v>
      </c>
      <c r="N601" s="8">
        <v>0</v>
      </c>
      <c r="O601" s="12" t="s">
        <v>2237</v>
      </c>
      <c r="P601" s="12" t="s">
        <v>2236</v>
      </c>
      <c r="Q601" s="10" t="s">
        <v>2236</v>
      </c>
      <c r="R601" s="10" t="s">
        <v>2236</v>
      </c>
      <c r="S601" s="10" t="s">
        <v>2236</v>
      </c>
      <c r="T601" s="10" t="s">
        <v>2236</v>
      </c>
      <c r="U6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2" spans="1:31" hidden="1" x14ac:dyDescent="0.3">
      <c r="A602" s="12" t="s">
        <v>2325</v>
      </c>
      <c r="B602" s="12" t="s">
        <v>2371</v>
      </c>
      <c r="C602" s="12" t="s">
        <v>2972</v>
      </c>
      <c r="D602" s="12" t="s">
        <v>2973</v>
      </c>
      <c r="E602" s="12" t="s">
        <v>2236</v>
      </c>
      <c r="F602" s="8">
        <v>0</v>
      </c>
      <c r="G602" s="12" t="s">
        <v>2237</v>
      </c>
      <c r="H602" s="12">
        <v>0</v>
      </c>
      <c r="I602" s="12" t="s">
        <v>2237</v>
      </c>
      <c r="J602" s="12">
        <v>0</v>
      </c>
      <c r="K602" s="12" t="s">
        <v>2237</v>
      </c>
      <c r="L602" s="12">
        <v>0</v>
      </c>
      <c r="M602" s="12" t="s">
        <v>2237</v>
      </c>
      <c r="N602" s="8">
        <v>0</v>
      </c>
      <c r="O602" s="12" t="s">
        <v>2237</v>
      </c>
      <c r="P602" s="12" t="s">
        <v>2236</v>
      </c>
      <c r="Q602" s="10" t="s">
        <v>2236</v>
      </c>
      <c r="R602" s="10" t="s">
        <v>2236</v>
      </c>
      <c r="S602" s="10" t="s">
        <v>2236</v>
      </c>
      <c r="T602" s="10" t="s">
        <v>2236</v>
      </c>
      <c r="U6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3" spans="1:31" hidden="1" x14ac:dyDescent="0.3">
      <c r="A603" s="12" t="s">
        <v>2326</v>
      </c>
      <c r="B603" s="12" t="s">
        <v>2371</v>
      </c>
      <c r="C603" s="12" t="s">
        <v>2974</v>
      </c>
      <c r="D603" s="12" t="s">
        <v>2975</v>
      </c>
      <c r="E603" s="12" t="s">
        <v>2236</v>
      </c>
      <c r="F603" s="8">
        <v>0</v>
      </c>
      <c r="G603" s="12" t="s">
        <v>2237</v>
      </c>
      <c r="H603" s="12">
        <v>0</v>
      </c>
      <c r="I603" s="12" t="s">
        <v>2237</v>
      </c>
      <c r="J603" s="12">
        <v>0</v>
      </c>
      <c r="K603" s="12" t="s">
        <v>2237</v>
      </c>
      <c r="L603" s="12">
        <v>0</v>
      </c>
      <c r="M603" s="12" t="s">
        <v>2237</v>
      </c>
      <c r="N603" s="8">
        <v>0</v>
      </c>
      <c r="O603" s="12" t="s">
        <v>2237</v>
      </c>
      <c r="P603" s="12" t="s">
        <v>2236</v>
      </c>
      <c r="Q603" s="10" t="s">
        <v>2236</v>
      </c>
      <c r="R603" s="10" t="s">
        <v>2236</v>
      </c>
      <c r="S603" s="10" t="s">
        <v>2236</v>
      </c>
      <c r="T603" s="10" t="s">
        <v>2236</v>
      </c>
      <c r="U6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4" spans="1:31" hidden="1" x14ac:dyDescent="0.3">
      <c r="A604" s="12" t="s">
        <v>2328</v>
      </c>
      <c r="B604" s="12" t="s">
        <v>2371</v>
      </c>
      <c r="C604" s="12" t="s">
        <v>2976</v>
      </c>
      <c r="D604" s="12" t="s">
        <v>2977</v>
      </c>
      <c r="E604" s="12" t="s">
        <v>2236</v>
      </c>
      <c r="F604" s="8">
        <v>0</v>
      </c>
      <c r="G604" s="12" t="s">
        <v>2237</v>
      </c>
      <c r="H604" s="12">
        <v>0</v>
      </c>
      <c r="I604" s="12" t="s">
        <v>2237</v>
      </c>
      <c r="J604" s="12">
        <v>0</v>
      </c>
      <c r="K604" s="12" t="s">
        <v>2237</v>
      </c>
      <c r="L604" s="12">
        <v>0</v>
      </c>
      <c r="M604" s="12" t="s">
        <v>2237</v>
      </c>
      <c r="N604" s="8">
        <v>0</v>
      </c>
      <c r="O604" s="12" t="s">
        <v>2237</v>
      </c>
      <c r="P604" s="12" t="s">
        <v>2236</v>
      </c>
      <c r="Q604" s="10" t="s">
        <v>2236</v>
      </c>
      <c r="R604" s="10" t="s">
        <v>2236</v>
      </c>
      <c r="S604" s="10" t="s">
        <v>2236</v>
      </c>
      <c r="T604" s="10" t="s">
        <v>2236</v>
      </c>
      <c r="U6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5" spans="1:31" hidden="1" x14ac:dyDescent="0.3">
      <c r="A605" s="12" t="s">
        <v>2329</v>
      </c>
      <c r="B605" s="12" t="s">
        <v>2371</v>
      </c>
      <c r="C605" s="12" t="s">
        <v>2978</v>
      </c>
      <c r="D605" s="12" t="s">
        <v>2979</v>
      </c>
      <c r="E605" s="12" t="s">
        <v>2236</v>
      </c>
      <c r="F605" s="8">
        <v>0</v>
      </c>
      <c r="G605" s="12" t="s">
        <v>2237</v>
      </c>
      <c r="H605" s="12">
        <v>0</v>
      </c>
      <c r="I605" s="12" t="s">
        <v>2237</v>
      </c>
      <c r="J605" s="12">
        <v>0</v>
      </c>
      <c r="K605" s="12" t="s">
        <v>2237</v>
      </c>
      <c r="L605" s="12">
        <v>0</v>
      </c>
      <c r="M605" s="12" t="s">
        <v>2237</v>
      </c>
      <c r="N605" s="8">
        <v>0</v>
      </c>
      <c r="O605" s="12" t="s">
        <v>2237</v>
      </c>
      <c r="P605" s="12" t="s">
        <v>2236</v>
      </c>
      <c r="Q605" s="10" t="s">
        <v>2236</v>
      </c>
      <c r="R605" s="10" t="s">
        <v>2236</v>
      </c>
      <c r="S605" s="10" t="s">
        <v>2236</v>
      </c>
      <c r="T605" s="10" t="s">
        <v>2236</v>
      </c>
      <c r="U6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6" spans="1:31" hidden="1" x14ac:dyDescent="0.3">
      <c r="A606" s="12" t="s">
        <v>2330</v>
      </c>
      <c r="B606" s="12" t="s">
        <v>2371</v>
      </c>
      <c r="C606" s="12" t="s">
        <v>2980</v>
      </c>
      <c r="D606" s="12" t="s">
        <v>2981</v>
      </c>
      <c r="E606" s="12" t="s">
        <v>2236</v>
      </c>
      <c r="F606" s="8">
        <v>0</v>
      </c>
      <c r="G606" s="12" t="s">
        <v>2237</v>
      </c>
      <c r="H606" s="12">
        <v>0</v>
      </c>
      <c r="I606" s="12" t="s">
        <v>2237</v>
      </c>
      <c r="J606" s="12">
        <v>0</v>
      </c>
      <c r="K606" s="12" t="s">
        <v>2237</v>
      </c>
      <c r="L606" s="12">
        <v>0</v>
      </c>
      <c r="M606" s="12" t="s">
        <v>2237</v>
      </c>
      <c r="N606" s="8">
        <v>0</v>
      </c>
      <c r="O606" s="12" t="s">
        <v>2237</v>
      </c>
      <c r="P606" s="12" t="s">
        <v>2236</v>
      </c>
      <c r="Q606" s="10" t="s">
        <v>2236</v>
      </c>
      <c r="R606" s="10" t="s">
        <v>2236</v>
      </c>
      <c r="S606" s="10" t="s">
        <v>2236</v>
      </c>
      <c r="T606" s="10" t="s">
        <v>2236</v>
      </c>
      <c r="U6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7" spans="1:31" hidden="1" x14ac:dyDescent="0.3">
      <c r="A607" s="12" t="s">
        <v>2331</v>
      </c>
      <c r="B607" s="12" t="s">
        <v>2371</v>
      </c>
      <c r="C607" s="12" t="s">
        <v>2969</v>
      </c>
      <c r="D607" s="12" t="s">
        <v>2982</v>
      </c>
      <c r="E607" s="12" t="s">
        <v>2236</v>
      </c>
      <c r="F607" s="8">
        <v>0</v>
      </c>
      <c r="G607" s="12" t="s">
        <v>2237</v>
      </c>
      <c r="H607" s="12">
        <v>0</v>
      </c>
      <c r="I607" s="12" t="s">
        <v>2237</v>
      </c>
      <c r="J607" s="12">
        <v>0</v>
      </c>
      <c r="K607" s="12" t="s">
        <v>2237</v>
      </c>
      <c r="L607" s="12">
        <v>0</v>
      </c>
      <c r="M607" s="12" t="s">
        <v>2237</v>
      </c>
      <c r="N607" s="8">
        <v>0</v>
      </c>
      <c r="O607" s="12" t="s">
        <v>2237</v>
      </c>
      <c r="P607" s="12" t="s">
        <v>2236</v>
      </c>
      <c r="Q607" s="10" t="s">
        <v>2236</v>
      </c>
      <c r="R607" s="10" t="s">
        <v>2236</v>
      </c>
      <c r="S607" s="10" t="s">
        <v>2236</v>
      </c>
      <c r="T607" s="10" t="s">
        <v>2236</v>
      </c>
      <c r="U6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8" spans="1:31" hidden="1" x14ac:dyDescent="0.3">
      <c r="A608" s="12" t="s">
        <v>2332</v>
      </c>
      <c r="B608" s="12" t="s">
        <v>2371</v>
      </c>
      <c r="C608" s="12" t="s">
        <v>2983</v>
      </c>
      <c r="D608" s="12" t="s">
        <v>2984</v>
      </c>
      <c r="E608" s="12" t="s">
        <v>2236</v>
      </c>
      <c r="F608" s="8">
        <v>0</v>
      </c>
      <c r="G608" s="12" t="s">
        <v>2237</v>
      </c>
      <c r="H608" s="12">
        <v>0</v>
      </c>
      <c r="I608" s="12" t="s">
        <v>2237</v>
      </c>
      <c r="J608" s="12">
        <v>0</v>
      </c>
      <c r="K608" s="12" t="s">
        <v>2237</v>
      </c>
      <c r="L608" s="12">
        <v>0</v>
      </c>
      <c r="M608" s="12" t="s">
        <v>2237</v>
      </c>
      <c r="N608" s="8">
        <v>0</v>
      </c>
      <c r="O608" s="12" t="s">
        <v>2237</v>
      </c>
      <c r="P608" s="12" t="s">
        <v>2236</v>
      </c>
      <c r="Q608" s="10" t="s">
        <v>2236</v>
      </c>
      <c r="R608" s="10" t="s">
        <v>2236</v>
      </c>
      <c r="S608" s="10" t="s">
        <v>2236</v>
      </c>
      <c r="T608" s="10" t="s">
        <v>2236</v>
      </c>
      <c r="U6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09" spans="1:31" hidden="1" x14ac:dyDescent="0.3">
      <c r="A609" s="12" t="s">
        <v>2333</v>
      </c>
      <c r="B609" s="12" t="s">
        <v>2371</v>
      </c>
      <c r="C609" s="12" t="s">
        <v>2985</v>
      </c>
      <c r="D609" s="12" t="s">
        <v>2986</v>
      </c>
      <c r="E609" s="12" t="s">
        <v>2236</v>
      </c>
      <c r="F609" s="8">
        <v>0</v>
      </c>
      <c r="G609" s="12" t="s">
        <v>2237</v>
      </c>
      <c r="H609" s="12">
        <v>0</v>
      </c>
      <c r="I609" s="12" t="s">
        <v>2237</v>
      </c>
      <c r="J609" s="12">
        <v>0</v>
      </c>
      <c r="K609" s="12" t="s">
        <v>2237</v>
      </c>
      <c r="L609" s="12">
        <v>0</v>
      </c>
      <c r="M609" s="12" t="s">
        <v>2237</v>
      </c>
      <c r="N609" s="8">
        <v>0</v>
      </c>
      <c r="O609" s="12" t="s">
        <v>2237</v>
      </c>
      <c r="P609" s="12" t="s">
        <v>2236</v>
      </c>
      <c r="Q609" s="10" t="s">
        <v>2236</v>
      </c>
      <c r="R609" s="10" t="s">
        <v>2236</v>
      </c>
      <c r="S609" s="10" t="s">
        <v>2236</v>
      </c>
      <c r="T609" s="10" t="s">
        <v>2236</v>
      </c>
      <c r="U6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0" spans="1:31" hidden="1" x14ac:dyDescent="0.3">
      <c r="A610" s="12" t="s">
        <v>2334</v>
      </c>
      <c r="B610" s="12" t="s">
        <v>2371</v>
      </c>
      <c r="C610" s="12" t="s">
        <v>2987</v>
      </c>
      <c r="D610" s="12" t="s">
        <v>2988</v>
      </c>
      <c r="E610" s="12" t="s">
        <v>2236</v>
      </c>
      <c r="F610" s="8">
        <v>0</v>
      </c>
      <c r="G610" s="12" t="s">
        <v>2237</v>
      </c>
      <c r="H610" s="12">
        <v>0</v>
      </c>
      <c r="I610" s="12" t="s">
        <v>2237</v>
      </c>
      <c r="J610" s="12">
        <v>0</v>
      </c>
      <c r="K610" s="12" t="s">
        <v>2237</v>
      </c>
      <c r="L610" s="12">
        <v>0</v>
      </c>
      <c r="M610" s="12" t="s">
        <v>2237</v>
      </c>
      <c r="N610" s="8">
        <v>0</v>
      </c>
      <c r="O610" s="12" t="s">
        <v>2237</v>
      </c>
      <c r="P610" s="12" t="s">
        <v>2236</v>
      </c>
      <c r="Q610" s="10" t="s">
        <v>2236</v>
      </c>
      <c r="R610" s="10" t="s">
        <v>2236</v>
      </c>
      <c r="S610" s="10" t="s">
        <v>2236</v>
      </c>
      <c r="T610" s="10" t="s">
        <v>2236</v>
      </c>
      <c r="U6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1" spans="1:31" hidden="1" x14ac:dyDescent="0.3">
      <c r="A611" s="12" t="s">
        <v>2335</v>
      </c>
      <c r="B611" s="12" t="s">
        <v>2371</v>
      </c>
      <c r="C611" s="12" t="s">
        <v>2902</v>
      </c>
      <c r="D611" s="12" t="s">
        <v>2989</v>
      </c>
      <c r="E611" s="12" t="s">
        <v>2236</v>
      </c>
      <c r="F611" s="8">
        <v>0</v>
      </c>
      <c r="G611" s="12" t="s">
        <v>2237</v>
      </c>
      <c r="H611" s="12">
        <v>0</v>
      </c>
      <c r="I611" s="12" t="s">
        <v>2237</v>
      </c>
      <c r="J611" s="12">
        <v>0</v>
      </c>
      <c r="K611" s="12" t="s">
        <v>2237</v>
      </c>
      <c r="L611" s="12">
        <v>0</v>
      </c>
      <c r="M611" s="12" t="s">
        <v>2237</v>
      </c>
      <c r="N611" s="8">
        <v>0</v>
      </c>
      <c r="O611" s="12" t="s">
        <v>2237</v>
      </c>
      <c r="P611" s="12" t="s">
        <v>2236</v>
      </c>
      <c r="Q611" s="10" t="s">
        <v>2236</v>
      </c>
      <c r="R611" s="10" t="s">
        <v>2236</v>
      </c>
      <c r="S611" s="10" t="s">
        <v>2236</v>
      </c>
      <c r="T611" s="10" t="s">
        <v>2236</v>
      </c>
      <c r="U6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2" spans="1:31" hidden="1" x14ac:dyDescent="0.3">
      <c r="A612" s="12" t="s">
        <v>2336</v>
      </c>
      <c r="B612" s="12" t="s">
        <v>2371</v>
      </c>
      <c r="C612" s="12" t="s">
        <v>2990</v>
      </c>
      <c r="D612" s="12" t="s">
        <v>2991</v>
      </c>
      <c r="E612" s="12" t="s">
        <v>2236</v>
      </c>
      <c r="F612" s="8">
        <v>0</v>
      </c>
      <c r="G612" s="12" t="s">
        <v>2237</v>
      </c>
      <c r="H612" s="12">
        <v>0</v>
      </c>
      <c r="I612" s="12" t="s">
        <v>2237</v>
      </c>
      <c r="J612" s="12">
        <v>0</v>
      </c>
      <c r="K612" s="12" t="s">
        <v>2237</v>
      </c>
      <c r="L612" s="12">
        <v>0</v>
      </c>
      <c r="M612" s="12" t="s">
        <v>2237</v>
      </c>
      <c r="N612" s="8">
        <v>0</v>
      </c>
      <c r="O612" s="12" t="s">
        <v>2237</v>
      </c>
      <c r="P612" s="12" t="s">
        <v>2236</v>
      </c>
      <c r="Q612" s="10" t="s">
        <v>2236</v>
      </c>
      <c r="R612" s="10" t="s">
        <v>2236</v>
      </c>
      <c r="S612" s="10" t="s">
        <v>2236</v>
      </c>
      <c r="T612" s="10" t="s">
        <v>2236</v>
      </c>
      <c r="U6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3" spans="1:31" hidden="1" x14ac:dyDescent="0.3">
      <c r="A613" s="12" t="s">
        <v>2337</v>
      </c>
      <c r="B613" s="12" t="s">
        <v>2371</v>
      </c>
      <c r="C613" s="12" t="s">
        <v>2992</v>
      </c>
      <c r="D613" s="12" t="s">
        <v>2993</v>
      </c>
      <c r="E613" s="12" t="s">
        <v>2236</v>
      </c>
      <c r="F613" s="8">
        <v>0</v>
      </c>
      <c r="G613" s="12" t="s">
        <v>2237</v>
      </c>
      <c r="H613" s="12">
        <v>0</v>
      </c>
      <c r="I613" s="12" t="s">
        <v>2237</v>
      </c>
      <c r="J613" s="12">
        <v>0</v>
      </c>
      <c r="K613" s="12" t="s">
        <v>2237</v>
      </c>
      <c r="L613" s="12">
        <v>0</v>
      </c>
      <c r="M613" s="12" t="s">
        <v>2237</v>
      </c>
      <c r="N613" s="8">
        <v>0</v>
      </c>
      <c r="O613" s="12" t="s">
        <v>2237</v>
      </c>
      <c r="P613" s="12" t="s">
        <v>2236</v>
      </c>
      <c r="Q613" s="10" t="s">
        <v>2236</v>
      </c>
      <c r="R613" s="10" t="s">
        <v>2236</v>
      </c>
      <c r="S613" s="10" t="s">
        <v>2236</v>
      </c>
      <c r="T613" s="10" t="s">
        <v>2236</v>
      </c>
      <c r="U6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4" spans="1:31" hidden="1" x14ac:dyDescent="0.3">
      <c r="A614" s="12" t="s">
        <v>2338</v>
      </c>
      <c r="B614" s="12" t="s">
        <v>2371</v>
      </c>
      <c r="C614" s="12" t="s">
        <v>2994</v>
      </c>
      <c r="D614" s="12" t="s">
        <v>2995</v>
      </c>
      <c r="E614" s="12" t="s">
        <v>2236</v>
      </c>
      <c r="F614" s="8">
        <v>0</v>
      </c>
      <c r="G614" s="12" t="s">
        <v>2237</v>
      </c>
      <c r="H614" s="12">
        <v>0</v>
      </c>
      <c r="I614" s="12" t="s">
        <v>2237</v>
      </c>
      <c r="J614" s="12">
        <v>0</v>
      </c>
      <c r="K614" s="12" t="s">
        <v>2237</v>
      </c>
      <c r="L614" s="12">
        <v>0</v>
      </c>
      <c r="M614" s="12" t="s">
        <v>2237</v>
      </c>
      <c r="N614" s="8">
        <v>0</v>
      </c>
      <c r="O614" s="12" t="s">
        <v>2237</v>
      </c>
      <c r="P614" s="12" t="s">
        <v>2236</v>
      </c>
      <c r="Q614" s="10" t="s">
        <v>2236</v>
      </c>
      <c r="R614" s="10" t="s">
        <v>2236</v>
      </c>
      <c r="S614" s="10" t="s">
        <v>2236</v>
      </c>
      <c r="T614" s="10" t="s">
        <v>2236</v>
      </c>
      <c r="U6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5" spans="1:31" hidden="1" x14ac:dyDescent="0.3">
      <c r="A615" s="12" t="s">
        <v>2339</v>
      </c>
      <c r="B615" s="12" t="s">
        <v>2371</v>
      </c>
      <c r="C615" s="12" t="s">
        <v>2902</v>
      </c>
      <c r="D615" s="12" t="s">
        <v>2996</v>
      </c>
      <c r="E615" s="12" t="s">
        <v>2236</v>
      </c>
      <c r="F615" s="8">
        <v>0</v>
      </c>
      <c r="G615" s="12" t="s">
        <v>2237</v>
      </c>
      <c r="H615" s="12">
        <v>0</v>
      </c>
      <c r="I615" s="12" t="s">
        <v>2237</v>
      </c>
      <c r="J615" s="12">
        <v>0</v>
      </c>
      <c r="K615" s="12" t="s">
        <v>2237</v>
      </c>
      <c r="L615" s="12">
        <v>0</v>
      </c>
      <c r="M615" s="12" t="s">
        <v>2237</v>
      </c>
      <c r="N615" s="8">
        <v>0</v>
      </c>
      <c r="O615" s="12" t="s">
        <v>2237</v>
      </c>
      <c r="P615" s="12" t="s">
        <v>2236</v>
      </c>
      <c r="Q615" s="10" t="s">
        <v>2236</v>
      </c>
      <c r="R615" s="10" t="s">
        <v>2236</v>
      </c>
      <c r="S615" s="10" t="s">
        <v>2236</v>
      </c>
      <c r="T615" s="10" t="s">
        <v>2236</v>
      </c>
      <c r="U6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6" spans="1:31" hidden="1" x14ac:dyDescent="0.3">
      <c r="A616" s="12" t="s">
        <v>2340</v>
      </c>
      <c r="B616" s="12" t="s">
        <v>2371</v>
      </c>
      <c r="C616" s="12" t="s">
        <v>2997</v>
      </c>
      <c r="D616" s="12" t="s">
        <v>2998</v>
      </c>
      <c r="E616" s="12" t="s">
        <v>2236</v>
      </c>
      <c r="F616" s="8">
        <v>0</v>
      </c>
      <c r="G616" s="12" t="s">
        <v>2237</v>
      </c>
      <c r="H616" s="12">
        <v>0</v>
      </c>
      <c r="I616" s="12" t="s">
        <v>2237</v>
      </c>
      <c r="J616" s="12">
        <v>0</v>
      </c>
      <c r="K616" s="12" t="s">
        <v>2237</v>
      </c>
      <c r="L616" s="12">
        <v>0</v>
      </c>
      <c r="M616" s="12" t="s">
        <v>2237</v>
      </c>
      <c r="N616" s="8">
        <v>0</v>
      </c>
      <c r="O616" s="12" t="s">
        <v>2237</v>
      </c>
      <c r="P616" s="12" t="s">
        <v>2236</v>
      </c>
      <c r="Q616" s="10" t="s">
        <v>2236</v>
      </c>
      <c r="R616" s="10" t="s">
        <v>2236</v>
      </c>
      <c r="S616" s="10" t="s">
        <v>2236</v>
      </c>
      <c r="T616" s="10" t="s">
        <v>2236</v>
      </c>
      <c r="U6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7" spans="1:31" hidden="1" x14ac:dyDescent="0.3">
      <c r="A617" s="12" t="s">
        <v>2341</v>
      </c>
      <c r="B617" s="12" t="s">
        <v>2371</v>
      </c>
      <c r="C617" s="12" t="s">
        <v>2999</v>
      </c>
      <c r="D617" s="12" t="s">
        <v>3000</v>
      </c>
      <c r="E617" s="12" t="s">
        <v>2236</v>
      </c>
      <c r="F617" s="8">
        <v>0</v>
      </c>
      <c r="G617" s="12" t="s">
        <v>2237</v>
      </c>
      <c r="H617" s="12">
        <v>0</v>
      </c>
      <c r="I617" s="12" t="s">
        <v>2237</v>
      </c>
      <c r="J617" s="12">
        <v>0</v>
      </c>
      <c r="K617" s="12" t="s">
        <v>2237</v>
      </c>
      <c r="L617" s="12">
        <v>0</v>
      </c>
      <c r="M617" s="12" t="s">
        <v>2237</v>
      </c>
      <c r="N617" s="8">
        <v>0</v>
      </c>
      <c r="O617" s="12" t="s">
        <v>2237</v>
      </c>
      <c r="P617" s="12" t="s">
        <v>2236</v>
      </c>
      <c r="Q617" s="10" t="s">
        <v>2236</v>
      </c>
      <c r="R617" s="10" t="s">
        <v>2236</v>
      </c>
      <c r="S617" s="10" t="s">
        <v>2236</v>
      </c>
      <c r="T617" s="10" t="s">
        <v>2236</v>
      </c>
      <c r="U6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8" spans="1:31" hidden="1" x14ac:dyDescent="0.3">
      <c r="A618" s="12" t="s">
        <v>2342</v>
      </c>
      <c r="B618" s="12" t="s">
        <v>2371</v>
      </c>
      <c r="C618" s="12" t="s">
        <v>3001</v>
      </c>
      <c r="D618" s="12" t="s">
        <v>3002</v>
      </c>
      <c r="E618" s="12" t="s">
        <v>2236</v>
      </c>
      <c r="F618" s="8">
        <v>0</v>
      </c>
      <c r="G618" s="12" t="s">
        <v>2237</v>
      </c>
      <c r="H618" s="12">
        <v>0</v>
      </c>
      <c r="I618" s="12" t="s">
        <v>2237</v>
      </c>
      <c r="J618" s="12">
        <v>0</v>
      </c>
      <c r="K618" s="12" t="s">
        <v>2237</v>
      </c>
      <c r="L618" s="12">
        <v>0</v>
      </c>
      <c r="M618" s="12" t="s">
        <v>2237</v>
      </c>
      <c r="N618" s="8">
        <v>0</v>
      </c>
      <c r="O618" s="12" t="s">
        <v>2237</v>
      </c>
      <c r="P618" s="12" t="s">
        <v>2236</v>
      </c>
      <c r="Q618" s="10" t="s">
        <v>2236</v>
      </c>
      <c r="R618" s="10" t="s">
        <v>2236</v>
      </c>
      <c r="S618" s="10" t="s">
        <v>2236</v>
      </c>
      <c r="T618" s="10" t="s">
        <v>2236</v>
      </c>
      <c r="U6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19" spans="1:31" hidden="1" x14ac:dyDescent="0.3">
      <c r="A619" s="12" t="s">
        <v>2343</v>
      </c>
      <c r="B619" s="12" t="s">
        <v>2366</v>
      </c>
      <c r="C619" s="12" t="s">
        <v>3003</v>
      </c>
      <c r="D619" s="12" t="s">
        <v>3004</v>
      </c>
      <c r="E619" s="12" t="s">
        <v>2236</v>
      </c>
      <c r="F619" s="8">
        <v>0</v>
      </c>
      <c r="G619" s="12" t="s">
        <v>2237</v>
      </c>
      <c r="H619" s="12">
        <v>0</v>
      </c>
      <c r="I619" s="12" t="s">
        <v>2237</v>
      </c>
      <c r="J619" s="12">
        <v>0</v>
      </c>
      <c r="K619" s="12" t="s">
        <v>2237</v>
      </c>
      <c r="L619" s="12">
        <v>0</v>
      </c>
      <c r="M619" s="12" t="s">
        <v>2237</v>
      </c>
      <c r="N619" s="8">
        <v>252.57</v>
      </c>
      <c r="O619" s="12" t="s">
        <v>2237</v>
      </c>
      <c r="P619" s="12" t="s">
        <v>2236</v>
      </c>
      <c r="Q619" s="10" t="s">
        <v>2236</v>
      </c>
      <c r="R619" s="10" t="s">
        <v>2236</v>
      </c>
      <c r="S619" s="10" t="s">
        <v>2236</v>
      </c>
      <c r="T619" s="10" t="s">
        <v>2866</v>
      </c>
      <c r="U6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0" spans="1:31" hidden="1" x14ac:dyDescent="0.3">
      <c r="A620" s="12" t="s">
        <v>2344</v>
      </c>
      <c r="B620" s="12" t="s">
        <v>2371</v>
      </c>
      <c r="C620" s="12" t="s">
        <v>2936</v>
      </c>
      <c r="D620" s="12" t="s">
        <v>3005</v>
      </c>
      <c r="E620" s="12" t="s">
        <v>2236</v>
      </c>
      <c r="F620" s="8">
        <v>0</v>
      </c>
      <c r="G620" s="12" t="s">
        <v>2237</v>
      </c>
      <c r="H620" s="12">
        <v>0</v>
      </c>
      <c r="I620" s="12" t="s">
        <v>2237</v>
      </c>
      <c r="J620" s="12">
        <v>0</v>
      </c>
      <c r="K620" s="12" t="s">
        <v>2237</v>
      </c>
      <c r="L620" s="12">
        <v>0</v>
      </c>
      <c r="M620" s="12" t="s">
        <v>2237</v>
      </c>
      <c r="N620" s="8">
        <v>0</v>
      </c>
      <c r="O620" s="12" t="s">
        <v>2237</v>
      </c>
      <c r="P620" s="12" t="s">
        <v>2236</v>
      </c>
      <c r="Q620" s="10" t="s">
        <v>2236</v>
      </c>
      <c r="R620" s="10" t="s">
        <v>2236</v>
      </c>
      <c r="S620" s="10" t="s">
        <v>2236</v>
      </c>
      <c r="T620" s="10" t="s">
        <v>2236</v>
      </c>
      <c r="U6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1" spans="1:31" hidden="1" x14ac:dyDescent="0.3">
      <c r="A621" s="12" t="s">
        <v>2345</v>
      </c>
      <c r="B621" s="12" t="s">
        <v>2371</v>
      </c>
      <c r="C621" s="12" t="s">
        <v>2902</v>
      </c>
      <c r="D621" s="12" t="s">
        <v>3006</v>
      </c>
      <c r="E621" s="12" t="s">
        <v>2236</v>
      </c>
      <c r="F621" s="8">
        <v>0</v>
      </c>
      <c r="G621" s="12" t="s">
        <v>2237</v>
      </c>
      <c r="H621" s="12">
        <v>0</v>
      </c>
      <c r="I621" s="12" t="s">
        <v>2237</v>
      </c>
      <c r="J621" s="12">
        <v>0</v>
      </c>
      <c r="K621" s="12" t="s">
        <v>2237</v>
      </c>
      <c r="L621" s="12">
        <v>0</v>
      </c>
      <c r="M621" s="12" t="s">
        <v>2237</v>
      </c>
      <c r="N621" s="8">
        <v>0</v>
      </c>
      <c r="O621" s="12" t="s">
        <v>2237</v>
      </c>
      <c r="P621" s="12" t="s">
        <v>2236</v>
      </c>
      <c r="Q621" s="10" t="s">
        <v>2236</v>
      </c>
      <c r="R621" s="10" t="s">
        <v>2236</v>
      </c>
      <c r="S621" s="10" t="s">
        <v>2236</v>
      </c>
      <c r="T621" s="10" t="s">
        <v>2236</v>
      </c>
      <c r="U6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2" spans="1:31" hidden="1" x14ac:dyDescent="0.3">
      <c r="A622" s="12" t="s">
        <v>2346</v>
      </c>
      <c r="B622" s="12" t="s">
        <v>2371</v>
      </c>
      <c r="C622" s="12" t="s">
        <v>3007</v>
      </c>
      <c r="D622" s="12" t="s">
        <v>3008</v>
      </c>
      <c r="E622" s="12" t="s">
        <v>2236</v>
      </c>
      <c r="F622" s="8">
        <v>0</v>
      </c>
      <c r="G622" s="12" t="s">
        <v>2237</v>
      </c>
      <c r="H622" s="12">
        <v>0</v>
      </c>
      <c r="I622" s="12" t="s">
        <v>2237</v>
      </c>
      <c r="J622" s="12">
        <v>0</v>
      </c>
      <c r="K622" s="12" t="s">
        <v>2237</v>
      </c>
      <c r="L622" s="12">
        <v>0</v>
      </c>
      <c r="M622" s="12" t="s">
        <v>2237</v>
      </c>
      <c r="N622" s="8">
        <v>0</v>
      </c>
      <c r="O622" s="12" t="s">
        <v>2237</v>
      </c>
      <c r="P622" s="12" t="s">
        <v>2236</v>
      </c>
      <c r="Q622" s="10" t="s">
        <v>2236</v>
      </c>
      <c r="R622" s="10" t="s">
        <v>2236</v>
      </c>
      <c r="S622" s="10" t="s">
        <v>2236</v>
      </c>
      <c r="T622" s="10" t="s">
        <v>2236</v>
      </c>
      <c r="U6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3" spans="1:31" hidden="1" x14ac:dyDescent="0.3">
      <c r="A623" s="12" t="s">
        <v>2347</v>
      </c>
      <c r="B623" s="12" t="s">
        <v>2371</v>
      </c>
      <c r="C623" s="12" t="s">
        <v>3009</v>
      </c>
      <c r="D623" s="12" t="s">
        <v>3010</v>
      </c>
      <c r="E623" s="12" t="s">
        <v>2236</v>
      </c>
      <c r="F623" s="8">
        <v>0</v>
      </c>
      <c r="G623" s="12" t="s">
        <v>2237</v>
      </c>
      <c r="H623" s="12">
        <v>0</v>
      </c>
      <c r="I623" s="12" t="s">
        <v>2237</v>
      </c>
      <c r="J623" s="12">
        <v>0</v>
      </c>
      <c r="K623" s="12" t="s">
        <v>2237</v>
      </c>
      <c r="L623" s="12">
        <v>0</v>
      </c>
      <c r="M623" s="12" t="s">
        <v>2237</v>
      </c>
      <c r="N623" s="8">
        <v>0</v>
      </c>
      <c r="O623" s="12" t="s">
        <v>2237</v>
      </c>
      <c r="P623" s="12" t="s">
        <v>2236</v>
      </c>
      <c r="Q623" s="10" t="s">
        <v>2236</v>
      </c>
      <c r="R623" s="10" t="s">
        <v>2236</v>
      </c>
      <c r="S623" s="10" t="s">
        <v>2236</v>
      </c>
      <c r="T623" s="10" t="s">
        <v>2236</v>
      </c>
      <c r="U6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4" spans="1:31" hidden="1" x14ac:dyDescent="0.3">
      <c r="A624" s="12" t="s">
        <v>2348</v>
      </c>
      <c r="B624" s="12" t="s">
        <v>2371</v>
      </c>
      <c r="C624" s="12" t="s">
        <v>3011</v>
      </c>
      <c r="D624" s="12" t="s">
        <v>3012</v>
      </c>
      <c r="E624" s="12" t="s">
        <v>2236</v>
      </c>
      <c r="F624" s="8">
        <v>0</v>
      </c>
      <c r="G624" s="12" t="s">
        <v>2237</v>
      </c>
      <c r="H624" s="12">
        <v>0</v>
      </c>
      <c r="I624" s="12" t="s">
        <v>2237</v>
      </c>
      <c r="J624" s="12">
        <v>0</v>
      </c>
      <c r="K624" s="12" t="s">
        <v>2237</v>
      </c>
      <c r="L624" s="12">
        <v>0</v>
      </c>
      <c r="M624" s="12" t="s">
        <v>2237</v>
      </c>
      <c r="N624" s="8">
        <v>0</v>
      </c>
      <c r="O624" s="12" t="s">
        <v>2237</v>
      </c>
      <c r="P624" s="12" t="s">
        <v>2236</v>
      </c>
      <c r="Q624" s="10" t="s">
        <v>2236</v>
      </c>
      <c r="R624" s="10" t="s">
        <v>2236</v>
      </c>
      <c r="S624" s="10" t="s">
        <v>2236</v>
      </c>
      <c r="T624" s="10" t="s">
        <v>2236</v>
      </c>
      <c r="U6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5" spans="1:31" hidden="1" x14ac:dyDescent="0.3">
      <c r="A625" s="12" t="s">
        <v>2349</v>
      </c>
      <c r="B625" s="12" t="s">
        <v>2371</v>
      </c>
      <c r="C625" s="12" t="s">
        <v>2983</v>
      </c>
      <c r="D625" s="12" t="s">
        <v>3013</v>
      </c>
      <c r="E625" s="12" t="s">
        <v>2236</v>
      </c>
      <c r="F625" s="8">
        <v>0</v>
      </c>
      <c r="G625" s="12" t="s">
        <v>2237</v>
      </c>
      <c r="H625" s="12">
        <v>0</v>
      </c>
      <c r="I625" s="12" t="s">
        <v>2237</v>
      </c>
      <c r="J625" s="12">
        <v>0</v>
      </c>
      <c r="K625" s="12" t="s">
        <v>2237</v>
      </c>
      <c r="L625" s="12">
        <v>0</v>
      </c>
      <c r="M625" s="12" t="s">
        <v>2237</v>
      </c>
      <c r="N625" s="8">
        <v>0</v>
      </c>
      <c r="O625" s="12" t="s">
        <v>2237</v>
      </c>
      <c r="P625" s="12" t="s">
        <v>2236</v>
      </c>
      <c r="Q625" s="10" t="s">
        <v>2236</v>
      </c>
      <c r="R625" s="10" t="s">
        <v>2236</v>
      </c>
      <c r="S625" s="10" t="s">
        <v>2236</v>
      </c>
      <c r="T625" s="10" t="s">
        <v>2236</v>
      </c>
      <c r="U6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6" spans="1:31" hidden="1" x14ac:dyDescent="0.3">
      <c r="A626" s="12" t="s">
        <v>2350</v>
      </c>
      <c r="B626" s="12" t="s">
        <v>2371</v>
      </c>
      <c r="C626" s="12" t="s">
        <v>2961</v>
      </c>
      <c r="D626" s="12" t="s">
        <v>3014</v>
      </c>
      <c r="E626" s="12" t="s">
        <v>2236</v>
      </c>
      <c r="F626" s="8">
        <v>0</v>
      </c>
      <c r="G626" s="12" t="s">
        <v>2237</v>
      </c>
      <c r="H626" s="12">
        <v>0</v>
      </c>
      <c r="I626" s="12" t="s">
        <v>2237</v>
      </c>
      <c r="J626" s="12">
        <v>0</v>
      </c>
      <c r="K626" s="12" t="s">
        <v>2237</v>
      </c>
      <c r="L626" s="12">
        <v>0</v>
      </c>
      <c r="M626" s="12" t="s">
        <v>2237</v>
      </c>
      <c r="N626" s="8">
        <v>0</v>
      </c>
      <c r="O626" s="12" t="s">
        <v>2237</v>
      </c>
      <c r="P626" s="12" t="s">
        <v>2236</v>
      </c>
      <c r="Q626" s="10" t="s">
        <v>2236</v>
      </c>
      <c r="R626" s="10" t="s">
        <v>2236</v>
      </c>
      <c r="S626" s="10" t="s">
        <v>2236</v>
      </c>
      <c r="T626" s="10" t="s">
        <v>2236</v>
      </c>
      <c r="U6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7" spans="1:31" hidden="1" x14ac:dyDescent="0.3">
      <c r="A627" s="12" t="s">
        <v>2351</v>
      </c>
      <c r="B627" s="12" t="s">
        <v>2371</v>
      </c>
      <c r="C627" s="12" t="s">
        <v>2963</v>
      </c>
      <c r="D627" s="12" t="s">
        <v>3015</v>
      </c>
      <c r="E627" s="12" t="s">
        <v>2236</v>
      </c>
      <c r="F627" s="8">
        <v>0</v>
      </c>
      <c r="G627" s="12" t="s">
        <v>2237</v>
      </c>
      <c r="H627" s="12">
        <v>0</v>
      </c>
      <c r="I627" s="12" t="s">
        <v>2237</v>
      </c>
      <c r="J627" s="12">
        <v>0</v>
      </c>
      <c r="K627" s="12" t="s">
        <v>2237</v>
      </c>
      <c r="L627" s="12">
        <v>0</v>
      </c>
      <c r="M627" s="12" t="s">
        <v>2237</v>
      </c>
      <c r="N627" s="8">
        <v>0</v>
      </c>
      <c r="O627" s="12" t="s">
        <v>2237</v>
      </c>
      <c r="P627" s="12" t="s">
        <v>2236</v>
      </c>
      <c r="Q627" s="10" t="s">
        <v>2236</v>
      </c>
      <c r="R627" s="10" t="s">
        <v>2236</v>
      </c>
      <c r="S627" s="10" t="s">
        <v>2236</v>
      </c>
      <c r="T627" s="10" t="s">
        <v>2236</v>
      </c>
      <c r="U6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8" spans="1:31" hidden="1" x14ac:dyDescent="0.3">
      <c r="A628" s="12" t="s">
        <v>2352</v>
      </c>
      <c r="B628" s="12" t="s">
        <v>2371</v>
      </c>
      <c r="C628" s="12" t="s">
        <v>3016</v>
      </c>
      <c r="D628" s="12" t="s">
        <v>3017</v>
      </c>
      <c r="E628" s="12" t="s">
        <v>2236</v>
      </c>
      <c r="F628" s="8">
        <v>0</v>
      </c>
      <c r="G628" s="12" t="s">
        <v>2237</v>
      </c>
      <c r="H628" s="12">
        <v>0</v>
      </c>
      <c r="I628" s="12" t="s">
        <v>2237</v>
      </c>
      <c r="J628" s="12">
        <v>0</v>
      </c>
      <c r="K628" s="12" t="s">
        <v>2237</v>
      </c>
      <c r="L628" s="12">
        <v>0</v>
      </c>
      <c r="M628" s="12" t="s">
        <v>2237</v>
      </c>
      <c r="N628" s="8">
        <v>0</v>
      </c>
      <c r="O628" s="12" t="s">
        <v>2237</v>
      </c>
      <c r="P628" s="12" t="s">
        <v>2236</v>
      </c>
      <c r="Q628" s="10" t="s">
        <v>2236</v>
      </c>
      <c r="R628" s="10" t="s">
        <v>2236</v>
      </c>
      <c r="S628" s="10" t="s">
        <v>2236</v>
      </c>
      <c r="T628" s="10" t="s">
        <v>2236</v>
      </c>
      <c r="U6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29" spans="1:31" hidden="1" x14ac:dyDescent="0.3">
      <c r="A629" s="12" t="s">
        <v>2353</v>
      </c>
      <c r="B629" s="12" t="s">
        <v>2371</v>
      </c>
      <c r="C629" s="12" t="s">
        <v>3018</v>
      </c>
      <c r="D629" s="12" t="s">
        <v>3019</v>
      </c>
      <c r="E629" s="12" t="s">
        <v>2236</v>
      </c>
      <c r="F629" s="8">
        <v>0</v>
      </c>
      <c r="G629" s="12" t="s">
        <v>2237</v>
      </c>
      <c r="H629" s="12">
        <v>0</v>
      </c>
      <c r="I629" s="12" t="s">
        <v>2237</v>
      </c>
      <c r="J629" s="12">
        <v>0</v>
      </c>
      <c r="K629" s="12" t="s">
        <v>2237</v>
      </c>
      <c r="L629" s="12">
        <v>0</v>
      </c>
      <c r="M629" s="12" t="s">
        <v>2237</v>
      </c>
      <c r="N629" s="8">
        <v>0</v>
      </c>
      <c r="O629" s="12" t="s">
        <v>2237</v>
      </c>
      <c r="P629" s="12" t="s">
        <v>2236</v>
      </c>
      <c r="Q629" s="10" t="s">
        <v>2236</v>
      </c>
      <c r="R629" s="10" t="s">
        <v>2236</v>
      </c>
      <c r="S629" s="10" t="s">
        <v>2236</v>
      </c>
      <c r="T629" s="10" t="s">
        <v>2236</v>
      </c>
      <c r="U6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0" spans="1:31" hidden="1" x14ac:dyDescent="0.3">
      <c r="A630" s="12" t="s">
        <v>2354</v>
      </c>
      <c r="B630" s="12" t="s">
        <v>2371</v>
      </c>
      <c r="C630" s="12" t="s">
        <v>3020</v>
      </c>
      <c r="D630" s="12" t="s">
        <v>3021</v>
      </c>
      <c r="E630" s="12" t="s">
        <v>2236</v>
      </c>
      <c r="F630" s="8">
        <v>0</v>
      </c>
      <c r="G630" s="12" t="s">
        <v>2237</v>
      </c>
      <c r="H630" s="12">
        <v>0</v>
      </c>
      <c r="I630" s="12" t="s">
        <v>2237</v>
      </c>
      <c r="J630" s="12">
        <v>0</v>
      </c>
      <c r="K630" s="12" t="s">
        <v>2237</v>
      </c>
      <c r="L630" s="12">
        <v>0</v>
      </c>
      <c r="M630" s="12" t="s">
        <v>2237</v>
      </c>
      <c r="N630" s="8">
        <v>0</v>
      </c>
      <c r="O630" s="12" t="s">
        <v>2237</v>
      </c>
      <c r="P630" s="12" t="s">
        <v>2236</v>
      </c>
      <c r="Q630" s="10" t="s">
        <v>2236</v>
      </c>
      <c r="R630" s="10" t="s">
        <v>2236</v>
      </c>
      <c r="S630" s="10" t="s">
        <v>2236</v>
      </c>
      <c r="T630" s="10" t="s">
        <v>2236</v>
      </c>
      <c r="U6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1" spans="1:31" hidden="1" x14ac:dyDescent="0.3">
      <c r="A631" s="12" t="s">
        <v>2355</v>
      </c>
      <c r="B631" s="12" t="s">
        <v>2371</v>
      </c>
      <c r="C631" s="12" t="s">
        <v>3022</v>
      </c>
      <c r="D631" s="12" t="s">
        <v>3023</v>
      </c>
      <c r="E631" s="12" t="s">
        <v>2236</v>
      </c>
      <c r="F631" s="8">
        <v>0</v>
      </c>
      <c r="G631" s="12" t="s">
        <v>2237</v>
      </c>
      <c r="H631" s="12">
        <v>0</v>
      </c>
      <c r="I631" s="12" t="s">
        <v>2237</v>
      </c>
      <c r="J631" s="12">
        <v>0</v>
      </c>
      <c r="K631" s="12" t="s">
        <v>2237</v>
      </c>
      <c r="L631" s="12">
        <v>0</v>
      </c>
      <c r="M631" s="12" t="s">
        <v>2237</v>
      </c>
      <c r="N631" s="8">
        <v>0</v>
      </c>
      <c r="O631" s="12" t="s">
        <v>2237</v>
      </c>
      <c r="P631" s="12" t="s">
        <v>2236</v>
      </c>
      <c r="Q631" s="10" t="s">
        <v>2236</v>
      </c>
      <c r="R631" s="10" t="s">
        <v>2236</v>
      </c>
      <c r="S631" s="10" t="s">
        <v>2236</v>
      </c>
      <c r="T631" s="10" t="s">
        <v>2236</v>
      </c>
      <c r="U6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2" spans="1:31" hidden="1" x14ac:dyDescent="0.3">
      <c r="A632" s="12" t="s">
        <v>2356</v>
      </c>
      <c r="B632" s="12" t="s">
        <v>2371</v>
      </c>
      <c r="C632" s="12" t="s">
        <v>3024</v>
      </c>
      <c r="D632" s="12" t="s">
        <v>3025</v>
      </c>
      <c r="E632" s="12" t="s">
        <v>2236</v>
      </c>
      <c r="F632" s="8">
        <v>0</v>
      </c>
      <c r="G632" s="12" t="s">
        <v>2237</v>
      </c>
      <c r="H632" s="12">
        <v>0</v>
      </c>
      <c r="I632" s="12" t="s">
        <v>2237</v>
      </c>
      <c r="J632" s="12">
        <v>0</v>
      </c>
      <c r="K632" s="12" t="s">
        <v>2237</v>
      </c>
      <c r="L632" s="12">
        <v>0</v>
      </c>
      <c r="M632" s="12" t="s">
        <v>2237</v>
      </c>
      <c r="N632" s="8">
        <v>0</v>
      </c>
      <c r="O632" s="12" t="s">
        <v>2237</v>
      </c>
      <c r="P632" s="12" t="s">
        <v>2236</v>
      </c>
      <c r="Q632" s="10" t="s">
        <v>2236</v>
      </c>
      <c r="R632" s="10" t="s">
        <v>2236</v>
      </c>
      <c r="S632" s="10" t="s">
        <v>2236</v>
      </c>
      <c r="T632" s="10" t="s">
        <v>2236</v>
      </c>
      <c r="U6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3" spans="1:31" hidden="1" x14ac:dyDescent="0.3">
      <c r="A633" s="12" t="s">
        <v>2357</v>
      </c>
      <c r="B633" s="12" t="s">
        <v>2371</v>
      </c>
      <c r="C633" s="12" t="s">
        <v>2902</v>
      </c>
      <c r="D633" s="12" t="s">
        <v>3026</v>
      </c>
      <c r="E633" s="12" t="s">
        <v>2236</v>
      </c>
      <c r="F633" s="8">
        <v>0</v>
      </c>
      <c r="G633" s="12" t="s">
        <v>2237</v>
      </c>
      <c r="H633" s="12">
        <v>0</v>
      </c>
      <c r="I633" s="12" t="s">
        <v>2237</v>
      </c>
      <c r="J633" s="12">
        <v>0</v>
      </c>
      <c r="K633" s="12" t="s">
        <v>2237</v>
      </c>
      <c r="L633" s="12">
        <v>0</v>
      </c>
      <c r="M633" s="12" t="s">
        <v>2237</v>
      </c>
      <c r="N633" s="8">
        <v>0</v>
      </c>
      <c r="O633" s="12" t="s">
        <v>2237</v>
      </c>
      <c r="P633" s="12" t="s">
        <v>2236</v>
      </c>
      <c r="Q633" s="10" t="s">
        <v>2236</v>
      </c>
      <c r="R633" s="10" t="s">
        <v>2236</v>
      </c>
      <c r="S633" s="10" t="s">
        <v>2236</v>
      </c>
      <c r="T633" s="10" t="s">
        <v>2236</v>
      </c>
      <c r="U6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4" spans="1:31" hidden="1" x14ac:dyDescent="0.3">
      <c r="A634" s="12" t="s">
        <v>2358</v>
      </c>
      <c r="B634" s="12" t="s">
        <v>2371</v>
      </c>
      <c r="C634" s="12" t="s">
        <v>3027</v>
      </c>
      <c r="D634" s="12" t="s">
        <v>3028</v>
      </c>
      <c r="E634" s="12" t="s">
        <v>2236</v>
      </c>
      <c r="F634" s="8">
        <v>0</v>
      </c>
      <c r="G634" s="12" t="s">
        <v>2237</v>
      </c>
      <c r="H634" s="12">
        <v>0</v>
      </c>
      <c r="I634" s="12" t="s">
        <v>2237</v>
      </c>
      <c r="J634" s="12">
        <v>0</v>
      </c>
      <c r="K634" s="12" t="s">
        <v>2237</v>
      </c>
      <c r="L634" s="12">
        <v>0</v>
      </c>
      <c r="M634" s="12" t="s">
        <v>2237</v>
      </c>
      <c r="N634" s="8">
        <v>0</v>
      </c>
      <c r="O634" s="12" t="s">
        <v>2237</v>
      </c>
      <c r="P634" s="12" t="s">
        <v>2236</v>
      </c>
      <c r="Q634" s="10" t="s">
        <v>2236</v>
      </c>
      <c r="R634" s="10" t="s">
        <v>2236</v>
      </c>
      <c r="S634" s="10" t="s">
        <v>2236</v>
      </c>
      <c r="T634" s="10" t="s">
        <v>2236</v>
      </c>
      <c r="U6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5" spans="1:31" hidden="1" x14ac:dyDescent="0.3">
      <c r="A635" s="12" t="s">
        <v>2359</v>
      </c>
      <c r="B635" s="12" t="s">
        <v>2371</v>
      </c>
      <c r="C635" s="12" t="s">
        <v>3029</v>
      </c>
      <c r="D635" s="12" t="s">
        <v>3030</v>
      </c>
      <c r="E635" s="12" t="s">
        <v>2236</v>
      </c>
      <c r="F635" s="8">
        <v>0</v>
      </c>
      <c r="G635" s="12" t="s">
        <v>2237</v>
      </c>
      <c r="H635" s="12">
        <v>0</v>
      </c>
      <c r="I635" s="12" t="s">
        <v>2237</v>
      </c>
      <c r="J635" s="12">
        <v>0</v>
      </c>
      <c r="K635" s="12" t="s">
        <v>2237</v>
      </c>
      <c r="L635" s="12">
        <v>0</v>
      </c>
      <c r="M635" s="12" t="s">
        <v>2237</v>
      </c>
      <c r="N635" s="8">
        <v>0</v>
      </c>
      <c r="O635" s="12" t="s">
        <v>2237</v>
      </c>
      <c r="P635" s="12" t="s">
        <v>2236</v>
      </c>
      <c r="Q635" s="10" t="s">
        <v>2236</v>
      </c>
      <c r="R635" s="10" t="s">
        <v>2236</v>
      </c>
      <c r="S635" s="10" t="s">
        <v>2236</v>
      </c>
      <c r="T635" s="10" t="s">
        <v>2236</v>
      </c>
      <c r="U6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6" spans="1:31" hidden="1" x14ac:dyDescent="0.3">
      <c r="A636" s="12" t="s">
        <v>2360</v>
      </c>
      <c r="B636" s="12" t="s">
        <v>2371</v>
      </c>
      <c r="C636" s="12" t="s">
        <v>3024</v>
      </c>
      <c r="D636" s="12" t="s">
        <v>3031</v>
      </c>
      <c r="E636" s="12" t="s">
        <v>2236</v>
      </c>
      <c r="F636" s="8">
        <v>0</v>
      </c>
      <c r="G636" s="12" t="s">
        <v>2237</v>
      </c>
      <c r="H636" s="12">
        <v>0</v>
      </c>
      <c r="I636" s="12" t="s">
        <v>2237</v>
      </c>
      <c r="J636" s="12">
        <v>0</v>
      </c>
      <c r="K636" s="12" t="s">
        <v>2237</v>
      </c>
      <c r="L636" s="12">
        <v>0</v>
      </c>
      <c r="M636" s="12" t="s">
        <v>2237</v>
      </c>
      <c r="N636" s="8">
        <v>0</v>
      </c>
      <c r="O636" s="12" t="s">
        <v>2237</v>
      </c>
      <c r="P636" s="12" t="s">
        <v>2236</v>
      </c>
      <c r="Q636" s="10" t="s">
        <v>2236</v>
      </c>
      <c r="R636" s="10" t="s">
        <v>2236</v>
      </c>
      <c r="S636" s="10" t="s">
        <v>2236</v>
      </c>
      <c r="T636" s="10" t="s">
        <v>2236</v>
      </c>
      <c r="U6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7" spans="1:31" hidden="1" x14ac:dyDescent="0.3">
      <c r="A637" s="12" t="s">
        <v>2361</v>
      </c>
      <c r="B637" s="12" t="s">
        <v>2371</v>
      </c>
      <c r="C637" s="12" t="s">
        <v>3032</v>
      </c>
      <c r="D637" s="12" t="s">
        <v>3033</v>
      </c>
      <c r="E637" s="12" t="s">
        <v>2236</v>
      </c>
      <c r="F637" s="8">
        <v>0</v>
      </c>
      <c r="G637" s="12" t="s">
        <v>2237</v>
      </c>
      <c r="H637" s="12">
        <v>0</v>
      </c>
      <c r="I637" s="12" t="s">
        <v>2237</v>
      </c>
      <c r="J637" s="12">
        <v>0</v>
      </c>
      <c r="K637" s="12" t="s">
        <v>2237</v>
      </c>
      <c r="L637" s="12">
        <v>0</v>
      </c>
      <c r="M637" s="12" t="s">
        <v>2237</v>
      </c>
      <c r="N637" s="8">
        <v>0</v>
      </c>
      <c r="O637" s="12" t="s">
        <v>2237</v>
      </c>
      <c r="P637" s="12" t="s">
        <v>2236</v>
      </c>
      <c r="Q637" s="10" t="s">
        <v>2236</v>
      </c>
      <c r="R637" s="10" t="s">
        <v>2236</v>
      </c>
      <c r="S637" s="10" t="s">
        <v>2236</v>
      </c>
      <c r="T637" s="10" t="s">
        <v>2236</v>
      </c>
      <c r="U6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8" spans="1:31" hidden="1" x14ac:dyDescent="0.3">
      <c r="A638" s="12" t="s">
        <v>2362</v>
      </c>
      <c r="B638" s="12" t="s">
        <v>2371</v>
      </c>
      <c r="C638" s="12" t="s">
        <v>2902</v>
      </c>
      <c r="D638" s="12" t="s">
        <v>3034</v>
      </c>
      <c r="E638" s="12" t="s">
        <v>2236</v>
      </c>
      <c r="F638" s="8">
        <v>0</v>
      </c>
      <c r="G638" s="12" t="s">
        <v>2237</v>
      </c>
      <c r="H638" s="12">
        <v>0</v>
      </c>
      <c r="I638" s="12" t="s">
        <v>2237</v>
      </c>
      <c r="J638" s="12">
        <v>0</v>
      </c>
      <c r="K638" s="12" t="s">
        <v>2237</v>
      </c>
      <c r="L638" s="12">
        <v>0</v>
      </c>
      <c r="M638" s="12" t="s">
        <v>2237</v>
      </c>
      <c r="N638" s="8">
        <v>0</v>
      </c>
      <c r="O638" s="12" t="s">
        <v>2237</v>
      </c>
      <c r="P638" s="12" t="s">
        <v>2236</v>
      </c>
      <c r="Q638" s="10" t="s">
        <v>2236</v>
      </c>
      <c r="R638" s="10" t="s">
        <v>2236</v>
      </c>
      <c r="S638" s="10" t="s">
        <v>2236</v>
      </c>
      <c r="T638" s="10" t="s">
        <v>2236</v>
      </c>
      <c r="U6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39" spans="1:31" hidden="1" x14ac:dyDescent="0.3">
      <c r="A639" s="12" t="s">
        <v>2363</v>
      </c>
      <c r="B639" s="12" t="s">
        <v>2371</v>
      </c>
      <c r="C639" s="12" t="s">
        <v>3035</v>
      </c>
      <c r="D639" s="12" t="s">
        <v>3036</v>
      </c>
      <c r="E639" s="12" t="s">
        <v>2236</v>
      </c>
      <c r="F639" s="8">
        <v>0</v>
      </c>
      <c r="G639" s="12" t="s">
        <v>2237</v>
      </c>
      <c r="H639" s="12">
        <v>0</v>
      </c>
      <c r="I639" s="12" t="s">
        <v>2237</v>
      </c>
      <c r="J639" s="12">
        <v>0</v>
      </c>
      <c r="K639" s="12" t="s">
        <v>2237</v>
      </c>
      <c r="L639" s="12">
        <v>0</v>
      </c>
      <c r="M639" s="12" t="s">
        <v>2237</v>
      </c>
      <c r="N639" s="8">
        <v>0</v>
      </c>
      <c r="O639" s="12" t="s">
        <v>2237</v>
      </c>
      <c r="P639" s="12" t="s">
        <v>2236</v>
      </c>
      <c r="Q639" s="10" t="s">
        <v>2236</v>
      </c>
      <c r="R639" s="10" t="s">
        <v>2236</v>
      </c>
      <c r="S639" s="10" t="s">
        <v>2236</v>
      </c>
      <c r="T639" s="10" t="s">
        <v>2236</v>
      </c>
      <c r="U6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0" spans="1:31" hidden="1" x14ac:dyDescent="0.3">
      <c r="A640" s="12" t="s">
        <v>2364</v>
      </c>
      <c r="B640" s="12" t="s">
        <v>2371</v>
      </c>
      <c r="C640" s="12" t="s">
        <v>3037</v>
      </c>
      <c r="D640" s="12" t="s">
        <v>3038</v>
      </c>
      <c r="E640" s="12" t="s">
        <v>2236</v>
      </c>
      <c r="F640" s="8">
        <v>0</v>
      </c>
      <c r="G640" s="12" t="s">
        <v>2237</v>
      </c>
      <c r="H640" s="12">
        <v>0</v>
      </c>
      <c r="I640" s="12" t="s">
        <v>2237</v>
      </c>
      <c r="J640" s="12">
        <v>0</v>
      </c>
      <c r="K640" s="12" t="s">
        <v>2237</v>
      </c>
      <c r="L640" s="12">
        <v>0</v>
      </c>
      <c r="M640" s="12" t="s">
        <v>2237</v>
      </c>
      <c r="N640" s="8">
        <v>0</v>
      </c>
      <c r="O640" s="12" t="s">
        <v>2237</v>
      </c>
      <c r="P640" s="12" t="s">
        <v>2236</v>
      </c>
      <c r="Q640" s="10" t="s">
        <v>2236</v>
      </c>
      <c r="R640" s="10" t="s">
        <v>2236</v>
      </c>
      <c r="S640" s="10" t="s">
        <v>2236</v>
      </c>
      <c r="T640" s="10" t="s">
        <v>2236</v>
      </c>
      <c r="U6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1" spans="1:31" hidden="1" x14ac:dyDescent="0.3">
      <c r="A641" s="12" t="s">
        <v>2365</v>
      </c>
      <c r="B641" s="12" t="s">
        <v>2371</v>
      </c>
      <c r="C641" s="12" t="s">
        <v>3024</v>
      </c>
      <c r="D641" s="12" t="s">
        <v>3039</v>
      </c>
      <c r="E641" s="12" t="s">
        <v>2236</v>
      </c>
      <c r="F641" s="8">
        <v>0</v>
      </c>
      <c r="G641" s="12" t="s">
        <v>2237</v>
      </c>
      <c r="H641" s="12">
        <v>0</v>
      </c>
      <c r="I641" s="12" t="s">
        <v>2237</v>
      </c>
      <c r="J641" s="12">
        <v>0</v>
      </c>
      <c r="K641" s="12" t="s">
        <v>2237</v>
      </c>
      <c r="L641" s="12">
        <v>0</v>
      </c>
      <c r="M641" s="12" t="s">
        <v>2237</v>
      </c>
      <c r="N641" s="8">
        <v>0</v>
      </c>
      <c r="O641" s="12" t="s">
        <v>2237</v>
      </c>
      <c r="P641" s="12" t="s">
        <v>2236</v>
      </c>
      <c r="Q641" s="10" t="s">
        <v>2236</v>
      </c>
      <c r="R641" s="10" t="s">
        <v>2236</v>
      </c>
      <c r="S641" s="10" t="s">
        <v>2236</v>
      </c>
      <c r="T641" s="10" t="s">
        <v>2236</v>
      </c>
      <c r="U6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2" spans="1:31" hidden="1" x14ac:dyDescent="0.3">
      <c r="A642" s="12" t="s">
        <v>2370</v>
      </c>
      <c r="B642" s="12" t="s">
        <v>2371</v>
      </c>
      <c r="C642" s="12" t="s">
        <v>2963</v>
      </c>
      <c r="D642" s="12" t="s">
        <v>3040</v>
      </c>
      <c r="E642" s="12" t="s">
        <v>2236</v>
      </c>
      <c r="F642" s="8">
        <v>0</v>
      </c>
      <c r="G642" s="12" t="s">
        <v>2237</v>
      </c>
      <c r="H642" s="12">
        <v>0</v>
      </c>
      <c r="I642" s="12" t="s">
        <v>2237</v>
      </c>
      <c r="J642" s="12">
        <v>0</v>
      </c>
      <c r="K642" s="12" t="s">
        <v>2237</v>
      </c>
      <c r="L642" s="12">
        <v>0</v>
      </c>
      <c r="M642" s="12" t="s">
        <v>2237</v>
      </c>
      <c r="N642" s="8">
        <v>0</v>
      </c>
      <c r="O642" s="12" t="s">
        <v>2237</v>
      </c>
      <c r="P642" s="12" t="s">
        <v>2236</v>
      </c>
      <c r="Q642" s="10" t="s">
        <v>2236</v>
      </c>
      <c r="R642" s="10" t="s">
        <v>2236</v>
      </c>
      <c r="S642" s="10" t="s">
        <v>2236</v>
      </c>
      <c r="T642" s="10" t="s">
        <v>2236</v>
      </c>
      <c r="U6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3" spans="1:31" hidden="1" x14ac:dyDescent="0.3">
      <c r="A643" s="12" t="s">
        <v>2374</v>
      </c>
      <c r="B643" s="12" t="s">
        <v>2371</v>
      </c>
      <c r="C643" s="12" t="s">
        <v>2972</v>
      </c>
      <c r="D643" s="12" t="s">
        <v>3041</v>
      </c>
      <c r="E643" s="12" t="s">
        <v>2236</v>
      </c>
      <c r="F643" s="8">
        <v>0</v>
      </c>
      <c r="G643" s="12" t="s">
        <v>2237</v>
      </c>
      <c r="H643" s="12">
        <v>0</v>
      </c>
      <c r="I643" s="12" t="s">
        <v>2237</v>
      </c>
      <c r="J643" s="12">
        <v>0</v>
      </c>
      <c r="K643" s="12" t="s">
        <v>2237</v>
      </c>
      <c r="L643" s="12">
        <v>0</v>
      </c>
      <c r="M643" s="12" t="s">
        <v>2237</v>
      </c>
      <c r="N643" s="8">
        <v>0</v>
      </c>
      <c r="O643" s="12" t="s">
        <v>2237</v>
      </c>
      <c r="P643" s="12" t="s">
        <v>2236</v>
      </c>
      <c r="Q643" s="10" t="s">
        <v>2236</v>
      </c>
      <c r="R643" s="10" t="s">
        <v>2236</v>
      </c>
      <c r="S643" s="10" t="s">
        <v>2236</v>
      </c>
      <c r="T643" s="10" t="s">
        <v>2236</v>
      </c>
      <c r="U6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4" spans="1:31" hidden="1" x14ac:dyDescent="0.3">
      <c r="A644" s="12" t="s">
        <v>2377</v>
      </c>
      <c r="B644" s="12" t="s">
        <v>2371</v>
      </c>
      <c r="C644" s="12" t="s">
        <v>3042</v>
      </c>
      <c r="D644" s="12" t="s">
        <v>3043</v>
      </c>
      <c r="E644" s="12" t="s">
        <v>2236</v>
      </c>
      <c r="F644" s="8">
        <v>0</v>
      </c>
      <c r="G644" s="12" t="s">
        <v>2237</v>
      </c>
      <c r="H644" s="12">
        <v>0</v>
      </c>
      <c r="I644" s="12" t="s">
        <v>2237</v>
      </c>
      <c r="J644" s="12">
        <v>0</v>
      </c>
      <c r="K644" s="12" t="s">
        <v>2237</v>
      </c>
      <c r="L644" s="12">
        <v>0</v>
      </c>
      <c r="M644" s="12" t="s">
        <v>2237</v>
      </c>
      <c r="N644" s="8">
        <v>0</v>
      </c>
      <c r="O644" s="12" t="s">
        <v>2237</v>
      </c>
      <c r="P644" s="12" t="s">
        <v>2236</v>
      </c>
      <c r="Q644" s="10" t="s">
        <v>2236</v>
      </c>
      <c r="R644" s="10" t="s">
        <v>2236</v>
      </c>
      <c r="S644" s="10" t="s">
        <v>2236</v>
      </c>
      <c r="T644" s="10" t="s">
        <v>2236</v>
      </c>
      <c r="U6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5" spans="1:31" hidden="1" x14ac:dyDescent="0.3">
      <c r="A645" s="12" t="s">
        <v>2380</v>
      </c>
      <c r="B645" s="12" t="s">
        <v>2371</v>
      </c>
      <c r="C645" s="12" t="s">
        <v>3044</v>
      </c>
      <c r="D645" s="12" t="s">
        <v>3045</v>
      </c>
      <c r="E645" s="12" t="s">
        <v>2236</v>
      </c>
      <c r="F645" s="8">
        <v>0</v>
      </c>
      <c r="G645" s="12" t="s">
        <v>2237</v>
      </c>
      <c r="H645" s="12">
        <v>0</v>
      </c>
      <c r="I645" s="12" t="s">
        <v>2237</v>
      </c>
      <c r="J645" s="12">
        <v>0</v>
      </c>
      <c r="K645" s="12" t="s">
        <v>2237</v>
      </c>
      <c r="L645" s="12">
        <v>0</v>
      </c>
      <c r="M645" s="12" t="s">
        <v>2237</v>
      </c>
      <c r="N645" s="8">
        <v>0</v>
      </c>
      <c r="O645" s="12" t="s">
        <v>2237</v>
      </c>
      <c r="P645" s="12" t="s">
        <v>2236</v>
      </c>
      <c r="Q645" s="10" t="s">
        <v>2236</v>
      </c>
      <c r="R645" s="10" t="s">
        <v>2236</v>
      </c>
      <c r="S645" s="10" t="s">
        <v>2236</v>
      </c>
      <c r="T645" s="10" t="s">
        <v>2236</v>
      </c>
      <c r="U6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6" spans="1:31" hidden="1" x14ac:dyDescent="0.3">
      <c r="A646" s="12" t="s">
        <v>2383</v>
      </c>
      <c r="B646" s="12" t="s">
        <v>2371</v>
      </c>
      <c r="C646" s="12" t="s">
        <v>3024</v>
      </c>
      <c r="D646" s="12" t="s">
        <v>3046</v>
      </c>
      <c r="E646" s="12" t="s">
        <v>2236</v>
      </c>
      <c r="F646" s="8">
        <v>0</v>
      </c>
      <c r="G646" s="12" t="s">
        <v>2237</v>
      </c>
      <c r="H646" s="12">
        <v>0</v>
      </c>
      <c r="I646" s="12" t="s">
        <v>2237</v>
      </c>
      <c r="J646" s="12">
        <v>0</v>
      </c>
      <c r="K646" s="12" t="s">
        <v>2237</v>
      </c>
      <c r="L646" s="12">
        <v>0</v>
      </c>
      <c r="M646" s="12" t="s">
        <v>2237</v>
      </c>
      <c r="N646" s="8">
        <v>0</v>
      </c>
      <c r="O646" s="12" t="s">
        <v>2237</v>
      </c>
      <c r="P646" s="12" t="s">
        <v>2236</v>
      </c>
      <c r="Q646" s="10" t="s">
        <v>2236</v>
      </c>
      <c r="R646" s="10" t="s">
        <v>2236</v>
      </c>
      <c r="S646" s="10" t="s">
        <v>2236</v>
      </c>
      <c r="T646" s="10" t="s">
        <v>2236</v>
      </c>
      <c r="U6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7" spans="1:31" hidden="1" x14ac:dyDescent="0.3">
      <c r="A647" s="12" t="s">
        <v>2386</v>
      </c>
      <c r="B647" s="12" t="s">
        <v>2371</v>
      </c>
      <c r="C647" s="12" t="s">
        <v>2972</v>
      </c>
      <c r="D647" s="12" t="s">
        <v>3047</v>
      </c>
      <c r="E647" s="12" t="s">
        <v>2236</v>
      </c>
      <c r="F647" s="8">
        <v>0</v>
      </c>
      <c r="G647" s="12" t="s">
        <v>2237</v>
      </c>
      <c r="H647" s="12">
        <v>0</v>
      </c>
      <c r="I647" s="12" t="s">
        <v>2237</v>
      </c>
      <c r="J647" s="12">
        <v>0</v>
      </c>
      <c r="K647" s="12" t="s">
        <v>2237</v>
      </c>
      <c r="L647" s="12">
        <v>0</v>
      </c>
      <c r="M647" s="12" t="s">
        <v>2237</v>
      </c>
      <c r="N647" s="8">
        <v>0</v>
      </c>
      <c r="O647" s="12" t="s">
        <v>2237</v>
      </c>
      <c r="P647" s="12" t="s">
        <v>2236</v>
      </c>
      <c r="Q647" s="10" t="s">
        <v>2236</v>
      </c>
      <c r="R647" s="10" t="s">
        <v>2236</v>
      </c>
      <c r="S647" s="10" t="s">
        <v>2236</v>
      </c>
      <c r="T647" s="10" t="s">
        <v>2236</v>
      </c>
      <c r="U6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8" spans="1:31" hidden="1" x14ac:dyDescent="0.3">
      <c r="A648" s="12" t="s">
        <v>2389</v>
      </c>
      <c r="B648" s="12" t="s">
        <v>2366</v>
      </c>
      <c r="C648" s="12" t="s">
        <v>3048</v>
      </c>
      <c r="D648" s="12" t="s">
        <v>3049</v>
      </c>
      <c r="E648" s="12" t="s">
        <v>2236</v>
      </c>
      <c r="F648" s="8">
        <v>0</v>
      </c>
      <c r="G648" s="12" t="s">
        <v>2237</v>
      </c>
      <c r="H648" s="12">
        <v>0</v>
      </c>
      <c r="I648" s="12" t="s">
        <v>2237</v>
      </c>
      <c r="J648" s="12">
        <v>0</v>
      </c>
      <c r="K648" s="12" t="s">
        <v>2237</v>
      </c>
      <c r="L648" s="12">
        <v>0</v>
      </c>
      <c r="M648" s="12" t="s">
        <v>2237</v>
      </c>
      <c r="N648" s="8">
        <v>0.48</v>
      </c>
      <c r="O648" s="12" t="s">
        <v>2237</v>
      </c>
      <c r="P648" s="12" t="s">
        <v>2236</v>
      </c>
      <c r="Q648" s="10" t="s">
        <v>2236</v>
      </c>
      <c r="R648" s="10" t="s">
        <v>2236</v>
      </c>
      <c r="S648" s="10" t="s">
        <v>2236</v>
      </c>
      <c r="T648" s="10" t="s">
        <v>2929</v>
      </c>
      <c r="U6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49" spans="1:31" hidden="1" x14ac:dyDescent="0.3">
      <c r="A649" s="12" t="s">
        <v>2392</v>
      </c>
      <c r="B649" s="12" t="s">
        <v>2371</v>
      </c>
      <c r="C649" s="12" t="s">
        <v>3048</v>
      </c>
      <c r="D649" s="12" t="s">
        <v>3050</v>
      </c>
      <c r="E649" s="12" t="s">
        <v>2236</v>
      </c>
      <c r="F649" s="8">
        <v>0</v>
      </c>
      <c r="G649" s="12" t="s">
        <v>2237</v>
      </c>
      <c r="H649" s="12">
        <v>0</v>
      </c>
      <c r="I649" s="12" t="s">
        <v>2237</v>
      </c>
      <c r="J649" s="12">
        <v>0</v>
      </c>
      <c r="K649" s="12" t="s">
        <v>2237</v>
      </c>
      <c r="L649" s="12">
        <v>0</v>
      </c>
      <c r="M649" s="12" t="s">
        <v>2237</v>
      </c>
      <c r="N649" s="8">
        <v>0</v>
      </c>
      <c r="O649" s="12" t="s">
        <v>2237</v>
      </c>
      <c r="P649" s="12" t="s">
        <v>2236</v>
      </c>
      <c r="Q649" s="10" t="s">
        <v>2236</v>
      </c>
      <c r="R649" s="10" t="s">
        <v>2236</v>
      </c>
      <c r="S649" s="10" t="s">
        <v>2236</v>
      </c>
      <c r="T649" s="10" t="s">
        <v>2236</v>
      </c>
      <c r="U6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0" spans="1:31" hidden="1" x14ac:dyDescent="0.3">
      <c r="A650" s="12" t="s">
        <v>2395</v>
      </c>
      <c r="B650" s="12" t="s">
        <v>2371</v>
      </c>
      <c r="C650" s="12" t="s">
        <v>2902</v>
      </c>
      <c r="D650" s="12" t="s">
        <v>3051</v>
      </c>
      <c r="E650" s="12" t="s">
        <v>2236</v>
      </c>
      <c r="F650" s="8">
        <v>0</v>
      </c>
      <c r="G650" s="12" t="s">
        <v>2237</v>
      </c>
      <c r="H650" s="12">
        <v>0</v>
      </c>
      <c r="I650" s="12" t="s">
        <v>2237</v>
      </c>
      <c r="J650" s="12">
        <v>0</v>
      </c>
      <c r="K650" s="12" t="s">
        <v>2237</v>
      </c>
      <c r="L650" s="12">
        <v>0</v>
      </c>
      <c r="M650" s="12" t="s">
        <v>2237</v>
      </c>
      <c r="N650" s="8">
        <v>0</v>
      </c>
      <c r="O650" s="12" t="s">
        <v>2237</v>
      </c>
      <c r="P650" s="12" t="s">
        <v>2236</v>
      </c>
      <c r="Q650" s="10" t="s">
        <v>2236</v>
      </c>
      <c r="R650" s="10" t="s">
        <v>2236</v>
      </c>
      <c r="S650" s="10" t="s">
        <v>2236</v>
      </c>
      <c r="T650" s="10" t="s">
        <v>2236</v>
      </c>
      <c r="U6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1" spans="1:31" hidden="1" x14ac:dyDescent="0.3">
      <c r="A651" s="12" t="s">
        <v>2396</v>
      </c>
      <c r="B651" s="12" t="s">
        <v>2371</v>
      </c>
      <c r="C651" s="12" t="s">
        <v>3052</v>
      </c>
      <c r="D651" s="12" t="s">
        <v>3053</v>
      </c>
      <c r="E651" s="12" t="s">
        <v>2236</v>
      </c>
      <c r="F651" s="8">
        <v>0</v>
      </c>
      <c r="G651" s="12" t="s">
        <v>2237</v>
      </c>
      <c r="H651" s="12">
        <v>0</v>
      </c>
      <c r="I651" s="12" t="s">
        <v>2237</v>
      </c>
      <c r="J651" s="12">
        <v>0</v>
      </c>
      <c r="K651" s="12" t="s">
        <v>2237</v>
      </c>
      <c r="L651" s="12">
        <v>0</v>
      </c>
      <c r="M651" s="12" t="s">
        <v>2237</v>
      </c>
      <c r="N651" s="8">
        <v>0</v>
      </c>
      <c r="O651" s="12" t="s">
        <v>2237</v>
      </c>
      <c r="P651" s="12" t="s">
        <v>2236</v>
      </c>
      <c r="Q651" s="10" t="s">
        <v>2236</v>
      </c>
      <c r="R651" s="10" t="s">
        <v>2236</v>
      </c>
      <c r="S651" s="10" t="s">
        <v>2236</v>
      </c>
      <c r="T651" s="10" t="s">
        <v>2236</v>
      </c>
      <c r="U6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2" spans="1:31" hidden="1" x14ac:dyDescent="0.3">
      <c r="A652" s="12" t="s">
        <v>2397</v>
      </c>
      <c r="B652" s="12" t="s">
        <v>21</v>
      </c>
      <c r="C652" s="12" t="s">
        <v>279</v>
      </c>
      <c r="D652" s="12" t="s">
        <v>1782</v>
      </c>
      <c r="E652" s="12" t="s">
        <v>2842</v>
      </c>
      <c r="F652" s="8">
        <v>384664</v>
      </c>
      <c r="G652" s="12" t="s">
        <v>2237</v>
      </c>
      <c r="H652" s="12">
        <v>384664</v>
      </c>
      <c r="I652" s="12" t="s">
        <v>2237</v>
      </c>
      <c r="J652" s="12">
        <v>0</v>
      </c>
      <c r="K652" s="12" t="s">
        <v>2237</v>
      </c>
      <c r="L652" s="12">
        <v>0</v>
      </c>
      <c r="M652" s="12" t="s">
        <v>2237</v>
      </c>
      <c r="N652" s="8">
        <v>383588.08</v>
      </c>
      <c r="O652" s="12" t="s">
        <v>2237</v>
      </c>
      <c r="P652" s="12" t="s">
        <v>2236</v>
      </c>
      <c r="Q652" s="10" t="s">
        <v>2242</v>
      </c>
      <c r="R652" s="10" t="s">
        <v>2238</v>
      </c>
      <c r="S652" s="10" t="s">
        <v>2243</v>
      </c>
      <c r="T652" s="10" t="s">
        <v>2844</v>
      </c>
      <c r="U6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6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6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E530-3012981-D225301</v>
      </c>
      <c r="X6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652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6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3" spans="1:31" hidden="1" x14ac:dyDescent="0.3">
      <c r="A653" s="12" t="s">
        <v>2398</v>
      </c>
      <c r="B653" s="12" t="s">
        <v>26</v>
      </c>
      <c r="C653" s="12" t="s">
        <v>279</v>
      </c>
      <c r="D653" s="12" t="s">
        <v>1783</v>
      </c>
      <c r="E653" s="12" t="s">
        <v>2842</v>
      </c>
      <c r="F653" s="8">
        <v>384664</v>
      </c>
      <c r="G653" s="12" t="s">
        <v>2237</v>
      </c>
      <c r="H653" s="12">
        <v>384664</v>
      </c>
      <c r="I653" s="12" t="s">
        <v>2237</v>
      </c>
      <c r="J653" s="12">
        <v>0</v>
      </c>
      <c r="K653" s="12" t="s">
        <v>2237</v>
      </c>
      <c r="L653" s="12">
        <v>0</v>
      </c>
      <c r="M653" s="12" t="s">
        <v>2237</v>
      </c>
      <c r="N653" s="8">
        <v>383588.08</v>
      </c>
      <c r="O653" s="12" t="s">
        <v>2237</v>
      </c>
      <c r="P653" s="12" t="s">
        <v>2236</v>
      </c>
      <c r="Q653" s="10" t="s">
        <v>2242</v>
      </c>
      <c r="R653" s="10" t="s">
        <v>2238</v>
      </c>
      <c r="S653" s="10" t="s">
        <v>2243</v>
      </c>
      <c r="T653" s="10" t="s">
        <v>3054</v>
      </c>
      <c r="U6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6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6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E530-3012981-D225301</v>
      </c>
      <c r="X65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E530-301298160-D225301</v>
      </c>
      <c r="Y6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653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653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6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4" spans="1:31" hidden="1" x14ac:dyDescent="0.3">
      <c r="A654" s="12" t="s">
        <v>2399</v>
      </c>
      <c r="B654" s="12" t="s">
        <v>30</v>
      </c>
      <c r="C654" s="12" t="s">
        <v>279</v>
      </c>
      <c r="D654" s="12" t="s">
        <v>1784</v>
      </c>
      <c r="E654" s="12" t="s">
        <v>2842</v>
      </c>
      <c r="F654" s="8">
        <v>0</v>
      </c>
      <c r="G654" s="12" t="s">
        <v>2237</v>
      </c>
      <c r="H654" s="12">
        <v>0</v>
      </c>
      <c r="I654" s="12" t="s">
        <v>2237</v>
      </c>
      <c r="J654" s="12">
        <v>0</v>
      </c>
      <c r="K654" s="12" t="s">
        <v>2237</v>
      </c>
      <c r="L654" s="12">
        <v>0</v>
      </c>
      <c r="M654" s="12" t="s">
        <v>2237</v>
      </c>
      <c r="N654" s="8">
        <v>383588.08</v>
      </c>
      <c r="O654" s="12" t="s">
        <v>2237</v>
      </c>
      <c r="P654" s="12" t="s">
        <v>2236</v>
      </c>
      <c r="Q654" s="10" t="s">
        <v>2242</v>
      </c>
      <c r="R654" s="10" t="s">
        <v>2238</v>
      </c>
      <c r="S654" s="10" t="s">
        <v>2243</v>
      </c>
      <c r="T654" s="10" t="s">
        <v>2645</v>
      </c>
      <c r="U6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65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65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E530-3012981-D225301</v>
      </c>
      <c r="X65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E530-301298160-D225301</v>
      </c>
      <c r="Y654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E530-30129816043-D225301</v>
      </c>
      <c r="Z65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654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654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654" s="10" t="str">
        <f>IF(IFERROR(INDEX(WBS_Dictionary!M$2:M$1212, MATCH(Table2[[#This Row],[WBS_ID]], Table26[WBS CODE],0)), "") = "", "null", IFERROR(INDEX(WBS_Dictionary!M$2:M$1212, MATCH(Table2[[#This Row],[WBS_ID]], Table26[WBS CODE],0)), ""))</f>
        <v>Drilling Operation Water Support</v>
      </c>
      <c r="AD6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5" spans="1:31" hidden="1" x14ac:dyDescent="0.3">
      <c r="A655" s="12" t="s">
        <v>2401</v>
      </c>
      <c r="B655" s="12" t="s">
        <v>2366</v>
      </c>
      <c r="C655" s="12" t="s">
        <v>3055</v>
      </c>
      <c r="D655" s="12" t="s">
        <v>3056</v>
      </c>
      <c r="E655" s="12" t="s">
        <v>2236</v>
      </c>
      <c r="F655" s="8">
        <v>0</v>
      </c>
      <c r="G655" s="12" t="s">
        <v>2237</v>
      </c>
      <c r="H655" s="12">
        <v>0</v>
      </c>
      <c r="I655" s="12" t="s">
        <v>2237</v>
      </c>
      <c r="J655" s="12">
        <v>0</v>
      </c>
      <c r="K655" s="12" t="s">
        <v>2237</v>
      </c>
      <c r="L655" s="12">
        <v>0</v>
      </c>
      <c r="M655" s="12" t="s">
        <v>2237</v>
      </c>
      <c r="N655" s="8">
        <v>1044.54</v>
      </c>
      <c r="O655" s="12" t="s">
        <v>2237</v>
      </c>
      <c r="P655" s="12" t="s">
        <v>2236</v>
      </c>
      <c r="Q655" s="10" t="s">
        <v>2236</v>
      </c>
      <c r="R655" s="10" t="s">
        <v>2236</v>
      </c>
      <c r="S655" s="10" t="s">
        <v>2236</v>
      </c>
      <c r="T655" s="10" t="s">
        <v>2877</v>
      </c>
      <c r="U6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6" spans="1:31" hidden="1" x14ac:dyDescent="0.3">
      <c r="A656" s="12" t="s">
        <v>2402</v>
      </c>
      <c r="B656" s="12" t="s">
        <v>2371</v>
      </c>
      <c r="C656" s="12" t="s">
        <v>3057</v>
      </c>
      <c r="D656" s="12" t="s">
        <v>3058</v>
      </c>
      <c r="E656" s="12" t="s">
        <v>2236</v>
      </c>
      <c r="F656" s="8">
        <v>0</v>
      </c>
      <c r="G656" s="12" t="s">
        <v>2237</v>
      </c>
      <c r="H656" s="12">
        <v>0</v>
      </c>
      <c r="I656" s="12" t="s">
        <v>2237</v>
      </c>
      <c r="J656" s="12">
        <v>0</v>
      </c>
      <c r="K656" s="12" t="s">
        <v>2237</v>
      </c>
      <c r="L656" s="12">
        <v>0</v>
      </c>
      <c r="M656" s="12" t="s">
        <v>2237</v>
      </c>
      <c r="N656" s="8">
        <v>0</v>
      </c>
      <c r="O656" s="12" t="s">
        <v>2237</v>
      </c>
      <c r="P656" s="12" t="s">
        <v>2236</v>
      </c>
      <c r="Q656" s="10" t="s">
        <v>2236</v>
      </c>
      <c r="R656" s="10" t="s">
        <v>2236</v>
      </c>
      <c r="S656" s="10" t="s">
        <v>2236</v>
      </c>
      <c r="T656" s="10" t="s">
        <v>2236</v>
      </c>
      <c r="U6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7" spans="1:31" hidden="1" x14ac:dyDescent="0.3">
      <c r="A657" s="12" t="s">
        <v>2403</v>
      </c>
      <c r="B657" s="12" t="s">
        <v>2371</v>
      </c>
      <c r="C657" s="12" t="s">
        <v>3059</v>
      </c>
      <c r="D657" s="12" t="s">
        <v>3060</v>
      </c>
      <c r="E657" s="12" t="s">
        <v>2236</v>
      </c>
      <c r="F657" s="8">
        <v>0</v>
      </c>
      <c r="G657" s="12" t="s">
        <v>2237</v>
      </c>
      <c r="H657" s="12">
        <v>0</v>
      </c>
      <c r="I657" s="12" t="s">
        <v>2237</v>
      </c>
      <c r="J657" s="12">
        <v>0</v>
      </c>
      <c r="K657" s="12" t="s">
        <v>2237</v>
      </c>
      <c r="L657" s="12">
        <v>0</v>
      </c>
      <c r="M657" s="12" t="s">
        <v>2237</v>
      </c>
      <c r="N657" s="8">
        <v>0</v>
      </c>
      <c r="O657" s="12" t="s">
        <v>2237</v>
      </c>
      <c r="P657" s="12" t="s">
        <v>2236</v>
      </c>
      <c r="Q657" s="10" t="s">
        <v>2236</v>
      </c>
      <c r="R657" s="10" t="s">
        <v>2236</v>
      </c>
      <c r="S657" s="10" t="s">
        <v>2236</v>
      </c>
      <c r="T657" s="10" t="s">
        <v>2236</v>
      </c>
      <c r="U6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8" spans="1:31" hidden="1" x14ac:dyDescent="0.3">
      <c r="A658" s="12" t="s">
        <v>2404</v>
      </c>
      <c r="B658" s="12" t="s">
        <v>2371</v>
      </c>
      <c r="C658" s="12" t="s">
        <v>3061</v>
      </c>
      <c r="D658" s="12" t="s">
        <v>3062</v>
      </c>
      <c r="E658" s="12" t="s">
        <v>2236</v>
      </c>
      <c r="F658" s="8">
        <v>0</v>
      </c>
      <c r="G658" s="12" t="s">
        <v>2237</v>
      </c>
      <c r="H658" s="12">
        <v>0</v>
      </c>
      <c r="I658" s="12" t="s">
        <v>2237</v>
      </c>
      <c r="J658" s="12">
        <v>0</v>
      </c>
      <c r="K658" s="12" t="s">
        <v>2237</v>
      </c>
      <c r="L658" s="12">
        <v>0</v>
      </c>
      <c r="M658" s="12" t="s">
        <v>2237</v>
      </c>
      <c r="N658" s="8">
        <v>0</v>
      </c>
      <c r="O658" s="12" t="s">
        <v>2237</v>
      </c>
      <c r="P658" s="12" t="s">
        <v>2236</v>
      </c>
      <c r="Q658" s="10" t="s">
        <v>2236</v>
      </c>
      <c r="R658" s="10" t="s">
        <v>2236</v>
      </c>
      <c r="S658" s="10" t="s">
        <v>2236</v>
      </c>
      <c r="T658" s="10" t="s">
        <v>2236</v>
      </c>
      <c r="U6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59" spans="1:31" hidden="1" x14ac:dyDescent="0.3">
      <c r="A659" s="12" t="s">
        <v>2405</v>
      </c>
      <c r="B659" s="12" t="s">
        <v>2371</v>
      </c>
      <c r="C659" s="12" t="s">
        <v>3063</v>
      </c>
      <c r="D659" s="12" t="s">
        <v>3064</v>
      </c>
      <c r="E659" s="12" t="s">
        <v>2236</v>
      </c>
      <c r="F659" s="8">
        <v>0</v>
      </c>
      <c r="G659" s="12" t="s">
        <v>2237</v>
      </c>
      <c r="H659" s="12">
        <v>0</v>
      </c>
      <c r="I659" s="12" t="s">
        <v>2237</v>
      </c>
      <c r="J659" s="12">
        <v>0</v>
      </c>
      <c r="K659" s="12" t="s">
        <v>2237</v>
      </c>
      <c r="L659" s="12">
        <v>0</v>
      </c>
      <c r="M659" s="12" t="s">
        <v>2237</v>
      </c>
      <c r="N659" s="8">
        <v>0</v>
      </c>
      <c r="O659" s="12" t="s">
        <v>2237</v>
      </c>
      <c r="P659" s="12" t="s">
        <v>2236</v>
      </c>
      <c r="Q659" s="10" t="s">
        <v>2236</v>
      </c>
      <c r="R659" s="10" t="s">
        <v>2236</v>
      </c>
      <c r="S659" s="10" t="s">
        <v>2236</v>
      </c>
      <c r="T659" s="10" t="s">
        <v>2236</v>
      </c>
      <c r="U6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0" spans="1:31" hidden="1" x14ac:dyDescent="0.3">
      <c r="A660" s="12" t="s">
        <v>2406</v>
      </c>
      <c r="B660" s="12" t="s">
        <v>2371</v>
      </c>
      <c r="C660" s="12" t="s">
        <v>3065</v>
      </c>
      <c r="D660" s="12" t="s">
        <v>3066</v>
      </c>
      <c r="E660" s="12" t="s">
        <v>2236</v>
      </c>
      <c r="F660" s="8">
        <v>0</v>
      </c>
      <c r="G660" s="12" t="s">
        <v>2237</v>
      </c>
      <c r="H660" s="12">
        <v>0</v>
      </c>
      <c r="I660" s="12" t="s">
        <v>2237</v>
      </c>
      <c r="J660" s="12">
        <v>0</v>
      </c>
      <c r="K660" s="12" t="s">
        <v>2237</v>
      </c>
      <c r="L660" s="12">
        <v>0</v>
      </c>
      <c r="M660" s="12" t="s">
        <v>2237</v>
      </c>
      <c r="N660" s="8">
        <v>0</v>
      </c>
      <c r="O660" s="12" t="s">
        <v>2237</v>
      </c>
      <c r="P660" s="12" t="s">
        <v>2236</v>
      </c>
      <c r="Q660" s="10" t="s">
        <v>2236</v>
      </c>
      <c r="R660" s="10" t="s">
        <v>2236</v>
      </c>
      <c r="S660" s="10" t="s">
        <v>2236</v>
      </c>
      <c r="T660" s="10" t="s">
        <v>2236</v>
      </c>
      <c r="U6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1" spans="1:31" hidden="1" x14ac:dyDescent="0.3">
      <c r="A661" s="12" t="s">
        <v>2407</v>
      </c>
      <c r="B661" s="12" t="s">
        <v>2371</v>
      </c>
      <c r="C661" s="12" t="s">
        <v>3067</v>
      </c>
      <c r="D661" s="12" t="s">
        <v>3068</v>
      </c>
      <c r="E661" s="12" t="s">
        <v>2236</v>
      </c>
      <c r="F661" s="8">
        <v>0</v>
      </c>
      <c r="G661" s="12" t="s">
        <v>2237</v>
      </c>
      <c r="H661" s="12">
        <v>0</v>
      </c>
      <c r="I661" s="12" t="s">
        <v>2237</v>
      </c>
      <c r="J661" s="12">
        <v>0</v>
      </c>
      <c r="K661" s="12" t="s">
        <v>2237</v>
      </c>
      <c r="L661" s="12">
        <v>0</v>
      </c>
      <c r="M661" s="12" t="s">
        <v>2237</v>
      </c>
      <c r="N661" s="8">
        <v>0</v>
      </c>
      <c r="O661" s="12" t="s">
        <v>2237</v>
      </c>
      <c r="P661" s="12" t="s">
        <v>2236</v>
      </c>
      <c r="Q661" s="10" t="s">
        <v>2236</v>
      </c>
      <c r="R661" s="10" t="s">
        <v>2236</v>
      </c>
      <c r="S661" s="10" t="s">
        <v>2236</v>
      </c>
      <c r="T661" s="10" t="s">
        <v>2236</v>
      </c>
      <c r="U6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2" spans="1:31" hidden="1" x14ac:dyDescent="0.3">
      <c r="A662" s="12" t="s">
        <v>2408</v>
      </c>
      <c r="B662" s="12" t="s">
        <v>2371</v>
      </c>
      <c r="C662" s="12" t="s">
        <v>3069</v>
      </c>
      <c r="D662" s="12" t="s">
        <v>3070</v>
      </c>
      <c r="E662" s="12" t="s">
        <v>2236</v>
      </c>
      <c r="F662" s="8">
        <v>0</v>
      </c>
      <c r="G662" s="12" t="s">
        <v>2237</v>
      </c>
      <c r="H662" s="12">
        <v>0</v>
      </c>
      <c r="I662" s="12" t="s">
        <v>2237</v>
      </c>
      <c r="J662" s="12">
        <v>0</v>
      </c>
      <c r="K662" s="12" t="s">
        <v>2237</v>
      </c>
      <c r="L662" s="12">
        <v>0</v>
      </c>
      <c r="M662" s="12" t="s">
        <v>2237</v>
      </c>
      <c r="N662" s="8">
        <v>0</v>
      </c>
      <c r="O662" s="12" t="s">
        <v>2237</v>
      </c>
      <c r="P662" s="12" t="s">
        <v>2236</v>
      </c>
      <c r="Q662" s="10" t="s">
        <v>2236</v>
      </c>
      <c r="R662" s="10" t="s">
        <v>2236</v>
      </c>
      <c r="S662" s="10" t="s">
        <v>2236</v>
      </c>
      <c r="T662" s="10" t="s">
        <v>2236</v>
      </c>
      <c r="U6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3" spans="1:31" hidden="1" x14ac:dyDescent="0.3">
      <c r="A663" s="12" t="s">
        <v>2409</v>
      </c>
      <c r="B663" s="12" t="s">
        <v>2371</v>
      </c>
      <c r="C663" s="12" t="s">
        <v>3071</v>
      </c>
      <c r="D663" s="12" t="s">
        <v>3072</v>
      </c>
      <c r="E663" s="12" t="s">
        <v>2236</v>
      </c>
      <c r="F663" s="8">
        <v>0</v>
      </c>
      <c r="G663" s="12" t="s">
        <v>2237</v>
      </c>
      <c r="H663" s="12">
        <v>0</v>
      </c>
      <c r="I663" s="12" t="s">
        <v>2237</v>
      </c>
      <c r="J663" s="12">
        <v>0</v>
      </c>
      <c r="K663" s="12" t="s">
        <v>2237</v>
      </c>
      <c r="L663" s="12">
        <v>0</v>
      </c>
      <c r="M663" s="12" t="s">
        <v>2237</v>
      </c>
      <c r="N663" s="8">
        <v>0</v>
      </c>
      <c r="O663" s="12" t="s">
        <v>2237</v>
      </c>
      <c r="P663" s="12" t="s">
        <v>2236</v>
      </c>
      <c r="Q663" s="10" t="s">
        <v>2236</v>
      </c>
      <c r="R663" s="10" t="s">
        <v>2236</v>
      </c>
      <c r="S663" s="10" t="s">
        <v>2236</v>
      </c>
      <c r="T663" s="10" t="s">
        <v>2236</v>
      </c>
      <c r="U6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4" spans="1:31" hidden="1" x14ac:dyDescent="0.3">
      <c r="A664" s="12" t="s">
        <v>2410</v>
      </c>
      <c r="B664" s="12" t="s">
        <v>2371</v>
      </c>
      <c r="C664" s="12" t="s">
        <v>3073</v>
      </c>
      <c r="D664" s="12" t="s">
        <v>3074</v>
      </c>
      <c r="E664" s="12" t="s">
        <v>2236</v>
      </c>
      <c r="F664" s="8">
        <v>0</v>
      </c>
      <c r="G664" s="12" t="s">
        <v>2237</v>
      </c>
      <c r="H664" s="12">
        <v>0</v>
      </c>
      <c r="I664" s="12" t="s">
        <v>2237</v>
      </c>
      <c r="J664" s="12">
        <v>0</v>
      </c>
      <c r="K664" s="12" t="s">
        <v>2237</v>
      </c>
      <c r="L664" s="12">
        <v>0</v>
      </c>
      <c r="M664" s="12" t="s">
        <v>2237</v>
      </c>
      <c r="N664" s="8">
        <v>0</v>
      </c>
      <c r="O664" s="12" t="s">
        <v>2237</v>
      </c>
      <c r="P664" s="12" t="s">
        <v>2236</v>
      </c>
      <c r="Q664" s="10" t="s">
        <v>2236</v>
      </c>
      <c r="R664" s="10" t="s">
        <v>2236</v>
      </c>
      <c r="S664" s="10" t="s">
        <v>2236</v>
      </c>
      <c r="T664" s="10" t="s">
        <v>2236</v>
      </c>
      <c r="U6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5" spans="1:31" hidden="1" x14ac:dyDescent="0.3">
      <c r="A665" s="12" t="s">
        <v>2411</v>
      </c>
      <c r="B665" s="12" t="s">
        <v>2371</v>
      </c>
      <c r="C665" s="12" t="s">
        <v>2902</v>
      </c>
      <c r="D665" s="12" t="s">
        <v>3075</v>
      </c>
      <c r="E665" s="12" t="s">
        <v>2236</v>
      </c>
      <c r="F665" s="8">
        <v>0</v>
      </c>
      <c r="G665" s="12" t="s">
        <v>2237</v>
      </c>
      <c r="H665" s="12">
        <v>0</v>
      </c>
      <c r="I665" s="12" t="s">
        <v>2237</v>
      </c>
      <c r="J665" s="12">
        <v>0</v>
      </c>
      <c r="K665" s="12" t="s">
        <v>2237</v>
      </c>
      <c r="L665" s="12">
        <v>0</v>
      </c>
      <c r="M665" s="12" t="s">
        <v>2237</v>
      </c>
      <c r="N665" s="8">
        <v>0</v>
      </c>
      <c r="O665" s="12" t="s">
        <v>2237</v>
      </c>
      <c r="P665" s="12" t="s">
        <v>2236</v>
      </c>
      <c r="Q665" s="10" t="s">
        <v>2236</v>
      </c>
      <c r="R665" s="10" t="s">
        <v>2236</v>
      </c>
      <c r="S665" s="10" t="s">
        <v>2236</v>
      </c>
      <c r="T665" s="10" t="s">
        <v>2236</v>
      </c>
      <c r="U6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6" spans="1:31" hidden="1" x14ac:dyDescent="0.3">
      <c r="A666" s="12" t="s">
        <v>2412</v>
      </c>
      <c r="B666" s="12" t="s">
        <v>2371</v>
      </c>
      <c r="C666" s="12" t="s">
        <v>3076</v>
      </c>
      <c r="D666" s="12" t="s">
        <v>3077</v>
      </c>
      <c r="E666" s="12" t="s">
        <v>2236</v>
      </c>
      <c r="F666" s="8">
        <v>0</v>
      </c>
      <c r="G666" s="12" t="s">
        <v>2237</v>
      </c>
      <c r="H666" s="12">
        <v>0</v>
      </c>
      <c r="I666" s="12" t="s">
        <v>2237</v>
      </c>
      <c r="J666" s="12">
        <v>0</v>
      </c>
      <c r="K666" s="12" t="s">
        <v>2237</v>
      </c>
      <c r="L666" s="12">
        <v>0</v>
      </c>
      <c r="M666" s="12" t="s">
        <v>2237</v>
      </c>
      <c r="N666" s="8">
        <v>0</v>
      </c>
      <c r="O666" s="12" t="s">
        <v>2237</v>
      </c>
      <c r="P666" s="12" t="s">
        <v>2236</v>
      </c>
      <c r="Q666" s="10" t="s">
        <v>2236</v>
      </c>
      <c r="R666" s="10" t="s">
        <v>2236</v>
      </c>
      <c r="S666" s="10" t="s">
        <v>2236</v>
      </c>
      <c r="T666" s="10" t="s">
        <v>2236</v>
      </c>
      <c r="U6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7" spans="1:31" hidden="1" x14ac:dyDescent="0.3">
      <c r="A667" s="12" t="s">
        <v>2413</v>
      </c>
      <c r="B667" s="12" t="s">
        <v>2371</v>
      </c>
      <c r="C667" s="12" t="s">
        <v>3078</v>
      </c>
      <c r="D667" s="12" t="s">
        <v>3079</v>
      </c>
      <c r="E667" s="12" t="s">
        <v>2236</v>
      </c>
      <c r="F667" s="8">
        <v>0</v>
      </c>
      <c r="G667" s="12" t="s">
        <v>2237</v>
      </c>
      <c r="H667" s="12">
        <v>0</v>
      </c>
      <c r="I667" s="12" t="s">
        <v>2237</v>
      </c>
      <c r="J667" s="12">
        <v>0</v>
      </c>
      <c r="K667" s="12" t="s">
        <v>2237</v>
      </c>
      <c r="L667" s="12">
        <v>0</v>
      </c>
      <c r="M667" s="12" t="s">
        <v>2237</v>
      </c>
      <c r="N667" s="8">
        <v>0</v>
      </c>
      <c r="O667" s="12" t="s">
        <v>2237</v>
      </c>
      <c r="P667" s="12" t="s">
        <v>2236</v>
      </c>
      <c r="Q667" s="10" t="s">
        <v>2236</v>
      </c>
      <c r="R667" s="10" t="s">
        <v>2236</v>
      </c>
      <c r="S667" s="10" t="s">
        <v>2236</v>
      </c>
      <c r="T667" s="10" t="s">
        <v>2236</v>
      </c>
      <c r="U6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8" spans="1:31" hidden="1" x14ac:dyDescent="0.3">
      <c r="A668" s="12" t="s">
        <v>2414</v>
      </c>
      <c r="B668" s="12" t="s">
        <v>2371</v>
      </c>
      <c r="C668" s="12" t="s">
        <v>3080</v>
      </c>
      <c r="D668" s="12" t="s">
        <v>3081</v>
      </c>
      <c r="E668" s="12" t="s">
        <v>2236</v>
      </c>
      <c r="F668" s="8">
        <v>0</v>
      </c>
      <c r="G668" s="12" t="s">
        <v>2237</v>
      </c>
      <c r="H668" s="12">
        <v>0</v>
      </c>
      <c r="I668" s="12" t="s">
        <v>2237</v>
      </c>
      <c r="J668" s="12">
        <v>0</v>
      </c>
      <c r="K668" s="12" t="s">
        <v>2237</v>
      </c>
      <c r="L668" s="12">
        <v>0</v>
      </c>
      <c r="M668" s="12" t="s">
        <v>2237</v>
      </c>
      <c r="N668" s="8">
        <v>0</v>
      </c>
      <c r="O668" s="12" t="s">
        <v>2237</v>
      </c>
      <c r="P668" s="12" t="s">
        <v>2236</v>
      </c>
      <c r="Q668" s="10" t="s">
        <v>2236</v>
      </c>
      <c r="R668" s="10" t="s">
        <v>2236</v>
      </c>
      <c r="S668" s="10" t="s">
        <v>2236</v>
      </c>
      <c r="T668" s="10" t="s">
        <v>2236</v>
      </c>
      <c r="U6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69" spans="1:31" hidden="1" x14ac:dyDescent="0.3">
      <c r="A669" s="12" t="s">
        <v>2415</v>
      </c>
      <c r="B669" s="12" t="s">
        <v>2371</v>
      </c>
      <c r="C669" s="12" t="s">
        <v>3082</v>
      </c>
      <c r="D669" s="12" t="s">
        <v>3083</v>
      </c>
      <c r="E669" s="12" t="s">
        <v>2236</v>
      </c>
      <c r="F669" s="8">
        <v>0</v>
      </c>
      <c r="G669" s="12" t="s">
        <v>2237</v>
      </c>
      <c r="H669" s="12">
        <v>0</v>
      </c>
      <c r="I669" s="12" t="s">
        <v>2237</v>
      </c>
      <c r="J669" s="12">
        <v>0</v>
      </c>
      <c r="K669" s="12" t="s">
        <v>2237</v>
      </c>
      <c r="L669" s="12">
        <v>0</v>
      </c>
      <c r="M669" s="12" t="s">
        <v>2237</v>
      </c>
      <c r="N669" s="8">
        <v>0</v>
      </c>
      <c r="O669" s="12" t="s">
        <v>2237</v>
      </c>
      <c r="P669" s="12" t="s">
        <v>2236</v>
      </c>
      <c r="Q669" s="10" t="s">
        <v>2236</v>
      </c>
      <c r="R669" s="10" t="s">
        <v>2236</v>
      </c>
      <c r="S669" s="10" t="s">
        <v>2236</v>
      </c>
      <c r="T669" s="10" t="s">
        <v>2236</v>
      </c>
      <c r="U6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0" spans="1:31" hidden="1" x14ac:dyDescent="0.3">
      <c r="A670" s="12" t="s">
        <v>2416</v>
      </c>
      <c r="B670" s="12" t="s">
        <v>2371</v>
      </c>
      <c r="C670" s="12" t="s">
        <v>3084</v>
      </c>
      <c r="D670" s="12" t="s">
        <v>3085</v>
      </c>
      <c r="E670" s="12" t="s">
        <v>2236</v>
      </c>
      <c r="F670" s="8">
        <v>0</v>
      </c>
      <c r="G670" s="12" t="s">
        <v>2237</v>
      </c>
      <c r="H670" s="12">
        <v>0</v>
      </c>
      <c r="I670" s="12" t="s">
        <v>2237</v>
      </c>
      <c r="J670" s="12">
        <v>0</v>
      </c>
      <c r="K670" s="12" t="s">
        <v>2237</v>
      </c>
      <c r="L670" s="12">
        <v>0</v>
      </c>
      <c r="M670" s="12" t="s">
        <v>2237</v>
      </c>
      <c r="N670" s="8">
        <v>0</v>
      </c>
      <c r="O670" s="12" t="s">
        <v>2237</v>
      </c>
      <c r="P670" s="12" t="s">
        <v>2236</v>
      </c>
      <c r="Q670" s="10" t="s">
        <v>2236</v>
      </c>
      <c r="R670" s="10" t="s">
        <v>2236</v>
      </c>
      <c r="S670" s="10" t="s">
        <v>2236</v>
      </c>
      <c r="T670" s="10" t="s">
        <v>2236</v>
      </c>
      <c r="U6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1" spans="1:31" hidden="1" x14ac:dyDescent="0.3">
      <c r="A671" s="12" t="s">
        <v>2417</v>
      </c>
      <c r="B671" s="12" t="s">
        <v>2371</v>
      </c>
      <c r="C671" s="12" t="s">
        <v>3086</v>
      </c>
      <c r="D671" s="12" t="s">
        <v>3087</v>
      </c>
      <c r="E671" s="12" t="s">
        <v>2236</v>
      </c>
      <c r="F671" s="8">
        <v>0</v>
      </c>
      <c r="G671" s="12" t="s">
        <v>2237</v>
      </c>
      <c r="H671" s="12">
        <v>0</v>
      </c>
      <c r="I671" s="12" t="s">
        <v>2237</v>
      </c>
      <c r="J671" s="12">
        <v>0</v>
      </c>
      <c r="K671" s="12" t="s">
        <v>2237</v>
      </c>
      <c r="L671" s="12">
        <v>0</v>
      </c>
      <c r="M671" s="12" t="s">
        <v>2237</v>
      </c>
      <c r="N671" s="8">
        <v>0</v>
      </c>
      <c r="O671" s="12" t="s">
        <v>2237</v>
      </c>
      <c r="P671" s="12" t="s">
        <v>2236</v>
      </c>
      <c r="Q671" s="10" t="s">
        <v>2236</v>
      </c>
      <c r="R671" s="10" t="s">
        <v>2236</v>
      </c>
      <c r="S671" s="10" t="s">
        <v>2236</v>
      </c>
      <c r="T671" s="10" t="s">
        <v>2236</v>
      </c>
      <c r="U6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2" spans="1:31" hidden="1" x14ac:dyDescent="0.3">
      <c r="A672" s="12" t="s">
        <v>2418</v>
      </c>
      <c r="B672" s="12" t="s">
        <v>2371</v>
      </c>
      <c r="C672" s="12" t="s">
        <v>3088</v>
      </c>
      <c r="D672" s="12" t="s">
        <v>3089</v>
      </c>
      <c r="E672" s="12" t="s">
        <v>2236</v>
      </c>
      <c r="F672" s="8">
        <v>0</v>
      </c>
      <c r="G672" s="12" t="s">
        <v>2237</v>
      </c>
      <c r="H672" s="12">
        <v>0</v>
      </c>
      <c r="I672" s="12" t="s">
        <v>2237</v>
      </c>
      <c r="J672" s="12">
        <v>0</v>
      </c>
      <c r="K672" s="12" t="s">
        <v>2237</v>
      </c>
      <c r="L672" s="12">
        <v>0</v>
      </c>
      <c r="M672" s="12" t="s">
        <v>2237</v>
      </c>
      <c r="N672" s="8">
        <v>0</v>
      </c>
      <c r="O672" s="12" t="s">
        <v>2237</v>
      </c>
      <c r="P672" s="12" t="s">
        <v>2236</v>
      </c>
      <c r="Q672" s="10" t="s">
        <v>2236</v>
      </c>
      <c r="R672" s="10" t="s">
        <v>2236</v>
      </c>
      <c r="S672" s="10" t="s">
        <v>2236</v>
      </c>
      <c r="T672" s="10" t="s">
        <v>2236</v>
      </c>
      <c r="U6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3" spans="1:31" hidden="1" x14ac:dyDescent="0.3">
      <c r="A673" s="12" t="s">
        <v>2419</v>
      </c>
      <c r="B673" s="12" t="s">
        <v>2371</v>
      </c>
      <c r="C673" s="12" t="s">
        <v>3090</v>
      </c>
      <c r="D673" s="12" t="s">
        <v>3091</v>
      </c>
      <c r="E673" s="12" t="s">
        <v>2236</v>
      </c>
      <c r="F673" s="8">
        <v>0</v>
      </c>
      <c r="G673" s="12" t="s">
        <v>2237</v>
      </c>
      <c r="H673" s="12">
        <v>0</v>
      </c>
      <c r="I673" s="12" t="s">
        <v>2237</v>
      </c>
      <c r="J673" s="12">
        <v>0</v>
      </c>
      <c r="K673" s="12" t="s">
        <v>2237</v>
      </c>
      <c r="L673" s="12">
        <v>0</v>
      </c>
      <c r="M673" s="12" t="s">
        <v>2237</v>
      </c>
      <c r="N673" s="8">
        <v>0</v>
      </c>
      <c r="O673" s="12" t="s">
        <v>2237</v>
      </c>
      <c r="P673" s="12" t="s">
        <v>2236</v>
      </c>
      <c r="Q673" s="10" t="s">
        <v>2236</v>
      </c>
      <c r="R673" s="10" t="s">
        <v>2236</v>
      </c>
      <c r="S673" s="10" t="s">
        <v>2236</v>
      </c>
      <c r="T673" s="10" t="s">
        <v>2236</v>
      </c>
      <c r="U6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4" spans="1:31" hidden="1" x14ac:dyDescent="0.3">
      <c r="A674" s="12" t="s">
        <v>2420</v>
      </c>
      <c r="B674" s="12" t="s">
        <v>2371</v>
      </c>
      <c r="C674" s="12" t="s">
        <v>3092</v>
      </c>
      <c r="D674" s="12" t="s">
        <v>3093</v>
      </c>
      <c r="E674" s="12" t="s">
        <v>2236</v>
      </c>
      <c r="F674" s="8">
        <v>0</v>
      </c>
      <c r="G674" s="12" t="s">
        <v>2237</v>
      </c>
      <c r="H674" s="12">
        <v>0</v>
      </c>
      <c r="I674" s="12" t="s">
        <v>2237</v>
      </c>
      <c r="J674" s="12">
        <v>0</v>
      </c>
      <c r="K674" s="12" t="s">
        <v>2237</v>
      </c>
      <c r="L674" s="12">
        <v>0</v>
      </c>
      <c r="M674" s="12" t="s">
        <v>2237</v>
      </c>
      <c r="N674" s="8">
        <v>0</v>
      </c>
      <c r="O674" s="12" t="s">
        <v>2237</v>
      </c>
      <c r="P674" s="12" t="s">
        <v>2236</v>
      </c>
      <c r="Q674" s="10" t="s">
        <v>2236</v>
      </c>
      <c r="R674" s="10" t="s">
        <v>2236</v>
      </c>
      <c r="S674" s="10" t="s">
        <v>2236</v>
      </c>
      <c r="T674" s="10" t="s">
        <v>2236</v>
      </c>
      <c r="U6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5" spans="1:31" hidden="1" x14ac:dyDescent="0.3">
      <c r="A675" s="12" t="s">
        <v>2421</v>
      </c>
      <c r="B675" s="12" t="s">
        <v>2371</v>
      </c>
      <c r="C675" s="12" t="s">
        <v>3094</v>
      </c>
      <c r="D675" s="12" t="s">
        <v>3095</v>
      </c>
      <c r="E675" s="12" t="s">
        <v>2236</v>
      </c>
      <c r="F675" s="8">
        <v>0</v>
      </c>
      <c r="G675" s="12" t="s">
        <v>2237</v>
      </c>
      <c r="H675" s="12">
        <v>0</v>
      </c>
      <c r="I675" s="12" t="s">
        <v>2237</v>
      </c>
      <c r="J675" s="12">
        <v>0</v>
      </c>
      <c r="K675" s="12" t="s">
        <v>2237</v>
      </c>
      <c r="L675" s="12">
        <v>0</v>
      </c>
      <c r="M675" s="12" t="s">
        <v>2237</v>
      </c>
      <c r="N675" s="8">
        <v>0</v>
      </c>
      <c r="O675" s="12" t="s">
        <v>2237</v>
      </c>
      <c r="P675" s="12" t="s">
        <v>2236</v>
      </c>
      <c r="Q675" s="10" t="s">
        <v>2236</v>
      </c>
      <c r="R675" s="10" t="s">
        <v>2236</v>
      </c>
      <c r="S675" s="10" t="s">
        <v>2236</v>
      </c>
      <c r="T675" s="10" t="s">
        <v>2236</v>
      </c>
      <c r="U6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6" spans="1:31" hidden="1" x14ac:dyDescent="0.3">
      <c r="A676" s="12" t="s">
        <v>2422</v>
      </c>
      <c r="B676" s="12" t="s">
        <v>2371</v>
      </c>
      <c r="C676" s="12" t="s">
        <v>3096</v>
      </c>
      <c r="D676" s="12" t="s">
        <v>3097</v>
      </c>
      <c r="E676" s="12" t="s">
        <v>2236</v>
      </c>
      <c r="F676" s="8">
        <v>0</v>
      </c>
      <c r="G676" s="12" t="s">
        <v>2237</v>
      </c>
      <c r="H676" s="12">
        <v>0</v>
      </c>
      <c r="I676" s="12" t="s">
        <v>2237</v>
      </c>
      <c r="J676" s="12">
        <v>0</v>
      </c>
      <c r="K676" s="12" t="s">
        <v>2237</v>
      </c>
      <c r="L676" s="12">
        <v>0</v>
      </c>
      <c r="M676" s="12" t="s">
        <v>2237</v>
      </c>
      <c r="N676" s="8">
        <v>0</v>
      </c>
      <c r="O676" s="12" t="s">
        <v>2237</v>
      </c>
      <c r="P676" s="12" t="s">
        <v>2236</v>
      </c>
      <c r="Q676" s="10" t="s">
        <v>2236</v>
      </c>
      <c r="R676" s="10" t="s">
        <v>2236</v>
      </c>
      <c r="S676" s="10" t="s">
        <v>2236</v>
      </c>
      <c r="T676" s="10" t="s">
        <v>2236</v>
      </c>
      <c r="U6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7" spans="1:31" hidden="1" x14ac:dyDescent="0.3">
      <c r="A677" s="12" t="s">
        <v>2423</v>
      </c>
      <c r="B677" s="12" t="s">
        <v>2371</v>
      </c>
      <c r="C677" s="12" t="s">
        <v>3098</v>
      </c>
      <c r="D677" s="12" t="s">
        <v>3099</v>
      </c>
      <c r="E677" s="12" t="s">
        <v>2236</v>
      </c>
      <c r="F677" s="8">
        <v>0</v>
      </c>
      <c r="G677" s="12" t="s">
        <v>2237</v>
      </c>
      <c r="H677" s="12">
        <v>0</v>
      </c>
      <c r="I677" s="12" t="s">
        <v>2237</v>
      </c>
      <c r="J677" s="12">
        <v>0</v>
      </c>
      <c r="K677" s="12" t="s">
        <v>2237</v>
      </c>
      <c r="L677" s="12">
        <v>0</v>
      </c>
      <c r="M677" s="12" t="s">
        <v>2237</v>
      </c>
      <c r="N677" s="8">
        <v>0</v>
      </c>
      <c r="O677" s="12" t="s">
        <v>2237</v>
      </c>
      <c r="P677" s="12" t="s">
        <v>2236</v>
      </c>
      <c r="Q677" s="10" t="s">
        <v>2236</v>
      </c>
      <c r="R677" s="10" t="s">
        <v>2236</v>
      </c>
      <c r="S677" s="10" t="s">
        <v>2236</v>
      </c>
      <c r="T677" s="10" t="s">
        <v>2236</v>
      </c>
      <c r="U6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8" spans="1:31" hidden="1" x14ac:dyDescent="0.3">
      <c r="A678" s="12" t="s">
        <v>2424</v>
      </c>
      <c r="B678" s="12" t="s">
        <v>2371</v>
      </c>
      <c r="C678" s="12" t="s">
        <v>3100</v>
      </c>
      <c r="D678" s="12" t="s">
        <v>3101</v>
      </c>
      <c r="E678" s="12" t="s">
        <v>2236</v>
      </c>
      <c r="F678" s="8">
        <v>0</v>
      </c>
      <c r="G678" s="12" t="s">
        <v>2237</v>
      </c>
      <c r="H678" s="12">
        <v>0</v>
      </c>
      <c r="I678" s="12" t="s">
        <v>2237</v>
      </c>
      <c r="J678" s="12">
        <v>0</v>
      </c>
      <c r="K678" s="12" t="s">
        <v>2237</v>
      </c>
      <c r="L678" s="12">
        <v>0</v>
      </c>
      <c r="M678" s="12" t="s">
        <v>2237</v>
      </c>
      <c r="N678" s="8">
        <v>0</v>
      </c>
      <c r="O678" s="12" t="s">
        <v>2237</v>
      </c>
      <c r="P678" s="12" t="s">
        <v>2236</v>
      </c>
      <c r="Q678" s="10" t="s">
        <v>2236</v>
      </c>
      <c r="R678" s="10" t="s">
        <v>2236</v>
      </c>
      <c r="S678" s="10" t="s">
        <v>2236</v>
      </c>
      <c r="T678" s="10" t="s">
        <v>2236</v>
      </c>
      <c r="U6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79" spans="1:31" hidden="1" x14ac:dyDescent="0.3">
      <c r="A679" s="12" t="s">
        <v>2425</v>
      </c>
      <c r="B679" s="12" t="s">
        <v>2371</v>
      </c>
      <c r="C679" s="12" t="s">
        <v>3102</v>
      </c>
      <c r="D679" s="12" t="s">
        <v>3103</v>
      </c>
      <c r="E679" s="12" t="s">
        <v>2236</v>
      </c>
      <c r="F679" s="8">
        <v>0</v>
      </c>
      <c r="G679" s="12" t="s">
        <v>2237</v>
      </c>
      <c r="H679" s="12">
        <v>0</v>
      </c>
      <c r="I679" s="12" t="s">
        <v>2237</v>
      </c>
      <c r="J679" s="12">
        <v>0</v>
      </c>
      <c r="K679" s="12" t="s">
        <v>2237</v>
      </c>
      <c r="L679" s="12">
        <v>0</v>
      </c>
      <c r="M679" s="12" t="s">
        <v>2237</v>
      </c>
      <c r="N679" s="8">
        <v>0</v>
      </c>
      <c r="O679" s="12" t="s">
        <v>2237</v>
      </c>
      <c r="P679" s="12" t="s">
        <v>2236</v>
      </c>
      <c r="Q679" s="10" t="s">
        <v>2236</v>
      </c>
      <c r="R679" s="10" t="s">
        <v>2236</v>
      </c>
      <c r="S679" s="10" t="s">
        <v>2236</v>
      </c>
      <c r="T679" s="10" t="s">
        <v>2236</v>
      </c>
      <c r="U6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0" spans="1:31" hidden="1" x14ac:dyDescent="0.3">
      <c r="A680" s="12" t="s">
        <v>2426</v>
      </c>
      <c r="B680" s="12" t="s">
        <v>2371</v>
      </c>
      <c r="C680" s="12" t="s">
        <v>3104</v>
      </c>
      <c r="D680" s="12" t="s">
        <v>3105</v>
      </c>
      <c r="E680" s="12" t="s">
        <v>2236</v>
      </c>
      <c r="F680" s="8">
        <v>0</v>
      </c>
      <c r="G680" s="12" t="s">
        <v>2237</v>
      </c>
      <c r="H680" s="12">
        <v>0</v>
      </c>
      <c r="I680" s="12" t="s">
        <v>2237</v>
      </c>
      <c r="J680" s="12">
        <v>0</v>
      </c>
      <c r="K680" s="12" t="s">
        <v>2237</v>
      </c>
      <c r="L680" s="12">
        <v>0</v>
      </c>
      <c r="M680" s="12" t="s">
        <v>2237</v>
      </c>
      <c r="N680" s="8">
        <v>0</v>
      </c>
      <c r="O680" s="12" t="s">
        <v>2237</v>
      </c>
      <c r="P680" s="12" t="s">
        <v>2236</v>
      </c>
      <c r="Q680" s="10" t="s">
        <v>2236</v>
      </c>
      <c r="R680" s="10" t="s">
        <v>2236</v>
      </c>
      <c r="S680" s="10" t="s">
        <v>2236</v>
      </c>
      <c r="T680" s="10" t="s">
        <v>2236</v>
      </c>
      <c r="U6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1" spans="1:31" hidden="1" x14ac:dyDescent="0.3">
      <c r="A681" s="12" t="s">
        <v>2427</v>
      </c>
      <c r="B681" s="12" t="s">
        <v>2371</v>
      </c>
      <c r="C681" s="12" t="s">
        <v>3106</v>
      </c>
      <c r="D681" s="12" t="s">
        <v>3107</v>
      </c>
      <c r="E681" s="12" t="s">
        <v>2236</v>
      </c>
      <c r="F681" s="8">
        <v>0</v>
      </c>
      <c r="G681" s="12" t="s">
        <v>2237</v>
      </c>
      <c r="H681" s="12">
        <v>0</v>
      </c>
      <c r="I681" s="12" t="s">
        <v>2237</v>
      </c>
      <c r="J681" s="12">
        <v>0</v>
      </c>
      <c r="K681" s="12" t="s">
        <v>2237</v>
      </c>
      <c r="L681" s="12">
        <v>0</v>
      </c>
      <c r="M681" s="12" t="s">
        <v>2237</v>
      </c>
      <c r="N681" s="8">
        <v>0</v>
      </c>
      <c r="O681" s="12" t="s">
        <v>2237</v>
      </c>
      <c r="P681" s="12" t="s">
        <v>2236</v>
      </c>
      <c r="Q681" s="10" t="s">
        <v>2236</v>
      </c>
      <c r="R681" s="10" t="s">
        <v>2236</v>
      </c>
      <c r="S681" s="10" t="s">
        <v>2236</v>
      </c>
      <c r="T681" s="10" t="s">
        <v>2236</v>
      </c>
      <c r="U6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2" spans="1:31" hidden="1" x14ac:dyDescent="0.3">
      <c r="A682" s="12" t="s">
        <v>2428</v>
      </c>
      <c r="B682" s="12" t="s">
        <v>2371</v>
      </c>
      <c r="C682" s="12" t="s">
        <v>3108</v>
      </c>
      <c r="D682" s="12" t="s">
        <v>3109</v>
      </c>
      <c r="E682" s="12" t="s">
        <v>2236</v>
      </c>
      <c r="F682" s="8">
        <v>0</v>
      </c>
      <c r="G682" s="12" t="s">
        <v>2237</v>
      </c>
      <c r="H682" s="12">
        <v>0</v>
      </c>
      <c r="I682" s="12" t="s">
        <v>2237</v>
      </c>
      <c r="J682" s="12">
        <v>0</v>
      </c>
      <c r="K682" s="12" t="s">
        <v>2237</v>
      </c>
      <c r="L682" s="12">
        <v>0</v>
      </c>
      <c r="M682" s="12" t="s">
        <v>2237</v>
      </c>
      <c r="N682" s="8">
        <v>0</v>
      </c>
      <c r="O682" s="12" t="s">
        <v>2237</v>
      </c>
      <c r="P682" s="12" t="s">
        <v>2236</v>
      </c>
      <c r="Q682" s="10" t="s">
        <v>2236</v>
      </c>
      <c r="R682" s="10" t="s">
        <v>2236</v>
      </c>
      <c r="S682" s="10" t="s">
        <v>2236</v>
      </c>
      <c r="T682" s="10" t="s">
        <v>2236</v>
      </c>
      <c r="U6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3" spans="1:31" hidden="1" x14ac:dyDescent="0.3">
      <c r="A683" s="12" t="s">
        <v>2429</v>
      </c>
      <c r="B683" s="12" t="s">
        <v>2371</v>
      </c>
      <c r="C683" s="12" t="s">
        <v>3110</v>
      </c>
      <c r="D683" s="12" t="s">
        <v>3111</v>
      </c>
      <c r="E683" s="12" t="s">
        <v>2236</v>
      </c>
      <c r="F683" s="8">
        <v>0</v>
      </c>
      <c r="G683" s="12" t="s">
        <v>2237</v>
      </c>
      <c r="H683" s="12">
        <v>0</v>
      </c>
      <c r="I683" s="12" t="s">
        <v>2237</v>
      </c>
      <c r="J683" s="12">
        <v>0</v>
      </c>
      <c r="K683" s="12" t="s">
        <v>2237</v>
      </c>
      <c r="L683" s="12">
        <v>0</v>
      </c>
      <c r="M683" s="12" t="s">
        <v>2237</v>
      </c>
      <c r="N683" s="8">
        <v>0</v>
      </c>
      <c r="O683" s="12" t="s">
        <v>2237</v>
      </c>
      <c r="P683" s="12" t="s">
        <v>2236</v>
      </c>
      <c r="Q683" s="10" t="s">
        <v>2236</v>
      </c>
      <c r="R683" s="10" t="s">
        <v>2236</v>
      </c>
      <c r="S683" s="10" t="s">
        <v>2236</v>
      </c>
      <c r="T683" s="10" t="s">
        <v>2236</v>
      </c>
      <c r="U6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4" spans="1:31" hidden="1" x14ac:dyDescent="0.3">
      <c r="A684" s="12" t="s">
        <v>2430</v>
      </c>
      <c r="B684" s="12" t="s">
        <v>2371</v>
      </c>
      <c r="C684" s="12" t="s">
        <v>3112</v>
      </c>
      <c r="D684" s="12" t="s">
        <v>3113</v>
      </c>
      <c r="E684" s="12" t="s">
        <v>2236</v>
      </c>
      <c r="F684" s="8">
        <v>0</v>
      </c>
      <c r="G684" s="12" t="s">
        <v>2237</v>
      </c>
      <c r="H684" s="12">
        <v>0</v>
      </c>
      <c r="I684" s="12" t="s">
        <v>2237</v>
      </c>
      <c r="J684" s="12">
        <v>0</v>
      </c>
      <c r="K684" s="12" t="s">
        <v>2237</v>
      </c>
      <c r="L684" s="12">
        <v>0</v>
      </c>
      <c r="M684" s="12" t="s">
        <v>2237</v>
      </c>
      <c r="N684" s="8">
        <v>0</v>
      </c>
      <c r="O684" s="12" t="s">
        <v>2237</v>
      </c>
      <c r="P684" s="12" t="s">
        <v>2236</v>
      </c>
      <c r="Q684" s="10" t="s">
        <v>2236</v>
      </c>
      <c r="R684" s="10" t="s">
        <v>2236</v>
      </c>
      <c r="S684" s="10" t="s">
        <v>2236</v>
      </c>
      <c r="T684" s="10" t="s">
        <v>2236</v>
      </c>
      <c r="U6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5" spans="1:31" hidden="1" x14ac:dyDescent="0.3">
      <c r="A685" s="12" t="s">
        <v>2431</v>
      </c>
      <c r="B685" s="12" t="s">
        <v>2371</v>
      </c>
      <c r="C685" s="12" t="s">
        <v>3114</v>
      </c>
      <c r="D685" s="12" t="s">
        <v>3115</v>
      </c>
      <c r="E685" s="12" t="s">
        <v>2236</v>
      </c>
      <c r="F685" s="8">
        <v>0</v>
      </c>
      <c r="G685" s="12" t="s">
        <v>2237</v>
      </c>
      <c r="H685" s="12">
        <v>0</v>
      </c>
      <c r="I685" s="12" t="s">
        <v>2237</v>
      </c>
      <c r="J685" s="12">
        <v>0</v>
      </c>
      <c r="K685" s="12" t="s">
        <v>2237</v>
      </c>
      <c r="L685" s="12">
        <v>0</v>
      </c>
      <c r="M685" s="12" t="s">
        <v>2237</v>
      </c>
      <c r="N685" s="8">
        <v>0</v>
      </c>
      <c r="O685" s="12" t="s">
        <v>2237</v>
      </c>
      <c r="P685" s="12" t="s">
        <v>2236</v>
      </c>
      <c r="Q685" s="10" t="s">
        <v>2236</v>
      </c>
      <c r="R685" s="10" t="s">
        <v>2236</v>
      </c>
      <c r="S685" s="10" t="s">
        <v>2236</v>
      </c>
      <c r="T685" s="10" t="s">
        <v>2236</v>
      </c>
      <c r="U6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6" spans="1:31" hidden="1" x14ac:dyDescent="0.3">
      <c r="A686" s="12" t="s">
        <v>2432</v>
      </c>
      <c r="B686" s="12" t="s">
        <v>2371</v>
      </c>
      <c r="C686" s="12" t="s">
        <v>3116</v>
      </c>
      <c r="D686" s="12" t="s">
        <v>3117</v>
      </c>
      <c r="E686" s="12" t="s">
        <v>2236</v>
      </c>
      <c r="F686" s="8">
        <v>0</v>
      </c>
      <c r="G686" s="12" t="s">
        <v>2237</v>
      </c>
      <c r="H686" s="12">
        <v>0</v>
      </c>
      <c r="I686" s="12" t="s">
        <v>2237</v>
      </c>
      <c r="J686" s="12">
        <v>0</v>
      </c>
      <c r="K686" s="12" t="s">
        <v>2237</v>
      </c>
      <c r="L686" s="12">
        <v>0</v>
      </c>
      <c r="M686" s="12" t="s">
        <v>2237</v>
      </c>
      <c r="N686" s="8">
        <v>0</v>
      </c>
      <c r="O686" s="12" t="s">
        <v>2237</v>
      </c>
      <c r="P686" s="12" t="s">
        <v>2236</v>
      </c>
      <c r="Q686" s="10" t="s">
        <v>2236</v>
      </c>
      <c r="R686" s="10" t="s">
        <v>2236</v>
      </c>
      <c r="S686" s="10" t="s">
        <v>2236</v>
      </c>
      <c r="T686" s="10" t="s">
        <v>2236</v>
      </c>
      <c r="U6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7" spans="1:31" hidden="1" x14ac:dyDescent="0.3">
      <c r="A687" s="12" t="s">
        <v>2434</v>
      </c>
      <c r="B687" s="12" t="s">
        <v>2366</v>
      </c>
      <c r="C687" s="12" t="s">
        <v>3118</v>
      </c>
      <c r="D687" s="12" t="s">
        <v>3119</v>
      </c>
      <c r="E687" s="12" t="s">
        <v>2236</v>
      </c>
      <c r="F687" s="8">
        <v>0</v>
      </c>
      <c r="G687" s="12" t="s">
        <v>2237</v>
      </c>
      <c r="H687" s="12">
        <v>0</v>
      </c>
      <c r="I687" s="12" t="s">
        <v>2237</v>
      </c>
      <c r="J687" s="12">
        <v>0</v>
      </c>
      <c r="K687" s="12" t="s">
        <v>2237</v>
      </c>
      <c r="L687" s="12">
        <v>0</v>
      </c>
      <c r="M687" s="12" t="s">
        <v>2237</v>
      </c>
      <c r="N687" s="8">
        <v>22448.560000000001</v>
      </c>
      <c r="O687" s="12" t="s">
        <v>2237</v>
      </c>
      <c r="P687" s="12" t="s">
        <v>2236</v>
      </c>
      <c r="Q687" s="10" t="s">
        <v>2236</v>
      </c>
      <c r="R687" s="10" t="s">
        <v>2236</v>
      </c>
      <c r="S687" s="10" t="s">
        <v>2236</v>
      </c>
      <c r="T687" s="10" t="s">
        <v>3120</v>
      </c>
      <c r="U6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8" spans="1:31" hidden="1" x14ac:dyDescent="0.3">
      <c r="A688" s="12" t="s">
        <v>2435</v>
      </c>
      <c r="B688" s="12" t="s">
        <v>2371</v>
      </c>
      <c r="C688" s="12" t="s">
        <v>3121</v>
      </c>
      <c r="D688" s="12" t="s">
        <v>3122</v>
      </c>
      <c r="E688" s="12" t="s">
        <v>2236</v>
      </c>
      <c r="F688" s="8">
        <v>0</v>
      </c>
      <c r="G688" s="12" t="s">
        <v>2237</v>
      </c>
      <c r="H688" s="12">
        <v>0</v>
      </c>
      <c r="I688" s="12" t="s">
        <v>2237</v>
      </c>
      <c r="J688" s="12">
        <v>0</v>
      </c>
      <c r="K688" s="12" t="s">
        <v>2237</v>
      </c>
      <c r="L688" s="12">
        <v>0</v>
      </c>
      <c r="M688" s="12" t="s">
        <v>2237</v>
      </c>
      <c r="N688" s="8">
        <v>0</v>
      </c>
      <c r="O688" s="12" t="s">
        <v>2237</v>
      </c>
      <c r="P688" s="12" t="s">
        <v>2236</v>
      </c>
      <c r="Q688" s="10" t="s">
        <v>2236</v>
      </c>
      <c r="R688" s="10" t="s">
        <v>2236</v>
      </c>
      <c r="S688" s="10" t="s">
        <v>2236</v>
      </c>
      <c r="T688" s="10" t="s">
        <v>2236</v>
      </c>
      <c r="U6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89" spans="1:31" hidden="1" x14ac:dyDescent="0.3">
      <c r="A689" s="12" t="s">
        <v>2436</v>
      </c>
      <c r="B689" s="12" t="s">
        <v>2371</v>
      </c>
      <c r="C689" s="12" t="s">
        <v>3123</v>
      </c>
      <c r="D689" s="12" t="s">
        <v>3124</v>
      </c>
      <c r="E689" s="12" t="s">
        <v>2236</v>
      </c>
      <c r="F689" s="8">
        <v>0</v>
      </c>
      <c r="G689" s="12" t="s">
        <v>2237</v>
      </c>
      <c r="H689" s="12">
        <v>0</v>
      </c>
      <c r="I689" s="12" t="s">
        <v>2237</v>
      </c>
      <c r="J689" s="12">
        <v>0</v>
      </c>
      <c r="K689" s="12" t="s">
        <v>2237</v>
      </c>
      <c r="L689" s="12">
        <v>0</v>
      </c>
      <c r="M689" s="12" t="s">
        <v>2237</v>
      </c>
      <c r="N689" s="8">
        <v>0</v>
      </c>
      <c r="O689" s="12" t="s">
        <v>2237</v>
      </c>
      <c r="P689" s="12" t="s">
        <v>2236</v>
      </c>
      <c r="Q689" s="10" t="s">
        <v>2236</v>
      </c>
      <c r="R689" s="10" t="s">
        <v>2236</v>
      </c>
      <c r="S689" s="10" t="s">
        <v>2236</v>
      </c>
      <c r="T689" s="10" t="s">
        <v>2236</v>
      </c>
      <c r="U6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0" spans="1:31" hidden="1" x14ac:dyDescent="0.3">
      <c r="A690" s="12" t="s">
        <v>2437</v>
      </c>
      <c r="B690" s="12" t="s">
        <v>2371</v>
      </c>
      <c r="C690" s="12" t="s">
        <v>3125</v>
      </c>
      <c r="D690" s="12" t="s">
        <v>3126</v>
      </c>
      <c r="E690" s="12" t="s">
        <v>2236</v>
      </c>
      <c r="F690" s="8">
        <v>0</v>
      </c>
      <c r="G690" s="12" t="s">
        <v>2237</v>
      </c>
      <c r="H690" s="12">
        <v>0</v>
      </c>
      <c r="I690" s="12" t="s">
        <v>2237</v>
      </c>
      <c r="J690" s="12">
        <v>0</v>
      </c>
      <c r="K690" s="12" t="s">
        <v>2237</v>
      </c>
      <c r="L690" s="12">
        <v>0</v>
      </c>
      <c r="M690" s="12" t="s">
        <v>2237</v>
      </c>
      <c r="N690" s="8">
        <v>0</v>
      </c>
      <c r="O690" s="12" t="s">
        <v>2237</v>
      </c>
      <c r="P690" s="12" t="s">
        <v>2236</v>
      </c>
      <c r="Q690" s="10" t="s">
        <v>2236</v>
      </c>
      <c r="R690" s="10" t="s">
        <v>2236</v>
      </c>
      <c r="S690" s="10" t="s">
        <v>2236</v>
      </c>
      <c r="T690" s="10" t="s">
        <v>2236</v>
      </c>
      <c r="U6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1" spans="1:31" hidden="1" x14ac:dyDescent="0.3">
      <c r="A691" s="12" t="s">
        <v>2438</v>
      </c>
      <c r="B691" s="12" t="s">
        <v>2371</v>
      </c>
      <c r="C691" s="12" t="s">
        <v>3127</v>
      </c>
      <c r="D691" s="12" t="s">
        <v>3128</v>
      </c>
      <c r="E691" s="12" t="s">
        <v>2236</v>
      </c>
      <c r="F691" s="8">
        <v>0</v>
      </c>
      <c r="G691" s="12" t="s">
        <v>2237</v>
      </c>
      <c r="H691" s="12">
        <v>0</v>
      </c>
      <c r="I691" s="12" t="s">
        <v>2237</v>
      </c>
      <c r="J691" s="12">
        <v>0</v>
      </c>
      <c r="K691" s="12" t="s">
        <v>2237</v>
      </c>
      <c r="L691" s="12">
        <v>0</v>
      </c>
      <c r="M691" s="12" t="s">
        <v>2237</v>
      </c>
      <c r="N691" s="8">
        <v>0</v>
      </c>
      <c r="O691" s="12" t="s">
        <v>2237</v>
      </c>
      <c r="P691" s="12" t="s">
        <v>2236</v>
      </c>
      <c r="Q691" s="10" t="s">
        <v>2236</v>
      </c>
      <c r="R691" s="10" t="s">
        <v>2236</v>
      </c>
      <c r="S691" s="10" t="s">
        <v>2236</v>
      </c>
      <c r="T691" s="10" t="s">
        <v>2236</v>
      </c>
      <c r="U6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2" spans="1:31" hidden="1" x14ac:dyDescent="0.3">
      <c r="A692" s="12" t="s">
        <v>2439</v>
      </c>
      <c r="B692" s="12" t="s">
        <v>2371</v>
      </c>
      <c r="C692" s="12" t="s">
        <v>3129</v>
      </c>
      <c r="D692" s="12" t="s">
        <v>3130</v>
      </c>
      <c r="E692" s="12" t="s">
        <v>2236</v>
      </c>
      <c r="F692" s="8">
        <v>0</v>
      </c>
      <c r="G692" s="12" t="s">
        <v>2237</v>
      </c>
      <c r="H692" s="12">
        <v>0</v>
      </c>
      <c r="I692" s="12" t="s">
        <v>2237</v>
      </c>
      <c r="J692" s="12">
        <v>0</v>
      </c>
      <c r="K692" s="12" t="s">
        <v>2237</v>
      </c>
      <c r="L692" s="12">
        <v>0</v>
      </c>
      <c r="M692" s="12" t="s">
        <v>2237</v>
      </c>
      <c r="N692" s="8">
        <v>0</v>
      </c>
      <c r="O692" s="12" t="s">
        <v>2237</v>
      </c>
      <c r="P692" s="12" t="s">
        <v>2236</v>
      </c>
      <c r="Q692" s="10" t="s">
        <v>2236</v>
      </c>
      <c r="R692" s="10" t="s">
        <v>2236</v>
      </c>
      <c r="S692" s="10" t="s">
        <v>2236</v>
      </c>
      <c r="T692" s="10" t="s">
        <v>2236</v>
      </c>
      <c r="U6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3" spans="1:31" hidden="1" x14ac:dyDescent="0.3">
      <c r="A693" s="12" t="s">
        <v>2440</v>
      </c>
      <c r="B693" s="12" t="s">
        <v>2371</v>
      </c>
      <c r="C693" s="12" t="s">
        <v>3131</v>
      </c>
      <c r="D693" s="12" t="s">
        <v>3132</v>
      </c>
      <c r="E693" s="12" t="s">
        <v>2236</v>
      </c>
      <c r="F693" s="8">
        <v>0</v>
      </c>
      <c r="G693" s="12" t="s">
        <v>2237</v>
      </c>
      <c r="H693" s="12">
        <v>0</v>
      </c>
      <c r="I693" s="12" t="s">
        <v>2237</v>
      </c>
      <c r="J693" s="12">
        <v>0</v>
      </c>
      <c r="K693" s="12" t="s">
        <v>2237</v>
      </c>
      <c r="L693" s="12">
        <v>0</v>
      </c>
      <c r="M693" s="12" t="s">
        <v>2237</v>
      </c>
      <c r="N693" s="8">
        <v>0</v>
      </c>
      <c r="O693" s="12" t="s">
        <v>2237</v>
      </c>
      <c r="P693" s="12" t="s">
        <v>2236</v>
      </c>
      <c r="Q693" s="10" t="s">
        <v>2236</v>
      </c>
      <c r="R693" s="10" t="s">
        <v>2236</v>
      </c>
      <c r="S693" s="10" t="s">
        <v>2236</v>
      </c>
      <c r="T693" s="10" t="s">
        <v>2236</v>
      </c>
      <c r="U6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4" spans="1:31" hidden="1" x14ac:dyDescent="0.3">
      <c r="A694" s="12" t="s">
        <v>2441</v>
      </c>
      <c r="B694" s="12" t="s">
        <v>2371</v>
      </c>
      <c r="C694" s="12" t="s">
        <v>3133</v>
      </c>
      <c r="D694" s="12" t="s">
        <v>3134</v>
      </c>
      <c r="E694" s="12" t="s">
        <v>2236</v>
      </c>
      <c r="F694" s="8">
        <v>0</v>
      </c>
      <c r="G694" s="12" t="s">
        <v>2237</v>
      </c>
      <c r="H694" s="12">
        <v>0</v>
      </c>
      <c r="I694" s="12" t="s">
        <v>2237</v>
      </c>
      <c r="J694" s="12">
        <v>0</v>
      </c>
      <c r="K694" s="12" t="s">
        <v>2237</v>
      </c>
      <c r="L694" s="12">
        <v>0</v>
      </c>
      <c r="M694" s="12" t="s">
        <v>2237</v>
      </c>
      <c r="N694" s="8">
        <v>0</v>
      </c>
      <c r="O694" s="12" t="s">
        <v>2237</v>
      </c>
      <c r="P694" s="12" t="s">
        <v>2236</v>
      </c>
      <c r="Q694" s="10" t="s">
        <v>2236</v>
      </c>
      <c r="R694" s="10" t="s">
        <v>2236</v>
      </c>
      <c r="S694" s="10" t="s">
        <v>2236</v>
      </c>
      <c r="T694" s="10" t="s">
        <v>2236</v>
      </c>
      <c r="U6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5" spans="1:31" hidden="1" x14ac:dyDescent="0.3">
      <c r="A695" s="12" t="s">
        <v>2442</v>
      </c>
      <c r="B695" s="12" t="s">
        <v>2371</v>
      </c>
      <c r="C695" s="12" t="s">
        <v>3135</v>
      </c>
      <c r="D695" s="12" t="s">
        <v>3136</v>
      </c>
      <c r="E695" s="12" t="s">
        <v>2236</v>
      </c>
      <c r="F695" s="8">
        <v>0</v>
      </c>
      <c r="G695" s="12" t="s">
        <v>2237</v>
      </c>
      <c r="H695" s="12">
        <v>0</v>
      </c>
      <c r="I695" s="12" t="s">
        <v>2237</v>
      </c>
      <c r="J695" s="12">
        <v>0</v>
      </c>
      <c r="K695" s="12" t="s">
        <v>2237</v>
      </c>
      <c r="L695" s="12">
        <v>0</v>
      </c>
      <c r="M695" s="12" t="s">
        <v>2237</v>
      </c>
      <c r="N695" s="8">
        <v>0</v>
      </c>
      <c r="O695" s="12" t="s">
        <v>2237</v>
      </c>
      <c r="P695" s="12" t="s">
        <v>2236</v>
      </c>
      <c r="Q695" s="10" t="s">
        <v>2236</v>
      </c>
      <c r="R695" s="10" t="s">
        <v>2236</v>
      </c>
      <c r="S695" s="10" t="s">
        <v>2236</v>
      </c>
      <c r="T695" s="10" t="s">
        <v>2236</v>
      </c>
      <c r="U6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6" spans="1:31" hidden="1" x14ac:dyDescent="0.3">
      <c r="A696" s="12" t="s">
        <v>2443</v>
      </c>
      <c r="B696" s="12" t="s">
        <v>2371</v>
      </c>
      <c r="C696" s="12" t="s">
        <v>3137</v>
      </c>
      <c r="D696" s="12" t="s">
        <v>3138</v>
      </c>
      <c r="E696" s="12" t="s">
        <v>2236</v>
      </c>
      <c r="F696" s="8">
        <v>0</v>
      </c>
      <c r="G696" s="12" t="s">
        <v>2237</v>
      </c>
      <c r="H696" s="12">
        <v>0</v>
      </c>
      <c r="I696" s="12" t="s">
        <v>2237</v>
      </c>
      <c r="J696" s="12">
        <v>0</v>
      </c>
      <c r="K696" s="12" t="s">
        <v>2237</v>
      </c>
      <c r="L696" s="12">
        <v>0</v>
      </c>
      <c r="M696" s="12" t="s">
        <v>2237</v>
      </c>
      <c r="N696" s="8">
        <v>0</v>
      </c>
      <c r="O696" s="12" t="s">
        <v>2237</v>
      </c>
      <c r="P696" s="12" t="s">
        <v>2236</v>
      </c>
      <c r="Q696" s="10" t="s">
        <v>2236</v>
      </c>
      <c r="R696" s="10" t="s">
        <v>2236</v>
      </c>
      <c r="S696" s="10" t="s">
        <v>2236</v>
      </c>
      <c r="T696" s="10" t="s">
        <v>2236</v>
      </c>
      <c r="U6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7" spans="1:31" hidden="1" x14ac:dyDescent="0.3">
      <c r="A697" s="12" t="s">
        <v>2444</v>
      </c>
      <c r="B697" s="12" t="s">
        <v>2371</v>
      </c>
      <c r="C697" s="12" t="s">
        <v>3139</v>
      </c>
      <c r="D697" s="12" t="s">
        <v>3140</v>
      </c>
      <c r="E697" s="12" t="s">
        <v>2236</v>
      </c>
      <c r="F697" s="8">
        <v>0</v>
      </c>
      <c r="G697" s="12" t="s">
        <v>2237</v>
      </c>
      <c r="H697" s="12">
        <v>0</v>
      </c>
      <c r="I697" s="12" t="s">
        <v>2237</v>
      </c>
      <c r="J697" s="12">
        <v>0</v>
      </c>
      <c r="K697" s="12" t="s">
        <v>2237</v>
      </c>
      <c r="L697" s="12">
        <v>0</v>
      </c>
      <c r="M697" s="12" t="s">
        <v>2237</v>
      </c>
      <c r="N697" s="8">
        <v>0</v>
      </c>
      <c r="O697" s="12" t="s">
        <v>2237</v>
      </c>
      <c r="P697" s="12" t="s">
        <v>2236</v>
      </c>
      <c r="Q697" s="10" t="s">
        <v>2236</v>
      </c>
      <c r="R697" s="10" t="s">
        <v>2236</v>
      </c>
      <c r="S697" s="10" t="s">
        <v>2236</v>
      </c>
      <c r="T697" s="10" t="s">
        <v>2236</v>
      </c>
      <c r="U6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8" spans="1:31" hidden="1" x14ac:dyDescent="0.3">
      <c r="A698" s="12" t="s">
        <v>2445</v>
      </c>
      <c r="B698" s="12" t="s">
        <v>2371</v>
      </c>
      <c r="C698" s="12" t="s">
        <v>3141</v>
      </c>
      <c r="D698" s="12" t="s">
        <v>3142</v>
      </c>
      <c r="E698" s="12" t="s">
        <v>2236</v>
      </c>
      <c r="F698" s="8">
        <v>0</v>
      </c>
      <c r="G698" s="12" t="s">
        <v>2237</v>
      </c>
      <c r="H698" s="12">
        <v>0</v>
      </c>
      <c r="I698" s="12" t="s">
        <v>2237</v>
      </c>
      <c r="J698" s="12">
        <v>0</v>
      </c>
      <c r="K698" s="12" t="s">
        <v>2237</v>
      </c>
      <c r="L698" s="12">
        <v>0</v>
      </c>
      <c r="M698" s="12" t="s">
        <v>2237</v>
      </c>
      <c r="N698" s="8">
        <v>0</v>
      </c>
      <c r="O698" s="12" t="s">
        <v>2237</v>
      </c>
      <c r="P698" s="12" t="s">
        <v>2236</v>
      </c>
      <c r="Q698" s="10" t="s">
        <v>2236</v>
      </c>
      <c r="R698" s="10" t="s">
        <v>2236</v>
      </c>
      <c r="S698" s="10" t="s">
        <v>2236</v>
      </c>
      <c r="T698" s="10" t="s">
        <v>2236</v>
      </c>
      <c r="U6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699" spans="1:31" hidden="1" x14ac:dyDescent="0.3">
      <c r="A699" s="12" t="s">
        <v>2446</v>
      </c>
      <c r="B699" s="12" t="s">
        <v>2371</v>
      </c>
      <c r="C699" s="12" t="s">
        <v>3143</v>
      </c>
      <c r="D699" s="12" t="s">
        <v>3144</v>
      </c>
      <c r="E699" s="12" t="s">
        <v>2236</v>
      </c>
      <c r="F699" s="8">
        <v>0</v>
      </c>
      <c r="G699" s="12" t="s">
        <v>2237</v>
      </c>
      <c r="H699" s="12">
        <v>0</v>
      </c>
      <c r="I699" s="12" t="s">
        <v>2237</v>
      </c>
      <c r="J699" s="12">
        <v>0</v>
      </c>
      <c r="K699" s="12" t="s">
        <v>2237</v>
      </c>
      <c r="L699" s="12">
        <v>0</v>
      </c>
      <c r="M699" s="12" t="s">
        <v>2237</v>
      </c>
      <c r="N699" s="8">
        <v>0</v>
      </c>
      <c r="O699" s="12" t="s">
        <v>2237</v>
      </c>
      <c r="P699" s="12" t="s">
        <v>2236</v>
      </c>
      <c r="Q699" s="10" t="s">
        <v>2236</v>
      </c>
      <c r="R699" s="10" t="s">
        <v>2236</v>
      </c>
      <c r="S699" s="10" t="s">
        <v>2236</v>
      </c>
      <c r="T699" s="10" t="s">
        <v>2236</v>
      </c>
      <c r="U6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6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6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6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6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6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6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6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6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6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6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0" spans="1:31" hidden="1" x14ac:dyDescent="0.3">
      <c r="A700" s="12" t="s">
        <v>2447</v>
      </c>
      <c r="B700" s="12" t="s">
        <v>2371</v>
      </c>
      <c r="C700" s="12" t="s">
        <v>3145</v>
      </c>
      <c r="D700" s="12" t="s">
        <v>3146</v>
      </c>
      <c r="E700" s="12" t="s">
        <v>2236</v>
      </c>
      <c r="F700" s="8">
        <v>0</v>
      </c>
      <c r="G700" s="12" t="s">
        <v>2237</v>
      </c>
      <c r="H700" s="12">
        <v>0</v>
      </c>
      <c r="I700" s="12" t="s">
        <v>2237</v>
      </c>
      <c r="J700" s="12">
        <v>0</v>
      </c>
      <c r="K700" s="12" t="s">
        <v>2237</v>
      </c>
      <c r="L700" s="12">
        <v>0</v>
      </c>
      <c r="M700" s="12" t="s">
        <v>2237</v>
      </c>
      <c r="N700" s="8">
        <v>0</v>
      </c>
      <c r="O700" s="12" t="s">
        <v>2237</v>
      </c>
      <c r="P700" s="12" t="s">
        <v>2236</v>
      </c>
      <c r="Q700" s="10" t="s">
        <v>2236</v>
      </c>
      <c r="R700" s="10" t="s">
        <v>2236</v>
      </c>
      <c r="S700" s="10" t="s">
        <v>2236</v>
      </c>
      <c r="T700" s="10" t="s">
        <v>2236</v>
      </c>
      <c r="U7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1" spans="1:31" hidden="1" x14ac:dyDescent="0.3">
      <c r="A701" s="12" t="s">
        <v>2448</v>
      </c>
      <c r="B701" s="12" t="s">
        <v>2371</v>
      </c>
      <c r="C701" s="12" t="s">
        <v>3147</v>
      </c>
      <c r="D701" s="12" t="s">
        <v>3148</v>
      </c>
      <c r="E701" s="12" t="s">
        <v>2236</v>
      </c>
      <c r="F701" s="8">
        <v>0</v>
      </c>
      <c r="G701" s="12" t="s">
        <v>2237</v>
      </c>
      <c r="H701" s="12">
        <v>0</v>
      </c>
      <c r="I701" s="12" t="s">
        <v>2237</v>
      </c>
      <c r="J701" s="12">
        <v>0</v>
      </c>
      <c r="K701" s="12" t="s">
        <v>2237</v>
      </c>
      <c r="L701" s="12">
        <v>0</v>
      </c>
      <c r="M701" s="12" t="s">
        <v>2237</v>
      </c>
      <c r="N701" s="8">
        <v>0</v>
      </c>
      <c r="O701" s="12" t="s">
        <v>2237</v>
      </c>
      <c r="P701" s="12" t="s">
        <v>2236</v>
      </c>
      <c r="Q701" s="10" t="s">
        <v>2236</v>
      </c>
      <c r="R701" s="10" t="s">
        <v>2236</v>
      </c>
      <c r="S701" s="10" t="s">
        <v>2236</v>
      </c>
      <c r="T701" s="10" t="s">
        <v>2236</v>
      </c>
      <c r="U7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2" spans="1:31" hidden="1" x14ac:dyDescent="0.3">
      <c r="A702" s="12" t="s">
        <v>2449</v>
      </c>
      <c r="B702" s="12" t="s">
        <v>2371</v>
      </c>
      <c r="C702" s="12" t="s">
        <v>3149</v>
      </c>
      <c r="D702" s="12" t="s">
        <v>3150</v>
      </c>
      <c r="E702" s="12" t="s">
        <v>2236</v>
      </c>
      <c r="F702" s="8">
        <v>0</v>
      </c>
      <c r="G702" s="12" t="s">
        <v>2237</v>
      </c>
      <c r="H702" s="12">
        <v>0</v>
      </c>
      <c r="I702" s="12" t="s">
        <v>2237</v>
      </c>
      <c r="J702" s="12">
        <v>0</v>
      </c>
      <c r="K702" s="12" t="s">
        <v>2237</v>
      </c>
      <c r="L702" s="12">
        <v>0</v>
      </c>
      <c r="M702" s="12" t="s">
        <v>2237</v>
      </c>
      <c r="N702" s="8">
        <v>0</v>
      </c>
      <c r="O702" s="12" t="s">
        <v>2237</v>
      </c>
      <c r="P702" s="12" t="s">
        <v>2236</v>
      </c>
      <c r="Q702" s="10" t="s">
        <v>2236</v>
      </c>
      <c r="R702" s="10" t="s">
        <v>2236</v>
      </c>
      <c r="S702" s="10" t="s">
        <v>2236</v>
      </c>
      <c r="T702" s="10" t="s">
        <v>2236</v>
      </c>
      <c r="U7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3" spans="1:31" hidden="1" x14ac:dyDescent="0.3">
      <c r="A703" s="12" t="s">
        <v>2450</v>
      </c>
      <c r="B703" s="12" t="s">
        <v>2371</v>
      </c>
      <c r="C703" s="12" t="s">
        <v>3151</v>
      </c>
      <c r="D703" s="12" t="s">
        <v>3152</v>
      </c>
      <c r="E703" s="12" t="s">
        <v>2236</v>
      </c>
      <c r="F703" s="8">
        <v>0</v>
      </c>
      <c r="G703" s="12" t="s">
        <v>2237</v>
      </c>
      <c r="H703" s="12">
        <v>0</v>
      </c>
      <c r="I703" s="12" t="s">
        <v>2237</v>
      </c>
      <c r="J703" s="12">
        <v>0</v>
      </c>
      <c r="K703" s="12" t="s">
        <v>2237</v>
      </c>
      <c r="L703" s="12">
        <v>0</v>
      </c>
      <c r="M703" s="12" t="s">
        <v>2237</v>
      </c>
      <c r="N703" s="8">
        <v>0</v>
      </c>
      <c r="O703" s="12" t="s">
        <v>2237</v>
      </c>
      <c r="P703" s="12" t="s">
        <v>2236</v>
      </c>
      <c r="Q703" s="10" t="s">
        <v>2236</v>
      </c>
      <c r="R703" s="10" t="s">
        <v>2236</v>
      </c>
      <c r="S703" s="10" t="s">
        <v>2236</v>
      </c>
      <c r="T703" s="10" t="s">
        <v>2236</v>
      </c>
      <c r="U7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4" spans="1:31" hidden="1" x14ac:dyDescent="0.3">
      <c r="A704" s="12" t="s">
        <v>2451</v>
      </c>
      <c r="B704" s="12" t="s">
        <v>2371</v>
      </c>
      <c r="C704" s="12" t="s">
        <v>3153</v>
      </c>
      <c r="D704" s="12" t="s">
        <v>3154</v>
      </c>
      <c r="E704" s="12" t="s">
        <v>2236</v>
      </c>
      <c r="F704" s="8">
        <v>0</v>
      </c>
      <c r="G704" s="12" t="s">
        <v>2237</v>
      </c>
      <c r="H704" s="12">
        <v>0</v>
      </c>
      <c r="I704" s="12" t="s">
        <v>2237</v>
      </c>
      <c r="J704" s="12">
        <v>0</v>
      </c>
      <c r="K704" s="12" t="s">
        <v>2237</v>
      </c>
      <c r="L704" s="12">
        <v>0</v>
      </c>
      <c r="M704" s="12" t="s">
        <v>2237</v>
      </c>
      <c r="N704" s="8">
        <v>0</v>
      </c>
      <c r="O704" s="12" t="s">
        <v>2237</v>
      </c>
      <c r="P704" s="12" t="s">
        <v>2236</v>
      </c>
      <c r="Q704" s="10" t="s">
        <v>2236</v>
      </c>
      <c r="R704" s="10" t="s">
        <v>2236</v>
      </c>
      <c r="S704" s="10" t="s">
        <v>2236</v>
      </c>
      <c r="T704" s="10" t="s">
        <v>2236</v>
      </c>
      <c r="U7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5" spans="1:31" hidden="1" x14ac:dyDescent="0.3">
      <c r="A705" s="12" t="s">
        <v>2452</v>
      </c>
      <c r="B705" s="12" t="s">
        <v>2371</v>
      </c>
      <c r="C705" s="12" t="s">
        <v>3155</v>
      </c>
      <c r="D705" s="12" t="s">
        <v>3156</v>
      </c>
      <c r="E705" s="12" t="s">
        <v>2236</v>
      </c>
      <c r="F705" s="8">
        <v>0</v>
      </c>
      <c r="G705" s="12" t="s">
        <v>2237</v>
      </c>
      <c r="H705" s="12">
        <v>0</v>
      </c>
      <c r="I705" s="12" t="s">
        <v>2237</v>
      </c>
      <c r="J705" s="12">
        <v>0</v>
      </c>
      <c r="K705" s="12" t="s">
        <v>2237</v>
      </c>
      <c r="L705" s="12">
        <v>0</v>
      </c>
      <c r="M705" s="12" t="s">
        <v>2237</v>
      </c>
      <c r="N705" s="8">
        <v>0</v>
      </c>
      <c r="O705" s="12" t="s">
        <v>2237</v>
      </c>
      <c r="P705" s="12" t="s">
        <v>2236</v>
      </c>
      <c r="Q705" s="10" t="s">
        <v>2236</v>
      </c>
      <c r="R705" s="10" t="s">
        <v>2236</v>
      </c>
      <c r="S705" s="10" t="s">
        <v>2236</v>
      </c>
      <c r="T705" s="10" t="s">
        <v>2236</v>
      </c>
      <c r="U7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6" spans="1:31" hidden="1" x14ac:dyDescent="0.3">
      <c r="A706" s="12" t="s">
        <v>2454</v>
      </c>
      <c r="B706" s="12" t="s">
        <v>2371</v>
      </c>
      <c r="C706" s="12" t="s">
        <v>3157</v>
      </c>
      <c r="D706" s="12" t="s">
        <v>3158</v>
      </c>
      <c r="E706" s="12" t="s">
        <v>2236</v>
      </c>
      <c r="F706" s="8">
        <v>0</v>
      </c>
      <c r="G706" s="12" t="s">
        <v>2237</v>
      </c>
      <c r="H706" s="12">
        <v>0</v>
      </c>
      <c r="I706" s="12" t="s">
        <v>2237</v>
      </c>
      <c r="J706" s="12">
        <v>0</v>
      </c>
      <c r="K706" s="12" t="s">
        <v>2237</v>
      </c>
      <c r="L706" s="12">
        <v>0</v>
      </c>
      <c r="M706" s="12" t="s">
        <v>2237</v>
      </c>
      <c r="N706" s="8">
        <v>0</v>
      </c>
      <c r="O706" s="12" t="s">
        <v>2237</v>
      </c>
      <c r="P706" s="12" t="s">
        <v>2236</v>
      </c>
      <c r="Q706" s="10" t="s">
        <v>2236</v>
      </c>
      <c r="R706" s="10" t="s">
        <v>2236</v>
      </c>
      <c r="S706" s="10" t="s">
        <v>2236</v>
      </c>
      <c r="T706" s="10" t="s">
        <v>2236</v>
      </c>
      <c r="U7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7" spans="1:31" hidden="1" x14ac:dyDescent="0.3">
      <c r="A707" s="12" t="s">
        <v>2455</v>
      </c>
      <c r="B707" s="12" t="s">
        <v>2371</v>
      </c>
      <c r="C707" s="12" t="s">
        <v>3159</v>
      </c>
      <c r="D707" s="12" t="s">
        <v>3160</v>
      </c>
      <c r="E707" s="12" t="s">
        <v>2236</v>
      </c>
      <c r="F707" s="8">
        <v>0</v>
      </c>
      <c r="G707" s="12" t="s">
        <v>2237</v>
      </c>
      <c r="H707" s="12">
        <v>0</v>
      </c>
      <c r="I707" s="12" t="s">
        <v>2237</v>
      </c>
      <c r="J707" s="12">
        <v>0</v>
      </c>
      <c r="K707" s="12" t="s">
        <v>2237</v>
      </c>
      <c r="L707" s="12">
        <v>0</v>
      </c>
      <c r="M707" s="12" t="s">
        <v>2237</v>
      </c>
      <c r="N707" s="8">
        <v>0</v>
      </c>
      <c r="O707" s="12" t="s">
        <v>2237</v>
      </c>
      <c r="P707" s="12" t="s">
        <v>2236</v>
      </c>
      <c r="Q707" s="10" t="s">
        <v>2236</v>
      </c>
      <c r="R707" s="10" t="s">
        <v>2236</v>
      </c>
      <c r="S707" s="10" t="s">
        <v>2236</v>
      </c>
      <c r="T707" s="10" t="s">
        <v>2236</v>
      </c>
      <c r="U7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8" spans="1:31" hidden="1" x14ac:dyDescent="0.3">
      <c r="A708" s="12" t="s">
        <v>2456</v>
      </c>
      <c r="B708" s="12" t="s">
        <v>2371</v>
      </c>
      <c r="C708" s="12" t="s">
        <v>3161</v>
      </c>
      <c r="D708" s="12" t="s">
        <v>3162</v>
      </c>
      <c r="E708" s="12" t="s">
        <v>2236</v>
      </c>
      <c r="F708" s="8">
        <v>0</v>
      </c>
      <c r="G708" s="12" t="s">
        <v>2237</v>
      </c>
      <c r="H708" s="12">
        <v>0</v>
      </c>
      <c r="I708" s="12" t="s">
        <v>2237</v>
      </c>
      <c r="J708" s="12">
        <v>0</v>
      </c>
      <c r="K708" s="12" t="s">
        <v>2237</v>
      </c>
      <c r="L708" s="12">
        <v>0</v>
      </c>
      <c r="M708" s="12" t="s">
        <v>2237</v>
      </c>
      <c r="N708" s="8">
        <v>0</v>
      </c>
      <c r="O708" s="12" t="s">
        <v>2237</v>
      </c>
      <c r="P708" s="12" t="s">
        <v>2236</v>
      </c>
      <c r="Q708" s="10" t="s">
        <v>2236</v>
      </c>
      <c r="R708" s="10" t="s">
        <v>2236</v>
      </c>
      <c r="S708" s="10" t="s">
        <v>2236</v>
      </c>
      <c r="T708" s="10" t="s">
        <v>2236</v>
      </c>
      <c r="U7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09" spans="1:31" hidden="1" x14ac:dyDescent="0.3">
      <c r="A709" s="12" t="s">
        <v>2457</v>
      </c>
      <c r="B709" s="12" t="s">
        <v>2371</v>
      </c>
      <c r="C709" s="12" t="s">
        <v>2902</v>
      </c>
      <c r="D709" s="12" t="s">
        <v>3163</v>
      </c>
      <c r="E709" s="12" t="s">
        <v>2236</v>
      </c>
      <c r="F709" s="8">
        <v>0</v>
      </c>
      <c r="G709" s="12" t="s">
        <v>2237</v>
      </c>
      <c r="H709" s="12">
        <v>0</v>
      </c>
      <c r="I709" s="12" t="s">
        <v>2237</v>
      </c>
      <c r="J709" s="12">
        <v>0</v>
      </c>
      <c r="K709" s="12" t="s">
        <v>2237</v>
      </c>
      <c r="L709" s="12">
        <v>0</v>
      </c>
      <c r="M709" s="12" t="s">
        <v>2237</v>
      </c>
      <c r="N709" s="8">
        <v>0</v>
      </c>
      <c r="O709" s="12" t="s">
        <v>2237</v>
      </c>
      <c r="P709" s="12" t="s">
        <v>2236</v>
      </c>
      <c r="Q709" s="10" t="s">
        <v>2236</v>
      </c>
      <c r="R709" s="10" t="s">
        <v>2236</v>
      </c>
      <c r="S709" s="10" t="s">
        <v>2236</v>
      </c>
      <c r="T709" s="10" t="s">
        <v>2236</v>
      </c>
      <c r="U7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0" spans="1:31" hidden="1" x14ac:dyDescent="0.3">
      <c r="A710" s="12" t="s">
        <v>2458</v>
      </c>
      <c r="B710" s="12" t="s">
        <v>2371</v>
      </c>
      <c r="C710" s="12" t="s">
        <v>3164</v>
      </c>
      <c r="D710" s="12" t="s">
        <v>3165</v>
      </c>
      <c r="E710" s="12" t="s">
        <v>2236</v>
      </c>
      <c r="F710" s="8">
        <v>0</v>
      </c>
      <c r="G710" s="12" t="s">
        <v>2237</v>
      </c>
      <c r="H710" s="12">
        <v>0</v>
      </c>
      <c r="I710" s="12" t="s">
        <v>2237</v>
      </c>
      <c r="J710" s="12">
        <v>0</v>
      </c>
      <c r="K710" s="12" t="s">
        <v>2237</v>
      </c>
      <c r="L710" s="12">
        <v>0</v>
      </c>
      <c r="M710" s="12" t="s">
        <v>2237</v>
      </c>
      <c r="N710" s="8">
        <v>0</v>
      </c>
      <c r="O710" s="12" t="s">
        <v>2237</v>
      </c>
      <c r="P710" s="12" t="s">
        <v>2236</v>
      </c>
      <c r="Q710" s="10" t="s">
        <v>2236</v>
      </c>
      <c r="R710" s="10" t="s">
        <v>2236</v>
      </c>
      <c r="S710" s="10" t="s">
        <v>2236</v>
      </c>
      <c r="T710" s="10" t="s">
        <v>2236</v>
      </c>
      <c r="U7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1" spans="1:31" hidden="1" x14ac:dyDescent="0.3">
      <c r="A711" s="12" t="s">
        <v>2459</v>
      </c>
      <c r="B711" s="12" t="s">
        <v>2371</v>
      </c>
      <c r="C711" s="12" t="s">
        <v>3166</v>
      </c>
      <c r="D711" s="12" t="s">
        <v>3167</v>
      </c>
      <c r="E711" s="12" t="s">
        <v>2236</v>
      </c>
      <c r="F711" s="8">
        <v>0</v>
      </c>
      <c r="G711" s="12" t="s">
        <v>2237</v>
      </c>
      <c r="H711" s="12">
        <v>0</v>
      </c>
      <c r="I711" s="12" t="s">
        <v>2237</v>
      </c>
      <c r="J711" s="12">
        <v>0</v>
      </c>
      <c r="K711" s="12" t="s">
        <v>2237</v>
      </c>
      <c r="L711" s="12">
        <v>0</v>
      </c>
      <c r="M711" s="12" t="s">
        <v>2237</v>
      </c>
      <c r="N711" s="8">
        <v>0</v>
      </c>
      <c r="O711" s="12" t="s">
        <v>2237</v>
      </c>
      <c r="P711" s="12" t="s">
        <v>2236</v>
      </c>
      <c r="Q711" s="10" t="s">
        <v>2236</v>
      </c>
      <c r="R711" s="10" t="s">
        <v>2236</v>
      </c>
      <c r="S711" s="10" t="s">
        <v>2236</v>
      </c>
      <c r="T711" s="10" t="s">
        <v>2236</v>
      </c>
      <c r="U7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2" spans="1:31" hidden="1" x14ac:dyDescent="0.3">
      <c r="A712" s="12" t="s">
        <v>2460</v>
      </c>
      <c r="B712" s="12" t="s">
        <v>2371</v>
      </c>
      <c r="C712" s="12" t="s">
        <v>3168</v>
      </c>
      <c r="D712" s="12" t="s">
        <v>3169</v>
      </c>
      <c r="E712" s="12" t="s">
        <v>2236</v>
      </c>
      <c r="F712" s="8">
        <v>0</v>
      </c>
      <c r="G712" s="12" t="s">
        <v>2237</v>
      </c>
      <c r="H712" s="12">
        <v>0</v>
      </c>
      <c r="I712" s="12" t="s">
        <v>2237</v>
      </c>
      <c r="J712" s="12">
        <v>0</v>
      </c>
      <c r="K712" s="12" t="s">
        <v>2237</v>
      </c>
      <c r="L712" s="12">
        <v>0</v>
      </c>
      <c r="M712" s="12" t="s">
        <v>2237</v>
      </c>
      <c r="N712" s="8">
        <v>0</v>
      </c>
      <c r="O712" s="12" t="s">
        <v>2237</v>
      </c>
      <c r="P712" s="12" t="s">
        <v>2236</v>
      </c>
      <c r="Q712" s="10" t="s">
        <v>2236</v>
      </c>
      <c r="R712" s="10" t="s">
        <v>2236</v>
      </c>
      <c r="S712" s="10" t="s">
        <v>2236</v>
      </c>
      <c r="T712" s="10" t="s">
        <v>2236</v>
      </c>
      <c r="U7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3" spans="1:31" hidden="1" x14ac:dyDescent="0.3">
      <c r="A713" s="12" t="s">
        <v>2461</v>
      </c>
      <c r="B713" s="12" t="s">
        <v>2371</v>
      </c>
      <c r="C713" s="12" t="s">
        <v>3170</v>
      </c>
      <c r="D713" s="12" t="s">
        <v>3171</v>
      </c>
      <c r="E713" s="12" t="s">
        <v>2236</v>
      </c>
      <c r="F713" s="8">
        <v>0</v>
      </c>
      <c r="G713" s="12" t="s">
        <v>2237</v>
      </c>
      <c r="H713" s="12">
        <v>0</v>
      </c>
      <c r="I713" s="12" t="s">
        <v>2237</v>
      </c>
      <c r="J713" s="12">
        <v>0</v>
      </c>
      <c r="K713" s="12" t="s">
        <v>2237</v>
      </c>
      <c r="L713" s="12">
        <v>0</v>
      </c>
      <c r="M713" s="12" t="s">
        <v>2237</v>
      </c>
      <c r="N713" s="8">
        <v>0</v>
      </c>
      <c r="O713" s="12" t="s">
        <v>2237</v>
      </c>
      <c r="P713" s="12" t="s">
        <v>2236</v>
      </c>
      <c r="Q713" s="10" t="s">
        <v>2236</v>
      </c>
      <c r="R713" s="10" t="s">
        <v>2236</v>
      </c>
      <c r="S713" s="10" t="s">
        <v>2236</v>
      </c>
      <c r="T713" s="10" t="s">
        <v>2236</v>
      </c>
      <c r="U7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4" spans="1:31" hidden="1" x14ac:dyDescent="0.3">
      <c r="A714" s="12" t="s">
        <v>2462</v>
      </c>
      <c r="B714" s="12" t="s">
        <v>2371</v>
      </c>
      <c r="C714" s="12" t="s">
        <v>3172</v>
      </c>
      <c r="D714" s="12" t="s">
        <v>3173</v>
      </c>
      <c r="E714" s="12" t="s">
        <v>2236</v>
      </c>
      <c r="F714" s="8">
        <v>0</v>
      </c>
      <c r="G714" s="12" t="s">
        <v>2237</v>
      </c>
      <c r="H714" s="12">
        <v>0</v>
      </c>
      <c r="I714" s="12" t="s">
        <v>2237</v>
      </c>
      <c r="J714" s="12">
        <v>0</v>
      </c>
      <c r="K714" s="12" t="s">
        <v>2237</v>
      </c>
      <c r="L714" s="12">
        <v>0</v>
      </c>
      <c r="M714" s="12" t="s">
        <v>2237</v>
      </c>
      <c r="N714" s="8">
        <v>0</v>
      </c>
      <c r="O714" s="12" t="s">
        <v>2237</v>
      </c>
      <c r="P714" s="12" t="s">
        <v>2236</v>
      </c>
      <c r="Q714" s="10" t="s">
        <v>2236</v>
      </c>
      <c r="R714" s="10" t="s">
        <v>2236</v>
      </c>
      <c r="S714" s="10" t="s">
        <v>2236</v>
      </c>
      <c r="T714" s="10" t="s">
        <v>2236</v>
      </c>
      <c r="U7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5" spans="1:31" hidden="1" x14ac:dyDescent="0.3">
      <c r="A715" s="12" t="s">
        <v>2463</v>
      </c>
      <c r="B715" s="12" t="s">
        <v>2371</v>
      </c>
      <c r="C715" s="12" t="s">
        <v>3174</v>
      </c>
      <c r="D715" s="12" t="s">
        <v>3175</v>
      </c>
      <c r="E715" s="12" t="s">
        <v>2236</v>
      </c>
      <c r="F715" s="8">
        <v>0</v>
      </c>
      <c r="G715" s="12" t="s">
        <v>2237</v>
      </c>
      <c r="H715" s="12">
        <v>0</v>
      </c>
      <c r="I715" s="12" t="s">
        <v>2237</v>
      </c>
      <c r="J715" s="12">
        <v>0</v>
      </c>
      <c r="K715" s="12" t="s">
        <v>2237</v>
      </c>
      <c r="L715" s="12">
        <v>0</v>
      </c>
      <c r="M715" s="12" t="s">
        <v>2237</v>
      </c>
      <c r="N715" s="8">
        <v>0</v>
      </c>
      <c r="O715" s="12" t="s">
        <v>2237</v>
      </c>
      <c r="P715" s="12" t="s">
        <v>2236</v>
      </c>
      <c r="Q715" s="10" t="s">
        <v>2236</v>
      </c>
      <c r="R715" s="10" t="s">
        <v>2236</v>
      </c>
      <c r="S715" s="10" t="s">
        <v>2236</v>
      </c>
      <c r="T715" s="10" t="s">
        <v>2236</v>
      </c>
      <c r="U7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6" spans="1:31" hidden="1" x14ac:dyDescent="0.3">
      <c r="A716" s="12" t="s">
        <v>2464</v>
      </c>
      <c r="B716" s="12" t="s">
        <v>2371</v>
      </c>
      <c r="C716" s="12" t="s">
        <v>3176</v>
      </c>
      <c r="D716" s="12" t="s">
        <v>3177</v>
      </c>
      <c r="E716" s="12" t="s">
        <v>2236</v>
      </c>
      <c r="F716" s="8">
        <v>0</v>
      </c>
      <c r="G716" s="12" t="s">
        <v>2237</v>
      </c>
      <c r="H716" s="12">
        <v>0</v>
      </c>
      <c r="I716" s="12" t="s">
        <v>2237</v>
      </c>
      <c r="J716" s="12">
        <v>0</v>
      </c>
      <c r="K716" s="12" t="s">
        <v>2237</v>
      </c>
      <c r="L716" s="12">
        <v>0</v>
      </c>
      <c r="M716" s="12" t="s">
        <v>2237</v>
      </c>
      <c r="N716" s="8">
        <v>0</v>
      </c>
      <c r="O716" s="12" t="s">
        <v>2237</v>
      </c>
      <c r="P716" s="12" t="s">
        <v>2236</v>
      </c>
      <c r="Q716" s="10" t="s">
        <v>2236</v>
      </c>
      <c r="R716" s="10" t="s">
        <v>2236</v>
      </c>
      <c r="S716" s="10" t="s">
        <v>2236</v>
      </c>
      <c r="T716" s="10" t="s">
        <v>2236</v>
      </c>
      <c r="U7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7" spans="1:31" hidden="1" x14ac:dyDescent="0.3">
      <c r="A717" s="12" t="s">
        <v>2465</v>
      </c>
      <c r="B717" s="12" t="s">
        <v>2371</v>
      </c>
      <c r="C717" s="12" t="s">
        <v>3178</v>
      </c>
      <c r="D717" s="12" t="s">
        <v>3179</v>
      </c>
      <c r="E717" s="12" t="s">
        <v>2236</v>
      </c>
      <c r="F717" s="8">
        <v>0</v>
      </c>
      <c r="G717" s="12" t="s">
        <v>2237</v>
      </c>
      <c r="H717" s="12">
        <v>0</v>
      </c>
      <c r="I717" s="12" t="s">
        <v>2237</v>
      </c>
      <c r="J717" s="12">
        <v>0</v>
      </c>
      <c r="K717" s="12" t="s">
        <v>2237</v>
      </c>
      <c r="L717" s="12">
        <v>0</v>
      </c>
      <c r="M717" s="12" t="s">
        <v>2237</v>
      </c>
      <c r="N717" s="8">
        <v>0</v>
      </c>
      <c r="O717" s="12" t="s">
        <v>2237</v>
      </c>
      <c r="P717" s="12" t="s">
        <v>2236</v>
      </c>
      <c r="Q717" s="10" t="s">
        <v>2236</v>
      </c>
      <c r="R717" s="10" t="s">
        <v>2236</v>
      </c>
      <c r="S717" s="10" t="s">
        <v>2236</v>
      </c>
      <c r="T717" s="10" t="s">
        <v>2236</v>
      </c>
      <c r="U7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8" spans="1:31" hidden="1" x14ac:dyDescent="0.3">
      <c r="A718" s="12" t="s">
        <v>2466</v>
      </c>
      <c r="B718" s="12" t="s">
        <v>2371</v>
      </c>
      <c r="C718" s="12" t="s">
        <v>3180</v>
      </c>
      <c r="D718" s="12" t="s">
        <v>3181</v>
      </c>
      <c r="E718" s="12" t="s">
        <v>2236</v>
      </c>
      <c r="F718" s="8">
        <v>0</v>
      </c>
      <c r="G718" s="12" t="s">
        <v>2237</v>
      </c>
      <c r="H718" s="12">
        <v>0</v>
      </c>
      <c r="I718" s="12" t="s">
        <v>2237</v>
      </c>
      <c r="J718" s="12">
        <v>0</v>
      </c>
      <c r="K718" s="12" t="s">
        <v>2237</v>
      </c>
      <c r="L718" s="12">
        <v>0</v>
      </c>
      <c r="M718" s="12" t="s">
        <v>2237</v>
      </c>
      <c r="N718" s="8">
        <v>0</v>
      </c>
      <c r="O718" s="12" t="s">
        <v>2237</v>
      </c>
      <c r="P718" s="12" t="s">
        <v>2236</v>
      </c>
      <c r="Q718" s="10" t="s">
        <v>2236</v>
      </c>
      <c r="R718" s="10" t="s">
        <v>2236</v>
      </c>
      <c r="S718" s="10" t="s">
        <v>2236</v>
      </c>
      <c r="T718" s="10" t="s">
        <v>2236</v>
      </c>
      <c r="U7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19" spans="1:31" hidden="1" x14ac:dyDescent="0.3">
      <c r="A719" s="12" t="s">
        <v>2467</v>
      </c>
      <c r="B719" s="12" t="s">
        <v>2371</v>
      </c>
      <c r="C719" s="12" t="s">
        <v>3182</v>
      </c>
      <c r="D719" s="12" t="s">
        <v>3183</v>
      </c>
      <c r="E719" s="12" t="s">
        <v>2236</v>
      </c>
      <c r="F719" s="8">
        <v>0</v>
      </c>
      <c r="G719" s="12" t="s">
        <v>2237</v>
      </c>
      <c r="H719" s="12">
        <v>0</v>
      </c>
      <c r="I719" s="12" t="s">
        <v>2237</v>
      </c>
      <c r="J719" s="12">
        <v>0</v>
      </c>
      <c r="K719" s="12" t="s">
        <v>2237</v>
      </c>
      <c r="L719" s="12">
        <v>0</v>
      </c>
      <c r="M719" s="12" t="s">
        <v>2237</v>
      </c>
      <c r="N719" s="8">
        <v>0</v>
      </c>
      <c r="O719" s="12" t="s">
        <v>2237</v>
      </c>
      <c r="P719" s="12" t="s">
        <v>2236</v>
      </c>
      <c r="Q719" s="10" t="s">
        <v>2236</v>
      </c>
      <c r="R719" s="10" t="s">
        <v>2236</v>
      </c>
      <c r="S719" s="10" t="s">
        <v>2236</v>
      </c>
      <c r="T719" s="10" t="s">
        <v>2236</v>
      </c>
      <c r="U7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0" spans="1:31" hidden="1" x14ac:dyDescent="0.3">
      <c r="A720" s="12" t="s">
        <v>2468</v>
      </c>
      <c r="B720" s="12" t="s">
        <v>2371</v>
      </c>
      <c r="C720" s="12" t="s">
        <v>3184</v>
      </c>
      <c r="D720" s="12" t="s">
        <v>3185</v>
      </c>
      <c r="E720" s="12" t="s">
        <v>2236</v>
      </c>
      <c r="F720" s="8">
        <v>0</v>
      </c>
      <c r="G720" s="12" t="s">
        <v>2237</v>
      </c>
      <c r="H720" s="12">
        <v>0</v>
      </c>
      <c r="I720" s="12" t="s">
        <v>2237</v>
      </c>
      <c r="J720" s="12">
        <v>0</v>
      </c>
      <c r="K720" s="12" t="s">
        <v>2237</v>
      </c>
      <c r="L720" s="12">
        <v>0</v>
      </c>
      <c r="M720" s="12" t="s">
        <v>2237</v>
      </c>
      <c r="N720" s="8">
        <v>0</v>
      </c>
      <c r="O720" s="12" t="s">
        <v>2237</v>
      </c>
      <c r="P720" s="12" t="s">
        <v>2236</v>
      </c>
      <c r="Q720" s="10" t="s">
        <v>2236</v>
      </c>
      <c r="R720" s="10" t="s">
        <v>2236</v>
      </c>
      <c r="S720" s="10" t="s">
        <v>2236</v>
      </c>
      <c r="T720" s="10" t="s">
        <v>2236</v>
      </c>
      <c r="U7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1" spans="1:31" hidden="1" x14ac:dyDescent="0.3">
      <c r="A721" s="12" t="s">
        <v>2469</v>
      </c>
      <c r="B721" s="12" t="s">
        <v>2371</v>
      </c>
      <c r="C721" s="12" t="s">
        <v>3186</v>
      </c>
      <c r="D721" s="12" t="s">
        <v>3187</v>
      </c>
      <c r="E721" s="12" t="s">
        <v>2236</v>
      </c>
      <c r="F721" s="8">
        <v>0</v>
      </c>
      <c r="G721" s="12" t="s">
        <v>2237</v>
      </c>
      <c r="H721" s="12">
        <v>0</v>
      </c>
      <c r="I721" s="12" t="s">
        <v>2237</v>
      </c>
      <c r="J721" s="12">
        <v>0</v>
      </c>
      <c r="K721" s="12" t="s">
        <v>2237</v>
      </c>
      <c r="L721" s="12">
        <v>0</v>
      </c>
      <c r="M721" s="12" t="s">
        <v>2237</v>
      </c>
      <c r="N721" s="8">
        <v>0</v>
      </c>
      <c r="O721" s="12" t="s">
        <v>2237</v>
      </c>
      <c r="P721" s="12" t="s">
        <v>2236</v>
      </c>
      <c r="Q721" s="10" t="s">
        <v>2236</v>
      </c>
      <c r="R721" s="10" t="s">
        <v>2236</v>
      </c>
      <c r="S721" s="10" t="s">
        <v>2236</v>
      </c>
      <c r="T721" s="10" t="s">
        <v>2236</v>
      </c>
      <c r="U7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2" spans="1:31" hidden="1" x14ac:dyDescent="0.3">
      <c r="A722" s="12" t="s">
        <v>2470</v>
      </c>
      <c r="B722" s="12" t="s">
        <v>2371</v>
      </c>
      <c r="C722" s="12" t="s">
        <v>3188</v>
      </c>
      <c r="D722" s="12" t="s">
        <v>3189</v>
      </c>
      <c r="E722" s="12" t="s">
        <v>2236</v>
      </c>
      <c r="F722" s="8">
        <v>0</v>
      </c>
      <c r="G722" s="12" t="s">
        <v>2237</v>
      </c>
      <c r="H722" s="12">
        <v>0</v>
      </c>
      <c r="I722" s="12" t="s">
        <v>2237</v>
      </c>
      <c r="J722" s="12">
        <v>0</v>
      </c>
      <c r="K722" s="12" t="s">
        <v>2237</v>
      </c>
      <c r="L722" s="12">
        <v>0</v>
      </c>
      <c r="M722" s="12" t="s">
        <v>2237</v>
      </c>
      <c r="N722" s="8">
        <v>0</v>
      </c>
      <c r="O722" s="12" t="s">
        <v>2237</v>
      </c>
      <c r="P722" s="12" t="s">
        <v>2236</v>
      </c>
      <c r="Q722" s="10" t="s">
        <v>2236</v>
      </c>
      <c r="R722" s="10" t="s">
        <v>2236</v>
      </c>
      <c r="S722" s="10" t="s">
        <v>2236</v>
      </c>
      <c r="T722" s="10" t="s">
        <v>2236</v>
      </c>
      <c r="U7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3" spans="1:31" hidden="1" x14ac:dyDescent="0.3">
      <c r="A723" s="12" t="s">
        <v>2471</v>
      </c>
      <c r="B723" s="12" t="s">
        <v>2371</v>
      </c>
      <c r="C723" s="12" t="s">
        <v>3190</v>
      </c>
      <c r="D723" s="12" t="s">
        <v>3191</v>
      </c>
      <c r="E723" s="12" t="s">
        <v>2236</v>
      </c>
      <c r="F723" s="8">
        <v>0</v>
      </c>
      <c r="G723" s="12" t="s">
        <v>2237</v>
      </c>
      <c r="H723" s="12">
        <v>0</v>
      </c>
      <c r="I723" s="12" t="s">
        <v>2237</v>
      </c>
      <c r="J723" s="12">
        <v>0</v>
      </c>
      <c r="K723" s="12" t="s">
        <v>2237</v>
      </c>
      <c r="L723" s="12">
        <v>0</v>
      </c>
      <c r="M723" s="12" t="s">
        <v>2237</v>
      </c>
      <c r="N723" s="8">
        <v>0</v>
      </c>
      <c r="O723" s="12" t="s">
        <v>2237</v>
      </c>
      <c r="P723" s="12" t="s">
        <v>2236</v>
      </c>
      <c r="Q723" s="10" t="s">
        <v>2236</v>
      </c>
      <c r="R723" s="10" t="s">
        <v>2236</v>
      </c>
      <c r="S723" s="10" t="s">
        <v>2236</v>
      </c>
      <c r="T723" s="10" t="s">
        <v>2236</v>
      </c>
      <c r="U7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4" spans="1:31" hidden="1" x14ac:dyDescent="0.3">
      <c r="A724" s="12" t="s">
        <v>2472</v>
      </c>
      <c r="B724" s="12" t="s">
        <v>2371</v>
      </c>
      <c r="C724" s="12" t="s">
        <v>3192</v>
      </c>
      <c r="D724" s="12" t="s">
        <v>3193</v>
      </c>
      <c r="E724" s="12" t="s">
        <v>2236</v>
      </c>
      <c r="F724" s="8">
        <v>0</v>
      </c>
      <c r="G724" s="12" t="s">
        <v>2237</v>
      </c>
      <c r="H724" s="12">
        <v>0</v>
      </c>
      <c r="I724" s="12" t="s">
        <v>2237</v>
      </c>
      <c r="J724" s="12">
        <v>0</v>
      </c>
      <c r="K724" s="12" t="s">
        <v>2237</v>
      </c>
      <c r="L724" s="12">
        <v>0</v>
      </c>
      <c r="M724" s="12" t="s">
        <v>2237</v>
      </c>
      <c r="N724" s="8">
        <v>0</v>
      </c>
      <c r="O724" s="12" t="s">
        <v>2237</v>
      </c>
      <c r="P724" s="12" t="s">
        <v>2236</v>
      </c>
      <c r="Q724" s="10" t="s">
        <v>2236</v>
      </c>
      <c r="R724" s="10" t="s">
        <v>2236</v>
      </c>
      <c r="S724" s="10" t="s">
        <v>2236</v>
      </c>
      <c r="T724" s="10" t="s">
        <v>2236</v>
      </c>
      <c r="U7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5" spans="1:31" hidden="1" x14ac:dyDescent="0.3">
      <c r="A725" s="12" t="s">
        <v>2474</v>
      </c>
      <c r="B725" s="12" t="s">
        <v>2366</v>
      </c>
      <c r="C725" s="12" t="s">
        <v>3194</v>
      </c>
      <c r="D725" s="12" t="s">
        <v>3195</v>
      </c>
      <c r="E725" s="12" t="s">
        <v>2236</v>
      </c>
      <c r="F725" s="8">
        <v>0</v>
      </c>
      <c r="G725" s="12" t="s">
        <v>2237</v>
      </c>
      <c r="H725" s="12">
        <v>0</v>
      </c>
      <c r="I725" s="12" t="s">
        <v>2237</v>
      </c>
      <c r="J725" s="12">
        <v>0</v>
      </c>
      <c r="K725" s="12" t="s">
        <v>2237</v>
      </c>
      <c r="L725" s="12">
        <v>0</v>
      </c>
      <c r="M725" s="12" t="s">
        <v>2237</v>
      </c>
      <c r="N725" s="8">
        <v>5702.26</v>
      </c>
      <c r="O725" s="12" t="s">
        <v>2237</v>
      </c>
      <c r="P725" s="12" t="s">
        <v>2236</v>
      </c>
      <c r="Q725" s="10" t="s">
        <v>2236</v>
      </c>
      <c r="R725" s="10" t="s">
        <v>2236</v>
      </c>
      <c r="S725" s="10" t="s">
        <v>2236</v>
      </c>
      <c r="T725" s="10" t="s">
        <v>3196</v>
      </c>
      <c r="U7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6" spans="1:31" hidden="1" x14ac:dyDescent="0.3">
      <c r="A726" s="12" t="s">
        <v>2476</v>
      </c>
      <c r="B726" s="12" t="s">
        <v>2371</v>
      </c>
      <c r="C726" s="12" t="s">
        <v>3197</v>
      </c>
      <c r="D726" s="12" t="s">
        <v>3198</v>
      </c>
      <c r="E726" s="12" t="s">
        <v>2236</v>
      </c>
      <c r="F726" s="8">
        <v>0</v>
      </c>
      <c r="G726" s="12" t="s">
        <v>2237</v>
      </c>
      <c r="H726" s="12">
        <v>0</v>
      </c>
      <c r="I726" s="12" t="s">
        <v>2237</v>
      </c>
      <c r="J726" s="12">
        <v>0</v>
      </c>
      <c r="K726" s="12" t="s">
        <v>2237</v>
      </c>
      <c r="L726" s="12">
        <v>0</v>
      </c>
      <c r="M726" s="12" t="s">
        <v>2237</v>
      </c>
      <c r="N726" s="8">
        <v>0</v>
      </c>
      <c r="O726" s="12" t="s">
        <v>2237</v>
      </c>
      <c r="P726" s="12" t="s">
        <v>2236</v>
      </c>
      <c r="Q726" s="10" t="s">
        <v>2236</v>
      </c>
      <c r="R726" s="10" t="s">
        <v>2236</v>
      </c>
      <c r="S726" s="10" t="s">
        <v>2236</v>
      </c>
      <c r="T726" s="10" t="s">
        <v>2236</v>
      </c>
      <c r="U7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7" spans="1:31" hidden="1" x14ac:dyDescent="0.3">
      <c r="A727" s="12" t="s">
        <v>2478</v>
      </c>
      <c r="B727" s="12" t="s">
        <v>2371</v>
      </c>
      <c r="C727" s="12" t="s">
        <v>3199</v>
      </c>
      <c r="D727" s="12" t="s">
        <v>3200</v>
      </c>
      <c r="E727" s="12" t="s">
        <v>2236</v>
      </c>
      <c r="F727" s="8">
        <v>0</v>
      </c>
      <c r="G727" s="12" t="s">
        <v>2237</v>
      </c>
      <c r="H727" s="12">
        <v>0</v>
      </c>
      <c r="I727" s="12" t="s">
        <v>2237</v>
      </c>
      <c r="J727" s="12">
        <v>0</v>
      </c>
      <c r="K727" s="12" t="s">
        <v>2237</v>
      </c>
      <c r="L727" s="12">
        <v>0</v>
      </c>
      <c r="M727" s="12" t="s">
        <v>2237</v>
      </c>
      <c r="N727" s="8">
        <v>0</v>
      </c>
      <c r="O727" s="12" t="s">
        <v>2237</v>
      </c>
      <c r="P727" s="12" t="s">
        <v>2236</v>
      </c>
      <c r="Q727" s="10" t="s">
        <v>2236</v>
      </c>
      <c r="R727" s="10" t="s">
        <v>2236</v>
      </c>
      <c r="S727" s="10" t="s">
        <v>2236</v>
      </c>
      <c r="T727" s="10" t="s">
        <v>2236</v>
      </c>
      <c r="U7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8" spans="1:31" hidden="1" x14ac:dyDescent="0.3">
      <c r="A728" s="12" t="s">
        <v>2480</v>
      </c>
      <c r="B728" s="12" t="s">
        <v>2371</v>
      </c>
      <c r="C728" s="12" t="s">
        <v>2902</v>
      </c>
      <c r="D728" s="12" t="s">
        <v>3201</v>
      </c>
      <c r="E728" s="12" t="s">
        <v>2236</v>
      </c>
      <c r="F728" s="8">
        <v>0</v>
      </c>
      <c r="G728" s="12" t="s">
        <v>2237</v>
      </c>
      <c r="H728" s="12">
        <v>0</v>
      </c>
      <c r="I728" s="12" t="s">
        <v>2237</v>
      </c>
      <c r="J728" s="12">
        <v>0</v>
      </c>
      <c r="K728" s="12" t="s">
        <v>2237</v>
      </c>
      <c r="L728" s="12">
        <v>0</v>
      </c>
      <c r="M728" s="12" t="s">
        <v>2237</v>
      </c>
      <c r="N728" s="8">
        <v>0</v>
      </c>
      <c r="O728" s="12" t="s">
        <v>2237</v>
      </c>
      <c r="P728" s="12" t="s">
        <v>2236</v>
      </c>
      <c r="Q728" s="10" t="s">
        <v>2236</v>
      </c>
      <c r="R728" s="10" t="s">
        <v>2236</v>
      </c>
      <c r="S728" s="10" t="s">
        <v>2236</v>
      </c>
      <c r="T728" s="10" t="s">
        <v>2236</v>
      </c>
      <c r="U7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29" spans="1:31" hidden="1" x14ac:dyDescent="0.3">
      <c r="A729" s="12" t="s">
        <v>2482</v>
      </c>
      <c r="B729" s="12" t="s">
        <v>2371</v>
      </c>
      <c r="C729" s="12" t="s">
        <v>3202</v>
      </c>
      <c r="D729" s="12" t="s">
        <v>3203</v>
      </c>
      <c r="E729" s="12" t="s">
        <v>2236</v>
      </c>
      <c r="F729" s="8">
        <v>0</v>
      </c>
      <c r="G729" s="12" t="s">
        <v>2237</v>
      </c>
      <c r="H729" s="12">
        <v>0</v>
      </c>
      <c r="I729" s="12" t="s">
        <v>2237</v>
      </c>
      <c r="J729" s="12">
        <v>0</v>
      </c>
      <c r="K729" s="12" t="s">
        <v>2237</v>
      </c>
      <c r="L729" s="12">
        <v>0</v>
      </c>
      <c r="M729" s="12" t="s">
        <v>2237</v>
      </c>
      <c r="N729" s="8">
        <v>0</v>
      </c>
      <c r="O729" s="12" t="s">
        <v>2237</v>
      </c>
      <c r="P729" s="12" t="s">
        <v>2236</v>
      </c>
      <c r="Q729" s="10" t="s">
        <v>2236</v>
      </c>
      <c r="R729" s="10" t="s">
        <v>2236</v>
      </c>
      <c r="S729" s="10" t="s">
        <v>2236</v>
      </c>
      <c r="T729" s="10" t="s">
        <v>2236</v>
      </c>
      <c r="U7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0" spans="1:31" hidden="1" x14ac:dyDescent="0.3">
      <c r="A730" s="12" t="s">
        <v>2484</v>
      </c>
      <c r="B730" s="12" t="s">
        <v>2371</v>
      </c>
      <c r="C730" s="12" t="s">
        <v>3204</v>
      </c>
      <c r="D730" s="12" t="s">
        <v>3205</v>
      </c>
      <c r="E730" s="12" t="s">
        <v>2236</v>
      </c>
      <c r="F730" s="8">
        <v>0</v>
      </c>
      <c r="G730" s="12" t="s">
        <v>2237</v>
      </c>
      <c r="H730" s="12">
        <v>0</v>
      </c>
      <c r="I730" s="12" t="s">
        <v>2237</v>
      </c>
      <c r="J730" s="12">
        <v>0</v>
      </c>
      <c r="K730" s="12" t="s">
        <v>2237</v>
      </c>
      <c r="L730" s="12">
        <v>0</v>
      </c>
      <c r="M730" s="12" t="s">
        <v>2237</v>
      </c>
      <c r="N730" s="8">
        <v>0</v>
      </c>
      <c r="O730" s="12" t="s">
        <v>2237</v>
      </c>
      <c r="P730" s="12" t="s">
        <v>2236</v>
      </c>
      <c r="Q730" s="10" t="s">
        <v>2236</v>
      </c>
      <c r="R730" s="10" t="s">
        <v>2236</v>
      </c>
      <c r="S730" s="10" t="s">
        <v>2236</v>
      </c>
      <c r="T730" s="10" t="s">
        <v>2236</v>
      </c>
      <c r="U7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1" spans="1:31" hidden="1" x14ac:dyDescent="0.3">
      <c r="A731" s="12" t="s">
        <v>2486</v>
      </c>
      <c r="B731" s="12" t="s">
        <v>2371</v>
      </c>
      <c r="C731" s="12" t="s">
        <v>3206</v>
      </c>
      <c r="D731" s="12" t="s">
        <v>3207</v>
      </c>
      <c r="E731" s="12" t="s">
        <v>2236</v>
      </c>
      <c r="F731" s="8">
        <v>0</v>
      </c>
      <c r="G731" s="12" t="s">
        <v>2237</v>
      </c>
      <c r="H731" s="12">
        <v>0</v>
      </c>
      <c r="I731" s="12" t="s">
        <v>2237</v>
      </c>
      <c r="J731" s="12">
        <v>0</v>
      </c>
      <c r="K731" s="12" t="s">
        <v>2237</v>
      </c>
      <c r="L731" s="12">
        <v>0</v>
      </c>
      <c r="M731" s="12" t="s">
        <v>2237</v>
      </c>
      <c r="N731" s="8">
        <v>0</v>
      </c>
      <c r="O731" s="12" t="s">
        <v>2237</v>
      </c>
      <c r="P731" s="12" t="s">
        <v>2236</v>
      </c>
      <c r="Q731" s="10" t="s">
        <v>2236</v>
      </c>
      <c r="R731" s="10" t="s">
        <v>2236</v>
      </c>
      <c r="S731" s="10" t="s">
        <v>2236</v>
      </c>
      <c r="T731" s="10" t="s">
        <v>2236</v>
      </c>
      <c r="U7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2" spans="1:31" hidden="1" x14ac:dyDescent="0.3">
      <c r="A732" s="12" t="s">
        <v>2488</v>
      </c>
      <c r="B732" s="12" t="s">
        <v>2371</v>
      </c>
      <c r="C732" s="12" t="s">
        <v>2902</v>
      </c>
      <c r="D732" s="12" t="s">
        <v>3208</v>
      </c>
      <c r="E732" s="12" t="s">
        <v>2236</v>
      </c>
      <c r="F732" s="8">
        <v>0</v>
      </c>
      <c r="G732" s="12" t="s">
        <v>2237</v>
      </c>
      <c r="H732" s="12">
        <v>0</v>
      </c>
      <c r="I732" s="12" t="s">
        <v>2237</v>
      </c>
      <c r="J732" s="12">
        <v>0</v>
      </c>
      <c r="K732" s="12" t="s">
        <v>2237</v>
      </c>
      <c r="L732" s="12">
        <v>0</v>
      </c>
      <c r="M732" s="12" t="s">
        <v>2237</v>
      </c>
      <c r="N732" s="8">
        <v>0</v>
      </c>
      <c r="O732" s="12" t="s">
        <v>2237</v>
      </c>
      <c r="P732" s="12" t="s">
        <v>2236</v>
      </c>
      <c r="Q732" s="10" t="s">
        <v>2236</v>
      </c>
      <c r="R732" s="10" t="s">
        <v>2236</v>
      </c>
      <c r="S732" s="10" t="s">
        <v>2236</v>
      </c>
      <c r="T732" s="10" t="s">
        <v>2236</v>
      </c>
      <c r="U7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3" spans="1:31" hidden="1" x14ac:dyDescent="0.3">
      <c r="A733" s="12" t="s">
        <v>2490</v>
      </c>
      <c r="B733" s="12" t="s">
        <v>2371</v>
      </c>
      <c r="C733" s="12" t="s">
        <v>3209</v>
      </c>
      <c r="D733" s="12" t="s">
        <v>3210</v>
      </c>
      <c r="E733" s="12" t="s">
        <v>2236</v>
      </c>
      <c r="F733" s="8">
        <v>0</v>
      </c>
      <c r="G733" s="12" t="s">
        <v>2237</v>
      </c>
      <c r="H733" s="12">
        <v>0</v>
      </c>
      <c r="I733" s="12" t="s">
        <v>2237</v>
      </c>
      <c r="J733" s="12">
        <v>0</v>
      </c>
      <c r="K733" s="12" t="s">
        <v>2237</v>
      </c>
      <c r="L733" s="12">
        <v>0</v>
      </c>
      <c r="M733" s="12" t="s">
        <v>2237</v>
      </c>
      <c r="N733" s="8">
        <v>0</v>
      </c>
      <c r="O733" s="12" t="s">
        <v>2237</v>
      </c>
      <c r="P733" s="12" t="s">
        <v>2236</v>
      </c>
      <c r="Q733" s="10" t="s">
        <v>2236</v>
      </c>
      <c r="R733" s="10" t="s">
        <v>2236</v>
      </c>
      <c r="S733" s="10" t="s">
        <v>2236</v>
      </c>
      <c r="T733" s="10" t="s">
        <v>2236</v>
      </c>
      <c r="U7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4" spans="1:31" hidden="1" x14ac:dyDescent="0.3">
      <c r="A734" s="12" t="s">
        <v>2492</v>
      </c>
      <c r="B734" s="12" t="s">
        <v>2371</v>
      </c>
      <c r="C734" s="12" t="s">
        <v>3211</v>
      </c>
      <c r="D734" s="12" t="s">
        <v>3212</v>
      </c>
      <c r="E734" s="12" t="s">
        <v>2236</v>
      </c>
      <c r="F734" s="8">
        <v>0</v>
      </c>
      <c r="G734" s="12" t="s">
        <v>2237</v>
      </c>
      <c r="H734" s="12">
        <v>0</v>
      </c>
      <c r="I734" s="12" t="s">
        <v>2237</v>
      </c>
      <c r="J734" s="12">
        <v>0</v>
      </c>
      <c r="K734" s="12" t="s">
        <v>2237</v>
      </c>
      <c r="L734" s="12">
        <v>0</v>
      </c>
      <c r="M734" s="12" t="s">
        <v>2237</v>
      </c>
      <c r="N734" s="8">
        <v>0</v>
      </c>
      <c r="O734" s="12" t="s">
        <v>2237</v>
      </c>
      <c r="P734" s="12" t="s">
        <v>2236</v>
      </c>
      <c r="Q734" s="10" t="s">
        <v>2236</v>
      </c>
      <c r="R734" s="10" t="s">
        <v>2236</v>
      </c>
      <c r="S734" s="10" t="s">
        <v>2236</v>
      </c>
      <c r="T734" s="10" t="s">
        <v>2236</v>
      </c>
      <c r="U7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5" spans="1:31" hidden="1" x14ac:dyDescent="0.3">
      <c r="A735" s="12" t="s">
        <v>2494</v>
      </c>
      <c r="B735" s="12" t="s">
        <v>2371</v>
      </c>
      <c r="C735" s="12" t="s">
        <v>3213</v>
      </c>
      <c r="D735" s="12" t="s">
        <v>3214</v>
      </c>
      <c r="E735" s="12" t="s">
        <v>2236</v>
      </c>
      <c r="F735" s="8">
        <v>0</v>
      </c>
      <c r="G735" s="12" t="s">
        <v>2237</v>
      </c>
      <c r="H735" s="12">
        <v>0</v>
      </c>
      <c r="I735" s="12" t="s">
        <v>2237</v>
      </c>
      <c r="J735" s="12">
        <v>0</v>
      </c>
      <c r="K735" s="12" t="s">
        <v>2237</v>
      </c>
      <c r="L735" s="12">
        <v>0</v>
      </c>
      <c r="M735" s="12" t="s">
        <v>2237</v>
      </c>
      <c r="N735" s="8">
        <v>0</v>
      </c>
      <c r="O735" s="12" t="s">
        <v>2237</v>
      </c>
      <c r="P735" s="12" t="s">
        <v>2236</v>
      </c>
      <c r="Q735" s="10" t="s">
        <v>2236</v>
      </c>
      <c r="R735" s="10" t="s">
        <v>2236</v>
      </c>
      <c r="S735" s="10" t="s">
        <v>2236</v>
      </c>
      <c r="T735" s="10" t="s">
        <v>2236</v>
      </c>
      <c r="U7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6" spans="1:31" hidden="1" x14ac:dyDescent="0.3">
      <c r="A736" s="12" t="s">
        <v>2496</v>
      </c>
      <c r="B736" s="12" t="s">
        <v>2371</v>
      </c>
      <c r="C736" s="12" t="s">
        <v>3215</v>
      </c>
      <c r="D736" s="12" t="s">
        <v>3216</v>
      </c>
      <c r="E736" s="12" t="s">
        <v>2236</v>
      </c>
      <c r="F736" s="8">
        <v>0</v>
      </c>
      <c r="G736" s="12" t="s">
        <v>2237</v>
      </c>
      <c r="H736" s="12">
        <v>0</v>
      </c>
      <c r="I736" s="12" t="s">
        <v>2237</v>
      </c>
      <c r="J736" s="12">
        <v>0</v>
      </c>
      <c r="K736" s="12" t="s">
        <v>2237</v>
      </c>
      <c r="L736" s="12">
        <v>0</v>
      </c>
      <c r="M736" s="12" t="s">
        <v>2237</v>
      </c>
      <c r="N736" s="8">
        <v>0</v>
      </c>
      <c r="O736" s="12" t="s">
        <v>2237</v>
      </c>
      <c r="P736" s="12" t="s">
        <v>2236</v>
      </c>
      <c r="Q736" s="10" t="s">
        <v>2236</v>
      </c>
      <c r="R736" s="10" t="s">
        <v>2236</v>
      </c>
      <c r="S736" s="10" t="s">
        <v>2236</v>
      </c>
      <c r="T736" s="10" t="s">
        <v>2236</v>
      </c>
      <c r="U7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7" spans="1:31" hidden="1" x14ac:dyDescent="0.3">
      <c r="A737" s="12" t="s">
        <v>2498</v>
      </c>
      <c r="B737" s="12" t="s">
        <v>2371</v>
      </c>
      <c r="C737" s="12" t="s">
        <v>3217</v>
      </c>
      <c r="D737" s="12" t="s">
        <v>3218</v>
      </c>
      <c r="E737" s="12" t="s">
        <v>2236</v>
      </c>
      <c r="F737" s="8">
        <v>0</v>
      </c>
      <c r="G737" s="12" t="s">
        <v>2237</v>
      </c>
      <c r="H737" s="12">
        <v>0</v>
      </c>
      <c r="I737" s="12" t="s">
        <v>2237</v>
      </c>
      <c r="J737" s="12">
        <v>0</v>
      </c>
      <c r="K737" s="12" t="s">
        <v>2237</v>
      </c>
      <c r="L737" s="12">
        <v>0</v>
      </c>
      <c r="M737" s="12" t="s">
        <v>2237</v>
      </c>
      <c r="N737" s="8">
        <v>0</v>
      </c>
      <c r="O737" s="12" t="s">
        <v>2237</v>
      </c>
      <c r="P737" s="12" t="s">
        <v>2236</v>
      </c>
      <c r="Q737" s="10" t="s">
        <v>2236</v>
      </c>
      <c r="R737" s="10" t="s">
        <v>2236</v>
      </c>
      <c r="S737" s="10" t="s">
        <v>2236</v>
      </c>
      <c r="T737" s="10" t="s">
        <v>2236</v>
      </c>
      <c r="U7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8" spans="1:31" hidden="1" x14ac:dyDescent="0.3">
      <c r="A738" s="12" t="s">
        <v>2500</v>
      </c>
      <c r="B738" s="12" t="s">
        <v>2371</v>
      </c>
      <c r="C738" s="12" t="s">
        <v>3219</v>
      </c>
      <c r="D738" s="12" t="s">
        <v>3220</v>
      </c>
      <c r="E738" s="12" t="s">
        <v>2236</v>
      </c>
      <c r="F738" s="8">
        <v>0</v>
      </c>
      <c r="G738" s="12" t="s">
        <v>2237</v>
      </c>
      <c r="H738" s="12">
        <v>0</v>
      </c>
      <c r="I738" s="12" t="s">
        <v>2237</v>
      </c>
      <c r="J738" s="12">
        <v>0</v>
      </c>
      <c r="K738" s="12" t="s">
        <v>2237</v>
      </c>
      <c r="L738" s="12">
        <v>0</v>
      </c>
      <c r="M738" s="12" t="s">
        <v>2237</v>
      </c>
      <c r="N738" s="8">
        <v>0</v>
      </c>
      <c r="O738" s="12" t="s">
        <v>2237</v>
      </c>
      <c r="P738" s="12" t="s">
        <v>2236</v>
      </c>
      <c r="Q738" s="10" t="s">
        <v>2236</v>
      </c>
      <c r="R738" s="10" t="s">
        <v>2236</v>
      </c>
      <c r="S738" s="10" t="s">
        <v>2236</v>
      </c>
      <c r="T738" s="10" t="s">
        <v>2236</v>
      </c>
      <c r="U7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39" spans="1:31" hidden="1" x14ac:dyDescent="0.3">
      <c r="A739" s="12" t="s">
        <v>2502</v>
      </c>
      <c r="B739" s="12" t="s">
        <v>2371</v>
      </c>
      <c r="C739" s="12" t="s">
        <v>3221</v>
      </c>
      <c r="D739" s="12" t="s">
        <v>3222</v>
      </c>
      <c r="E739" s="12" t="s">
        <v>2236</v>
      </c>
      <c r="F739" s="8">
        <v>0</v>
      </c>
      <c r="G739" s="12" t="s">
        <v>2237</v>
      </c>
      <c r="H739" s="12">
        <v>0</v>
      </c>
      <c r="I739" s="12" t="s">
        <v>2237</v>
      </c>
      <c r="J739" s="12">
        <v>0</v>
      </c>
      <c r="K739" s="12" t="s">
        <v>2237</v>
      </c>
      <c r="L739" s="12">
        <v>0</v>
      </c>
      <c r="M739" s="12" t="s">
        <v>2237</v>
      </c>
      <c r="N739" s="8">
        <v>0</v>
      </c>
      <c r="O739" s="12" t="s">
        <v>2237</v>
      </c>
      <c r="P739" s="12" t="s">
        <v>2236</v>
      </c>
      <c r="Q739" s="10" t="s">
        <v>2236</v>
      </c>
      <c r="R739" s="10" t="s">
        <v>2236</v>
      </c>
      <c r="S739" s="10" t="s">
        <v>2236</v>
      </c>
      <c r="T739" s="10" t="s">
        <v>2236</v>
      </c>
      <c r="U7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0" spans="1:31" hidden="1" x14ac:dyDescent="0.3">
      <c r="A740" s="12" t="s">
        <v>2504</v>
      </c>
      <c r="B740" s="12" t="s">
        <v>2371</v>
      </c>
      <c r="C740" s="12" t="s">
        <v>3223</v>
      </c>
      <c r="D740" s="12" t="s">
        <v>3224</v>
      </c>
      <c r="E740" s="12" t="s">
        <v>2236</v>
      </c>
      <c r="F740" s="8">
        <v>0</v>
      </c>
      <c r="G740" s="12" t="s">
        <v>2237</v>
      </c>
      <c r="H740" s="12">
        <v>0</v>
      </c>
      <c r="I740" s="12" t="s">
        <v>2237</v>
      </c>
      <c r="J740" s="12">
        <v>0</v>
      </c>
      <c r="K740" s="12" t="s">
        <v>2237</v>
      </c>
      <c r="L740" s="12">
        <v>0</v>
      </c>
      <c r="M740" s="12" t="s">
        <v>2237</v>
      </c>
      <c r="N740" s="8">
        <v>0</v>
      </c>
      <c r="O740" s="12" t="s">
        <v>2237</v>
      </c>
      <c r="P740" s="12" t="s">
        <v>2236</v>
      </c>
      <c r="Q740" s="10" t="s">
        <v>2236</v>
      </c>
      <c r="R740" s="10" t="s">
        <v>2236</v>
      </c>
      <c r="S740" s="10" t="s">
        <v>2236</v>
      </c>
      <c r="T740" s="10" t="s">
        <v>2236</v>
      </c>
      <c r="U7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1" spans="1:31" hidden="1" x14ac:dyDescent="0.3">
      <c r="A741" s="12" t="s">
        <v>2506</v>
      </c>
      <c r="B741" s="12" t="s">
        <v>2371</v>
      </c>
      <c r="C741" s="12" t="s">
        <v>3225</v>
      </c>
      <c r="D741" s="12" t="s">
        <v>3226</v>
      </c>
      <c r="E741" s="12" t="s">
        <v>2236</v>
      </c>
      <c r="F741" s="8">
        <v>0</v>
      </c>
      <c r="G741" s="12" t="s">
        <v>2237</v>
      </c>
      <c r="H741" s="12">
        <v>0</v>
      </c>
      <c r="I741" s="12" t="s">
        <v>2237</v>
      </c>
      <c r="J741" s="12">
        <v>0</v>
      </c>
      <c r="K741" s="12" t="s">
        <v>2237</v>
      </c>
      <c r="L741" s="12">
        <v>0</v>
      </c>
      <c r="M741" s="12" t="s">
        <v>2237</v>
      </c>
      <c r="N741" s="8">
        <v>0</v>
      </c>
      <c r="O741" s="12" t="s">
        <v>2237</v>
      </c>
      <c r="P741" s="12" t="s">
        <v>2236</v>
      </c>
      <c r="Q741" s="10" t="s">
        <v>2236</v>
      </c>
      <c r="R741" s="10" t="s">
        <v>2236</v>
      </c>
      <c r="S741" s="10" t="s">
        <v>2236</v>
      </c>
      <c r="T741" s="10" t="s">
        <v>2236</v>
      </c>
      <c r="U7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2" spans="1:31" hidden="1" x14ac:dyDescent="0.3">
      <c r="A742" s="12" t="s">
        <v>2508</v>
      </c>
      <c r="B742" s="12" t="s">
        <v>2371</v>
      </c>
      <c r="C742" s="12" t="s">
        <v>3227</v>
      </c>
      <c r="D742" s="12" t="s">
        <v>3228</v>
      </c>
      <c r="E742" s="12" t="s">
        <v>2236</v>
      </c>
      <c r="F742" s="8">
        <v>0</v>
      </c>
      <c r="G742" s="12" t="s">
        <v>2237</v>
      </c>
      <c r="H742" s="12">
        <v>0</v>
      </c>
      <c r="I742" s="12" t="s">
        <v>2237</v>
      </c>
      <c r="J742" s="12">
        <v>0</v>
      </c>
      <c r="K742" s="12" t="s">
        <v>2237</v>
      </c>
      <c r="L742" s="12">
        <v>0</v>
      </c>
      <c r="M742" s="12" t="s">
        <v>2237</v>
      </c>
      <c r="N742" s="8">
        <v>0</v>
      </c>
      <c r="O742" s="12" t="s">
        <v>2237</v>
      </c>
      <c r="P742" s="12" t="s">
        <v>2236</v>
      </c>
      <c r="Q742" s="10" t="s">
        <v>2236</v>
      </c>
      <c r="R742" s="10" t="s">
        <v>2236</v>
      </c>
      <c r="S742" s="10" t="s">
        <v>2236</v>
      </c>
      <c r="T742" s="10" t="s">
        <v>2236</v>
      </c>
      <c r="U7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3" spans="1:31" hidden="1" x14ac:dyDescent="0.3">
      <c r="A743" s="12" t="s">
        <v>2510</v>
      </c>
      <c r="B743" s="12" t="s">
        <v>2371</v>
      </c>
      <c r="C743" s="12" t="s">
        <v>3229</v>
      </c>
      <c r="D743" s="12" t="s">
        <v>3230</v>
      </c>
      <c r="E743" s="12" t="s">
        <v>2236</v>
      </c>
      <c r="F743" s="8">
        <v>0</v>
      </c>
      <c r="G743" s="12" t="s">
        <v>2237</v>
      </c>
      <c r="H743" s="12">
        <v>0</v>
      </c>
      <c r="I743" s="12" t="s">
        <v>2237</v>
      </c>
      <c r="J743" s="12">
        <v>0</v>
      </c>
      <c r="K743" s="12" t="s">
        <v>2237</v>
      </c>
      <c r="L743" s="12">
        <v>0</v>
      </c>
      <c r="M743" s="12" t="s">
        <v>2237</v>
      </c>
      <c r="N743" s="8">
        <v>0</v>
      </c>
      <c r="O743" s="12" t="s">
        <v>2237</v>
      </c>
      <c r="P743" s="12" t="s">
        <v>2236</v>
      </c>
      <c r="Q743" s="10" t="s">
        <v>2236</v>
      </c>
      <c r="R743" s="10" t="s">
        <v>2236</v>
      </c>
      <c r="S743" s="10" t="s">
        <v>2236</v>
      </c>
      <c r="T743" s="10" t="s">
        <v>2236</v>
      </c>
      <c r="U7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4" spans="1:31" hidden="1" x14ac:dyDescent="0.3">
      <c r="A744" s="12" t="s">
        <v>2512</v>
      </c>
      <c r="B744" s="12" t="s">
        <v>2371</v>
      </c>
      <c r="C744" s="12" t="s">
        <v>3231</v>
      </c>
      <c r="D744" s="12" t="s">
        <v>3232</v>
      </c>
      <c r="E744" s="12" t="s">
        <v>2236</v>
      </c>
      <c r="F744" s="8">
        <v>0</v>
      </c>
      <c r="G744" s="12" t="s">
        <v>2237</v>
      </c>
      <c r="H744" s="12">
        <v>0</v>
      </c>
      <c r="I744" s="12" t="s">
        <v>2237</v>
      </c>
      <c r="J744" s="12">
        <v>0</v>
      </c>
      <c r="K744" s="12" t="s">
        <v>2237</v>
      </c>
      <c r="L744" s="12">
        <v>0</v>
      </c>
      <c r="M744" s="12" t="s">
        <v>2237</v>
      </c>
      <c r="N744" s="8">
        <v>0</v>
      </c>
      <c r="O744" s="12" t="s">
        <v>2237</v>
      </c>
      <c r="P744" s="12" t="s">
        <v>2236</v>
      </c>
      <c r="Q744" s="10" t="s">
        <v>2236</v>
      </c>
      <c r="R744" s="10" t="s">
        <v>2236</v>
      </c>
      <c r="S744" s="10" t="s">
        <v>2236</v>
      </c>
      <c r="T744" s="10" t="s">
        <v>2236</v>
      </c>
      <c r="U7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5" spans="1:31" hidden="1" x14ac:dyDescent="0.3">
      <c r="A745" s="12" t="s">
        <v>2514</v>
      </c>
      <c r="B745" s="12" t="s">
        <v>2371</v>
      </c>
      <c r="C745" s="12" t="s">
        <v>3233</v>
      </c>
      <c r="D745" s="12" t="s">
        <v>3234</v>
      </c>
      <c r="E745" s="12" t="s">
        <v>2236</v>
      </c>
      <c r="F745" s="8">
        <v>0</v>
      </c>
      <c r="G745" s="12" t="s">
        <v>2237</v>
      </c>
      <c r="H745" s="12">
        <v>0</v>
      </c>
      <c r="I745" s="12" t="s">
        <v>2237</v>
      </c>
      <c r="J745" s="12">
        <v>0</v>
      </c>
      <c r="K745" s="12" t="s">
        <v>2237</v>
      </c>
      <c r="L745" s="12">
        <v>0</v>
      </c>
      <c r="M745" s="12" t="s">
        <v>2237</v>
      </c>
      <c r="N745" s="8">
        <v>0</v>
      </c>
      <c r="O745" s="12" t="s">
        <v>2237</v>
      </c>
      <c r="P745" s="12" t="s">
        <v>2236</v>
      </c>
      <c r="Q745" s="10" t="s">
        <v>2236</v>
      </c>
      <c r="R745" s="10" t="s">
        <v>2236</v>
      </c>
      <c r="S745" s="10" t="s">
        <v>2236</v>
      </c>
      <c r="T745" s="10" t="s">
        <v>2236</v>
      </c>
      <c r="U7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6" spans="1:31" hidden="1" x14ac:dyDescent="0.3">
      <c r="A746" s="12" t="s">
        <v>2516</v>
      </c>
      <c r="B746" s="12" t="s">
        <v>2371</v>
      </c>
      <c r="C746" s="12" t="s">
        <v>3235</v>
      </c>
      <c r="D746" s="12" t="s">
        <v>3236</v>
      </c>
      <c r="E746" s="12" t="s">
        <v>2236</v>
      </c>
      <c r="F746" s="8">
        <v>0</v>
      </c>
      <c r="G746" s="12" t="s">
        <v>2237</v>
      </c>
      <c r="H746" s="12">
        <v>0</v>
      </c>
      <c r="I746" s="12" t="s">
        <v>2237</v>
      </c>
      <c r="J746" s="12">
        <v>0</v>
      </c>
      <c r="K746" s="12" t="s">
        <v>2237</v>
      </c>
      <c r="L746" s="12">
        <v>0</v>
      </c>
      <c r="M746" s="12" t="s">
        <v>2237</v>
      </c>
      <c r="N746" s="8">
        <v>0</v>
      </c>
      <c r="O746" s="12" t="s">
        <v>2237</v>
      </c>
      <c r="P746" s="12" t="s">
        <v>2236</v>
      </c>
      <c r="Q746" s="10" t="s">
        <v>2236</v>
      </c>
      <c r="R746" s="10" t="s">
        <v>2236</v>
      </c>
      <c r="S746" s="10" t="s">
        <v>2236</v>
      </c>
      <c r="T746" s="10" t="s">
        <v>2236</v>
      </c>
      <c r="U7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7" spans="1:31" hidden="1" x14ac:dyDescent="0.3">
      <c r="A747" s="12" t="s">
        <v>2518</v>
      </c>
      <c r="B747" s="12" t="s">
        <v>2371</v>
      </c>
      <c r="C747" s="12" t="s">
        <v>3237</v>
      </c>
      <c r="D747" s="12" t="s">
        <v>3238</v>
      </c>
      <c r="E747" s="12" t="s">
        <v>2236</v>
      </c>
      <c r="F747" s="8">
        <v>0</v>
      </c>
      <c r="G747" s="12" t="s">
        <v>2237</v>
      </c>
      <c r="H747" s="12">
        <v>0</v>
      </c>
      <c r="I747" s="12" t="s">
        <v>2237</v>
      </c>
      <c r="J747" s="12">
        <v>0</v>
      </c>
      <c r="K747" s="12" t="s">
        <v>2237</v>
      </c>
      <c r="L747" s="12">
        <v>0</v>
      </c>
      <c r="M747" s="12" t="s">
        <v>2237</v>
      </c>
      <c r="N747" s="8">
        <v>0</v>
      </c>
      <c r="O747" s="12" t="s">
        <v>2237</v>
      </c>
      <c r="P747" s="12" t="s">
        <v>2236</v>
      </c>
      <c r="Q747" s="10" t="s">
        <v>2236</v>
      </c>
      <c r="R747" s="10" t="s">
        <v>2236</v>
      </c>
      <c r="S747" s="10" t="s">
        <v>2236</v>
      </c>
      <c r="T747" s="10" t="s">
        <v>2236</v>
      </c>
      <c r="U7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8" spans="1:31" hidden="1" x14ac:dyDescent="0.3">
      <c r="A748" s="12" t="s">
        <v>2520</v>
      </c>
      <c r="B748" s="12" t="s">
        <v>2371</v>
      </c>
      <c r="C748" s="12" t="s">
        <v>3239</v>
      </c>
      <c r="D748" s="12" t="s">
        <v>3240</v>
      </c>
      <c r="E748" s="12" t="s">
        <v>2236</v>
      </c>
      <c r="F748" s="8">
        <v>0</v>
      </c>
      <c r="G748" s="12" t="s">
        <v>2237</v>
      </c>
      <c r="H748" s="12">
        <v>0</v>
      </c>
      <c r="I748" s="12" t="s">
        <v>2237</v>
      </c>
      <c r="J748" s="12">
        <v>0</v>
      </c>
      <c r="K748" s="12" t="s">
        <v>2237</v>
      </c>
      <c r="L748" s="12">
        <v>0</v>
      </c>
      <c r="M748" s="12" t="s">
        <v>2237</v>
      </c>
      <c r="N748" s="8">
        <v>0</v>
      </c>
      <c r="O748" s="12" t="s">
        <v>2237</v>
      </c>
      <c r="P748" s="12" t="s">
        <v>2236</v>
      </c>
      <c r="Q748" s="10" t="s">
        <v>2236</v>
      </c>
      <c r="R748" s="10" t="s">
        <v>2236</v>
      </c>
      <c r="S748" s="10" t="s">
        <v>2236</v>
      </c>
      <c r="T748" s="10" t="s">
        <v>2236</v>
      </c>
      <c r="U7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49" spans="1:31" hidden="1" x14ac:dyDescent="0.3">
      <c r="A749" s="12" t="s">
        <v>2522</v>
      </c>
      <c r="B749" s="12" t="s">
        <v>2371</v>
      </c>
      <c r="C749" s="12" t="s">
        <v>3241</v>
      </c>
      <c r="D749" s="12" t="s">
        <v>3242</v>
      </c>
      <c r="E749" s="12" t="s">
        <v>2236</v>
      </c>
      <c r="F749" s="8">
        <v>0</v>
      </c>
      <c r="G749" s="12" t="s">
        <v>2237</v>
      </c>
      <c r="H749" s="12">
        <v>0</v>
      </c>
      <c r="I749" s="12" t="s">
        <v>2237</v>
      </c>
      <c r="J749" s="12">
        <v>0</v>
      </c>
      <c r="K749" s="12" t="s">
        <v>2237</v>
      </c>
      <c r="L749" s="12">
        <v>0</v>
      </c>
      <c r="M749" s="12" t="s">
        <v>2237</v>
      </c>
      <c r="N749" s="8">
        <v>0</v>
      </c>
      <c r="O749" s="12" t="s">
        <v>2237</v>
      </c>
      <c r="P749" s="12" t="s">
        <v>2236</v>
      </c>
      <c r="Q749" s="10" t="s">
        <v>2236</v>
      </c>
      <c r="R749" s="10" t="s">
        <v>2236</v>
      </c>
      <c r="S749" s="10" t="s">
        <v>2236</v>
      </c>
      <c r="T749" s="10" t="s">
        <v>2236</v>
      </c>
      <c r="U7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0" spans="1:31" hidden="1" x14ac:dyDescent="0.3">
      <c r="A750" s="12" t="s">
        <v>2524</v>
      </c>
      <c r="B750" s="12" t="s">
        <v>2371</v>
      </c>
      <c r="C750" s="12" t="s">
        <v>3243</v>
      </c>
      <c r="D750" s="12" t="s">
        <v>3244</v>
      </c>
      <c r="E750" s="12" t="s">
        <v>2236</v>
      </c>
      <c r="F750" s="8">
        <v>0</v>
      </c>
      <c r="G750" s="12" t="s">
        <v>2237</v>
      </c>
      <c r="H750" s="12">
        <v>0</v>
      </c>
      <c r="I750" s="12" t="s">
        <v>2237</v>
      </c>
      <c r="J750" s="12">
        <v>0</v>
      </c>
      <c r="K750" s="12" t="s">
        <v>2237</v>
      </c>
      <c r="L750" s="12">
        <v>0</v>
      </c>
      <c r="M750" s="12" t="s">
        <v>2237</v>
      </c>
      <c r="N750" s="8">
        <v>0</v>
      </c>
      <c r="O750" s="12" t="s">
        <v>2237</v>
      </c>
      <c r="P750" s="12" t="s">
        <v>2236</v>
      </c>
      <c r="Q750" s="10" t="s">
        <v>2236</v>
      </c>
      <c r="R750" s="10" t="s">
        <v>2236</v>
      </c>
      <c r="S750" s="10" t="s">
        <v>2236</v>
      </c>
      <c r="T750" s="10" t="s">
        <v>2236</v>
      </c>
      <c r="U7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1" spans="1:31" hidden="1" x14ac:dyDescent="0.3">
      <c r="A751" s="12" t="s">
        <v>2526</v>
      </c>
      <c r="B751" s="12" t="s">
        <v>2371</v>
      </c>
      <c r="C751" s="12" t="s">
        <v>3202</v>
      </c>
      <c r="D751" s="12" t="s">
        <v>3245</v>
      </c>
      <c r="E751" s="12" t="s">
        <v>2236</v>
      </c>
      <c r="F751" s="8">
        <v>0</v>
      </c>
      <c r="G751" s="12" t="s">
        <v>2237</v>
      </c>
      <c r="H751" s="12">
        <v>0</v>
      </c>
      <c r="I751" s="12" t="s">
        <v>2237</v>
      </c>
      <c r="J751" s="12">
        <v>0</v>
      </c>
      <c r="K751" s="12" t="s">
        <v>2237</v>
      </c>
      <c r="L751" s="12">
        <v>0</v>
      </c>
      <c r="M751" s="12" t="s">
        <v>2237</v>
      </c>
      <c r="N751" s="8">
        <v>0</v>
      </c>
      <c r="O751" s="12" t="s">
        <v>2237</v>
      </c>
      <c r="P751" s="12" t="s">
        <v>2236</v>
      </c>
      <c r="Q751" s="10" t="s">
        <v>2236</v>
      </c>
      <c r="R751" s="10" t="s">
        <v>2236</v>
      </c>
      <c r="S751" s="10" t="s">
        <v>2236</v>
      </c>
      <c r="T751" s="10" t="s">
        <v>2236</v>
      </c>
      <c r="U7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2" spans="1:31" hidden="1" x14ac:dyDescent="0.3">
      <c r="A752" s="12" t="s">
        <v>2528</v>
      </c>
      <c r="B752" s="12" t="s">
        <v>2371</v>
      </c>
      <c r="C752" s="12" t="s">
        <v>3246</v>
      </c>
      <c r="D752" s="12" t="s">
        <v>3247</v>
      </c>
      <c r="E752" s="12" t="s">
        <v>2236</v>
      </c>
      <c r="F752" s="8">
        <v>0</v>
      </c>
      <c r="G752" s="12" t="s">
        <v>2237</v>
      </c>
      <c r="H752" s="12">
        <v>0</v>
      </c>
      <c r="I752" s="12" t="s">
        <v>2237</v>
      </c>
      <c r="J752" s="12">
        <v>0</v>
      </c>
      <c r="K752" s="12" t="s">
        <v>2237</v>
      </c>
      <c r="L752" s="12">
        <v>0</v>
      </c>
      <c r="M752" s="12" t="s">
        <v>2237</v>
      </c>
      <c r="N752" s="8">
        <v>0</v>
      </c>
      <c r="O752" s="12" t="s">
        <v>2237</v>
      </c>
      <c r="P752" s="12" t="s">
        <v>2236</v>
      </c>
      <c r="Q752" s="10" t="s">
        <v>2236</v>
      </c>
      <c r="R752" s="10" t="s">
        <v>2236</v>
      </c>
      <c r="S752" s="10" t="s">
        <v>2236</v>
      </c>
      <c r="T752" s="10" t="s">
        <v>2236</v>
      </c>
      <c r="U7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3" spans="1:31" hidden="1" x14ac:dyDescent="0.3">
      <c r="A753" s="12" t="s">
        <v>2530</v>
      </c>
      <c r="B753" s="12" t="s">
        <v>2371</v>
      </c>
      <c r="C753" s="12" t="s">
        <v>3248</v>
      </c>
      <c r="D753" s="12" t="s">
        <v>3249</v>
      </c>
      <c r="E753" s="12" t="s">
        <v>2236</v>
      </c>
      <c r="F753" s="8">
        <v>0</v>
      </c>
      <c r="G753" s="12" t="s">
        <v>2237</v>
      </c>
      <c r="H753" s="12">
        <v>0</v>
      </c>
      <c r="I753" s="12" t="s">
        <v>2237</v>
      </c>
      <c r="J753" s="12">
        <v>0</v>
      </c>
      <c r="K753" s="12" t="s">
        <v>2237</v>
      </c>
      <c r="L753" s="12">
        <v>0</v>
      </c>
      <c r="M753" s="12" t="s">
        <v>2237</v>
      </c>
      <c r="N753" s="8">
        <v>0</v>
      </c>
      <c r="O753" s="12" t="s">
        <v>2237</v>
      </c>
      <c r="P753" s="12" t="s">
        <v>2236</v>
      </c>
      <c r="Q753" s="10" t="s">
        <v>2236</v>
      </c>
      <c r="R753" s="10" t="s">
        <v>2236</v>
      </c>
      <c r="S753" s="10" t="s">
        <v>2236</v>
      </c>
      <c r="T753" s="10" t="s">
        <v>2236</v>
      </c>
      <c r="U7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4" spans="1:31" hidden="1" x14ac:dyDescent="0.3">
      <c r="A754" s="12" t="s">
        <v>2532</v>
      </c>
      <c r="B754" s="12" t="s">
        <v>2371</v>
      </c>
      <c r="C754" s="12" t="s">
        <v>2972</v>
      </c>
      <c r="D754" s="12" t="s">
        <v>3250</v>
      </c>
      <c r="E754" s="12" t="s">
        <v>2236</v>
      </c>
      <c r="F754" s="8">
        <v>0</v>
      </c>
      <c r="G754" s="12" t="s">
        <v>2237</v>
      </c>
      <c r="H754" s="12">
        <v>0</v>
      </c>
      <c r="I754" s="12" t="s">
        <v>2237</v>
      </c>
      <c r="J754" s="12">
        <v>0</v>
      </c>
      <c r="K754" s="12" t="s">
        <v>2237</v>
      </c>
      <c r="L754" s="12">
        <v>0</v>
      </c>
      <c r="M754" s="12" t="s">
        <v>2237</v>
      </c>
      <c r="N754" s="8">
        <v>0</v>
      </c>
      <c r="O754" s="12" t="s">
        <v>2237</v>
      </c>
      <c r="P754" s="12" t="s">
        <v>2236</v>
      </c>
      <c r="Q754" s="10" t="s">
        <v>2236</v>
      </c>
      <c r="R754" s="10" t="s">
        <v>2236</v>
      </c>
      <c r="S754" s="10" t="s">
        <v>2236</v>
      </c>
      <c r="T754" s="10" t="s">
        <v>2236</v>
      </c>
      <c r="U7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5" spans="1:31" hidden="1" x14ac:dyDescent="0.3">
      <c r="A755" s="12" t="s">
        <v>2534</v>
      </c>
      <c r="B755" s="12" t="s">
        <v>2371</v>
      </c>
      <c r="C755" s="12" t="s">
        <v>3251</v>
      </c>
      <c r="D755" s="12" t="s">
        <v>3252</v>
      </c>
      <c r="E755" s="12" t="s">
        <v>2236</v>
      </c>
      <c r="F755" s="8">
        <v>0</v>
      </c>
      <c r="G755" s="12" t="s">
        <v>2237</v>
      </c>
      <c r="H755" s="12">
        <v>0</v>
      </c>
      <c r="I755" s="12" t="s">
        <v>2237</v>
      </c>
      <c r="J755" s="12">
        <v>0</v>
      </c>
      <c r="K755" s="12" t="s">
        <v>2237</v>
      </c>
      <c r="L755" s="12">
        <v>0</v>
      </c>
      <c r="M755" s="12" t="s">
        <v>2237</v>
      </c>
      <c r="N755" s="8">
        <v>0</v>
      </c>
      <c r="O755" s="12" t="s">
        <v>2237</v>
      </c>
      <c r="P755" s="12" t="s">
        <v>2236</v>
      </c>
      <c r="Q755" s="10" t="s">
        <v>2236</v>
      </c>
      <c r="R755" s="10" t="s">
        <v>2236</v>
      </c>
      <c r="S755" s="10" t="s">
        <v>2236</v>
      </c>
      <c r="T755" s="10" t="s">
        <v>2236</v>
      </c>
      <c r="U7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6" spans="1:31" hidden="1" x14ac:dyDescent="0.3">
      <c r="A756" s="12" t="s">
        <v>2536</v>
      </c>
      <c r="B756" s="12" t="s">
        <v>2371</v>
      </c>
      <c r="C756" s="12" t="s">
        <v>3253</v>
      </c>
      <c r="D756" s="12" t="s">
        <v>3254</v>
      </c>
      <c r="E756" s="12" t="s">
        <v>2236</v>
      </c>
      <c r="F756" s="8">
        <v>0</v>
      </c>
      <c r="G756" s="12" t="s">
        <v>2237</v>
      </c>
      <c r="H756" s="12">
        <v>0</v>
      </c>
      <c r="I756" s="12" t="s">
        <v>2237</v>
      </c>
      <c r="J756" s="12">
        <v>0</v>
      </c>
      <c r="K756" s="12" t="s">
        <v>2237</v>
      </c>
      <c r="L756" s="12">
        <v>0</v>
      </c>
      <c r="M756" s="12" t="s">
        <v>2237</v>
      </c>
      <c r="N756" s="8">
        <v>0</v>
      </c>
      <c r="O756" s="12" t="s">
        <v>2237</v>
      </c>
      <c r="P756" s="12" t="s">
        <v>2236</v>
      </c>
      <c r="Q756" s="10" t="s">
        <v>2236</v>
      </c>
      <c r="R756" s="10" t="s">
        <v>2236</v>
      </c>
      <c r="S756" s="10" t="s">
        <v>2236</v>
      </c>
      <c r="T756" s="10" t="s">
        <v>2236</v>
      </c>
      <c r="U7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7" spans="1:31" hidden="1" x14ac:dyDescent="0.3">
      <c r="A757" s="12" t="s">
        <v>2537</v>
      </c>
      <c r="B757" s="12" t="s">
        <v>2371</v>
      </c>
      <c r="C757" s="12" t="s">
        <v>3255</v>
      </c>
      <c r="D757" s="12" t="s">
        <v>3256</v>
      </c>
      <c r="E757" s="12" t="s">
        <v>2236</v>
      </c>
      <c r="F757" s="8">
        <v>0</v>
      </c>
      <c r="G757" s="12" t="s">
        <v>2237</v>
      </c>
      <c r="H757" s="12">
        <v>0</v>
      </c>
      <c r="I757" s="12" t="s">
        <v>2237</v>
      </c>
      <c r="J757" s="12">
        <v>0</v>
      </c>
      <c r="K757" s="12" t="s">
        <v>2237</v>
      </c>
      <c r="L757" s="12">
        <v>0</v>
      </c>
      <c r="M757" s="12" t="s">
        <v>2237</v>
      </c>
      <c r="N757" s="8">
        <v>0</v>
      </c>
      <c r="O757" s="12" t="s">
        <v>2237</v>
      </c>
      <c r="P757" s="12" t="s">
        <v>2236</v>
      </c>
      <c r="Q757" s="10" t="s">
        <v>2236</v>
      </c>
      <c r="R757" s="10" t="s">
        <v>2236</v>
      </c>
      <c r="S757" s="10" t="s">
        <v>2236</v>
      </c>
      <c r="T757" s="10" t="s">
        <v>2236</v>
      </c>
      <c r="U7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8" spans="1:31" hidden="1" x14ac:dyDescent="0.3">
      <c r="A758" s="12" t="s">
        <v>2538</v>
      </c>
      <c r="B758" s="12" t="s">
        <v>2371</v>
      </c>
      <c r="C758" s="12" t="s">
        <v>2902</v>
      </c>
      <c r="D758" s="12" t="s">
        <v>3257</v>
      </c>
      <c r="E758" s="12" t="s">
        <v>2236</v>
      </c>
      <c r="F758" s="8">
        <v>0</v>
      </c>
      <c r="G758" s="12" t="s">
        <v>2237</v>
      </c>
      <c r="H758" s="12">
        <v>0</v>
      </c>
      <c r="I758" s="12" t="s">
        <v>2237</v>
      </c>
      <c r="J758" s="12">
        <v>0</v>
      </c>
      <c r="K758" s="12" t="s">
        <v>2237</v>
      </c>
      <c r="L758" s="12">
        <v>0</v>
      </c>
      <c r="M758" s="12" t="s">
        <v>2237</v>
      </c>
      <c r="N758" s="8">
        <v>0</v>
      </c>
      <c r="O758" s="12" t="s">
        <v>2237</v>
      </c>
      <c r="P758" s="12" t="s">
        <v>2236</v>
      </c>
      <c r="Q758" s="10" t="s">
        <v>2236</v>
      </c>
      <c r="R758" s="10" t="s">
        <v>2236</v>
      </c>
      <c r="S758" s="10" t="s">
        <v>2236</v>
      </c>
      <c r="T758" s="10" t="s">
        <v>2236</v>
      </c>
      <c r="U7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59" spans="1:31" hidden="1" x14ac:dyDescent="0.3">
      <c r="A759" s="12" t="s">
        <v>2539</v>
      </c>
      <c r="B759" s="12" t="s">
        <v>2371</v>
      </c>
      <c r="C759" s="12" t="s">
        <v>3258</v>
      </c>
      <c r="D759" s="12" t="s">
        <v>3259</v>
      </c>
      <c r="E759" s="12" t="s">
        <v>2236</v>
      </c>
      <c r="F759" s="8">
        <v>0</v>
      </c>
      <c r="G759" s="12" t="s">
        <v>2237</v>
      </c>
      <c r="H759" s="12">
        <v>0</v>
      </c>
      <c r="I759" s="12" t="s">
        <v>2237</v>
      </c>
      <c r="J759" s="12">
        <v>0</v>
      </c>
      <c r="K759" s="12" t="s">
        <v>2237</v>
      </c>
      <c r="L759" s="12">
        <v>0</v>
      </c>
      <c r="M759" s="12" t="s">
        <v>2237</v>
      </c>
      <c r="N759" s="8">
        <v>0</v>
      </c>
      <c r="O759" s="12" t="s">
        <v>2237</v>
      </c>
      <c r="P759" s="12" t="s">
        <v>2236</v>
      </c>
      <c r="Q759" s="10" t="s">
        <v>2236</v>
      </c>
      <c r="R759" s="10" t="s">
        <v>2236</v>
      </c>
      <c r="S759" s="10" t="s">
        <v>2236</v>
      </c>
      <c r="T759" s="10" t="s">
        <v>2236</v>
      </c>
      <c r="U7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0" spans="1:31" hidden="1" x14ac:dyDescent="0.3">
      <c r="A760" s="12" t="s">
        <v>2540</v>
      </c>
      <c r="B760" s="12" t="s">
        <v>2371</v>
      </c>
      <c r="C760" s="12" t="s">
        <v>3253</v>
      </c>
      <c r="D760" s="12" t="s">
        <v>3260</v>
      </c>
      <c r="E760" s="12" t="s">
        <v>2236</v>
      </c>
      <c r="F760" s="8">
        <v>0</v>
      </c>
      <c r="G760" s="12" t="s">
        <v>2237</v>
      </c>
      <c r="H760" s="12">
        <v>0</v>
      </c>
      <c r="I760" s="12" t="s">
        <v>2237</v>
      </c>
      <c r="J760" s="12">
        <v>0</v>
      </c>
      <c r="K760" s="12" t="s">
        <v>2237</v>
      </c>
      <c r="L760" s="12">
        <v>0</v>
      </c>
      <c r="M760" s="12" t="s">
        <v>2237</v>
      </c>
      <c r="N760" s="8">
        <v>0</v>
      </c>
      <c r="O760" s="12" t="s">
        <v>2237</v>
      </c>
      <c r="P760" s="12" t="s">
        <v>2236</v>
      </c>
      <c r="Q760" s="10" t="s">
        <v>2236</v>
      </c>
      <c r="R760" s="10" t="s">
        <v>2236</v>
      </c>
      <c r="S760" s="10" t="s">
        <v>2236</v>
      </c>
      <c r="T760" s="10" t="s">
        <v>2236</v>
      </c>
      <c r="U7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1" spans="1:31" hidden="1" x14ac:dyDescent="0.3">
      <c r="A761" s="12" t="s">
        <v>2541</v>
      </c>
      <c r="B761" s="12" t="s">
        <v>2371</v>
      </c>
      <c r="C761" s="12" t="s">
        <v>2902</v>
      </c>
      <c r="D761" s="12" t="s">
        <v>3261</v>
      </c>
      <c r="E761" s="12" t="s">
        <v>2236</v>
      </c>
      <c r="F761" s="8">
        <v>0</v>
      </c>
      <c r="G761" s="12" t="s">
        <v>2237</v>
      </c>
      <c r="H761" s="12">
        <v>0</v>
      </c>
      <c r="I761" s="12" t="s">
        <v>2237</v>
      </c>
      <c r="J761" s="12">
        <v>0</v>
      </c>
      <c r="K761" s="12" t="s">
        <v>2237</v>
      </c>
      <c r="L761" s="12">
        <v>0</v>
      </c>
      <c r="M761" s="12" t="s">
        <v>2237</v>
      </c>
      <c r="N761" s="8">
        <v>0</v>
      </c>
      <c r="O761" s="12" t="s">
        <v>2237</v>
      </c>
      <c r="P761" s="12" t="s">
        <v>2236</v>
      </c>
      <c r="Q761" s="10" t="s">
        <v>2236</v>
      </c>
      <c r="R761" s="10" t="s">
        <v>2236</v>
      </c>
      <c r="S761" s="10" t="s">
        <v>2236</v>
      </c>
      <c r="T761" s="10" t="s">
        <v>2236</v>
      </c>
      <c r="U7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2" spans="1:31" hidden="1" x14ac:dyDescent="0.3">
      <c r="A762" s="12" t="s">
        <v>2542</v>
      </c>
      <c r="B762" s="12" t="s">
        <v>2371</v>
      </c>
      <c r="C762" s="12" t="s">
        <v>3262</v>
      </c>
      <c r="D762" s="12" t="s">
        <v>3263</v>
      </c>
      <c r="E762" s="12" t="s">
        <v>2236</v>
      </c>
      <c r="F762" s="8">
        <v>0</v>
      </c>
      <c r="G762" s="12" t="s">
        <v>2237</v>
      </c>
      <c r="H762" s="12">
        <v>0</v>
      </c>
      <c r="I762" s="12" t="s">
        <v>2237</v>
      </c>
      <c r="J762" s="12">
        <v>0</v>
      </c>
      <c r="K762" s="12" t="s">
        <v>2237</v>
      </c>
      <c r="L762" s="12">
        <v>0</v>
      </c>
      <c r="M762" s="12" t="s">
        <v>2237</v>
      </c>
      <c r="N762" s="8">
        <v>0</v>
      </c>
      <c r="O762" s="12" t="s">
        <v>2237</v>
      </c>
      <c r="P762" s="12" t="s">
        <v>2236</v>
      </c>
      <c r="Q762" s="10" t="s">
        <v>2236</v>
      </c>
      <c r="R762" s="10" t="s">
        <v>2236</v>
      </c>
      <c r="S762" s="10" t="s">
        <v>2236</v>
      </c>
      <c r="T762" s="10" t="s">
        <v>2236</v>
      </c>
      <c r="U7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3" spans="1:31" hidden="1" x14ac:dyDescent="0.3">
      <c r="A763" s="12" t="s">
        <v>2543</v>
      </c>
      <c r="B763" s="12" t="s">
        <v>2371</v>
      </c>
      <c r="C763" s="12" t="s">
        <v>3264</v>
      </c>
      <c r="D763" s="12" t="s">
        <v>3265</v>
      </c>
      <c r="E763" s="12" t="s">
        <v>2236</v>
      </c>
      <c r="F763" s="8">
        <v>0</v>
      </c>
      <c r="G763" s="12" t="s">
        <v>2237</v>
      </c>
      <c r="H763" s="12">
        <v>0</v>
      </c>
      <c r="I763" s="12" t="s">
        <v>2237</v>
      </c>
      <c r="J763" s="12">
        <v>0</v>
      </c>
      <c r="K763" s="12" t="s">
        <v>2237</v>
      </c>
      <c r="L763" s="12">
        <v>0</v>
      </c>
      <c r="M763" s="12" t="s">
        <v>2237</v>
      </c>
      <c r="N763" s="8">
        <v>0</v>
      </c>
      <c r="O763" s="12" t="s">
        <v>2237</v>
      </c>
      <c r="P763" s="12" t="s">
        <v>2236</v>
      </c>
      <c r="Q763" s="10" t="s">
        <v>2236</v>
      </c>
      <c r="R763" s="10" t="s">
        <v>2236</v>
      </c>
      <c r="S763" s="10" t="s">
        <v>2236</v>
      </c>
      <c r="T763" s="10" t="s">
        <v>2236</v>
      </c>
      <c r="U7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4" spans="1:31" hidden="1" x14ac:dyDescent="0.3">
      <c r="A764" s="12" t="s">
        <v>2544</v>
      </c>
      <c r="B764" s="12" t="s">
        <v>2366</v>
      </c>
      <c r="C764" s="12" t="s">
        <v>3266</v>
      </c>
      <c r="D764" s="12" t="s">
        <v>3267</v>
      </c>
      <c r="E764" s="12" t="s">
        <v>2236</v>
      </c>
      <c r="F764" s="8">
        <v>0</v>
      </c>
      <c r="G764" s="12" t="s">
        <v>2237</v>
      </c>
      <c r="H764" s="12">
        <v>0</v>
      </c>
      <c r="I764" s="12" t="s">
        <v>2237</v>
      </c>
      <c r="J764" s="12">
        <v>0</v>
      </c>
      <c r="K764" s="12" t="s">
        <v>2237</v>
      </c>
      <c r="L764" s="12">
        <v>0</v>
      </c>
      <c r="M764" s="12" t="s">
        <v>2237</v>
      </c>
      <c r="N764" s="8">
        <v>6761.99</v>
      </c>
      <c r="O764" s="12" t="s">
        <v>2237</v>
      </c>
      <c r="P764" s="12" t="s">
        <v>2236</v>
      </c>
      <c r="Q764" s="10" t="s">
        <v>2236</v>
      </c>
      <c r="R764" s="10" t="s">
        <v>2236</v>
      </c>
      <c r="S764" s="10" t="s">
        <v>2236</v>
      </c>
      <c r="T764" s="10" t="s">
        <v>3120</v>
      </c>
      <c r="U7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5" spans="1:31" hidden="1" x14ac:dyDescent="0.3">
      <c r="A765" s="12" t="s">
        <v>2545</v>
      </c>
      <c r="B765" s="12" t="s">
        <v>2371</v>
      </c>
      <c r="C765" s="12" t="s">
        <v>3268</v>
      </c>
      <c r="D765" s="12" t="s">
        <v>3269</v>
      </c>
      <c r="E765" s="12" t="s">
        <v>2236</v>
      </c>
      <c r="F765" s="8">
        <v>0</v>
      </c>
      <c r="G765" s="12" t="s">
        <v>2237</v>
      </c>
      <c r="H765" s="12">
        <v>0</v>
      </c>
      <c r="I765" s="12" t="s">
        <v>2237</v>
      </c>
      <c r="J765" s="12">
        <v>0</v>
      </c>
      <c r="K765" s="12" t="s">
        <v>2237</v>
      </c>
      <c r="L765" s="12">
        <v>0</v>
      </c>
      <c r="M765" s="12" t="s">
        <v>2237</v>
      </c>
      <c r="N765" s="8">
        <v>0</v>
      </c>
      <c r="O765" s="12" t="s">
        <v>2237</v>
      </c>
      <c r="P765" s="12" t="s">
        <v>2236</v>
      </c>
      <c r="Q765" s="10" t="s">
        <v>2236</v>
      </c>
      <c r="R765" s="10" t="s">
        <v>2236</v>
      </c>
      <c r="S765" s="10" t="s">
        <v>2236</v>
      </c>
      <c r="T765" s="10" t="s">
        <v>2236</v>
      </c>
      <c r="U7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6" spans="1:31" hidden="1" x14ac:dyDescent="0.3">
      <c r="A766" s="12" t="s">
        <v>2547</v>
      </c>
      <c r="B766" s="12" t="s">
        <v>2371</v>
      </c>
      <c r="C766" s="12" t="s">
        <v>3270</v>
      </c>
      <c r="D766" s="12" t="s">
        <v>3271</v>
      </c>
      <c r="E766" s="12" t="s">
        <v>2236</v>
      </c>
      <c r="F766" s="8">
        <v>0</v>
      </c>
      <c r="G766" s="12" t="s">
        <v>2237</v>
      </c>
      <c r="H766" s="12">
        <v>0</v>
      </c>
      <c r="I766" s="12" t="s">
        <v>2237</v>
      </c>
      <c r="J766" s="12">
        <v>0</v>
      </c>
      <c r="K766" s="12" t="s">
        <v>2237</v>
      </c>
      <c r="L766" s="12">
        <v>0</v>
      </c>
      <c r="M766" s="12" t="s">
        <v>2237</v>
      </c>
      <c r="N766" s="8">
        <v>0</v>
      </c>
      <c r="O766" s="12" t="s">
        <v>2237</v>
      </c>
      <c r="P766" s="12" t="s">
        <v>2236</v>
      </c>
      <c r="Q766" s="10" t="s">
        <v>2236</v>
      </c>
      <c r="R766" s="10" t="s">
        <v>2236</v>
      </c>
      <c r="S766" s="10" t="s">
        <v>2236</v>
      </c>
      <c r="T766" s="10" t="s">
        <v>2236</v>
      </c>
      <c r="U7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7" spans="1:31" hidden="1" x14ac:dyDescent="0.3">
      <c r="A767" s="12" t="s">
        <v>2548</v>
      </c>
      <c r="B767" s="12" t="s">
        <v>2371</v>
      </c>
      <c r="C767" s="12" t="s">
        <v>2902</v>
      </c>
      <c r="D767" s="12" t="s">
        <v>3272</v>
      </c>
      <c r="E767" s="12" t="s">
        <v>2236</v>
      </c>
      <c r="F767" s="8">
        <v>0</v>
      </c>
      <c r="G767" s="12" t="s">
        <v>2237</v>
      </c>
      <c r="H767" s="12">
        <v>0</v>
      </c>
      <c r="I767" s="12" t="s">
        <v>2237</v>
      </c>
      <c r="J767" s="12">
        <v>0</v>
      </c>
      <c r="K767" s="12" t="s">
        <v>2237</v>
      </c>
      <c r="L767" s="12">
        <v>0</v>
      </c>
      <c r="M767" s="12" t="s">
        <v>2237</v>
      </c>
      <c r="N767" s="8">
        <v>0</v>
      </c>
      <c r="O767" s="12" t="s">
        <v>2237</v>
      </c>
      <c r="P767" s="12" t="s">
        <v>2236</v>
      </c>
      <c r="Q767" s="10" t="s">
        <v>2236</v>
      </c>
      <c r="R767" s="10" t="s">
        <v>2236</v>
      </c>
      <c r="S767" s="10" t="s">
        <v>2236</v>
      </c>
      <c r="T767" s="10" t="s">
        <v>2236</v>
      </c>
      <c r="U7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8" spans="1:31" hidden="1" x14ac:dyDescent="0.3">
      <c r="A768" s="12" t="s">
        <v>2549</v>
      </c>
      <c r="B768" s="12" t="s">
        <v>2371</v>
      </c>
      <c r="C768" s="12" t="s">
        <v>3273</v>
      </c>
      <c r="D768" s="12" t="s">
        <v>3274</v>
      </c>
      <c r="E768" s="12" t="s">
        <v>2236</v>
      </c>
      <c r="F768" s="8">
        <v>0</v>
      </c>
      <c r="G768" s="12" t="s">
        <v>2237</v>
      </c>
      <c r="H768" s="12">
        <v>0</v>
      </c>
      <c r="I768" s="12" t="s">
        <v>2237</v>
      </c>
      <c r="J768" s="12">
        <v>0</v>
      </c>
      <c r="K768" s="12" t="s">
        <v>2237</v>
      </c>
      <c r="L768" s="12">
        <v>0</v>
      </c>
      <c r="M768" s="12" t="s">
        <v>2237</v>
      </c>
      <c r="N768" s="8">
        <v>0</v>
      </c>
      <c r="O768" s="12" t="s">
        <v>2237</v>
      </c>
      <c r="P768" s="12" t="s">
        <v>2236</v>
      </c>
      <c r="Q768" s="10" t="s">
        <v>2236</v>
      </c>
      <c r="R768" s="10" t="s">
        <v>2236</v>
      </c>
      <c r="S768" s="10" t="s">
        <v>2236</v>
      </c>
      <c r="T768" s="10" t="s">
        <v>2236</v>
      </c>
      <c r="U7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69" spans="1:31" hidden="1" x14ac:dyDescent="0.3">
      <c r="A769" s="12" t="s">
        <v>2550</v>
      </c>
      <c r="B769" s="12" t="s">
        <v>2371</v>
      </c>
      <c r="C769" s="12" t="s">
        <v>3176</v>
      </c>
      <c r="D769" s="12" t="s">
        <v>3275</v>
      </c>
      <c r="E769" s="12" t="s">
        <v>2236</v>
      </c>
      <c r="F769" s="8">
        <v>0</v>
      </c>
      <c r="G769" s="12" t="s">
        <v>2237</v>
      </c>
      <c r="H769" s="12">
        <v>0</v>
      </c>
      <c r="I769" s="12" t="s">
        <v>2237</v>
      </c>
      <c r="J769" s="12">
        <v>0</v>
      </c>
      <c r="K769" s="12" t="s">
        <v>2237</v>
      </c>
      <c r="L769" s="12">
        <v>0</v>
      </c>
      <c r="M769" s="12" t="s">
        <v>2237</v>
      </c>
      <c r="N769" s="8">
        <v>0</v>
      </c>
      <c r="O769" s="12" t="s">
        <v>2237</v>
      </c>
      <c r="P769" s="12" t="s">
        <v>2236</v>
      </c>
      <c r="Q769" s="10" t="s">
        <v>2236</v>
      </c>
      <c r="R769" s="10" t="s">
        <v>2236</v>
      </c>
      <c r="S769" s="10" t="s">
        <v>2236</v>
      </c>
      <c r="T769" s="10" t="s">
        <v>2236</v>
      </c>
      <c r="U7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0" spans="1:31" hidden="1" x14ac:dyDescent="0.3">
      <c r="A770" s="12" t="s">
        <v>2551</v>
      </c>
      <c r="B770" s="12" t="s">
        <v>2371</v>
      </c>
      <c r="C770" s="12" t="s">
        <v>3276</v>
      </c>
      <c r="D770" s="12" t="s">
        <v>3277</v>
      </c>
      <c r="E770" s="12" t="s">
        <v>2236</v>
      </c>
      <c r="F770" s="8">
        <v>0</v>
      </c>
      <c r="G770" s="12" t="s">
        <v>2237</v>
      </c>
      <c r="H770" s="12">
        <v>0</v>
      </c>
      <c r="I770" s="12" t="s">
        <v>2237</v>
      </c>
      <c r="J770" s="12">
        <v>0</v>
      </c>
      <c r="K770" s="12" t="s">
        <v>2237</v>
      </c>
      <c r="L770" s="12">
        <v>0</v>
      </c>
      <c r="M770" s="12" t="s">
        <v>2237</v>
      </c>
      <c r="N770" s="8">
        <v>0</v>
      </c>
      <c r="O770" s="12" t="s">
        <v>2237</v>
      </c>
      <c r="P770" s="12" t="s">
        <v>2236</v>
      </c>
      <c r="Q770" s="10" t="s">
        <v>2236</v>
      </c>
      <c r="R770" s="10" t="s">
        <v>2236</v>
      </c>
      <c r="S770" s="10" t="s">
        <v>2236</v>
      </c>
      <c r="T770" s="10" t="s">
        <v>2236</v>
      </c>
      <c r="U7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1" spans="1:31" hidden="1" x14ac:dyDescent="0.3">
      <c r="A771" s="12" t="s">
        <v>2552</v>
      </c>
      <c r="B771" s="12" t="s">
        <v>2371</v>
      </c>
      <c r="C771" s="12" t="s">
        <v>3278</v>
      </c>
      <c r="D771" s="12" t="s">
        <v>3279</v>
      </c>
      <c r="E771" s="12" t="s">
        <v>2236</v>
      </c>
      <c r="F771" s="8">
        <v>0</v>
      </c>
      <c r="G771" s="12" t="s">
        <v>2237</v>
      </c>
      <c r="H771" s="12">
        <v>0</v>
      </c>
      <c r="I771" s="12" t="s">
        <v>2237</v>
      </c>
      <c r="J771" s="12">
        <v>0</v>
      </c>
      <c r="K771" s="12" t="s">
        <v>2237</v>
      </c>
      <c r="L771" s="12">
        <v>0</v>
      </c>
      <c r="M771" s="12" t="s">
        <v>2237</v>
      </c>
      <c r="N771" s="8">
        <v>0</v>
      </c>
      <c r="O771" s="12" t="s">
        <v>2237</v>
      </c>
      <c r="P771" s="12" t="s">
        <v>2236</v>
      </c>
      <c r="Q771" s="10" t="s">
        <v>2236</v>
      </c>
      <c r="R771" s="10" t="s">
        <v>2236</v>
      </c>
      <c r="S771" s="10" t="s">
        <v>2236</v>
      </c>
      <c r="T771" s="10" t="s">
        <v>2236</v>
      </c>
      <c r="U7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2" spans="1:31" hidden="1" x14ac:dyDescent="0.3">
      <c r="A772" s="12" t="s">
        <v>2553</v>
      </c>
      <c r="B772" s="12" t="s">
        <v>2371</v>
      </c>
      <c r="C772" s="12" t="s">
        <v>3280</v>
      </c>
      <c r="D772" s="12" t="s">
        <v>3281</v>
      </c>
      <c r="E772" s="12" t="s">
        <v>2236</v>
      </c>
      <c r="F772" s="8">
        <v>0</v>
      </c>
      <c r="G772" s="12" t="s">
        <v>2237</v>
      </c>
      <c r="H772" s="12">
        <v>0</v>
      </c>
      <c r="I772" s="12" t="s">
        <v>2237</v>
      </c>
      <c r="J772" s="12">
        <v>0</v>
      </c>
      <c r="K772" s="12" t="s">
        <v>2237</v>
      </c>
      <c r="L772" s="12">
        <v>0</v>
      </c>
      <c r="M772" s="12" t="s">
        <v>2237</v>
      </c>
      <c r="N772" s="8">
        <v>0</v>
      </c>
      <c r="O772" s="12" t="s">
        <v>2237</v>
      </c>
      <c r="P772" s="12" t="s">
        <v>2236</v>
      </c>
      <c r="Q772" s="10" t="s">
        <v>2236</v>
      </c>
      <c r="R772" s="10" t="s">
        <v>2236</v>
      </c>
      <c r="S772" s="10" t="s">
        <v>2236</v>
      </c>
      <c r="T772" s="10" t="s">
        <v>2236</v>
      </c>
      <c r="U7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3" spans="1:31" hidden="1" x14ac:dyDescent="0.3">
      <c r="A773" s="12" t="s">
        <v>2554</v>
      </c>
      <c r="B773" s="12" t="s">
        <v>2371</v>
      </c>
      <c r="C773" s="12" t="s">
        <v>3282</v>
      </c>
      <c r="D773" s="12" t="s">
        <v>3283</v>
      </c>
      <c r="E773" s="12" t="s">
        <v>2236</v>
      </c>
      <c r="F773" s="8">
        <v>0</v>
      </c>
      <c r="G773" s="12" t="s">
        <v>2237</v>
      </c>
      <c r="H773" s="12">
        <v>0</v>
      </c>
      <c r="I773" s="12" t="s">
        <v>2237</v>
      </c>
      <c r="J773" s="12">
        <v>0</v>
      </c>
      <c r="K773" s="12" t="s">
        <v>2237</v>
      </c>
      <c r="L773" s="12">
        <v>0</v>
      </c>
      <c r="M773" s="12" t="s">
        <v>2237</v>
      </c>
      <c r="N773" s="8">
        <v>0</v>
      </c>
      <c r="O773" s="12" t="s">
        <v>2237</v>
      </c>
      <c r="P773" s="12" t="s">
        <v>2236</v>
      </c>
      <c r="Q773" s="10" t="s">
        <v>2236</v>
      </c>
      <c r="R773" s="10" t="s">
        <v>2236</v>
      </c>
      <c r="S773" s="10" t="s">
        <v>2236</v>
      </c>
      <c r="T773" s="10" t="s">
        <v>2236</v>
      </c>
      <c r="U7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4" spans="1:31" hidden="1" x14ac:dyDescent="0.3">
      <c r="A774" s="12" t="s">
        <v>2555</v>
      </c>
      <c r="B774" s="12" t="s">
        <v>2371</v>
      </c>
      <c r="C774" s="12" t="s">
        <v>3284</v>
      </c>
      <c r="D774" s="12" t="s">
        <v>3285</v>
      </c>
      <c r="E774" s="12" t="s">
        <v>2236</v>
      </c>
      <c r="F774" s="8">
        <v>0</v>
      </c>
      <c r="G774" s="12" t="s">
        <v>2237</v>
      </c>
      <c r="H774" s="12">
        <v>0</v>
      </c>
      <c r="I774" s="12" t="s">
        <v>2237</v>
      </c>
      <c r="J774" s="12">
        <v>0</v>
      </c>
      <c r="K774" s="12" t="s">
        <v>2237</v>
      </c>
      <c r="L774" s="12">
        <v>0</v>
      </c>
      <c r="M774" s="12" t="s">
        <v>2237</v>
      </c>
      <c r="N774" s="8">
        <v>0</v>
      </c>
      <c r="O774" s="12" t="s">
        <v>2237</v>
      </c>
      <c r="P774" s="12" t="s">
        <v>2236</v>
      </c>
      <c r="Q774" s="10" t="s">
        <v>2236</v>
      </c>
      <c r="R774" s="10" t="s">
        <v>2236</v>
      </c>
      <c r="S774" s="10" t="s">
        <v>2236</v>
      </c>
      <c r="T774" s="10" t="s">
        <v>2236</v>
      </c>
      <c r="U7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5" spans="1:31" hidden="1" x14ac:dyDescent="0.3">
      <c r="A775" s="12" t="s">
        <v>2556</v>
      </c>
      <c r="B775" s="12" t="s">
        <v>2371</v>
      </c>
      <c r="C775" s="12" t="s">
        <v>3286</v>
      </c>
      <c r="D775" s="12" t="s">
        <v>3287</v>
      </c>
      <c r="E775" s="12" t="s">
        <v>2236</v>
      </c>
      <c r="F775" s="8">
        <v>0</v>
      </c>
      <c r="G775" s="12" t="s">
        <v>2237</v>
      </c>
      <c r="H775" s="12">
        <v>0</v>
      </c>
      <c r="I775" s="12" t="s">
        <v>2237</v>
      </c>
      <c r="J775" s="12">
        <v>0</v>
      </c>
      <c r="K775" s="12" t="s">
        <v>2237</v>
      </c>
      <c r="L775" s="12">
        <v>0</v>
      </c>
      <c r="M775" s="12" t="s">
        <v>2237</v>
      </c>
      <c r="N775" s="8">
        <v>0</v>
      </c>
      <c r="O775" s="12" t="s">
        <v>2237</v>
      </c>
      <c r="P775" s="12" t="s">
        <v>2236</v>
      </c>
      <c r="Q775" s="10" t="s">
        <v>2236</v>
      </c>
      <c r="R775" s="10" t="s">
        <v>2236</v>
      </c>
      <c r="S775" s="10" t="s">
        <v>2236</v>
      </c>
      <c r="T775" s="10" t="s">
        <v>2236</v>
      </c>
      <c r="U7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6" spans="1:31" hidden="1" x14ac:dyDescent="0.3">
      <c r="A776" s="12" t="s">
        <v>2557</v>
      </c>
      <c r="B776" s="12" t="s">
        <v>2371</v>
      </c>
      <c r="C776" s="12" t="s">
        <v>3288</v>
      </c>
      <c r="D776" s="12" t="s">
        <v>3289</v>
      </c>
      <c r="E776" s="12" t="s">
        <v>2236</v>
      </c>
      <c r="F776" s="8">
        <v>0</v>
      </c>
      <c r="G776" s="12" t="s">
        <v>2237</v>
      </c>
      <c r="H776" s="12">
        <v>0</v>
      </c>
      <c r="I776" s="12" t="s">
        <v>2237</v>
      </c>
      <c r="J776" s="12">
        <v>0</v>
      </c>
      <c r="K776" s="12" t="s">
        <v>2237</v>
      </c>
      <c r="L776" s="12">
        <v>0</v>
      </c>
      <c r="M776" s="12" t="s">
        <v>2237</v>
      </c>
      <c r="N776" s="8">
        <v>0</v>
      </c>
      <c r="O776" s="12" t="s">
        <v>2237</v>
      </c>
      <c r="P776" s="12" t="s">
        <v>2236</v>
      </c>
      <c r="Q776" s="10" t="s">
        <v>2236</v>
      </c>
      <c r="R776" s="10" t="s">
        <v>2236</v>
      </c>
      <c r="S776" s="10" t="s">
        <v>2236</v>
      </c>
      <c r="T776" s="10" t="s">
        <v>2236</v>
      </c>
      <c r="U7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7" spans="1:31" hidden="1" x14ac:dyDescent="0.3">
      <c r="A777" s="12" t="s">
        <v>2558</v>
      </c>
      <c r="B777" s="12" t="s">
        <v>2371</v>
      </c>
      <c r="C777" s="12" t="s">
        <v>3290</v>
      </c>
      <c r="D777" s="12" t="s">
        <v>3291</v>
      </c>
      <c r="E777" s="12" t="s">
        <v>2236</v>
      </c>
      <c r="F777" s="8">
        <v>0</v>
      </c>
      <c r="G777" s="12" t="s">
        <v>2237</v>
      </c>
      <c r="H777" s="12">
        <v>0</v>
      </c>
      <c r="I777" s="12" t="s">
        <v>2237</v>
      </c>
      <c r="J777" s="12">
        <v>0</v>
      </c>
      <c r="K777" s="12" t="s">
        <v>2237</v>
      </c>
      <c r="L777" s="12">
        <v>0</v>
      </c>
      <c r="M777" s="12" t="s">
        <v>2237</v>
      </c>
      <c r="N777" s="8">
        <v>0</v>
      </c>
      <c r="O777" s="12" t="s">
        <v>2237</v>
      </c>
      <c r="P777" s="12" t="s">
        <v>2236</v>
      </c>
      <c r="Q777" s="10" t="s">
        <v>2236</v>
      </c>
      <c r="R777" s="10" t="s">
        <v>2236</v>
      </c>
      <c r="S777" s="10" t="s">
        <v>2236</v>
      </c>
      <c r="T777" s="10" t="s">
        <v>2236</v>
      </c>
      <c r="U7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8" spans="1:31" hidden="1" x14ac:dyDescent="0.3">
      <c r="A778" s="12" t="s">
        <v>2559</v>
      </c>
      <c r="B778" s="12" t="s">
        <v>2371</v>
      </c>
      <c r="C778" s="12" t="s">
        <v>3292</v>
      </c>
      <c r="D778" s="12" t="s">
        <v>3293</v>
      </c>
      <c r="E778" s="12" t="s">
        <v>2236</v>
      </c>
      <c r="F778" s="8">
        <v>0</v>
      </c>
      <c r="G778" s="12" t="s">
        <v>2237</v>
      </c>
      <c r="H778" s="12">
        <v>0</v>
      </c>
      <c r="I778" s="12" t="s">
        <v>2237</v>
      </c>
      <c r="J778" s="12">
        <v>0</v>
      </c>
      <c r="K778" s="12" t="s">
        <v>2237</v>
      </c>
      <c r="L778" s="12">
        <v>0</v>
      </c>
      <c r="M778" s="12" t="s">
        <v>2237</v>
      </c>
      <c r="N778" s="8">
        <v>0</v>
      </c>
      <c r="O778" s="12" t="s">
        <v>2237</v>
      </c>
      <c r="P778" s="12" t="s">
        <v>2236</v>
      </c>
      <c r="Q778" s="10" t="s">
        <v>2236</v>
      </c>
      <c r="R778" s="10" t="s">
        <v>2236</v>
      </c>
      <c r="S778" s="10" t="s">
        <v>2236</v>
      </c>
      <c r="T778" s="10" t="s">
        <v>2236</v>
      </c>
      <c r="U7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79" spans="1:31" hidden="1" x14ac:dyDescent="0.3">
      <c r="A779" s="12" t="s">
        <v>2560</v>
      </c>
      <c r="B779" s="12" t="s">
        <v>2371</v>
      </c>
      <c r="C779" s="12" t="s">
        <v>3294</v>
      </c>
      <c r="D779" s="12" t="s">
        <v>3295</v>
      </c>
      <c r="E779" s="12" t="s">
        <v>2236</v>
      </c>
      <c r="F779" s="8">
        <v>0</v>
      </c>
      <c r="G779" s="12" t="s">
        <v>2237</v>
      </c>
      <c r="H779" s="12">
        <v>0</v>
      </c>
      <c r="I779" s="12" t="s">
        <v>2237</v>
      </c>
      <c r="J779" s="12">
        <v>0</v>
      </c>
      <c r="K779" s="12" t="s">
        <v>2237</v>
      </c>
      <c r="L779" s="12">
        <v>0</v>
      </c>
      <c r="M779" s="12" t="s">
        <v>2237</v>
      </c>
      <c r="N779" s="8">
        <v>0</v>
      </c>
      <c r="O779" s="12" t="s">
        <v>2237</v>
      </c>
      <c r="P779" s="12" t="s">
        <v>2236</v>
      </c>
      <c r="Q779" s="10" t="s">
        <v>2236</v>
      </c>
      <c r="R779" s="10" t="s">
        <v>2236</v>
      </c>
      <c r="S779" s="10" t="s">
        <v>2236</v>
      </c>
      <c r="T779" s="10" t="s">
        <v>2236</v>
      </c>
      <c r="U7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0" spans="1:31" hidden="1" x14ac:dyDescent="0.3">
      <c r="A780" s="12" t="s">
        <v>2561</v>
      </c>
      <c r="B780" s="12" t="s">
        <v>2371</v>
      </c>
      <c r="C780" s="12" t="s">
        <v>3296</v>
      </c>
      <c r="D780" s="12" t="s">
        <v>3297</v>
      </c>
      <c r="E780" s="12" t="s">
        <v>2236</v>
      </c>
      <c r="F780" s="8">
        <v>0</v>
      </c>
      <c r="G780" s="12" t="s">
        <v>2237</v>
      </c>
      <c r="H780" s="12">
        <v>0</v>
      </c>
      <c r="I780" s="12" t="s">
        <v>2237</v>
      </c>
      <c r="J780" s="12">
        <v>0</v>
      </c>
      <c r="K780" s="12" t="s">
        <v>2237</v>
      </c>
      <c r="L780" s="12">
        <v>0</v>
      </c>
      <c r="M780" s="12" t="s">
        <v>2237</v>
      </c>
      <c r="N780" s="8">
        <v>0</v>
      </c>
      <c r="O780" s="12" t="s">
        <v>2237</v>
      </c>
      <c r="P780" s="12" t="s">
        <v>2236</v>
      </c>
      <c r="Q780" s="10" t="s">
        <v>2236</v>
      </c>
      <c r="R780" s="10" t="s">
        <v>2236</v>
      </c>
      <c r="S780" s="10" t="s">
        <v>2236</v>
      </c>
      <c r="T780" s="10" t="s">
        <v>2236</v>
      </c>
      <c r="U7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1" spans="1:31" hidden="1" x14ac:dyDescent="0.3">
      <c r="A781" s="12" t="s">
        <v>2562</v>
      </c>
      <c r="B781" s="12" t="s">
        <v>2371</v>
      </c>
      <c r="C781" s="12" t="s">
        <v>3298</v>
      </c>
      <c r="D781" s="12" t="s">
        <v>3299</v>
      </c>
      <c r="E781" s="12" t="s">
        <v>2236</v>
      </c>
      <c r="F781" s="8">
        <v>0</v>
      </c>
      <c r="G781" s="12" t="s">
        <v>2237</v>
      </c>
      <c r="H781" s="12">
        <v>0</v>
      </c>
      <c r="I781" s="12" t="s">
        <v>2237</v>
      </c>
      <c r="J781" s="12">
        <v>0</v>
      </c>
      <c r="K781" s="12" t="s">
        <v>2237</v>
      </c>
      <c r="L781" s="12">
        <v>0</v>
      </c>
      <c r="M781" s="12" t="s">
        <v>2237</v>
      </c>
      <c r="N781" s="8">
        <v>0</v>
      </c>
      <c r="O781" s="12" t="s">
        <v>2237</v>
      </c>
      <c r="P781" s="12" t="s">
        <v>2236</v>
      </c>
      <c r="Q781" s="10" t="s">
        <v>2236</v>
      </c>
      <c r="R781" s="10" t="s">
        <v>2236</v>
      </c>
      <c r="S781" s="10" t="s">
        <v>2236</v>
      </c>
      <c r="T781" s="10" t="s">
        <v>2236</v>
      </c>
      <c r="U7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2" spans="1:31" hidden="1" x14ac:dyDescent="0.3">
      <c r="A782" s="12" t="s">
        <v>2563</v>
      </c>
      <c r="B782" s="12" t="s">
        <v>2371</v>
      </c>
      <c r="C782" s="12" t="s">
        <v>3300</v>
      </c>
      <c r="D782" s="12" t="s">
        <v>3301</v>
      </c>
      <c r="E782" s="12" t="s">
        <v>2236</v>
      </c>
      <c r="F782" s="8">
        <v>0</v>
      </c>
      <c r="G782" s="12" t="s">
        <v>2237</v>
      </c>
      <c r="H782" s="12">
        <v>0</v>
      </c>
      <c r="I782" s="12" t="s">
        <v>2237</v>
      </c>
      <c r="J782" s="12">
        <v>0</v>
      </c>
      <c r="K782" s="12" t="s">
        <v>2237</v>
      </c>
      <c r="L782" s="12">
        <v>0</v>
      </c>
      <c r="M782" s="12" t="s">
        <v>2237</v>
      </c>
      <c r="N782" s="8">
        <v>0</v>
      </c>
      <c r="O782" s="12" t="s">
        <v>2237</v>
      </c>
      <c r="P782" s="12" t="s">
        <v>2236</v>
      </c>
      <c r="Q782" s="10" t="s">
        <v>2236</v>
      </c>
      <c r="R782" s="10" t="s">
        <v>2236</v>
      </c>
      <c r="S782" s="10" t="s">
        <v>2236</v>
      </c>
      <c r="T782" s="10" t="s">
        <v>2236</v>
      </c>
      <c r="U7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3" spans="1:31" hidden="1" x14ac:dyDescent="0.3">
      <c r="A783" s="12" t="s">
        <v>2564</v>
      </c>
      <c r="B783" s="12" t="s">
        <v>2371</v>
      </c>
      <c r="C783" s="12" t="s">
        <v>3302</v>
      </c>
      <c r="D783" s="12" t="s">
        <v>3303</v>
      </c>
      <c r="E783" s="12" t="s">
        <v>2236</v>
      </c>
      <c r="F783" s="8">
        <v>0</v>
      </c>
      <c r="G783" s="12" t="s">
        <v>2237</v>
      </c>
      <c r="H783" s="12">
        <v>0</v>
      </c>
      <c r="I783" s="12" t="s">
        <v>2237</v>
      </c>
      <c r="J783" s="12">
        <v>0</v>
      </c>
      <c r="K783" s="12" t="s">
        <v>2237</v>
      </c>
      <c r="L783" s="12">
        <v>0</v>
      </c>
      <c r="M783" s="12" t="s">
        <v>2237</v>
      </c>
      <c r="N783" s="8">
        <v>0</v>
      </c>
      <c r="O783" s="12" t="s">
        <v>2237</v>
      </c>
      <c r="P783" s="12" t="s">
        <v>2236</v>
      </c>
      <c r="Q783" s="10" t="s">
        <v>2236</v>
      </c>
      <c r="R783" s="10" t="s">
        <v>2236</v>
      </c>
      <c r="S783" s="10" t="s">
        <v>2236</v>
      </c>
      <c r="T783" s="10" t="s">
        <v>2236</v>
      </c>
      <c r="U7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4" spans="1:31" hidden="1" x14ac:dyDescent="0.3">
      <c r="A784" s="12" t="s">
        <v>2565</v>
      </c>
      <c r="B784" s="12" t="s">
        <v>2371</v>
      </c>
      <c r="C784" s="12" t="s">
        <v>3304</v>
      </c>
      <c r="D784" s="12" t="s">
        <v>3305</v>
      </c>
      <c r="E784" s="12" t="s">
        <v>2236</v>
      </c>
      <c r="F784" s="8">
        <v>0</v>
      </c>
      <c r="G784" s="12" t="s">
        <v>2237</v>
      </c>
      <c r="H784" s="12">
        <v>0</v>
      </c>
      <c r="I784" s="12" t="s">
        <v>2237</v>
      </c>
      <c r="J784" s="12">
        <v>0</v>
      </c>
      <c r="K784" s="12" t="s">
        <v>2237</v>
      </c>
      <c r="L784" s="12">
        <v>0</v>
      </c>
      <c r="M784" s="12" t="s">
        <v>2237</v>
      </c>
      <c r="N784" s="8">
        <v>0</v>
      </c>
      <c r="O784" s="12" t="s">
        <v>2237</v>
      </c>
      <c r="P784" s="12" t="s">
        <v>2236</v>
      </c>
      <c r="Q784" s="10" t="s">
        <v>2236</v>
      </c>
      <c r="R784" s="10" t="s">
        <v>2236</v>
      </c>
      <c r="S784" s="10" t="s">
        <v>2236</v>
      </c>
      <c r="T784" s="10" t="s">
        <v>2236</v>
      </c>
      <c r="U7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5" spans="1:31" hidden="1" x14ac:dyDescent="0.3">
      <c r="A785" s="12" t="s">
        <v>2566</v>
      </c>
      <c r="B785" s="12" t="s">
        <v>2371</v>
      </c>
      <c r="C785" s="12" t="s">
        <v>3306</v>
      </c>
      <c r="D785" s="12" t="s">
        <v>3307</v>
      </c>
      <c r="E785" s="12" t="s">
        <v>2236</v>
      </c>
      <c r="F785" s="8">
        <v>0</v>
      </c>
      <c r="G785" s="12" t="s">
        <v>2237</v>
      </c>
      <c r="H785" s="12">
        <v>0</v>
      </c>
      <c r="I785" s="12" t="s">
        <v>2237</v>
      </c>
      <c r="J785" s="12">
        <v>0</v>
      </c>
      <c r="K785" s="12" t="s">
        <v>2237</v>
      </c>
      <c r="L785" s="12">
        <v>0</v>
      </c>
      <c r="M785" s="12" t="s">
        <v>2237</v>
      </c>
      <c r="N785" s="8">
        <v>0</v>
      </c>
      <c r="O785" s="12" t="s">
        <v>2237</v>
      </c>
      <c r="P785" s="12" t="s">
        <v>2236</v>
      </c>
      <c r="Q785" s="10" t="s">
        <v>2236</v>
      </c>
      <c r="R785" s="10" t="s">
        <v>2236</v>
      </c>
      <c r="S785" s="10" t="s">
        <v>2236</v>
      </c>
      <c r="T785" s="10" t="s">
        <v>2236</v>
      </c>
      <c r="U7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6" spans="1:31" hidden="1" x14ac:dyDescent="0.3">
      <c r="A786" s="12" t="s">
        <v>2567</v>
      </c>
      <c r="B786" s="12" t="s">
        <v>2371</v>
      </c>
      <c r="C786" s="12" t="s">
        <v>3308</v>
      </c>
      <c r="D786" s="12" t="s">
        <v>3309</v>
      </c>
      <c r="E786" s="12" t="s">
        <v>2236</v>
      </c>
      <c r="F786" s="8">
        <v>0</v>
      </c>
      <c r="G786" s="12" t="s">
        <v>2237</v>
      </c>
      <c r="H786" s="12">
        <v>0</v>
      </c>
      <c r="I786" s="12" t="s">
        <v>2237</v>
      </c>
      <c r="J786" s="12">
        <v>0</v>
      </c>
      <c r="K786" s="12" t="s">
        <v>2237</v>
      </c>
      <c r="L786" s="12">
        <v>0</v>
      </c>
      <c r="M786" s="12" t="s">
        <v>2237</v>
      </c>
      <c r="N786" s="8">
        <v>0</v>
      </c>
      <c r="O786" s="12" t="s">
        <v>2237</v>
      </c>
      <c r="P786" s="12" t="s">
        <v>2236</v>
      </c>
      <c r="Q786" s="10" t="s">
        <v>2236</v>
      </c>
      <c r="R786" s="10" t="s">
        <v>2236</v>
      </c>
      <c r="S786" s="10" t="s">
        <v>2236</v>
      </c>
      <c r="T786" s="10" t="s">
        <v>2236</v>
      </c>
      <c r="U7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7" spans="1:31" hidden="1" x14ac:dyDescent="0.3">
      <c r="A787" s="12" t="s">
        <v>2568</v>
      </c>
      <c r="B787" s="12" t="s">
        <v>2371</v>
      </c>
      <c r="C787" s="12" t="s">
        <v>2972</v>
      </c>
      <c r="D787" s="12" t="s">
        <v>3310</v>
      </c>
      <c r="E787" s="12" t="s">
        <v>2236</v>
      </c>
      <c r="F787" s="8">
        <v>0</v>
      </c>
      <c r="G787" s="12" t="s">
        <v>2237</v>
      </c>
      <c r="H787" s="12">
        <v>0</v>
      </c>
      <c r="I787" s="12" t="s">
        <v>2237</v>
      </c>
      <c r="J787" s="12">
        <v>0</v>
      </c>
      <c r="K787" s="12" t="s">
        <v>2237</v>
      </c>
      <c r="L787" s="12">
        <v>0</v>
      </c>
      <c r="M787" s="12" t="s">
        <v>2237</v>
      </c>
      <c r="N787" s="8">
        <v>0</v>
      </c>
      <c r="O787" s="12" t="s">
        <v>2237</v>
      </c>
      <c r="P787" s="12" t="s">
        <v>2236</v>
      </c>
      <c r="Q787" s="10" t="s">
        <v>2236</v>
      </c>
      <c r="R787" s="10" t="s">
        <v>2236</v>
      </c>
      <c r="S787" s="10" t="s">
        <v>2236</v>
      </c>
      <c r="T787" s="10" t="s">
        <v>2236</v>
      </c>
      <c r="U7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8" spans="1:31" hidden="1" x14ac:dyDescent="0.3">
      <c r="A788" s="12" t="s">
        <v>2569</v>
      </c>
      <c r="B788" s="12" t="s">
        <v>2371</v>
      </c>
      <c r="C788" s="12" t="s">
        <v>3311</v>
      </c>
      <c r="D788" s="12" t="s">
        <v>3312</v>
      </c>
      <c r="E788" s="12" t="s">
        <v>2236</v>
      </c>
      <c r="F788" s="8">
        <v>0</v>
      </c>
      <c r="G788" s="12" t="s">
        <v>2237</v>
      </c>
      <c r="H788" s="12">
        <v>0</v>
      </c>
      <c r="I788" s="12" t="s">
        <v>2237</v>
      </c>
      <c r="J788" s="12">
        <v>0</v>
      </c>
      <c r="K788" s="12" t="s">
        <v>2237</v>
      </c>
      <c r="L788" s="12">
        <v>0</v>
      </c>
      <c r="M788" s="12" t="s">
        <v>2237</v>
      </c>
      <c r="N788" s="8">
        <v>0</v>
      </c>
      <c r="O788" s="12" t="s">
        <v>2237</v>
      </c>
      <c r="P788" s="12" t="s">
        <v>2236</v>
      </c>
      <c r="Q788" s="10" t="s">
        <v>2236</v>
      </c>
      <c r="R788" s="10" t="s">
        <v>2236</v>
      </c>
      <c r="S788" s="10" t="s">
        <v>2236</v>
      </c>
      <c r="T788" s="10" t="s">
        <v>2236</v>
      </c>
      <c r="U7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89" spans="1:31" hidden="1" x14ac:dyDescent="0.3">
      <c r="A789" s="12" t="s">
        <v>2570</v>
      </c>
      <c r="B789" s="12" t="s">
        <v>2371</v>
      </c>
      <c r="C789" s="12" t="s">
        <v>3313</v>
      </c>
      <c r="D789" s="12" t="s">
        <v>3314</v>
      </c>
      <c r="E789" s="12" t="s">
        <v>2236</v>
      </c>
      <c r="F789" s="8">
        <v>0</v>
      </c>
      <c r="G789" s="12" t="s">
        <v>2237</v>
      </c>
      <c r="H789" s="12">
        <v>0</v>
      </c>
      <c r="I789" s="12" t="s">
        <v>2237</v>
      </c>
      <c r="J789" s="12">
        <v>0</v>
      </c>
      <c r="K789" s="12" t="s">
        <v>2237</v>
      </c>
      <c r="L789" s="12">
        <v>0</v>
      </c>
      <c r="M789" s="12" t="s">
        <v>2237</v>
      </c>
      <c r="N789" s="8">
        <v>0</v>
      </c>
      <c r="O789" s="12" t="s">
        <v>2237</v>
      </c>
      <c r="P789" s="12" t="s">
        <v>2236</v>
      </c>
      <c r="Q789" s="10" t="s">
        <v>2236</v>
      </c>
      <c r="R789" s="10" t="s">
        <v>2236</v>
      </c>
      <c r="S789" s="10" t="s">
        <v>2236</v>
      </c>
      <c r="T789" s="10" t="s">
        <v>2236</v>
      </c>
      <c r="U7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0" spans="1:31" hidden="1" x14ac:dyDescent="0.3">
      <c r="A790" s="12" t="s">
        <v>2571</v>
      </c>
      <c r="B790" s="12" t="s">
        <v>2371</v>
      </c>
      <c r="C790" s="12" t="s">
        <v>3315</v>
      </c>
      <c r="D790" s="12" t="s">
        <v>3316</v>
      </c>
      <c r="E790" s="12" t="s">
        <v>2236</v>
      </c>
      <c r="F790" s="8">
        <v>0</v>
      </c>
      <c r="G790" s="12" t="s">
        <v>2237</v>
      </c>
      <c r="H790" s="12">
        <v>0</v>
      </c>
      <c r="I790" s="12" t="s">
        <v>2237</v>
      </c>
      <c r="J790" s="12">
        <v>0</v>
      </c>
      <c r="K790" s="12" t="s">
        <v>2237</v>
      </c>
      <c r="L790" s="12">
        <v>0</v>
      </c>
      <c r="M790" s="12" t="s">
        <v>2237</v>
      </c>
      <c r="N790" s="8">
        <v>0</v>
      </c>
      <c r="O790" s="12" t="s">
        <v>2237</v>
      </c>
      <c r="P790" s="12" t="s">
        <v>2236</v>
      </c>
      <c r="Q790" s="10" t="s">
        <v>2236</v>
      </c>
      <c r="R790" s="10" t="s">
        <v>2236</v>
      </c>
      <c r="S790" s="10" t="s">
        <v>2236</v>
      </c>
      <c r="T790" s="10" t="s">
        <v>2236</v>
      </c>
      <c r="U7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1" spans="1:31" hidden="1" x14ac:dyDescent="0.3">
      <c r="A791" s="12" t="s">
        <v>2572</v>
      </c>
      <c r="B791" s="12" t="s">
        <v>2371</v>
      </c>
      <c r="C791" s="12" t="s">
        <v>3317</v>
      </c>
      <c r="D791" s="12" t="s">
        <v>3318</v>
      </c>
      <c r="E791" s="12" t="s">
        <v>2236</v>
      </c>
      <c r="F791" s="8">
        <v>0</v>
      </c>
      <c r="G791" s="12" t="s">
        <v>2237</v>
      </c>
      <c r="H791" s="12">
        <v>0</v>
      </c>
      <c r="I791" s="12" t="s">
        <v>2237</v>
      </c>
      <c r="J791" s="12">
        <v>0</v>
      </c>
      <c r="K791" s="12" t="s">
        <v>2237</v>
      </c>
      <c r="L791" s="12">
        <v>0</v>
      </c>
      <c r="M791" s="12" t="s">
        <v>2237</v>
      </c>
      <c r="N791" s="8">
        <v>0</v>
      </c>
      <c r="O791" s="12" t="s">
        <v>2237</v>
      </c>
      <c r="P791" s="12" t="s">
        <v>2236</v>
      </c>
      <c r="Q791" s="10" t="s">
        <v>2236</v>
      </c>
      <c r="R791" s="10" t="s">
        <v>2236</v>
      </c>
      <c r="S791" s="10" t="s">
        <v>2236</v>
      </c>
      <c r="T791" s="10" t="s">
        <v>2236</v>
      </c>
      <c r="U7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2" spans="1:31" hidden="1" x14ac:dyDescent="0.3">
      <c r="A792" s="12" t="s">
        <v>2573</v>
      </c>
      <c r="B792" s="12" t="s">
        <v>2371</v>
      </c>
      <c r="C792" s="12" t="s">
        <v>3319</v>
      </c>
      <c r="D792" s="12" t="s">
        <v>3320</v>
      </c>
      <c r="E792" s="12" t="s">
        <v>2236</v>
      </c>
      <c r="F792" s="8">
        <v>0</v>
      </c>
      <c r="G792" s="12" t="s">
        <v>2237</v>
      </c>
      <c r="H792" s="12">
        <v>0</v>
      </c>
      <c r="I792" s="12" t="s">
        <v>2237</v>
      </c>
      <c r="J792" s="12">
        <v>0</v>
      </c>
      <c r="K792" s="12" t="s">
        <v>2237</v>
      </c>
      <c r="L792" s="12">
        <v>0</v>
      </c>
      <c r="M792" s="12" t="s">
        <v>2237</v>
      </c>
      <c r="N792" s="8">
        <v>0</v>
      </c>
      <c r="O792" s="12" t="s">
        <v>2237</v>
      </c>
      <c r="P792" s="12" t="s">
        <v>2236</v>
      </c>
      <c r="Q792" s="10" t="s">
        <v>2236</v>
      </c>
      <c r="R792" s="10" t="s">
        <v>2236</v>
      </c>
      <c r="S792" s="10" t="s">
        <v>2236</v>
      </c>
      <c r="T792" s="10" t="s">
        <v>2236</v>
      </c>
      <c r="U7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3" spans="1:31" hidden="1" x14ac:dyDescent="0.3">
      <c r="A793" s="12" t="s">
        <v>2574</v>
      </c>
      <c r="B793" s="12" t="s">
        <v>2371</v>
      </c>
      <c r="C793" s="12" t="s">
        <v>3231</v>
      </c>
      <c r="D793" s="12" t="s">
        <v>3321</v>
      </c>
      <c r="E793" s="12" t="s">
        <v>2236</v>
      </c>
      <c r="F793" s="8">
        <v>0</v>
      </c>
      <c r="G793" s="12" t="s">
        <v>2237</v>
      </c>
      <c r="H793" s="12">
        <v>0</v>
      </c>
      <c r="I793" s="12" t="s">
        <v>2237</v>
      </c>
      <c r="J793" s="12">
        <v>0</v>
      </c>
      <c r="K793" s="12" t="s">
        <v>2237</v>
      </c>
      <c r="L793" s="12">
        <v>0</v>
      </c>
      <c r="M793" s="12" t="s">
        <v>2237</v>
      </c>
      <c r="N793" s="8">
        <v>0</v>
      </c>
      <c r="O793" s="12" t="s">
        <v>2237</v>
      </c>
      <c r="P793" s="12" t="s">
        <v>2236</v>
      </c>
      <c r="Q793" s="10" t="s">
        <v>2236</v>
      </c>
      <c r="R793" s="10" t="s">
        <v>2236</v>
      </c>
      <c r="S793" s="10" t="s">
        <v>2236</v>
      </c>
      <c r="T793" s="10" t="s">
        <v>2236</v>
      </c>
      <c r="U7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4" spans="1:31" hidden="1" x14ac:dyDescent="0.3">
      <c r="A794" s="12" t="s">
        <v>2575</v>
      </c>
      <c r="B794" s="12" t="s">
        <v>2371</v>
      </c>
      <c r="C794" s="12" t="s">
        <v>3229</v>
      </c>
      <c r="D794" s="12" t="s">
        <v>3322</v>
      </c>
      <c r="E794" s="12" t="s">
        <v>2236</v>
      </c>
      <c r="F794" s="8">
        <v>0</v>
      </c>
      <c r="G794" s="12" t="s">
        <v>2237</v>
      </c>
      <c r="H794" s="12">
        <v>0</v>
      </c>
      <c r="I794" s="12" t="s">
        <v>2237</v>
      </c>
      <c r="J794" s="12">
        <v>0</v>
      </c>
      <c r="K794" s="12" t="s">
        <v>2237</v>
      </c>
      <c r="L794" s="12">
        <v>0</v>
      </c>
      <c r="M794" s="12" t="s">
        <v>2237</v>
      </c>
      <c r="N794" s="8">
        <v>0</v>
      </c>
      <c r="O794" s="12" t="s">
        <v>2237</v>
      </c>
      <c r="P794" s="12" t="s">
        <v>2236</v>
      </c>
      <c r="Q794" s="10" t="s">
        <v>2236</v>
      </c>
      <c r="R794" s="10" t="s">
        <v>2236</v>
      </c>
      <c r="S794" s="10" t="s">
        <v>2236</v>
      </c>
      <c r="T794" s="10" t="s">
        <v>2236</v>
      </c>
      <c r="U7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5" spans="1:31" hidden="1" x14ac:dyDescent="0.3">
      <c r="A795" s="12" t="s">
        <v>2576</v>
      </c>
      <c r="B795" s="12" t="s">
        <v>2371</v>
      </c>
      <c r="C795" s="12" t="s">
        <v>3323</v>
      </c>
      <c r="D795" s="12" t="s">
        <v>3324</v>
      </c>
      <c r="E795" s="12" t="s">
        <v>2236</v>
      </c>
      <c r="F795" s="8">
        <v>0</v>
      </c>
      <c r="G795" s="12" t="s">
        <v>2237</v>
      </c>
      <c r="H795" s="12">
        <v>0</v>
      </c>
      <c r="I795" s="12" t="s">
        <v>2237</v>
      </c>
      <c r="J795" s="12">
        <v>0</v>
      </c>
      <c r="K795" s="12" t="s">
        <v>2237</v>
      </c>
      <c r="L795" s="12">
        <v>0</v>
      </c>
      <c r="M795" s="12" t="s">
        <v>2237</v>
      </c>
      <c r="N795" s="8">
        <v>0</v>
      </c>
      <c r="O795" s="12" t="s">
        <v>2237</v>
      </c>
      <c r="P795" s="12" t="s">
        <v>2236</v>
      </c>
      <c r="Q795" s="10" t="s">
        <v>2236</v>
      </c>
      <c r="R795" s="10" t="s">
        <v>2236</v>
      </c>
      <c r="S795" s="10" t="s">
        <v>2236</v>
      </c>
      <c r="T795" s="10" t="s">
        <v>2236</v>
      </c>
      <c r="U7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6" spans="1:31" hidden="1" x14ac:dyDescent="0.3">
      <c r="A796" s="12" t="s">
        <v>2577</v>
      </c>
      <c r="B796" s="12" t="s">
        <v>2371</v>
      </c>
      <c r="C796" s="12" t="s">
        <v>3248</v>
      </c>
      <c r="D796" s="12" t="s">
        <v>3325</v>
      </c>
      <c r="E796" s="12" t="s">
        <v>2236</v>
      </c>
      <c r="F796" s="8">
        <v>0</v>
      </c>
      <c r="G796" s="12" t="s">
        <v>2237</v>
      </c>
      <c r="H796" s="12">
        <v>0</v>
      </c>
      <c r="I796" s="12" t="s">
        <v>2237</v>
      </c>
      <c r="J796" s="12">
        <v>0</v>
      </c>
      <c r="K796" s="12" t="s">
        <v>2237</v>
      </c>
      <c r="L796" s="12">
        <v>0</v>
      </c>
      <c r="M796" s="12" t="s">
        <v>2237</v>
      </c>
      <c r="N796" s="8">
        <v>0</v>
      </c>
      <c r="O796" s="12" t="s">
        <v>2237</v>
      </c>
      <c r="P796" s="12" t="s">
        <v>2236</v>
      </c>
      <c r="Q796" s="10" t="s">
        <v>2236</v>
      </c>
      <c r="R796" s="10" t="s">
        <v>2236</v>
      </c>
      <c r="S796" s="10" t="s">
        <v>2236</v>
      </c>
      <c r="T796" s="10" t="s">
        <v>2236</v>
      </c>
      <c r="U7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7" spans="1:31" hidden="1" x14ac:dyDescent="0.3">
      <c r="A797" s="12" t="s">
        <v>2578</v>
      </c>
      <c r="B797" s="12" t="s">
        <v>2371</v>
      </c>
      <c r="C797" s="12" t="s">
        <v>3326</v>
      </c>
      <c r="D797" s="12" t="s">
        <v>3327</v>
      </c>
      <c r="E797" s="12" t="s">
        <v>2236</v>
      </c>
      <c r="F797" s="8">
        <v>0</v>
      </c>
      <c r="G797" s="12" t="s">
        <v>2237</v>
      </c>
      <c r="H797" s="12">
        <v>0</v>
      </c>
      <c r="I797" s="12" t="s">
        <v>2237</v>
      </c>
      <c r="J797" s="12">
        <v>0</v>
      </c>
      <c r="K797" s="12" t="s">
        <v>2237</v>
      </c>
      <c r="L797" s="12">
        <v>0</v>
      </c>
      <c r="M797" s="12" t="s">
        <v>2237</v>
      </c>
      <c r="N797" s="8">
        <v>0</v>
      </c>
      <c r="O797" s="12" t="s">
        <v>2237</v>
      </c>
      <c r="P797" s="12" t="s">
        <v>2236</v>
      </c>
      <c r="Q797" s="10" t="s">
        <v>2236</v>
      </c>
      <c r="R797" s="10" t="s">
        <v>2236</v>
      </c>
      <c r="S797" s="10" t="s">
        <v>2236</v>
      </c>
      <c r="T797" s="10" t="s">
        <v>2236</v>
      </c>
      <c r="U7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8" spans="1:31" hidden="1" x14ac:dyDescent="0.3">
      <c r="A798" s="12" t="s">
        <v>2580</v>
      </c>
      <c r="B798" s="12" t="s">
        <v>2371</v>
      </c>
      <c r="C798" s="12" t="s">
        <v>3328</v>
      </c>
      <c r="D798" s="12" t="s">
        <v>3329</v>
      </c>
      <c r="E798" s="12" t="s">
        <v>2236</v>
      </c>
      <c r="F798" s="8">
        <v>0</v>
      </c>
      <c r="G798" s="12" t="s">
        <v>2237</v>
      </c>
      <c r="H798" s="12">
        <v>0</v>
      </c>
      <c r="I798" s="12" t="s">
        <v>2237</v>
      </c>
      <c r="J798" s="12">
        <v>0</v>
      </c>
      <c r="K798" s="12" t="s">
        <v>2237</v>
      </c>
      <c r="L798" s="12">
        <v>0</v>
      </c>
      <c r="M798" s="12" t="s">
        <v>2237</v>
      </c>
      <c r="N798" s="8">
        <v>0</v>
      </c>
      <c r="O798" s="12" t="s">
        <v>2237</v>
      </c>
      <c r="P798" s="12" t="s">
        <v>2236</v>
      </c>
      <c r="Q798" s="10" t="s">
        <v>2236</v>
      </c>
      <c r="R798" s="10" t="s">
        <v>2236</v>
      </c>
      <c r="S798" s="10" t="s">
        <v>2236</v>
      </c>
      <c r="T798" s="10" t="s">
        <v>2236</v>
      </c>
      <c r="U7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799" spans="1:31" hidden="1" x14ac:dyDescent="0.3">
      <c r="A799" s="12" t="s">
        <v>2581</v>
      </c>
      <c r="B799" s="12" t="s">
        <v>2366</v>
      </c>
      <c r="C799" s="12" t="s">
        <v>3330</v>
      </c>
      <c r="D799" s="12" t="s">
        <v>3331</v>
      </c>
      <c r="E799" s="12" t="s">
        <v>2236</v>
      </c>
      <c r="F799" s="8">
        <v>0</v>
      </c>
      <c r="G799" s="12" t="s">
        <v>2237</v>
      </c>
      <c r="H799" s="12">
        <v>0</v>
      </c>
      <c r="I799" s="12" t="s">
        <v>2237</v>
      </c>
      <c r="J799" s="12">
        <v>0</v>
      </c>
      <c r="K799" s="12" t="s">
        <v>2237</v>
      </c>
      <c r="L799" s="12">
        <v>0</v>
      </c>
      <c r="M799" s="12" t="s">
        <v>2237</v>
      </c>
      <c r="N799" s="8">
        <v>1</v>
      </c>
      <c r="O799" s="12" t="s">
        <v>2237</v>
      </c>
      <c r="P799" s="12" t="s">
        <v>2236</v>
      </c>
      <c r="Q799" s="10" t="s">
        <v>2236</v>
      </c>
      <c r="R799" s="10" t="s">
        <v>2236</v>
      </c>
      <c r="S799" s="10" t="s">
        <v>2236</v>
      </c>
      <c r="T799" s="10" t="s">
        <v>2929</v>
      </c>
      <c r="U7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7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7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7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7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7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7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7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7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7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7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0" spans="1:31" hidden="1" x14ac:dyDescent="0.3">
      <c r="A800" s="12" t="s">
        <v>2582</v>
      </c>
      <c r="B800" s="12" t="s">
        <v>2371</v>
      </c>
      <c r="C800" s="12" t="s">
        <v>3332</v>
      </c>
      <c r="D800" s="12" t="s">
        <v>3333</v>
      </c>
      <c r="E800" s="12" t="s">
        <v>2236</v>
      </c>
      <c r="F800" s="8">
        <v>0</v>
      </c>
      <c r="G800" s="12" t="s">
        <v>2237</v>
      </c>
      <c r="H800" s="12">
        <v>0</v>
      </c>
      <c r="I800" s="12" t="s">
        <v>2237</v>
      </c>
      <c r="J800" s="12">
        <v>0</v>
      </c>
      <c r="K800" s="12" t="s">
        <v>2237</v>
      </c>
      <c r="L800" s="12">
        <v>0</v>
      </c>
      <c r="M800" s="12" t="s">
        <v>2237</v>
      </c>
      <c r="N800" s="8">
        <v>0</v>
      </c>
      <c r="O800" s="12" t="s">
        <v>2237</v>
      </c>
      <c r="P800" s="12" t="s">
        <v>2236</v>
      </c>
      <c r="Q800" s="10" t="s">
        <v>2236</v>
      </c>
      <c r="R800" s="10" t="s">
        <v>2236</v>
      </c>
      <c r="S800" s="10" t="s">
        <v>2236</v>
      </c>
      <c r="T800" s="10" t="s">
        <v>2236</v>
      </c>
      <c r="U8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1" spans="1:31" hidden="1" x14ac:dyDescent="0.3">
      <c r="A801" s="12" t="s">
        <v>2583</v>
      </c>
      <c r="B801" s="12" t="s">
        <v>2371</v>
      </c>
      <c r="C801" s="12" t="s">
        <v>2882</v>
      </c>
      <c r="D801" s="12" t="s">
        <v>3334</v>
      </c>
      <c r="E801" s="12" t="s">
        <v>2236</v>
      </c>
      <c r="F801" s="8">
        <v>0</v>
      </c>
      <c r="G801" s="12" t="s">
        <v>2237</v>
      </c>
      <c r="H801" s="12">
        <v>0</v>
      </c>
      <c r="I801" s="12" t="s">
        <v>2237</v>
      </c>
      <c r="J801" s="12">
        <v>0</v>
      </c>
      <c r="K801" s="12" t="s">
        <v>2237</v>
      </c>
      <c r="L801" s="12">
        <v>0</v>
      </c>
      <c r="M801" s="12" t="s">
        <v>2237</v>
      </c>
      <c r="N801" s="8">
        <v>0</v>
      </c>
      <c r="O801" s="12" t="s">
        <v>2237</v>
      </c>
      <c r="P801" s="12" t="s">
        <v>2236</v>
      </c>
      <c r="Q801" s="10" t="s">
        <v>2236</v>
      </c>
      <c r="R801" s="10" t="s">
        <v>2236</v>
      </c>
      <c r="S801" s="10" t="s">
        <v>2236</v>
      </c>
      <c r="T801" s="10" t="s">
        <v>2236</v>
      </c>
      <c r="U8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2" spans="1:31" hidden="1" x14ac:dyDescent="0.3">
      <c r="A802" s="12" t="s">
        <v>2584</v>
      </c>
      <c r="B802" s="12" t="s">
        <v>2371</v>
      </c>
      <c r="C802" s="12" t="s">
        <v>3335</v>
      </c>
      <c r="D802" s="12" t="s">
        <v>3336</v>
      </c>
      <c r="E802" s="12" t="s">
        <v>2236</v>
      </c>
      <c r="F802" s="8">
        <v>0</v>
      </c>
      <c r="G802" s="12" t="s">
        <v>2237</v>
      </c>
      <c r="H802" s="12">
        <v>0</v>
      </c>
      <c r="I802" s="12" t="s">
        <v>2237</v>
      </c>
      <c r="J802" s="12">
        <v>0</v>
      </c>
      <c r="K802" s="12" t="s">
        <v>2237</v>
      </c>
      <c r="L802" s="12">
        <v>0</v>
      </c>
      <c r="M802" s="12" t="s">
        <v>2237</v>
      </c>
      <c r="N802" s="8">
        <v>0</v>
      </c>
      <c r="O802" s="12" t="s">
        <v>2237</v>
      </c>
      <c r="P802" s="12" t="s">
        <v>2236</v>
      </c>
      <c r="Q802" s="10" t="s">
        <v>2236</v>
      </c>
      <c r="R802" s="10" t="s">
        <v>2236</v>
      </c>
      <c r="S802" s="10" t="s">
        <v>2236</v>
      </c>
      <c r="T802" s="10" t="s">
        <v>2236</v>
      </c>
      <c r="U8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3" spans="1:31" hidden="1" x14ac:dyDescent="0.3">
      <c r="A803" s="12" t="s">
        <v>2585</v>
      </c>
      <c r="B803" s="12" t="s">
        <v>2371</v>
      </c>
      <c r="C803" s="12" t="s">
        <v>3337</v>
      </c>
      <c r="D803" s="12" t="s">
        <v>3338</v>
      </c>
      <c r="E803" s="12" t="s">
        <v>2236</v>
      </c>
      <c r="F803" s="8">
        <v>0</v>
      </c>
      <c r="G803" s="12" t="s">
        <v>2237</v>
      </c>
      <c r="H803" s="12">
        <v>0</v>
      </c>
      <c r="I803" s="12" t="s">
        <v>2237</v>
      </c>
      <c r="J803" s="12">
        <v>0</v>
      </c>
      <c r="K803" s="12" t="s">
        <v>2237</v>
      </c>
      <c r="L803" s="12">
        <v>0</v>
      </c>
      <c r="M803" s="12" t="s">
        <v>2237</v>
      </c>
      <c r="N803" s="8">
        <v>0</v>
      </c>
      <c r="O803" s="12" t="s">
        <v>2237</v>
      </c>
      <c r="P803" s="12" t="s">
        <v>2236</v>
      </c>
      <c r="Q803" s="10" t="s">
        <v>2236</v>
      </c>
      <c r="R803" s="10" t="s">
        <v>2236</v>
      </c>
      <c r="S803" s="10" t="s">
        <v>2236</v>
      </c>
      <c r="T803" s="10" t="s">
        <v>2236</v>
      </c>
      <c r="U8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4" spans="1:31" hidden="1" x14ac:dyDescent="0.3">
      <c r="A804" s="12" t="s">
        <v>2586</v>
      </c>
      <c r="B804" s="12" t="s">
        <v>2366</v>
      </c>
      <c r="C804" s="12" t="s">
        <v>3339</v>
      </c>
      <c r="D804" s="12" t="s">
        <v>3340</v>
      </c>
      <c r="E804" s="12" t="s">
        <v>2236</v>
      </c>
      <c r="F804" s="8">
        <v>0</v>
      </c>
      <c r="G804" s="12" t="s">
        <v>2237</v>
      </c>
      <c r="H804" s="12">
        <v>0</v>
      </c>
      <c r="I804" s="12" t="s">
        <v>2237</v>
      </c>
      <c r="J804" s="12">
        <v>0</v>
      </c>
      <c r="K804" s="12" t="s">
        <v>2237</v>
      </c>
      <c r="L804" s="12">
        <v>0</v>
      </c>
      <c r="M804" s="12" t="s">
        <v>2237</v>
      </c>
      <c r="N804" s="8">
        <v>0.6</v>
      </c>
      <c r="O804" s="12" t="s">
        <v>2237</v>
      </c>
      <c r="P804" s="12" t="s">
        <v>2236</v>
      </c>
      <c r="Q804" s="10" t="s">
        <v>2236</v>
      </c>
      <c r="R804" s="10" t="s">
        <v>2236</v>
      </c>
      <c r="S804" s="10" t="s">
        <v>2236</v>
      </c>
      <c r="T804" s="10" t="s">
        <v>2929</v>
      </c>
      <c r="U8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5" spans="1:31" hidden="1" x14ac:dyDescent="0.3">
      <c r="A805" s="12" t="s">
        <v>2587</v>
      </c>
      <c r="B805" s="12" t="s">
        <v>2371</v>
      </c>
      <c r="C805" s="12" t="s">
        <v>3341</v>
      </c>
      <c r="D805" s="12" t="s">
        <v>3342</v>
      </c>
      <c r="E805" s="12" t="s">
        <v>2236</v>
      </c>
      <c r="F805" s="8">
        <v>0</v>
      </c>
      <c r="G805" s="12" t="s">
        <v>2237</v>
      </c>
      <c r="H805" s="12">
        <v>0</v>
      </c>
      <c r="I805" s="12" t="s">
        <v>2237</v>
      </c>
      <c r="J805" s="12">
        <v>0</v>
      </c>
      <c r="K805" s="12" t="s">
        <v>2237</v>
      </c>
      <c r="L805" s="12">
        <v>0</v>
      </c>
      <c r="M805" s="12" t="s">
        <v>2237</v>
      </c>
      <c r="N805" s="8">
        <v>0</v>
      </c>
      <c r="O805" s="12" t="s">
        <v>2237</v>
      </c>
      <c r="P805" s="12" t="s">
        <v>2236</v>
      </c>
      <c r="Q805" s="10" t="s">
        <v>2236</v>
      </c>
      <c r="R805" s="10" t="s">
        <v>2236</v>
      </c>
      <c r="S805" s="10" t="s">
        <v>2236</v>
      </c>
      <c r="T805" s="10" t="s">
        <v>2236</v>
      </c>
      <c r="U8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6" spans="1:31" hidden="1" x14ac:dyDescent="0.3">
      <c r="A806" s="12" t="s">
        <v>2588</v>
      </c>
      <c r="B806" s="12" t="s">
        <v>2366</v>
      </c>
      <c r="C806" s="12" t="s">
        <v>3343</v>
      </c>
      <c r="D806" s="12" t="s">
        <v>3344</v>
      </c>
      <c r="E806" s="12" t="s">
        <v>2236</v>
      </c>
      <c r="F806" s="8">
        <v>0</v>
      </c>
      <c r="G806" s="12" t="s">
        <v>2237</v>
      </c>
      <c r="H806" s="12">
        <v>0</v>
      </c>
      <c r="I806" s="12" t="s">
        <v>2237</v>
      </c>
      <c r="J806" s="12">
        <v>0</v>
      </c>
      <c r="K806" s="12" t="s">
        <v>2237</v>
      </c>
      <c r="L806" s="12">
        <v>0</v>
      </c>
      <c r="M806" s="12" t="s">
        <v>2237</v>
      </c>
      <c r="N806" s="8">
        <v>3.3</v>
      </c>
      <c r="O806" s="12" t="s">
        <v>2237</v>
      </c>
      <c r="P806" s="12" t="s">
        <v>2236</v>
      </c>
      <c r="Q806" s="10" t="s">
        <v>2236</v>
      </c>
      <c r="R806" s="10" t="s">
        <v>2236</v>
      </c>
      <c r="S806" s="10" t="s">
        <v>2236</v>
      </c>
      <c r="T806" s="10" t="s">
        <v>2929</v>
      </c>
      <c r="U8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7" spans="1:31" hidden="1" x14ac:dyDescent="0.3">
      <c r="A807" s="12" t="s">
        <v>2589</v>
      </c>
      <c r="B807" s="12" t="s">
        <v>2371</v>
      </c>
      <c r="C807" s="12" t="s">
        <v>3345</v>
      </c>
      <c r="D807" s="12" t="s">
        <v>3346</v>
      </c>
      <c r="E807" s="12" t="s">
        <v>2236</v>
      </c>
      <c r="F807" s="8">
        <v>0</v>
      </c>
      <c r="G807" s="12" t="s">
        <v>2237</v>
      </c>
      <c r="H807" s="12">
        <v>0</v>
      </c>
      <c r="I807" s="12" t="s">
        <v>2237</v>
      </c>
      <c r="J807" s="12">
        <v>0</v>
      </c>
      <c r="K807" s="12" t="s">
        <v>2237</v>
      </c>
      <c r="L807" s="12">
        <v>0</v>
      </c>
      <c r="M807" s="12" t="s">
        <v>2237</v>
      </c>
      <c r="N807" s="8">
        <v>0</v>
      </c>
      <c r="O807" s="12" t="s">
        <v>2237</v>
      </c>
      <c r="P807" s="12" t="s">
        <v>2236</v>
      </c>
      <c r="Q807" s="10" t="s">
        <v>2236</v>
      </c>
      <c r="R807" s="10" t="s">
        <v>2236</v>
      </c>
      <c r="S807" s="10" t="s">
        <v>2236</v>
      </c>
      <c r="T807" s="10" t="s">
        <v>2236</v>
      </c>
      <c r="U8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8" spans="1:31" hidden="1" x14ac:dyDescent="0.3">
      <c r="A808" s="12" t="s">
        <v>2590</v>
      </c>
      <c r="B808" s="12" t="s">
        <v>2371</v>
      </c>
      <c r="C808" s="12" t="s">
        <v>3347</v>
      </c>
      <c r="D808" s="12" t="s">
        <v>3348</v>
      </c>
      <c r="E808" s="12" t="s">
        <v>2236</v>
      </c>
      <c r="F808" s="8">
        <v>0</v>
      </c>
      <c r="G808" s="12" t="s">
        <v>2237</v>
      </c>
      <c r="H808" s="12">
        <v>0</v>
      </c>
      <c r="I808" s="12" t="s">
        <v>2237</v>
      </c>
      <c r="J808" s="12">
        <v>0</v>
      </c>
      <c r="K808" s="12" t="s">
        <v>2237</v>
      </c>
      <c r="L808" s="12">
        <v>0</v>
      </c>
      <c r="M808" s="12" t="s">
        <v>2237</v>
      </c>
      <c r="N808" s="8">
        <v>0</v>
      </c>
      <c r="O808" s="12" t="s">
        <v>2237</v>
      </c>
      <c r="P808" s="12" t="s">
        <v>2236</v>
      </c>
      <c r="Q808" s="10" t="s">
        <v>2236</v>
      </c>
      <c r="R808" s="10" t="s">
        <v>2236</v>
      </c>
      <c r="S808" s="10" t="s">
        <v>2236</v>
      </c>
      <c r="T808" s="10" t="s">
        <v>2236</v>
      </c>
      <c r="U8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09" spans="1:31" hidden="1" x14ac:dyDescent="0.3">
      <c r="A809" s="12" t="s">
        <v>2591</v>
      </c>
      <c r="B809" s="12" t="s">
        <v>2371</v>
      </c>
      <c r="C809" s="12" t="s">
        <v>3349</v>
      </c>
      <c r="D809" s="12" t="s">
        <v>3350</v>
      </c>
      <c r="E809" s="12" t="s">
        <v>2236</v>
      </c>
      <c r="F809" s="8">
        <v>0</v>
      </c>
      <c r="G809" s="12" t="s">
        <v>2237</v>
      </c>
      <c r="H809" s="12">
        <v>0</v>
      </c>
      <c r="I809" s="12" t="s">
        <v>2237</v>
      </c>
      <c r="J809" s="12">
        <v>0</v>
      </c>
      <c r="K809" s="12" t="s">
        <v>2237</v>
      </c>
      <c r="L809" s="12">
        <v>0</v>
      </c>
      <c r="M809" s="12" t="s">
        <v>2237</v>
      </c>
      <c r="N809" s="8">
        <v>0</v>
      </c>
      <c r="O809" s="12" t="s">
        <v>2237</v>
      </c>
      <c r="P809" s="12" t="s">
        <v>2236</v>
      </c>
      <c r="Q809" s="10" t="s">
        <v>2236</v>
      </c>
      <c r="R809" s="10" t="s">
        <v>2236</v>
      </c>
      <c r="S809" s="10" t="s">
        <v>2236</v>
      </c>
      <c r="T809" s="10" t="s">
        <v>2236</v>
      </c>
      <c r="U8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10" spans="1:31" hidden="1" x14ac:dyDescent="0.3">
      <c r="A810" s="12" t="s">
        <v>2592</v>
      </c>
      <c r="B810" s="12" t="s">
        <v>21</v>
      </c>
      <c r="C810" s="12" t="s">
        <v>861</v>
      </c>
      <c r="D810" s="12" t="s">
        <v>1785</v>
      </c>
      <c r="E810" s="12" t="s">
        <v>2842</v>
      </c>
      <c r="F810" s="8">
        <v>20702</v>
      </c>
      <c r="G810" s="12" t="s">
        <v>2237</v>
      </c>
      <c r="H810" s="12">
        <v>20702</v>
      </c>
      <c r="I810" s="12" t="s">
        <v>2237</v>
      </c>
      <c r="J810" s="12">
        <v>0</v>
      </c>
      <c r="K810" s="12" t="s">
        <v>2237</v>
      </c>
      <c r="L810" s="12">
        <v>0</v>
      </c>
      <c r="M810" s="12" t="s">
        <v>2237</v>
      </c>
      <c r="N810" s="8">
        <v>14086.9</v>
      </c>
      <c r="O810" s="12" t="s">
        <v>2237</v>
      </c>
      <c r="P810" s="12" t="s">
        <v>2236</v>
      </c>
      <c r="Q810" s="10" t="s">
        <v>2242</v>
      </c>
      <c r="R810" s="10" t="s">
        <v>2238</v>
      </c>
      <c r="S810" s="10" t="s">
        <v>2243</v>
      </c>
      <c r="T810" s="10" t="s">
        <v>2844</v>
      </c>
      <c r="U81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E530-3012980-D225301</v>
      </c>
      <c r="X8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1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0" s="10" t="str">
        <f>IF(IFERROR(INDEX(WBS_Dictionary!K$2:K$1212, MATCH(Table2[[#This Row],[WBS_ID]], Table26[WBS CODE],0)), "") = "", "null", IFERROR(INDEX(WBS_Dictionary!K$2:K$1212, MATCH(Table2[[#This Row],[WBS_ID]], Table26[WBS CODE],0)), ""))</f>
        <v>Project Management Cost</v>
      </c>
      <c r="AB8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11" spans="1:31" hidden="1" x14ac:dyDescent="0.3">
      <c r="A811" s="12" t="s">
        <v>2593</v>
      </c>
      <c r="B811" s="12" t="s">
        <v>26</v>
      </c>
      <c r="C811" s="12" t="s">
        <v>861</v>
      </c>
      <c r="D811" s="12" t="s">
        <v>1786</v>
      </c>
      <c r="E811" s="12" t="s">
        <v>2842</v>
      </c>
      <c r="F811" s="8">
        <v>20702</v>
      </c>
      <c r="G811" s="12" t="s">
        <v>2237</v>
      </c>
      <c r="H811" s="12">
        <v>20702</v>
      </c>
      <c r="I811" s="12" t="s">
        <v>2237</v>
      </c>
      <c r="J811" s="12">
        <v>0</v>
      </c>
      <c r="K811" s="12" t="s">
        <v>2237</v>
      </c>
      <c r="L811" s="12">
        <v>0</v>
      </c>
      <c r="M811" s="12" t="s">
        <v>2237</v>
      </c>
      <c r="N811" s="8">
        <v>14086.9</v>
      </c>
      <c r="O811" s="12" t="s">
        <v>2237</v>
      </c>
      <c r="P811" s="12" t="s">
        <v>2236</v>
      </c>
      <c r="Q811" s="10" t="s">
        <v>2242</v>
      </c>
      <c r="R811" s="10" t="s">
        <v>2238</v>
      </c>
      <c r="S811" s="10" t="s">
        <v>2243</v>
      </c>
      <c r="T811" s="10" t="s">
        <v>2844</v>
      </c>
      <c r="U81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E530-3012980-D225301</v>
      </c>
      <c r="X81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E530-301298052-D225301</v>
      </c>
      <c r="Y8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1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1" s="10" t="str">
        <f>IF(IFERROR(INDEX(WBS_Dictionary!K$2:K$1212, MATCH(Table2[[#This Row],[WBS_ID]], Table26[WBS CODE],0)), "") = "", "null", IFERROR(INDEX(WBS_Dictionary!K$2:K$1212, MATCH(Table2[[#This Row],[WBS_ID]], Table26[WBS CODE],0)), ""))</f>
        <v>Project Management Cost</v>
      </c>
      <c r="AB811" s="10" t="str">
        <f>IF(IFERROR(INDEX(WBS_Dictionary!L$2:L$1212, MATCH(Table2[[#This Row],[WBS_ID]], Table26[WBS CODE],0)), "") = "", "null", IFERROR(INDEX(WBS_Dictionary!L$2:L$1212, MATCH(Table2[[#This Row],[WBS_ID]], Table26[WBS CODE],0)), ""))</f>
        <v>Project Management Cost</v>
      </c>
      <c r="AC8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12" spans="1:31" hidden="1" x14ac:dyDescent="0.3">
      <c r="A812" s="12" t="s">
        <v>2594</v>
      </c>
      <c r="B812" s="12" t="s">
        <v>30</v>
      </c>
      <c r="C812" s="12" t="s">
        <v>861</v>
      </c>
      <c r="D812" s="12" t="s">
        <v>1787</v>
      </c>
      <c r="E812" s="12" t="s">
        <v>2842</v>
      </c>
      <c r="F812" s="8">
        <v>0</v>
      </c>
      <c r="G812" s="12" t="s">
        <v>2237</v>
      </c>
      <c r="H812" s="12">
        <v>0</v>
      </c>
      <c r="I812" s="12" t="s">
        <v>2237</v>
      </c>
      <c r="J812" s="12">
        <v>0</v>
      </c>
      <c r="K812" s="12" t="s">
        <v>2237</v>
      </c>
      <c r="L812" s="12">
        <v>0</v>
      </c>
      <c r="M812" s="12" t="s">
        <v>2237</v>
      </c>
      <c r="N812" s="8">
        <v>14086.9</v>
      </c>
      <c r="O812" s="12" t="s">
        <v>2237</v>
      </c>
      <c r="P812" s="12" t="s">
        <v>2236</v>
      </c>
      <c r="Q812" s="10" t="s">
        <v>2242</v>
      </c>
      <c r="R812" s="10" t="s">
        <v>2238</v>
      </c>
      <c r="S812" s="10" t="s">
        <v>2243</v>
      </c>
      <c r="T812" s="10" t="s">
        <v>2645</v>
      </c>
      <c r="U81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E530-3012980-D225301</v>
      </c>
      <c r="X81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E530-301298052-D225301</v>
      </c>
      <c r="Y812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E530-30129805264-D225301</v>
      </c>
      <c r="Z81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2" s="10" t="str">
        <f>IF(IFERROR(INDEX(WBS_Dictionary!K$2:K$1212, MATCH(Table2[[#This Row],[WBS_ID]], Table26[WBS CODE],0)), "") = "", "null", IFERROR(INDEX(WBS_Dictionary!K$2:K$1212, MATCH(Table2[[#This Row],[WBS_ID]], Table26[WBS CODE],0)), ""))</f>
        <v>Project Management Cost</v>
      </c>
      <c r="AB812" s="10" t="str">
        <f>IF(IFERROR(INDEX(WBS_Dictionary!L$2:L$1212, MATCH(Table2[[#This Row],[WBS_ID]], Table26[WBS CODE],0)), "") = "", "null", IFERROR(INDEX(WBS_Dictionary!L$2:L$1212, MATCH(Table2[[#This Row],[WBS_ID]], Table26[WBS CODE],0)), ""))</f>
        <v>Project Management Cost</v>
      </c>
      <c r="AC812" s="10" t="str">
        <f>IF(IFERROR(INDEX(WBS_Dictionary!M$2:M$1212, MATCH(Table2[[#This Row],[WBS_ID]], Table26[WBS CODE],0)), "") = "", "null", IFERROR(INDEX(WBS_Dictionary!M$2:M$1212, MATCH(Table2[[#This Row],[WBS_ID]], Table26[WBS CODE],0)), ""))</f>
        <v>Project Management Cost</v>
      </c>
      <c r="AD8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13" spans="1:31" hidden="1" x14ac:dyDescent="0.3">
      <c r="A813" s="12" t="s">
        <v>2595</v>
      </c>
      <c r="B813" s="12" t="s">
        <v>21</v>
      </c>
      <c r="C813" s="12" t="s">
        <v>283</v>
      </c>
      <c r="D813" s="12" t="s">
        <v>1788</v>
      </c>
      <c r="E813" s="12" t="s">
        <v>2842</v>
      </c>
      <c r="F813" s="8">
        <v>298156.75</v>
      </c>
      <c r="G813" s="12" t="s">
        <v>2237</v>
      </c>
      <c r="H813" s="12">
        <v>298156.75</v>
      </c>
      <c r="I813" s="12" t="s">
        <v>2237</v>
      </c>
      <c r="J813" s="12">
        <v>0</v>
      </c>
      <c r="K813" s="12" t="s">
        <v>2237</v>
      </c>
      <c r="L813" s="12">
        <v>0</v>
      </c>
      <c r="M813" s="12" t="s">
        <v>2237</v>
      </c>
      <c r="N813" s="8">
        <v>298156.75</v>
      </c>
      <c r="O813" s="12" t="s">
        <v>2237</v>
      </c>
      <c r="P813" s="12" t="s">
        <v>2236</v>
      </c>
      <c r="Q813" s="10" t="s">
        <v>2242</v>
      </c>
      <c r="R813" s="10" t="s">
        <v>2238</v>
      </c>
      <c r="S813" s="10" t="s">
        <v>2243</v>
      </c>
      <c r="T813" s="10" t="s">
        <v>2844</v>
      </c>
      <c r="U81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1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3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14" spans="1:31" x14ac:dyDescent="0.3">
      <c r="A814" s="12" t="s">
        <v>2596</v>
      </c>
      <c r="B814" s="12" t="s">
        <v>26</v>
      </c>
      <c r="C814" s="12" t="s">
        <v>1789</v>
      </c>
      <c r="D814" s="12" t="s">
        <v>1790</v>
      </c>
      <c r="E814" s="12" t="s">
        <v>2842</v>
      </c>
      <c r="F814" s="8">
        <v>65631.990000000005</v>
      </c>
      <c r="G814" s="12" t="s">
        <v>2237</v>
      </c>
      <c r="H814" s="12">
        <v>65631.990000000005</v>
      </c>
      <c r="I814" s="12" t="s">
        <v>2237</v>
      </c>
      <c r="J814" s="12">
        <v>0</v>
      </c>
      <c r="K814" s="12" t="s">
        <v>2237</v>
      </c>
      <c r="L814" s="12">
        <v>0</v>
      </c>
      <c r="M814" s="12" t="s">
        <v>2237</v>
      </c>
      <c r="N814" s="8">
        <v>65631.990000000005</v>
      </c>
      <c r="O814" s="12" t="s">
        <v>2237</v>
      </c>
      <c r="P814" s="12" t="s">
        <v>2236</v>
      </c>
      <c r="Q814" s="10" t="s">
        <v>2242</v>
      </c>
      <c r="R814" s="10" t="s">
        <v>2238</v>
      </c>
      <c r="S814" s="10" t="s">
        <v>2243</v>
      </c>
      <c r="T814" s="10" t="s">
        <v>3054</v>
      </c>
      <c r="U81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1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E530-301297905-D225301</v>
      </c>
      <c r="Y8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1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4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14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14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8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15" spans="1:31" x14ac:dyDescent="0.3">
      <c r="A815" s="12" t="s">
        <v>2597</v>
      </c>
      <c r="B815" s="12" t="s">
        <v>30</v>
      </c>
      <c r="C815" s="12" t="s">
        <v>1789</v>
      </c>
      <c r="D815" s="12" t="s">
        <v>1792</v>
      </c>
      <c r="E815" s="12" t="s">
        <v>2842</v>
      </c>
      <c r="F815" s="8">
        <v>0</v>
      </c>
      <c r="G815" s="12" t="s">
        <v>2237</v>
      </c>
      <c r="H815" s="12">
        <v>0</v>
      </c>
      <c r="I815" s="12" t="s">
        <v>2237</v>
      </c>
      <c r="J815" s="12">
        <v>0</v>
      </c>
      <c r="K815" s="12" t="s">
        <v>2237</v>
      </c>
      <c r="L815" s="12">
        <v>0</v>
      </c>
      <c r="M815" s="12" t="s">
        <v>2237</v>
      </c>
      <c r="N815" s="8">
        <v>65631.990000000005</v>
      </c>
      <c r="O815" s="12" t="s">
        <v>2237</v>
      </c>
      <c r="P815" s="12" t="s">
        <v>2236</v>
      </c>
      <c r="Q815" s="10" t="s">
        <v>2242</v>
      </c>
      <c r="R815" s="10" t="s">
        <v>2238</v>
      </c>
      <c r="S815" s="10" t="s">
        <v>2243</v>
      </c>
      <c r="T815" s="10" t="s">
        <v>2645</v>
      </c>
      <c r="U81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1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E530-301297905-D225301</v>
      </c>
      <c r="Y815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E530-30129790505-D225301</v>
      </c>
      <c r="Z81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5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15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15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815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81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16" spans="1:31" x14ac:dyDescent="0.3">
      <c r="A816" s="12" t="s">
        <v>2598</v>
      </c>
      <c r="B816" s="12" t="s">
        <v>26</v>
      </c>
      <c r="C816" s="12" t="s">
        <v>1793</v>
      </c>
      <c r="D816" s="12" t="s">
        <v>1794</v>
      </c>
      <c r="E816" s="12" t="s">
        <v>2842</v>
      </c>
      <c r="F816" s="8">
        <v>59068.79</v>
      </c>
      <c r="G816" s="12" t="s">
        <v>2237</v>
      </c>
      <c r="H816" s="12">
        <v>59068.79</v>
      </c>
      <c r="I816" s="12" t="s">
        <v>2237</v>
      </c>
      <c r="J816" s="12">
        <v>0</v>
      </c>
      <c r="K816" s="12" t="s">
        <v>2237</v>
      </c>
      <c r="L816" s="12">
        <v>0</v>
      </c>
      <c r="M816" s="12" t="s">
        <v>2237</v>
      </c>
      <c r="N816" s="8">
        <v>59068.79</v>
      </c>
      <c r="O816" s="12" t="s">
        <v>2237</v>
      </c>
      <c r="P816" s="12" t="s">
        <v>2236</v>
      </c>
      <c r="Q816" s="10" t="s">
        <v>2242</v>
      </c>
      <c r="R816" s="10" t="s">
        <v>2238</v>
      </c>
      <c r="S816" s="10" t="s">
        <v>2243</v>
      </c>
      <c r="T816" s="10" t="s">
        <v>3054</v>
      </c>
      <c r="U81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1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E530-301297904-D225301</v>
      </c>
      <c r="Y8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1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6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16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16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81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17" spans="1:31" x14ac:dyDescent="0.3">
      <c r="A817" s="12" t="s">
        <v>2599</v>
      </c>
      <c r="B817" s="12" t="s">
        <v>30</v>
      </c>
      <c r="C817" s="12" t="s">
        <v>1793</v>
      </c>
      <c r="D817" s="12" t="s">
        <v>1796</v>
      </c>
      <c r="E817" s="12" t="s">
        <v>2842</v>
      </c>
      <c r="F817" s="8">
        <v>0</v>
      </c>
      <c r="G817" s="12" t="s">
        <v>2237</v>
      </c>
      <c r="H817" s="12">
        <v>0</v>
      </c>
      <c r="I817" s="12" t="s">
        <v>2237</v>
      </c>
      <c r="J817" s="12">
        <v>0</v>
      </c>
      <c r="K817" s="12" t="s">
        <v>2237</v>
      </c>
      <c r="L817" s="12">
        <v>0</v>
      </c>
      <c r="M817" s="12" t="s">
        <v>2237</v>
      </c>
      <c r="N817" s="8">
        <v>59068.79</v>
      </c>
      <c r="O817" s="12" t="s">
        <v>2237</v>
      </c>
      <c r="P817" s="12" t="s">
        <v>2236</v>
      </c>
      <c r="Q817" s="10" t="s">
        <v>2242</v>
      </c>
      <c r="R817" s="10" t="s">
        <v>2238</v>
      </c>
      <c r="S817" s="10" t="s">
        <v>2243</v>
      </c>
      <c r="T817" s="10" t="s">
        <v>2645</v>
      </c>
      <c r="U8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1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E530-301297904-D225301</v>
      </c>
      <c r="Y817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E530-30129790404-D225301</v>
      </c>
      <c r="Z81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7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17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17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817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81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18" spans="1:31" x14ac:dyDescent="0.3">
      <c r="A818" s="12" t="s">
        <v>2600</v>
      </c>
      <c r="B818" s="12" t="s">
        <v>26</v>
      </c>
      <c r="C818" s="12" t="s">
        <v>1797</v>
      </c>
      <c r="D818" s="12" t="s">
        <v>1798</v>
      </c>
      <c r="E818" s="12" t="s">
        <v>2842</v>
      </c>
      <c r="F818" s="8">
        <v>59068.79</v>
      </c>
      <c r="G818" s="12" t="s">
        <v>2237</v>
      </c>
      <c r="H818" s="12">
        <v>59068.79</v>
      </c>
      <c r="I818" s="12" t="s">
        <v>2237</v>
      </c>
      <c r="J818" s="12">
        <v>0</v>
      </c>
      <c r="K818" s="12" t="s">
        <v>2237</v>
      </c>
      <c r="L818" s="12">
        <v>0</v>
      </c>
      <c r="M818" s="12" t="s">
        <v>2237</v>
      </c>
      <c r="N818" s="8">
        <v>59068.79</v>
      </c>
      <c r="O818" s="12" t="s">
        <v>2237</v>
      </c>
      <c r="P818" s="12" t="s">
        <v>2236</v>
      </c>
      <c r="Q818" s="10" t="s">
        <v>2242</v>
      </c>
      <c r="R818" s="10" t="s">
        <v>2238</v>
      </c>
      <c r="S818" s="10" t="s">
        <v>2243</v>
      </c>
      <c r="T818" s="10" t="s">
        <v>3054</v>
      </c>
      <c r="U8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1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E530-301297903-D225301</v>
      </c>
      <c r="Y8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1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8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18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18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81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19" spans="1:31" x14ac:dyDescent="0.3">
      <c r="A819" s="12" t="s">
        <v>2601</v>
      </c>
      <c r="B819" s="12" t="s">
        <v>30</v>
      </c>
      <c r="C819" s="12" t="s">
        <v>1797</v>
      </c>
      <c r="D819" s="12" t="s">
        <v>1800</v>
      </c>
      <c r="E819" s="12" t="s">
        <v>2842</v>
      </c>
      <c r="F819" s="8">
        <v>0</v>
      </c>
      <c r="G819" s="12" t="s">
        <v>2237</v>
      </c>
      <c r="H819" s="12">
        <v>0</v>
      </c>
      <c r="I819" s="12" t="s">
        <v>2237</v>
      </c>
      <c r="J819" s="12">
        <v>0</v>
      </c>
      <c r="K819" s="12" t="s">
        <v>2237</v>
      </c>
      <c r="L819" s="12">
        <v>0</v>
      </c>
      <c r="M819" s="12" t="s">
        <v>2237</v>
      </c>
      <c r="N819" s="8">
        <v>59068.79</v>
      </c>
      <c r="O819" s="12" t="s">
        <v>2237</v>
      </c>
      <c r="P819" s="12" t="s">
        <v>2236</v>
      </c>
      <c r="Q819" s="10" t="s">
        <v>2242</v>
      </c>
      <c r="R819" s="10" t="s">
        <v>2238</v>
      </c>
      <c r="S819" s="10" t="s">
        <v>2243</v>
      </c>
      <c r="T819" s="10" t="s">
        <v>2645</v>
      </c>
      <c r="U8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1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1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1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E530-301297903-D225301</v>
      </c>
      <c r="Y819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E530-30129790303-D225301</v>
      </c>
      <c r="Z81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19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19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19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819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81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20" spans="1:31" x14ac:dyDescent="0.3">
      <c r="A820" s="12" t="s">
        <v>2602</v>
      </c>
      <c r="B820" s="12" t="s">
        <v>26</v>
      </c>
      <c r="C820" s="12" t="s">
        <v>1801</v>
      </c>
      <c r="D820" s="12" t="s">
        <v>1802</v>
      </c>
      <c r="E820" s="12" t="s">
        <v>2842</v>
      </c>
      <c r="F820" s="8">
        <v>58131.19</v>
      </c>
      <c r="G820" s="12" t="s">
        <v>2237</v>
      </c>
      <c r="H820" s="12">
        <v>58131.19</v>
      </c>
      <c r="I820" s="12" t="s">
        <v>2237</v>
      </c>
      <c r="J820" s="12">
        <v>0</v>
      </c>
      <c r="K820" s="12" t="s">
        <v>2237</v>
      </c>
      <c r="L820" s="12">
        <v>0</v>
      </c>
      <c r="M820" s="12" t="s">
        <v>2237</v>
      </c>
      <c r="N820" s="8">
        <v>58131.19</v>
      </c>
      <c r="O820" s="12" t="s">
        <v>2237</v>
      </c>
      <c r="P820" s="12" t="s">
        <v>2236</v>
      </c>
      <c r="Q820" s="10" t="s">
        <v>2242</v>
      </c>
      <c r="R820" s="10" t="s">
        <v>2238</v>
      </c>
      <c r="S820" s="10" t="s">
        <v>2243</v>
      </c>
      <c r="T820" s="10" t="s">
        <v>3054</v>
      </c>
      <c r="U8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2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E530-301297902-D225301</v>
      </c>
      <c r="Y8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2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0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20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20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82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21" spans="1:31" x14ac:dyDescent="0.3">
      <c r="A821" s="12" t="s">
        <v>2603</v>
      </c>
      <c r="B821" s="12" t="s">
        <v>30</v>
      </c>
      <c r="C821" s="12" t="s">
        <v>1801</v>
      </c>
      <c r="D821" s="12" t="s">
        <v>1804</v>
      </c>
      <c r="E821" s="12" t="s">
        <v>2842</v>
      </c>
      <c r="F821" s="8">
        <v>0</v>
      </c>
      <c r="G821" s="12" t="s">
        <v>2237</v>
      </c>
      <c r="H821" s="12">
        <v>0</v>
      </c>
      <c r="I821" s="12" t="s">
        <v>2237</v>
      </c>
      <c r="J821" s="12">
        <v>0</v>
      </c>
      <c r="K821" s="12" t="s">
        <v>2237</v>
      </c>
      <c r="L821" s="12">
        <v>0</v>
      </c>
      <c r="M821" s="12" t="s">
        <v>2237</v>
      </c>
      <c r="N821" s="8">
        <v>58131.19</v>
      </c>
      <c r="O821" s="12" t="s">
        <v>2237</v>
      </c>
      <c r="P821" s="12" t="s">
        <v>2236</v>
      </c>
      <c r="Q821" s="10" t="s">
        <v>2242</v>
      </c>
      <c r="R821" s="10" t="s">
        <v>2238</v>
      </c>
      <c r="S821" s="10" t="s">
        <v>2243</v>
      </c>
      <c r="T821" s="10" t="s">
        <v>2645</v>
      </c>
      <c r="U8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2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E530-301297902-D225301</v>
      </c>
      <c r="Y82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E530-30129790202-D225301</v>
      </c>
      <c r="Z82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1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21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21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821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82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22" spans="1:31" x14ac:dyDescent="0.3">
      <c r="A822" s="12" t="s">
        <v>2604</v>
      </c>
      <c r="B822" s="12" t="s">
        <v>26</v>
      </c>
      <c r="C822" s="12" t="s">
        <v>1805</v>
      </c>
      <c r="D822" s="12" t="s">
        <v>1806</v>
      </c>
      <c r="E822" s="12" t="s">
        <v>2842</v>
      </c>
      <c r="F822" s="8">
        <v>56255.99</v>
      </c>
      <c r="G822" s="12" t="s">
        <v>2237</v>
      </c>
      <c r="H822" s="12">
        <v>56255.99</v>
      </c>
      <c r="I822" s="12" t="s">
        <v>2237</v>
      </c>
      <c r="J822" s="12">
        <v>0</v>
      </c>
      <c r="K822" s="12" t="s">
        <v>2237</v>
      </c>
      <c r="L822" s="12">
        <v>0</v>
      </c>
      <c r="M822" s="12" t="s">
        <v>2237</v>
      </c>
      <c r="N822" s="8">
        <v>56255.99</v>
      </c>
      <c r="O822" s="12" t="s">
        <v>2237</v>
      </c>
      <c r="P822" s="12" t="s">
        <v>2236</v>
      </c>
      <c r="Q822" s="10" t="s">
        <v>2242</v>
      </c>
      <c r="R822" s="10" t="s">
        <v>2238</v>
      </c>
      <c r="S822" s="10" t="s">
        <v>2243</v>
      </c>
      <c r="T822" s="10" t="s">
        <v>3054</v>
      </c>
      <c r="U8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2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E530-301297901-D225301</v>
      </c>
      <c r="Y8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2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2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22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22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82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23" spans="1:31" x14ac:dyDescent="0.3">
      <c r="A823" s="12" t="s">
        <v>2605</v>
      </c>
      <c r="B823" s="12" t="s">
        <v>30</v>
      </c>
      <c r="C823" s="12" t="s">
        <v>1805</v>
      </c>
      <c r="D823" s="12" t="s">
        <v>1808</v>
      </c>
      <c r="E823" s="12" t="s">
        <v>2842</v>
      </c>
      <c r="F823" s="8">
        <v>0</v>
      </c>
      <c r="G823" s="12" t="s">
        <v>2237</v>
      </c>
      <c r="H823" s="12">
        <v>0</v>
      </c>
      <c r="I823" s="12" t="s">
        <v>2237</v>
      </c>
      <c r="J823" s="12">
        <v>0</v>
      </c>
      <c r="K823" s="12" t="s">
        <v>2237</v>
      </c>
      <c r="L823" s="12">
        <v>0</v>
      </c>
      <c r="M823" s="12" t="s">
        <v>2237</v>
      </c>
      <c r="N823" s="8">
        <v>56255.99</v>
      </c>
      <c r="O823" s="12" t="s">
        <v>2237</v>
      </c>
      <c r="P823" s="12" t="s">
        <v>2236</v>
      </c>
      <c r="Q823" s="10" t="s">
        <v>2242</v>
      </c>
      <c r="R823" s="10" t="s">
        <v>2238</v>
      </c>
      <c r="S823" s="10" t="s">
        <v>2243</v>
      </c>
      <c r="T823" s="10" t="s">
        <v>2645</v>
      </c>
      <c r="U8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E530-3012979-D225301</v>
      </c>
      <c r="X82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E530-301297901-D225301</v>
      </c>
      <c r="Y823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E530-30129790101-D225301</v>
      </c>
      <c r="Z82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3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823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823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823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8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24" spans="1:31" hidden="1" x14ac:dyDescent="0.3">
      <c r="A824" s="12" t="s">
        <v>2606</v>
      </c>
      <c r="B824" s="12" t="s">
        <v>21</v>
      </c>
      <c r="C824" s="12" t="s">
        <v>304</v>
      </c>
      <c r="D824" s="12" t="s">
        <v>1809</v>
      </c>
      <c r="E824" s="12" t="s">
        <v>2842</v>
      </c>
      <c r="F824" s="8">
        <v>78741</v>
      </c>
      <c r="G824" s="12" t="s">
        <v>2237</v>
      </c>
      <c r="H824" s="12">
        <v>78741</v>
      </c>
      <c r="I824" s="12" t="s">
        <v>2237</v>
      </c>
      <c r="J824" s="12">
        <v>0</v>
      </c>
      <c r="K824" s="12" t="s">
        <v>2237</v>
      </c>
      <c r="L824" s="12">
        <v>0</v>
      </c>
      <c r="M824" s="12" t="s">
        <v>2237</v>
      </c>
      <c r="N824" s="8">
        <v>61484.65</v>
      </c>
      <c r="O824" s="12" t="s">
        <v>2237</v>
      </c>
      <c r="P824" s="12" t="s">
        <v>2236</v>
      </c>
      <c r="Q824" s="10" t="s">
        <v>2242</v>
      </c>
      <c r="R824" s="10" t="s">
        <v>2238</v>
      </c>
      <c r="S824" s="10" t="s">
        <v>2243</v>
      </c>
      <c r="T824" s="10" t="s">
        <v>2844</v>
      </c>
      <c r="U8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E530-3012978-D225301</v>
      </c>
      <c r="X8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2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4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8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25" spans="1:31" hidden="1" x14ac:dyDescent="0.3">
      <c r="A825" s="12" t="s">
        <v>2607</v>
      </c>
      <c r="B825" s="12" t="s">
        <v>26</v>
      </c>
      <c r="C825" s="12" t="s">
        <v>307</v>
      </c>
      <c r="D825" s="12" t="s">
        <v>1810</v>
      </c>
      <c r="E825" s="12" t="s">
        <v>2842</v>
      </c>
      <c r="F825" s="8">
        <v>43079</v>
      </c>
      <c r="G825" s="12" t="s">
        <v>2237</v>
      </c>
      <c r="H825" s="12">
        <v>43079</v>
      </c>
      <c r="I825" s="12" t="s">
        <v>2237</v>
      </c>
      <c r="J825" s="12">
        <v>0</v>
      </c>
      <c r="K825" s="12" t="s">
        <v>2237</v>
      </c>
      <c r="L825" s="12">
        <v>0</v>
      </c>
      <c r="M825" s="12" t="s">
        <v>2237</v>
      </c>
      <c r="N825" s="8">
        <v>29263.279999999999</v>
      </c>
      <c r="O825" s="12" t="s">
        <v>2237</v>
      </c>
      <c r="P825" s="12" t="s">
        <v>2236</v>
      </c>
      <c r="Q825" s="10" t="s">
        <v>2242</v>
      </c>
      <c r="R825" s="10" t="s">
        <v>2238</v>
      </c>
      <c r="S825" s="10" t="s">
        <v>2243</v>
      </c>
      <c r="T825" s="10" t="s">
        <v>2844</v>
      </c>
      <c r="U8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E530-3012978-D225301</v>
      </c>
      <c r="X82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E530-301297856-D225301</v>
      </c>
      <c r="Y8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2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5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825" s="10" t="str">
        <f>IF(IFERROR(INDEX(WBS_Dictionary!L$2:L$1212, MATCH(Table2[[#This Row],[WBS_ID]], Table26[WBS CODE],0)), "") = "", "null", IFERROR(INDEX(WBS_Dictionary!L$2:L$1212, MATCH(Table2[[#This Row],[WBS_ID]], Table26[WBS CODE],0)), ""))</f>
        <v>Security</v>
      </c>
      <c r="AC8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26" spans="1:31" hidden="1" x14ac:dyDescent="0.3">
      <c r="A826" s="12" t="s">
        <v>2608</v>
      </c>
      <c r="B826" s="12" t="s">
        <v>30</v>
      </c>
      <c r="C826" s="12" t="s">
        <v>307</v>
      </c>
      <c r="D826" s="12" t="s">
        <v>1811</v>
      </c>
      <c r="E826" s="12" t="s">
        <v>2842</v>
      </c>
      <c r="F826" s="8">
        <v>0</v>
      </c>
      <c r="G826" s="12" t="s">
        <v>2237</v>
      </c>
      <c r="H826" s="12">
        <v>0</v>
      </c>
      <c r="I826" s="12" t="s">
        <v>2237</v>
      </c>
      <c r="J826" s="12">
        <v>0</v>
      </c>
      <c r="K826" s="12" t="s">
        <v>2237</v>
      </c>
      <c r="L826" s="12">
        <v>0</v>
      </c>
      <c r="M826" s="12" t="s">
        <v>2237</v>
      </c>
      <c r="N826" s="8">
        <v>29263.279999999999</v>
      </c>
      <c r="O826" s="12" t="s">
        <v>2237</v>
      </c>
      <c r="P826" s="12" t="s">
        <v>2236</v>
      </c>
      <c r="Q826" s="10" t="s">
        <v>2242</v>
      </c>
      <c r="R826" s="10" t="s">
        <v>2238</v>
      </c>
      <c r="S826" s="10" t="s">
        <v>2243</v>
      </c>
      <c r="T826" s="10" t="s">
        <v>2645</v>
      </c>
      <c r="U8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E530-3012978-D225301</v>
      </c>
      <c r="X82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E530-301297856-D225301</v>
      </c>
      <c r="Y826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E530-30129785627-D225301</v>
      </c>
      <c r="Z82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6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826" s="10" t="str">
        <f>IF(IFERROR(INDEX(WBS_Dictionary!L$2:L$1212, MATCH(Table2[[#This Row],[WBS_ID]], Table26[WBS CODE],0)), "") = "", "null", IFERROR(INDEX(WBS_Dictionary!L$2:L$1212, MATCH(Table2[[#This Row],[WBS_ID]], Table26[WBS CODE],0)), ""))</f>
        <v>Security</v>
      </c>
      <c r="AC826" s="10" t="str">
        <f>IF(IFERROR(INDEX(WBS_Dictionary!M$2:M$1212, MATCH(Table2[[#This Row],[WBS_ID]], Table26[WBS CODE],0)), "") = "", "null", IFERROR(INDEX(WBS_Dictionary!M$2:M$1212, MATCH(Table2[[#This Row],[WBS_ID]], Table26[WBS CODE],0)), ""))</f>
        <v>Security</v>
      </c>
      <c r="AD8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27" spans="1:31" hidden="1" x14ac:dyDescent="0.3">
      <c r="A827" s="12" t="s">
        <v>2609</v>
      </c>
      <c r="B827" s="12" t="s">
        <v>26</v>
      </c>
      <c r="C827" s="12" t="s">
        <v>310</v>
      </c>
      <c r="D827" s="12" t="s">
        <v>1812</v>
      </c>
      <c r="E827" s="12" t="s">
        <v>2842</v>
      </c>
      <c r="F827" s="8">
        <v>35662</v>
      </c>
      <c r="G827" s="12" t="s">
        <v>2237</v>
      </c>
      <c r="H827" s="12">
        <v>35662</v>
      </c>
      <c r="I827" s="12" t="s">
        <v>2237</v>
      </c>
      <c r="J827" s="12">
        <v>0</v>
      </c>
      <c r="K827" s="12" t="s">
        <v>2237</v>
      </c>
      <c r="L827" s="12">
        <v>0</v>
      </c>
      <c r="M827" s="12" t="s">
        <v>2237</v>
      </c>
      <c r="N827" s="8">
        <v>32221.37</v>
      </c>
      <c r="O827" s="12" t="s">
        <v>2237</v>
      </c>
      <c r="P827" s="12" t="s">
        <v>2236</v>
      </c>
      <c r="Q827" s="10" t="s">
        <v>2242</v>
      </c>
      <c r="R827" s="10" t="s">
        <v>2238</v>
      </c>
      <c r="S827" s="10" t="s">
        <v>2243</v>
      </c>
      <c r="T827" s="10" t="s">
        <v>2844</v>
      </c>
      <c r="U8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E530-3012978-D225301</v>
      </c>
      <c r="X82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E530-301297862-D225301</v>
      </c>
      <c r="Y8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2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7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827" s="10" t="str">
        <f>IF(IFERROR(INDEX(WBS_Dictionary!L$2:L$1212, MATCH(Table2[[#This Row],[WBS_ID]], Table26[WBS CODE],0)), "") = "", "null", IFERROR(INDEX(WBS_Dictionary!L$2:L$1212, MATCH(Table2[[#This Row],[WBS_ID]], Table26[WBS CODE],0)), ""))</f>
        <v>PGPA</v>
      </c>
      <c r="AC8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28" spans="1:31" hidden="1" x14ac:dyDescent="0.3">
      <c r="A828" s="12" t="s">
        <v>2610</v>
      </c>
      <c r="B828" s="12" t="s">
        <v>30</v>
      </c>
      <c r="C828" s="12" t="s">
        <v>310</v>
      </c>
      <c r="D828" s="12" t="s">
        <v>1813</v>
      </c>
      <c r="E828" s="12" t="s">
        <v>2842</v>
      </c>
      <c r="F828" s="8">
        <v>0</v>
      </c>
      <c r="G828" s="12" t="s">
        <v>2237</v>
      </c>
      <c r="H828" s="12">
        <v>0</v>
      </c>
      <c r="I828" s="12" t="s">
        <v>2237</v>
      </c>
      <c r="J828" s="12">
        <v>0</v>
      </c>
      <c r="K828" s="12" t="s">
        <v>2237</v>
      </c>
      <c r="L828" s="12">
        <v>0</v>
      </c>
      <c r="M828" s="12" t="s">
        <v>2237</v>
      </c>
      <c r="N828" s="8">
        <v>32221.37</v>
      </c>
      <c r="O828" s="12" t="s">
        <v>2237</v>
      </c>
      <c r="P828" s="12" t="s">
        <v>2236</v>
      </c>
      <c r="Q828" s="10" t="s">
        <v>2242</v>
      </c>
      <c r="R828" s="10" t="s">
        <v>2238</v>
      </c>
      <c r="S828" s="10" t="s">
        <v>2243</v>
      </c>
      <c r="T828" s="10" t="s">
        <v>2645</v>
      </c>
      <c r="U8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E530-3012978-D225301</v>
      </c>
      <c r="X82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E530-301297862-D225301</v>
      </c>
      <c r="Y82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E530-30129786227-D225301</v>
      </c>
      <c r="Z82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8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828" s="10" t="str">
        <f>IF(IFERROR(INDEX(WBS_Dictionary!L$2:L$1212, MATCH(Table2[[#This Row],[WBS_ID]], Table26[WBS CODE],0)), "") = "", "null", IFERROR(INDEX(WBS_Dictionary!L$2:L$1212, MATCH(Table2[[#This Row],[WBS_ID]], Table26[WBS CODE],0)), ""))</f>
        <v>PGPA</v>
      </c>
      <c r="AC828" s="10" t="str">
        <f>IF(IFERROR(INDEX(WBS_Dictionary!M$2:M$1212, MATCH(Table2[[#This Row],[WBS_ID]], Table26[WBS CODE],0)), "") = "", "null", IFERROR(INDEX(WBS_Dictionary!M$2:M$1212, MATCH(Table2[[#This Row],[WBS_ID]], Table26[WBS CODE],0)), ""))</f>
        <v>PGPA</v>
      </c>
      <c r="AD8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29" spans="1:31" hidden="1" x14ac:dyDescent="0.3">
      <c r="A829" s="12" t="s">
        <v>2611</v>
      </c>
      <c r="B829" s="12" t="s">
        <v>21</v>
      </c>
      <c r="C829" s="12" t="s">
        <v>313</v>
      </c>
      <c r="D829" s="12" t="s">
        <v>1814</v>
      </c>
      <c r="E829" s="12" t="s">
        <v>2842</v>
      </c>
      <c r="F829" s="8">
        <v>717583</v>
      </c>
      <c r="G829" s="12" t="s">
        <v>2237</v>
      </c>
      <c r="H829" s="12">
        <v>717583</v>
      </c>
      <c r="I829" s="12" t="s">
        <v>2237</v>
      </c>
      <c r="J829" s="12">
        <v>0</v>
      </c>
      <c r="K829" s="12" t="s">
        <v>2237</v>
      </c>
      <c r="L829" s="12">
        <v>0</v>
      </c>
      <c r="M829" s="12" t="s">
        <v>2237</v>
      </c>
      <c r="N829" s="8">
        <v>590503.93999999994</v>
      </c>
      <c r="O829" s="12" t="s">
        <v>2237</v>
      </c>
      <c r="P829" s="12" t="s">
        <v>2236</v>
      </c>
      <c r="Q829" s="10" t="s">
        <v>2242</v>
      </c>
      <c r="R829" s="10" t="s">
        <v>2238</v>
      </c>
      <c r="S829" s="10" t="s">
        <v>2243</v>
      </c>
      <c r="T829" s="10" t="s">
        <v>2844</v>
      </c>
      <c r="U8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2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2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2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29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0" spans="1:31" hidden="1" x14ac:dyDescent="0.3">
      <c r="A830" s="12" t="s">
        <v>2613</v>
      </c>
      <c r="B830" s="12" t="s">
        <v>26</v>
      </c>
      <c r="C830" s="12" t="s">
        <v>315</v>
      </c>
      <c r="D830" s="12" t="s">
        <v>1815</v>
      </c>
      <c r="E830" s="12" t="s">
        <v>2842</v>
      </c>
      <c r="F830" s="8">
        <v>34511</v>
      </c>
      <c r="G830" s="12" t="s">
        <v>2237</v>
      </c>
      <c r="H830" s="12">
        <v>34511</v>
      </c>
      <c r="I830" s="12" t="s">
        <v>2237</v>
      </c>
      <c r="J830" s="12">
        <v>0</v>
      </c>
      <c r="K830" s="12" t="s">
        <v>2237</v>
      </c>
      <c r="L830" s="12">
        <v>0</v>
      </c>
      <c r="M830" s="12" t="s">
        <v>2237</v>
      </c>
      <c r="N830" s="8">
        <v>18968.04</v>
      </c>
      <c r="O830" s="12" t="s">
        <v>2237</v>
      </c>
      <c r="P830" s="12" t="s">
        <v>2236</v>
      </c>
      <c r="Q830" s="10" t="s">
        <v>2242</v>
      </c>
      <c r="R830" s="10" t="s">
        <v>2238</v>
      </c>
      <c r="S830" s="10" t="s">
        <v>2243</v>
      </c>
      <c r="T830" s="10" t="s">
        <v>2642</v>
      </c>
      <c r="U8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E530-301297726-D225301</v>
      </c>
      <c r="Y8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3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0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0" s="10" t="str">
        <f>IF(IFERROR(INDEX(WBS_Dictionary!L$2:L$1212, MATCH(Table2[[#This Row],[WBS_ID]], Table26[WBS CODE],0)), "") = "", "null", IFERROR(INDEX(WBS_Dictionary!L$2:L$1212, MATCH(Table2[[#This Row],[WBS_ID]], Table26[WBS CODE],0)), ""))</f>
        <v>SHE Permit</v>
      </c>
      <c r="AC8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1" spans="1:31" hidden="1" x14ac:dyDescent="0.3">
      <c r="A831" s="12" t="s">
        <v>2614</v>
      </c>
      <c r="B831" s="12" t="s">
        <v>30</v>
      </c>
      <c r="C831" s="12" t="s">
        <v>1816</v>
      </c>
      <c r="D831" s="12" t="s">
        <v>1817</v>
      </c>
      <c r="E831" s="12" t="s">
        <v>2842</v>
      </c>
      <c r="F831" s="8">
        <v>0</v>
      </c>
      <c r="G831" s="12" t="s">
        <v>2237</v>
      </c>
      <c r="H831" s="12">
        <v>0</v>
      </c>
      <c r="I831" s="12" t="s">
        <v>2237</v>
      </c>
      <c r="J831" s="12">
        <v>0</v>
      </c>
      <c r="K831" s="12" t="s">
        <v>2237</v>
      </c>
      <c r="L831" s="12">
        <v>0</v>
      </c>
      <c r="M831" s="12" t="s">
        <v>2237</v>
      </c>
      <c r="N831" s="8">
        <v>0</v>
      </c>
      <c r="O831" s="12" t="s">
        <v>2237</v>
      </c>
      <c r="P831" s="12" t="s">
        <v>2236</v>
      </c>
      <c r="Q831" s="10" t="s">
        <v>2242</v>
      </c>
      <c r="R831" s="10" t="s">
        <v>2238</v>
      </c>
      <c r="S831" s="10" t="s">
        <v>2243</v>
      </c>
      <c r="T831" s="10" t="s">
        <v>2645</v>
      </c>
      <c r="U8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E530-301297726-D225301</v>
      </c>
      <c r="Y83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E530-30129772699-D225301</v>
      </c>
      <c r="Z83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1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1" s="10" t="str">
        <f>IF(IFERROR(INDEX(WBS_Dictionary!L$2:L$1212, MATCH(Table2[[#This Row],[WBS_ID]], Table26[WBS CODE],0)), "") = "", "null", IFERROR(INDEX(WBS_Dictionary!L$2:L$1212, MATCH(Table2[[#This Row],[WBS_ID]], Table26[WBS CODE],0)), ""))</f>
        <v>SHE Permit</v>
      </c>
      <c r="AC831" s="10" t="str">
        <f>IF(IFERROR(INDEX(WBS_Dictionary!M$2:M$1212, MATCH(Table2[[#This Row],[WBS_ID]], Table26[WBS CODE],0)), "") = "", "null", IFERROR(INDEX(WBS_Dictionary!M$2:M$1212, MATCH(Table2[[#This Row],[WBS_ID]], Table26[WBS CODE],0)), ""))</f>
        <v>Andalalin</v>
      </c>
      <c r="AD8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2" spans="1:31" hidden="1" x14ac:dyDescent="0.3">
      <c r="A832" s="12" t="s">
        <v>2615</v>
      </c>
      <c r="B832" s="12" t="s">
        <v>30</v>
      </c>
      <c r="C832" s="12" t="s">
        <v>317</v>
      </c>
      <c r="D832" s="12" t="s">
        <v>1818</v>
      </c>
      <c r="E832" s="12" t="s">
        <v>2842</v>
      </c>
      <c r="F832" s="8">
        <v>0</v>
      </c>
      <c r="G832" s="12" t="s">
        <v>2237</v>
      </c>
      <c r="H832" s="12">
        <v>0</v>
      </c>
      <c r="I832" s="12" t="s">
        <v>2237</v>
      </c>
      <c r="J832" s="12">
        <v>0</v>
      </c>
      <c r="K832" s="12" t="s">
        <v>2237</v>
      </c>
      <c r="L832" s="12">
        <v>0</v>
      </c>
      <c r="M832" s="12" t="s">
        <v>2237</v>
      </c>
      <c r="N832" s="8">
        <v>18968.04</v>
      </c>
      <c r="O832" s="12" t="s">
        <v>2237</v>
      </c>
      <c r="P832" s="12" t="s">
        <v>2236</v>
      </c>
      <c r="Q832" s="10" t="s">
        <v>2242</v>
      </c>
      <c r="R832" s="10" t="s">
        <v>2238</v>
      </c>
      <c r="S832" s="10" t="s">
        <v>2243</v>
      </c>
      <c r="T832" s="10" t="s">
        <v>2645</v>
      </c>
      <c r="U8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E530-301297726-D225301</v>
      </c>
      <c r="Y832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E530-30129772624-D225301</v>
      </c>
      <c r="Z83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2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2" s="10" t="str">
        <f>IF(IFERROR(INDEX(WBS_Dictionary!L$2:L$1212, MATCH(Table2[[#This Row],[WBS_ID]], Table26[WBS CODE],0)), "") = "", "null", IFERROR(INDEX(WBS_Dictionary!L$2:L$1212, MATCH(Table2[[#This Row],[WBS_ID]], Table26[WBS CODE],0)), ""))</f>
        <v>SHE Permit</v>
      </c>
      <c r="AC832" s="10" t="str">
        <f>IF(IFERROR(INDEX(WBS_Dictionary!M$2:M$1212, MATCH(Table2[[#This Row],[WBS_ID]], Table26[WBS CODE],0)), "") = "", "null", IFERROR(INDEX(WBS_Dictionary!M$2:M$1212, MATCH(Table2[[#This Row],[WBS_ID]], Table26[WBS CODE],0)), ""))</f>
        <v>Environment Permit</v>
      </c>
      <c r="AD8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3" spans="1:31" hidden="1" x14ac:dyDescent="0.3">
      <c r="A833" s="12" t="s">
        <v>2616</v>
      </c>
      <c r="B833" s="12" t="s">
        <v>26</v>
      </c>
      <c r="C833" s="12" t="s">
        <v>319</v>
      </c>
      <c r="D833" s="12" t="s">
        <v>1819</v>
      </c>
      <c r="E833" s="12" t="s">
        <v>2842</v>
      </c>
      <c r="F833" s="8">
        <v>46430</v>
      </c>
      <c r="G833" s="12" t="s">
        <v>2237</v>
      </c>
      <c r="H833" s="12">
        <v>46430</v>
      </c>
      <c r="I833" s="12" t="s">
        <v>2237</v>
      </c>
      <c r="J833" s="12">
        <v>0</v>
      </c>
      <c r="K833" s="12" t="s">
        <v>2237</v>
      </c>
      <c r="L833" s="12">
        <v>0</v>
      </c>
      <c r="M833" s="12" t="s">
        <v>2237</v>
      </c>
      <c r="N833" s="8">
        <v>11182</v>
      </c>
      <c r="O833" s="12" t="s">
        <v>2237</v>
      </c>
      <c r="P833" s="12" t="s">
        <v>2236</v>
      </c>
      <c r="Q833" s="10" t="s">
        <v>2242</v>
      </c>
      <c r="R833" s="10" t="s">
        <v>2238</v>
      </c>
      <c r="S833" s="10" t="s">
        <v>2243</v>
      </c>
      <c r="T833" s="10" t="s">
        <v>2642</v>
      </c>
      <c r="U8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E530-301297759-D225301</v>
      </c>
      <c r="Y8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3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3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3" s="10" t="str">
        <f>IF(IFERROR(INDEX(WBS_Dictionary!L$2:L$1212, MATCH(Table2[[#This Row],[WBS_ID]], Table26[WBS CODE],0)), "") = "", "null", IFERROR(INDEX(WBS_Dictionary!L$2:L$1212, MATCH(Table2[[#This Row],[WBS_ID]], Table26[WBS CODE],0)), ""))</f>
        <v>Environmental Monitoring</v>
      </c>
      <c r="AC8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4" spans="1:31" hidden="1" x14ac:dyDescent="0.3">
      <c r="A834" s="12" t="s">
        <v>2617</v>
      </c>
      <c r="B834" s="12" t="s">
        <v>30</v>
      </c>
      <c r="C834" s="12" t="s">
        <v>1820</v>
      </c>
      <c r="D834" s="12" t="s">
        <v>1821</v>
      </c>
      <c r="E834" s="12" t="s">
        <v>2842</v>
      </c>
      <c r="F834" s="8">
        <v>0</v>
      </c>
      <c r="G834" s="12" t="s">
        <v>2237</v>
      </c>
      <c r="H834" s="12">
        <v>0</v>
      </c>
      <c r="I834" s="12" t="s">
        <v>2237</v>
      </c>
      <c r="J834" s="12">
        <v>0</v>
      </c>
      <c r="K834" s="12" t="s">
        <v>2237</v>
      </c>
      <c r="L834" s="12">
        <v>0</v>
      </c>
      <c r="M834" s="12" t="s">
        <v>2237</v>
      </c>
      <c r="N834" s="8">
        <v>0</v>
      </c>
      <c r="O834" s="12" t="s">
        <v>2237</v>
      </c>
      <c r="P834" s="12" t="s">
        <v>2236</v>
      </c>
      <c r="Q834" s="10" t="s">
        <v>2242</v>
      </c>
      <c r="R834" s="10" t="s">
        <v>2238</v>
      </c>
      <c r="S834" s="10" t="s">
        <v>2243</v>
      </c>
      <c r="T834" s="10" t="s">
        <v>2645</v>
      </c>
      <c r="U8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E530-301297759-D225301</v>
      </c>
      <c r="Y834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E530-30129775943-D225301</v>
      </c>
      <c r="Z83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4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4" s="10" t="str">
        <f>IF(IFERROR(INDEX(WBS_Dictionary!L$2:L$1212, MATCH(Table2[[#This Row],[WBS_ID]], Table26[WBS CODE],0)), "") = "", "null", IFERROR(INDEX(WBS_Dictionary!L$2:L$1212, MATCH(Table2[[#This Row],[WBS_ID]], Table26[WBS CODE],0)), ""))</f>
        <v>Environmental Monitoring</v>
      </c>
      <c r="AC834" s="10" t="str">
        <f>IF(IFERROR(INDEX(WBS_Dictionary!M$2:M$1212, MATCH(Table2[[#This Row],[WBS_ID]], Table26[WBS CODE],0)), "") = "", "null", IFERROR(INDEX(WBS_Dictionary!M$2:M$1212, MATCH(Table2[[#This Row],[WBS_ID]], Table26[WBS CODE],0)), ""))</f>
        <v>IPAL</v>
      </c>
      <c r="AD8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5" spans="1:31" hidden="1" x14ac:dyDescent="0.3">
      <c r="A835" s="12" t="s">
        <v>2618</v>
      </c>
      <c r="B835" s="12" t="s">
        <v>30</v>
      </c>
      <c r="C835" s="12" t="s">
        <v>319</v>
      </c>
      <c r="D835" s="12" t="s">
        <v>1822</v>
      </c>
      <c r="E835" s="12" t="s">
        <v>2842</v>
      </c>
      <c r="F835" s="8">
        <v>0</v>
      </c>
      <c r="G835" s="12" t="s">
        <v>2237</v>
      </c>
      <c r="H835" s="12">
        <v>0</v>
      </c>
      <c r="I835" s="12" t="s">
        <v>2237</v>
      </c>
      <c r="J835" s="12">
        <v>0</v>
      </c>
      <c r="K835" s="12" t="s">
        <v>2237</v>
      </c>
      <c r="L835" s="12">
        <v>0</v>
      </c>
      <c r="M835" s="12" t="s">
        <v>2237</v>
      </c>
      <c r="N835" s="8">
        <v>11182</v>
      </c>
      <c r="O835" s="12" t="s">
        <v>2237</v>
      </c>
      <c r="P835" s="12" t="s">
        <v>2236</v>
      </c>
      <c r="Q835" s="10" t="s">
        <v>2242</v>
      </c>
      <c r="R835" s="10" t="s">
        <v>2238</v>
      </c>
      <c r="S835" s="10" t="s">
        <v>2243</v>
      </c>
      <c r="T835" s="10" t="s">
        <v>2645</v>
      </c>
      <c r="U8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E530-301297759-D225301</v>
      </c>
      <c r="Y835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E530-30129775920-D225301</v>
      </c>
      <c r="Z83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5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5" s="10" t="str">
        <f>IF(IFERROR(INDEX(WBS_Dictionary!L$2:L$1212, MATCH(Table2[[#This Row],[WBS_ID]], Table26[WBS CODE],0)), "") = "", "null", IFERROR(INDEX(WBS_Dictionary!L$2:L$1212, MATCH(Table2[[#This Row],[WBS_ID]], Table26[WBS CODE],0)), ""))</f>
        <v>Environmental Monitoring</v>
      </c>
      <c r="AC835" s="10" t="str">
        <f>IF(IFERROR(INDEX(WBS_Dictionary!M$2:M$1212, MATCH(Table2[[#This Row],[WBS_ID]], Table26[WBS CODE],0)), "") = "", "null", IFERROR(INDEX(WBS_Dictionary!M$2:M$1212, MATCH(Table2[[#This Row],[WBS_ID]], Table26[WBS CODE],0)), ""))</f>
        <v>Environmental Monitoring</v>
      </c>
      <c r="AD8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6" spans="1:31" hidden="1" x14ac:dyDescent="0.3">
      <c r="A836" s="12" t="s">
        <v>2619</v>
      </c>
      <c r="B836" s="12" t="s">
        <v>26</v>
      </c>
      <c r="C836" s="12" t="s">
        <v>322</v>
      </c>
      <c r="D836" s="12" t="s">
        <v>1823</v>
      </c>
      <c r="E836" s="12" t="s">
        <v>2842</v>
      </c>
      <c r="F836" s="8">
        <v>107258</v>
      </c>
      <c r="G836" s="12" t="s">
        <v>2237</v>
      </c>
      <c r="H836" s="12">
        <v>107258</v>
      </c>
      <c r="I836" s="12" t="s">
        <v>2237</v>
      </c>
      <c r="J836" s="12">
        <v>0</v>
      </c>
      <c r="K836" s="12" t="s">
        <v>2237</v>
      </c>
      <c r="L836" s="12">
        <v>0</v>
      </c>
      <c r="M836" s="12" t="s">
        <v>2237</v>
      </c>
      <c r="N836" s="8">
        <v>74043.23</v>
      </c>
      <c r="O836" s="12" t="s">
        <v>2237</v>
      </c>
      <c r="P836" s="12" t="s">
        <v>2236</v>
      </c>
      <c r="Q836" s="10" t="s">
        <v>2242</v>
      </c>
      <c r="R836" s="10" t="s">
        <v>2238</v>
      </c>
      <c r="S836" s="10" t="s">
        <v>2243</v>
      </c>
      <c r="T836" s="10" t="s">
        <v>2844</v>
      </c>
      <c r="U8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E530-301297757-D225301</v>
      </c>
      <c r="Y8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3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6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6" s="10" t="str">
        <f>IF(IFERROR(INDEX(WBS_Dictionary!L$2:L$1212, MATCH(Table2[[#This Row],[WBS_ID]], Table26[WBS CODE],0)), "") = "", "null", IFERROR(INDEX(WBS_Dictionary!L$2:L$1212, MATCH(Table2[[#This Row],[WBS_ID]], Table26[WBS CODE],0)), ""))</f>
        <v>Hazardous Waste</v>
      </c>
      <c r="AC8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7" spans="1:31" hidden="1" x14ac:dyDescent="0.3">
      <c r="A837" s="12" t="s">
        <v>2620</v>
      </c>
      <c r="B837" s="12" t="s">
        <v>30</v>
      </c>
      <c r="C837" s="12" t="s">
        <v>1824</v>
      </c>
      <c r="D837" s="12" t="s">
        <v>1825</v>
      </c>
      <c r="E837" s="12" t="s">
        <v>2842</v>
      </c>
      <c r="F837" s="8">
        <v>0</v>
      </c>
      <c r="G837" s="12" t="s">
        <v>2237</v>
      </c>
      <c r="H837" s="12">
        <v>0</v>
      </c>
      <c r="I837" s="12" t="s">
        <v>2237</v>
      </c>
      <c r="J837" s="12">
        <v>0</v>
      </c>
      <c r="K837" s="12" t="s">
        <v>2237</v>
      </c>
      <c r="L837" s="12">
        <v>0</v>
      </c>
      <c r="M837" s="12" t="s">
        <v>2237</v>
      </c>
      <c r="N837" s="8">
        <v>68243.850000000006</v>
      </c>
      <c r="O837" s="12" t="s">
        <v>2237</v>
      </c>
      <c r="P837" s="12" t="s">
        <v>2236</v>
      </c>
      <c r="Q837" s="10" t="s">
        <v>2242</v>
      </c>
      <c r="R837" s="10" t="s">
        <v>2238</v>
      </c>
      <c r="S837" s="10" t="s">
        <v>2243</v>
      </c>
      <c r="T837" s="10" t="s">
        <v>2645</v>
      </c>
      <c r="U8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E530-301297757-D225301</v>
      </c>
      <c r="Y837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E530-30129775799-D225301</v>
      </c>
      <c r="Z83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7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7" s="10" t="str">
        <f>IF(IFERROR(INDEX(WBS_Dictionary!L$2:L$1212, MATCH(Table2[[#This Row],[WBS_ID]], Table26[WBS CODE],0)), "") = "", "null", IFERROR(INDEX(WBS_Dictionary!L$2:L$1212, MATCH(Table2[[#This Row],[WBS_ID]], Table26[WBS CODE],0)), ""))</f>
        <v>Hazardous Waste</v>
      </c>
      <c r="AC837" s="10" t="str">
        <f>IF(IFERROR(INDEX(WBS_Dictionary!M$2:M$1212, MATCH(Table2[[#This Row],[WBS_ID]], Table26[WBS CODE],0)), "") = "", "null", IFERROR(INDEX(WBS_Dictionary!M$2:M$1212, MATCH(Table2[[#This Row],[WBS_ID]], Table26[WBS CODE],0)), ""))</f>
        <v>Hazardous Waste</v>
      </c>
      <c r="AD8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8" spans="1:31" hidden="1" x14ac:dyDescent="0.3">
      <c r="A838" s="12" t="s">
        <v>2621</v>
      </c>
      <c r="B838" s="12" t="s">
        <v>30</v>
      </c>
      <c r="C838" s="12" t="s">
        <v>322</v>
      </c>
      <c r="D838" s="12" t="s">
        <v>1826</v>
      </c>
      <c r="E838" s="12" t="s">
        <v>2842</v>
      </c>
      <c r="F838" s="8">
        <v>0</v>
      </c>
      <c r="G838" s="12" t="s">
        <v>2237</v>
      </c>
      <c r="H838" s="12">
        <v>0</v>
      </c>
      <c r="I838" s="12" t="s">
        <v>2237</v>
      </c>
      <c r="J838" s="12">
        <v>0</v>
      </c>
      <c r="K838" s="12" t="s">
        <v>2237</v>
      </c>
      <c r="L838" s="12">
        <v>0</v>
      </c>
      <c r="M838" s="12" t="s">
        <v>2237</v>
      </c>
      <c r="N838" s="8">
        <v>5799.38</v>
      </c>
      <c r="O838" s="12" t="s">
        <v>2237</v>
      </c>
      <c r="P838" s="12" t="s">
        <v>2236</v>
      </c>
      <c r="Q838" s="10" t="s">
        <v>2242</v>
      </c>
      <c r="R838" s="10" t="s">
        <v>2238</v>
      </c>
      <c r="S838" s="10" t="s">
        <v>2243</v>
      </c>
      <c r="T838" s="10" t="s">
        <v>2645</v>
      </c>
      <c r="U8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E530-301297757-D225301</v>
      </c>
      <c r="Y83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E530-30129775736-D225301</v>
      </c>
      <c r="Z83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8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8" s="10" t="str">
        <f>IF(IFERROR(INDEX(WBS_Dictionary!L$2:L$1212, MATCH(Table2[[#This Row],[WBS_ID]], Table26[WBS CODE],0)), "") = "", "null", IFERROR(INDEX(WBS_Dictionary!L$2:L$1212, MATCH(Table2[[#This Row],[WBS_ID]], Table26[WBS CODE],0)), ""))</f>
        <v>Hazardous Waste</v>
      </c>
      <c r="AC838" s="10" t="str">
        <f>IF(IFERROR(INDEX(WBS_Dictionary!M$2:M$1212, MATCH(Table2[[#This Row],[WBS_ID]], Table26[WBS CODE],0)), "") = "", "null", IFERROR(INDEX(WBS_Dictionary!M$2:M$1212, MATCH(Table2[[#This Row],[WBS_ID]], Table26[WBS CODE],0)), ""))</f>
        <v>Hazardous Waste</v>
      </c>
      <c r="AD8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39" spans="1:31" hidden="1" x14ac:dyDescent="0.3">
      <c r="A839" s="12" t="s">
        <v>2622</v>
      </c>
      <c r="B839" s="12" t="s">
        <v>26</v>
      </c>
      <c r="C839" s="12" t="s">
        <v>325</v>
      </c>
      <c r="D839" s="12" t="s">
        <v>1827</v>
      </c>
      <c r="E839" s="12" t="s">
        <v>2842</v>
      </c>
      <c r="F839" s="8">
        <v>529384</v>
      </c>
      <c r="G839" s="12" t="s">
        <v>2237</v>
      </c>
      <c r="H839" s="12">
        <v>529384</v>
      </c>
      <c r="I839" s="12" t="s">
        <v>2237</v>
      </c>
      <c r="J839" s="12">
        <v>0</v>
      </c>
      <c r="K839" s="12" t="s">
        <v>2237</v>
      </c>
      <c r="L839" s="12">
        <v>0</v>
      </c>
      <c r="M839" s="12" t="s">
        <v>2237</v>
      </c>
      <c r="N839" s="8">
        <v>486310.67</v>
      </c>
      <c r="O839" s="12" t="s">
        <v>2237</v>
      </c>
      <c r="P839" s="12" t="s">
        <v>2236</v>
      </c>
      <c r="Q839" s="10" t="s">
        <v>2242</v>
      </c>
      <c r="R839" s="10" t="s">
        <v>2238</v>
      </c>
      <c r="S839" s="10" t="s">
        <v>2243</v>
      </c>
      <c r="T839" s="10" t="s">
        <v>3054</v>
      </c>
      <c r="U83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3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3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3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E530-301297758-D225301</v>
      </c>
      <c r="Y8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3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39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39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8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40" spans="1:31" hidden="1" x14ac:dyDescent="0.3">
      <c r="A840" s="12" t="s">
        <v>2623</v>
      </c>
      <c r="B840" s="12" t="s">
        <v>30</v>
      </c>
      <c r="C840" s="12" t="s">
        <v>327</v>
      </c>
      <c r="D840" s="12" t="s">
        <v>1828</v>
      </c>
      <c r="E840" s="12" t="s">
        <v>2842</v>
      </c>
      <c r="F840" s="8">
        <v>0</v>
      </c>
      <c r="G840" s="12" t="s">
        <v>2237</v>
      </c>
      <c r="H840" s="12">
        <v>0</v>
      </c>
      <c r="I840" s="12" t="s">
        <v>2237</v>
      </c>
      <c r="J840" s="12">
        <v>0</v>
      </c>
      <c r="K840" s="12" t="s">
        <v>2237</v>
      </c>
      <c r="L840" s="12">
        <v>0</v>
      </c>
      <c r="M840" s="12" t="s">
        <v>2237</v>
      </c>
      <c r="N840" s="8">
        <v>55128.71</v>
      </c>
      <c r="O840" s="12" t="s">
        <v>2237</v>
      </c>
      <c r="P840" s="12" t="s">
        <v>2236</v>
      </c>
      <c r="Q840" s="10" t="s">
        <v>2242</v>
      </c>
      <c r="R840" s="10" t="s">
        <v>2238</v>
      </c>
      <c r="S840" s="10" t="s">
        <v>2243</v>
      </c>
      <c r="T840" s="10" t="s">
        <v>2645</v>
      </c>
      <c r="U84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4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E530-301297758-D225301</v>
      </c>
      <c r="Y840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E530-30129775816-D225301</v>
      </c>
      <c r="Z84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0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40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840" s="10" t="str">
        <f>IF(IFERROR(INDEX(WBS_Dictionary!M$2:M$1212, MATCH(Table2[[#This Row],[WBS_ID]], Table26[WBS CODE],0)), "") = "", "null", IFERROR(INDEX(WBS_Dictionary!M$2:M$1212, MATCH(Table2[[#This Row],[WBS_ID]], Table26[WBS CODE],0)), ""))</f>
        <v>Heavy Equipment for Drill Cutting</v>
      </c>
      <c r="AD8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41" spans="1:31" hidden="1" x14ac:dyDescent="0.3">
      <c r="A841" s="12" t="s">
        <v>2624</v>
      </c>
      <c r="B841" s="12" t="s">
        <v>30</v>
      </c>
      <c r="C841" s="12" t="s">
        <v>329</v>
      </c>
      <c r="D841" s="12" t="s">
        <v>1829</v>
      </c>
      <c r="E841" s="12" t="s">
        <v>2842</v>
      </c>
      <c r="F841" s="8">
        <v>0</v>
      </c>
      <c r="G841" s="12" t="s">
        <v>2237</v>
      </c>
      <c r="H841" s="12">
        <v>0</v>
      </c>
      <c r="I841" s="12" t="s">
        <v>2237</v>
      </c>
      <c r="J841" s="12">
        <v>0</v>
      </c>
      <c r="K841" s="12" t="s">
        <v>2237</v>
      </c>
      <c r="L841" s="12">
        <v>0</v>
      </c>
      <c r="M841" s="12" t="s">
        <v>2237</v>
      </c>
      <c r="N841" s="8">
        <v>431181.96</v>
      </c>
      <c r="O841" s="12" t="s">
        <v>2237</v>
      </c>
      <c r="P841" s="12" t="s">
        <v>2236</v>
      </c>
      <c r="Q841" s="10" t="s">
        <v>2242</v>
      </c>
      <c r="R841" s="10" t="s">
        <v>2238</v>
      </c>
      <c r="S841" s="10" t="s">
        <v>2243</v>
      </c>
      <c r="T841" s="10" t="s">
        <v>2645</v>
      </c>
      <c r="U84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E530-3012977-D225301</v>
      </c>
      <c r="X84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E530-301297758-D225301</v>
      </c>
      <c r="Y84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E530-30129775817-D225301</v>
      </c>
      <c r="Z84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1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841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841" s="10" t="str">
        <f>IF(IFERROR(INDEX(WBS_Dictionary!M$2:M$1212, MATCH(Table2[[#This Row],[WBS_ID]], Table26[WBS CODE],0)), "") = "", "null", IFERROR(INDEX(WBS_Dictionary!M$2:M$1212, MATCH(Table2[[#This Row],[WBS_ID]], Table26[WBS CODE],0)), ""))</f>
        <v>Drill Cutting - Transport &amp; Process</v>
      </c>
      <c r="AD8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42" spans="1:31" hidden="1" x14ac:dyDescent="0.3">
      <c r="A842" s="12" t="s">
        <v>2625</v>
      </c>
      <c r="B842" s="12" t="s">
        <v>21</v>
      </c>
      <c r="C842" s="12" t="s">
        <v>332</v>
      </c>
      <c r="D842" s="12" t="s">
        <v>1830</v>
      </c>
      <c r="E842" s="12" t="s">
        <v>2842</v>
      </c>
      <c r="F842" s="8">
        <v>189537</v>
      </c>
      <c r="G842" s="12" t="s">
        <v>2237</v>
      </c>
      <c r="H842" s="12">
        <v>189537</v>
      </c>
      <c r="I842" s="12" t="s">
        <v>2237</v>
      </c>
      <c r="J842" s="12">
        <v>0</v>
      </c>
      <c r="K842" s="12" t="s">
        <v>2237</v>
      </c>
      <c r="L842" s="12">
        <v>0</v>
      </c>
      <c r="M842" s="12" t="s">
        <v>2237</v>
      </c>
      <c r="N842" s="8">
        <v>84508.19</v>
      </c>
      <c r="O842" s="12" t="s">
        <v>2237</v>
      </c>
      <c r="P842" s="12" t="s">
        <v>2236</v>
      </c>
      <c r="Q842" s="10" t="s">
        <v>2242</v>
      </c>
      <c r="R842" s="10" t="s">
        <v>2238</v>
      </c>
      <c r="S842" s="10" t="s">
        <v>2243</v>
      </c>
      <c r="T842" s="10" t="s">
        <v>2642</v>
      </c>
      <c r="U84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4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2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43" spans="1:31" x14ac:dyDescent="0.3">
      <c r="A843" s="12" t="s">
        <v>2626</v>
      </c>
      <c r="B843" s="12" t="s">
        <v>26</v>
      </c>
      <c r="C843" s="12" t="s">
        <v>1831</v>
      </c>
      <c r="D843" s="12" t="s">
        <v>1832</v>
      </c>
      <c r="E843" s="12" t="s">
        <v>2842</v>
      </c>
      <c r="F843" s="8">
        <v>37907</v>
      </c>
      <c r="G843" s="12" t="s">
        <v>2237</v>
      </c>
      <c r="H843" s="12">
        <v>37907</v>
      </c>
      <c r="I843" s="12" t="s">
        <v>2237</v>
      </c>
      <c r="J843" s="12">
        <v>0</v>
      </c>
      <c r="K843" s="12" t="s">
        <v>2237</v>
      </c>
      <c r="L843" s="12">
        <v>0</v>
      </c>
      <c r="M843" s="12" t="s">
        <v>2237</v>
      </c>
      <c r="N843" s="8">
        <v>12423.28</v>
      </c>
      <c r="O843" s="12" t="s">
        <v>2237</v>
      </c>
      <c r="P843" s="12" t="s">
        <v>2236</v>
      </c>
      <c r="Q843" s="10" t="s">
        <v>2242</v>
      </c>
      <c r="R843" s="10" t="s">
        <v>2238</v>
      </c>
      <c r="S843" s="10" t="s">
        <v>2243</v>
      </c>
      <c r="T843" s="10" t="s">
        <v>2642</v>
      </c>
      <c r="U84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E530-301297605-D225301</v>
      </c>
      <c r="Y8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4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3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3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43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8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44" spans="1:31" x14ac:dyDescent="0.3">
      <c r="A844" s="12" t="s">
        <v>2627</v>
      </c>
      <c r="B844" s="12" t="s">
        <v>30</v>
      </c>
      <c r="C844" s="12" t="s">
        <v>1831</v>
      </c>
      <c r="D844" s="12" t="s">
        <v>1833</v>
      </c>
      <c r="E844" s="12" t="s">
        <v>2842</v>
      </c>
      <c r="F844" s="8">
        <v>0</v>
      </c>
      <c r="G844" s="12" t="s">
        <v>2237</v>
      </c>
      <c r="H844" s="12">
        <v>0</v>
      </c>
      <c r="I844" s="12" t="s">
        <v>2237</v>
      </c>
      <c r="J844" s="12">
        <v>0</v>
      </c>
      <c r="K844" s="12" t="s">
        <v>2237</v>
      </c>
      <c r="L844" s="12">
        <v>0</v>
      </c>
      <c r="M844" s="12" t="s">
        <v>2237</v>
      </c>
      <c r="N844" s="8">
        <v>12423.28</v>
      </c>
      <c r="O844" s="12" t="s">
        <v>2237</v>
      </c>
      <c r="P844" s="12" t="s">
        <v>2236</v>
      </c>
      <c r="Q844" s="10" t="s">
        <v>2242</v>
      </c>
      <c r="R844" s="10" t="s">
        <v>2238</v>
      </c>
      <c r="S844" s="10" t="s">
        <v>2243</v>
      </c>
      <c r="T844" s="10" t="s">
        <v>2645</v>
      </c>
      <c r="U84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E530-301297605-D225301</v>
      </c>
      <c r="Y844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E530-30129760505-D225301</v>
      </c>
      <c r="Z84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4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4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44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844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8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45" spans="1:31" x14ac:dyDescent="0.3">
      <c r="A845" s="12" t="s">
        <v>2628</v>
      </c>
      <c r="B845" s="12" t="s">
        <v>26</v>
      </c>
      <c r="C845" s="12" t="s">
        <v>1834</v>
      </c>
      <c r="D845" s="12" t="s">
        <v>1835</v>
      </c>
      <c r="E845" s="12" t="s">
        <v>2842</v>
      </c>
      <c r="F845" s="8">
        <v>37907</v>
      </c>
      <c r="G845" s="12" t="s">
        <v>2237</v>
      </c>
      <c r="H845" s="12">
        <v>37907</v>
      </c>
      <c r="I845" s="12" t="s">
        <v>2237</v>
      </c>
      <c r="J845" s="12">
        <v>0</v>
      </c>
      <c r="K845" s="12" t="s">
        <v>2237</v>
      </c>
      <c r="L845" s="12">
        <v>0</v>
      </c>
      <c r="M845" s="12" t="s">
        <v>2237</v>
      </c>
      <c r="N845" s="8">
        <v>25601.56</v>
      </c>
      <c r="O845" s="12" t="s">
        <v>2237</v>
      </c>
      <c r="P845" s="12" t="s">
        <v>2236</v>
      </c>
      <c r="Q845" s="10" t="s">
        <v>2242</v>
      </c>
      <c r="R845" s="10" t="s">
        <v>2238</v>
      </c>
      <c r="S845" s="10" t="s">
        <v>2243</v>
      </c>
      <c r="T845" s="10" t="s">
        <v>2642</v>
      </c>
      <c r="U84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E530-301297604-D225301</v>
      </c>
      <c r="Y8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4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5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5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45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84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46" spans="1:31" x14ac:dyDescent="0.3">
      <c r="A846" s="12" t="s">
        <v>2629</v>
      </c>
      <c r="B846" s="12" t="s">
        <v>30</v>
      </c>
      <c r="C846" s="12" t="s">
        <v>1834</v>
      </c>
      <c r="D846" s="12" t="s">
        <v>1836</v>
      </c>
      <c r="E846" s="12" t="s">
        <v>2842</v>
      </c>
      <c r="F846" s="8">
        <v>0</v>
      </c>
      <c r="G846" s="12" t="s">
        <v>2237</v>
      </c>
      <c r="H846" s="12">
        <v>0</v>
      </c>
      <c r="I846" s="12" t="s">
        <v>2237</v>
      </c>
      <c r="J846" s="12">
        <v>0</v>
      </c>
      <c r="K846" s="12" t="s">
        <v>2237</v>
      </c>
      <c r="L846" s="12">
        <v>0</v>
      </c>
      <c r="M846" s="12" t="s">
        <v>2237</v>
      </c>
      <c r="N846" s="8">
        <v>25601.56</v>
      </c>
      <c r="O846" s="12" t="s">
        <v>2237</v>
      </c>
      <c r="P846" s="12" t="s">
        <v>2236</v>
      </c>
      <c r="Q846" s="10" t="s">
        <v>2242</v>
      </c>
      <c r="R846" s="10" t="s">
        <v>2238</v>
      </c>
      <c r="S846" s="10" t="s">
        <v>2243</v>
      </c>
      <c r="T846" s="10" t="s">
        <v>2645</v>
      </c>
      <c r="U8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E530-301297604-D225301</v>
      </c>
      <c r="Y846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E530-30129760404-D225301</v>
      </c>
      <c r="Z84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6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6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46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846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8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47" spans="1:31" x14ac:dyDescent="0.3">
      <c r="A847" s="12" t="s">
        <v>2630</v>
      </c>
      <c r="B847" s="12" t="s">
        <v>26</v>
      </c>
      <c r="C847" s="12" t="s">
        <v>1837</v>
      </c>
      <c r="D847" s="12" t="s">
        <v>1838</v>
      </c>
      <c r="E847" s="12" t="s">
        <v>2842</v>
      </c>
      <c r="F847" s="8">
        <v>37907</v>
      </c>
      <c r="G847" s="12" t="s">
        <v>2237</v>
      </c>
      <c r="H847" s="12">
        <v>37907</v>
      </c>
      <c r="I847" s="12" t="s">
        <v>2237</v>
      </c>
      <c r="J847" s="12">
        <v>0</v>
      </c>
      <c r="K847" s="12" t="s">
        <v>2237</v>
      </c>
      <c r="L847" s="12">
        <v>0</v>
      </c>
      <c r="M847" s="12" t="s">
        <v>2237</v>
      </c>
      <c r="N847" s="8">
        <v>17190.95</v>
      </c>
      <c r="O847" s="12" t="s">
        <v>2237</v>
      </c>
      <c r="P847" s="12" t="s">
        <v>2236</v>
      </c>
      <c r="Q847" s="10" t="s">
        <v>2242</v>
      </c>
      <c r="R847" s="10" t="s">
        <v>2238</v>
      </c>
      <c r="S847" s="10" t="s">
        <v>2243</v>
      </c>
      <c r="T847" s="10" t="s">
        <v>2642</v>
      </c>
      <c r="U8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E530-301297603-D225301</v>
      </c>
      <c r="Y8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4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7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7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47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8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48" spans="1:31" x14ac:dyDescent="0.3">
      <c r="A848" s="12" t="s">
        <v>2631</v>
      </c>
      <c r="B848" s="12" t="s">
        <v>30</v>
      </c>
      <c r="C848" s="12" t="s">
        <v>1837</v>
      </c>
      <c r="D848" s="12" t="s">
        <v>1839</v>
      </c>
      <c r="E848" s="12" t="s">
        <v>2842</v>
      </c>
      <c r="F848" s="8">
        <v>0</v>
      </c>
      <c r="G848" s="12" t="s">
        <v>2237</v>
      </c>
      <c r="H848" s="12">
        <v>0</v>
      </c>
      <c r="I848" s="12" t="s">
        <v>2237</v>
      </c>
      <c r="J848" s="12">
        <v>0</v>
      </c>
      <c r="K848" s="12" t="s">
        <v>2237</v>
      </c>
      <c r="L848" s="12">
        <v>0</v>
      </c>
      <c r="M848" s="12" t="s">
        <v>2237</v>
      </c>
      <c r="N848" s="8">
        <v>17190.95</v>
      </c>
      <c r="O848" s="12" t="s">
        <v>2237</v>
      </c>
      <c r="P848" s="12" t="s">
        <v>2236</v>
      </c>
      <c r="Q848" s="10" t="s">
        <v>2242</v>
      </c>
      <c r="R848" s="10" t="s">
        <v>2238</v>
      </c>
      <c r="S848" s="10" t="s">
        <v>2243</v>
      </c>
      <c r="T848" s="10" t="s">
        <v>2645</v>
      </c>
      <c r="U8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E530-301297603-D225301</v>
      </c>
      <c r="Y84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E530-30129760303-D225301</v>
      </c>
      <c r="Z84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8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8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48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848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8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49" spans="1:31" x14ac:dyDescent="0.3">
      <c r="A849" s="12" t="s">
        <v>2632</v>
      </c>
      <c r="B849" s="12" t="s">
        <v>26</v>
      </c>
      <c r="C849" s="12" t="s">
        <v>1840</v>
      </c>
      <c r="D849" s="12" t="s">
        <v>1841</v>
      </c>
      <c r="E849" s="12" t="s">
        <v>2842</v>
      </c>
      <c r="F849" s="8">
        <v>37908</v>
      </c>
      <c r="G849" s="12" t="s">
        <v>2237</v>
      </c>
      <c r="H849" s="12">
        <v>37908</v>
      </c>
      <c r="I849" s="12" t="s">
        <v>2237</v>
      </c>
      <c r="J849" s="12">
        <v>0</v>
      </c>
      <c r="K849" s="12" t="s">
        <v>2237</v>
      </c>
      <c r="L849" s="12">
        <v>0</v>
      </c>
      <c r="M849" s="12" t="s">
        <v>2237</v>
      </c>
      <c r="N849" s="8">
        <v>14304.06</v>
      </c>
      <c r="O849" s="12" t="s">
        <v>2237</v>
      </c>
      <c r="P849" s="12" t="s">
        <v>2236</v>
      </c>
      <c r="Q849" s="10" t="s">
        <v>2242</v>
      </c>
      <c r="R849" s="10" t="s">
        <v>2238</v>
      </c>
      <c r="S849" s="10" t="s">
        <v>2243</v>
      </c>
      <c r="T849" s="10" t="s">
        <v>2642</v>
      </c>
      <c r="U8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4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4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4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E530-301297602-D225301</v>
      </c>
      <c r="Y8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4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49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49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49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8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50" spans="1:31" x14ac:dyDescent="0.3">
      <c r="A850" s="12" t="s">
        <v>2633</v>
      </c>
      <c r="B850" s="12" t="s">
        <v>30</v>
      </c>
      <c r="C850" s="12" t="s">
        <v>1840</v>
      </c>
      <c r="D850" s="12" t="s">
        <v>1842</v>
      </c>
      <c r="E850" s="12" t="s">
        <v>2842</v>
      </c>
      <c r="F850" s="8">
        <v>0</v>
      </c>
      <c r="G850" s="12" t="s">
        <v>2237</v>
      </c>
      <c r="H850" s="12">
        <v>0</v>
      </c>
      <c r="I850" s="12" t="s">
        <v>2237</v>
      </c>
      <c r="J850" s="12">
        <v>0</v>
      </c>
      <c r="K850" s="12" t="s">
        <v>2237</v>
      </c>
      <c r="L850" s="12">
        <v>0</v>
      </c>
      <c r="M850" s="12" t="s">
        <v>2237</v>
      </c>
      <c r="N850" s="8">
        <v>14304.06</v>
      </c>
      <c r="O850" s="12" t="s">
        <v>2237</v>
      </c>
      <c r="P850" s="12" t="s">
        <v>2236</v>
      </c>
      <c r="Q850" s="10" t="s">
        <v>2242</v>
      </c>
      <c r="R850" s="10" t="s">
        <v>2238</v>
      </c>
      <c r="S850" s="10" t="s">
        <v>2243</v>
      </c>
      <c r="T850" s="10" t="s">
        <v>2645</v>
      </c>
      <c r="U8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5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5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5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E530-301297602-D225301</v>
      </c>
      <c r="Y850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E530-30129760202-D225301</v>
      </c>
      <c r="Z85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50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50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50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850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8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51" spans="1:31" x14ac:dyDescent="0.3">
      <c r="A851" s="12" t="s">
        <v>2634</v>
      </c>
      <c r="B851" s="12" t="s">
        <v>26</v>
      </c>
      <c r="C851" s="12" t="s">
        <v>1843</v>
      </c>
      <c r="D851" s="12" t="s">
        <v>1844</v>
      </c>
      <c r="E851" s="12" t="s">
        <v>2842</v>
      </c>
      <c r="F851" s="8">
        <v>37908</v>
      </c>
      <c r="G851" s="12" t="s">
        <v>2237</v>
      </c>
      <c r="H851" s="12">
        <v>37908</v>
      </c>
      <c r="I851" s="12" t="s">
        <v>2237</v>
      </c>
      <c r="J851" s="12">
        <v>0</v>
      </c>
      <c r="K851" s="12" t="s">
        <v>2237</v>
      </c>
      <c r="L851" s="12">
        <v>0</v>
      </c>
      <c r="M851" s="12" t="s">
        <v>2237</v>
      </c>
      <c r="N851" s="8">
        <v>14988.34</v>
      </c>
      <c r="O851" s="12" t="s">
        <v>2237</v>
      </c>
      <c r="P851" s="12" t="s">
        <v>2236</v>
      </c>
      <c r="Q851" s="10" t="s">
        <v>2242</v>
      </c>
      <c r="R851" s="10" t="s">
        <v>2238</v>
      </c>
      <c r="S851" s="10" t="s">
        <v>2243</v>
      </c>
      <c r="T851" s="10" t="s">
        <v>2642</v>
      </c>
      <c r="U8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5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5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5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E530-301297601-D225301</v>
      </c>
      <c r="Y8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5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51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51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51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8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52" spans="1:31" x14ac:dyDescent="0.3">
      <c r="A852" s="12" t="s">
        <v>2635</v>
      </c>
      <c r="B852" s="12" t="s">
        <v>30</v>
      </c>
      <c r="C852" s="12" t="s">
        <v>1843</v>
      </c>
      <c r="D852" s="12" t="s">
        <v>1845</v>
      </c>
      <c r="E852" s="12" t="s">
        <v>2842</v>
      </c>
      <c r="F852" s="8">
        <v>0</v>
      </c>
      <c r="G852" s="12" t="s">
        <v>2237</v>
      </c>
      <c r="H852" s="12">
        <v>0</v>
      </c>
      <c r="I852" s="12" t="s">
        <v>2237</v>
      </c>
      <c r="J852" s="12">
        <v>0</v>
      </c>
      <c r="K852" s="12" t="s">
        <v>2237</v>
      </c>
      <c r="L852" s="12">
        <v>0</v>
      </c>
      <c r="M852" s="12" t="s">
        <v>2237</v>
      </c>
      <c r="N852" s="8">
        <v>14988.34</v>
      </c>
      <c r="O852" s="12" t="s">
        <v>2237</v>
      </c>
      <c r="P852" s="12" t="s">
        <v>2236</v>
      </c>
      <c r="Q852" s="10" t="s">
        <v>2242</v>
      </c>
      <c r="R852" s="10" t="s">
        <v>2238</v>
      </c>
      <c r="S852" s="10" t="s">
        <v>2243</v>
      </c>
      <c r="T852" s="10" t="s">
        <v>2645</v>
      </c>
      <c r="U8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E530-3012976-D225301</v>
      </c>
      <c r="X85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E530-301297601-D225301</v>
      </c>
      <c r="Y852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E530-30129760101-D225301</v>
      </c>
      <c r="Z85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52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852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852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852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8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53" spans="1:31" hidden="1" x14ac:dyDescent="0.3">
      <c r="A853" s="12" t="s">
        <v>2636</v>
      </c>
      <c r="B853" s="12" t="s">
        <v>21</v>
      </c>
      <c r="C853" s="12" t="s">
        <v>352</v>
      </c>
      <c r="D853" s="12" t="s">
        <v>1846</v>
      </c>
      <c r="E853" s="12" t="s">
        <v>2842</v>
      </c>
      <c r="F853" s="8">
        <v>399342.5</v>
      </c>
      <c r="G853" s="12" t="s">
        <v>2237</v>
      </c>
      <c r="H853" s="12">
        <v>399342</v>
      </c>
      <c r="I853" s="12" t="s">
        <v>2237</v>
      </c>
      <c r="J853" s="12">
        <v>0</v>
      </c>
      <c r="K853" s="12" t="s">
        <v>2237</v>
      </c>
      <c r="L853" s="12">
        <v>0</v>
      </c>
      <c r="M853" s="12" t="s">
        <v>2237</v>
      </c>
      <c r="N853" s="8">
        <v>397045.52</v>
      </c>
      <c r="O853" s="12" t="s">
        <v>2237</v>
      </c>
      <c r="P853" s="12" t="s">
        <v>2236</v>
      </c>
      <c r="Q853" s="10" t="s">
        <v>2242</v>
      </c>
      <c r="R853" s="10" t="s">
        <v>2238</v>
      </c>
      <c r="S853" s="10" t="s">
        <v>2243</v>
      </c>
      <c r="T853" s="10" t="s">
        <v>2642</v>
      </c>
      <c r="U8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8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5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53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8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54" spans="1:31" x14ac:dyDescent="0.3">
      <c r="A854" s="12" t="s">
        <v>2637</v>
      </c>
      <c r="B854" s="12" t="s">
        <v>26</v>
      </c>
      <c r="C854" s="12" t="s">
        <v>1847</v>
      </c>
      <c r="D854" s="12" t="s">
        <v>1848</v>
      </c>
      <c r="E854" s="12" t="s">
        <v>2842</v>
      </c>
      <c r="F854" s="8">
        <v>79868.5</v>
      </c>
      <c r="G854" s="12" t="s">
        <v>2237</v>
      </c>
      <c r="H854" s="12">
        <v>79868.5</v>
      </c>
      <c r="I854" s="12" t="s">
        <v>2237</v>
      </c>
      <c r="J854" s="12">
        <v>0</v>
      </c>
      <c r="K854" s="12" t="s">
        <v>2237</v>
      </c>
      <c r="L854" s="12">
        <v>0</v>
      </c>
      <c r="M854" s="12" t="s">
        <v>2237</v>
      </c>
      <c r="N854" s="8">
        <v>82362.94</v>
      </c>
      <c r="O854" s="12" t="s">
        <v>2237</v>
      </c>
      <c r="P854" s="12" t="s">
        <v>2236</v>
      </c>
      <c r="Q854" s="10" t="s">
        <v>2242</v>
      </c>
      <c r="R854" s="10" t="s">
        <v>2238</v>
      </c>
      <c r="S854" s="10" t="s">
        <v>2243</v>
      </c>
      <c r="T854" s="10" t="s">
        <v>3351</v>
      </c>
      <c r="U8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5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5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85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E530-301297505-D225301</v>
      </c>
      <c r="Y8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5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54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854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8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54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8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55" spans="1:31" x14ac:dyDescent="0.3">
      <c r="A855" s="12" t="s">
        <v>2638</v>
      </c>
      <c r="B855" s="12" t="s">
        <v>30</v>
      </c>
      <c r="C855" s="12" t="s">
        <v>1847</v>
      </c>
      <c r="D855" s="12" t="s">
        <v>1849</v>
      </c>
      <c r="E855" s="12" t="s">
        <v>2842</v>
      </c>
      <c r="F855" s="8">
        <v>0</v>
      </c>
      <c r="G855" s="12" t="s">
        <v>2237</v>
      </c>
      <c r="H855" s="12">
        <v>0</v>
      </c>
      <c r="I855" s="12" t="s">
        <v>2237</v>
      </c>
      <c r="J855" s="12">
        <v>0</v>
      </c>
      <c r="K855" s="12" t="s">
        <v>2237</v>
      </c>
      <c r="L855" s="12">
        <v>0</v>
      </c>
      <c r="M855" s="12" t="s">
        <v>2237</v>
      </c>
      <c r="N855" s="8">
        <v>82362.94</v>
      </c>
      <c r="O855" s="12" t="s">
        <v>2237</v>
      </c>
      <c r="P855" s="12" t="s">
        <v>2236</v>
      </c>
      <c r="Q855" s="10" t="s">
        <v>2242</v>
      </c>
      <c r="R855" s="10" t="s">
        <v>2238</v>
      </c>
      <c r="S855" s="10" t="s">
        <v>2243</v>
      </c>
      <c r="T855" s="10" t="s">
        <v>2645</v>
      </c>
      <c r="U8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85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85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85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E530-301297505-D225301</v>
      </c>
      <c r="Y855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E530-30129750505-D225301</v>
      </c>
      <c r="Z85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855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855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855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855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85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856" spans="1:31" hidden="1" x14ac:dyDescent="0.3">
      <c r="A856" s="12" t="s">
        <v>2639</v>
      </c>
      <c r="B856" s="12" t="s">
        <v>2366</v>
      </c>
      <c r="C856" s="12" t="s">
        <v>3352</v>
      </c>
      <c r="D856" s="12" t="s">
        <v>3353</v>
      </c>
      <c r="E856" s="12" t="s">
        <v>2236</v>
      </c>
      <c r="F856" s="8">
        <v>0</v>
      </c>
      <c r="G856" s="12" t="s">
        <v>2237</v>
      </c>
      <c r="H856" s="12">
        <v>0</v>
      </c>
      <c r="I856" s="12" t="s">
        <v>2237</v>
      </c>
      <c r="J856" s="12">
        <v>0</v>
      </c>
      <c r="K856" s="12" t="s">
        <v>2237</v>
      </c>
      <c r="L856" s="12">
        <v>0</v>
      </c>
      <c r="M856" s="12" t="s">
        <v>2237</v>
      </c>
      <c r="N856" s="8">
        <v>305.5</v>
      </c>
      <c r="O856" s="12" t="s">
        <v>2237</v>
      </c>
      <c r="P856" s="12" t="s">
        <v>2236</v>
      </c>
      <c r="Q856" s="10" t="s">
        <v>2236</v>
      </c>
      <c r="R856" s="10" t="s">
        <v>2236</v>
      </c>
      <c r="S856" s="10" t="s">
        <v>2236</v>
      </c>
      <c r="T856" s="10" t="s">
        <v>2866</v>
      </c>
      <c r="U8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57" spans="1:31" hidden="1" x14ac:dyDescent="0.3">
      <c r="A857" s="12" t="s">
        <v>2640</v>
      </c>
      <c r="B857" s="12" t="s">
        <v>2371</v>
      </c>
      <c r="C857" s="12" t="s">
        <v>3354</v>
      </c>
      <c r="D857" s="12" t="s">
        <v>3355</v>
      </c>
      <c r="E857" s="12" t="s">
        <v>2236</v>
      </c>
      <c r="F857" s="8">
        <v>0</v>
      </c>
      <c r="G857" s="12" t="s">
        <v>2237</v>
      </c>
      <c r="H857" s="12">
        <v>0</v>
      </c>
      <c r="I857" s="12" t="s">
        <v>2237</v>
      </c>
      <c r="J857" s="12">
        <v>0</v>
      </c>
      <c r="K857" s="12" t="s">
        <v>2237</v>
      </c>
      <c r="L857" s="12">
        <v>0</v>
      </c>
      <c r="M857" s="12" t="s">
        <v>2237</v>
      </c>
      <c r="N857" s="8">
        <v>0</v>
      </c>
      <c r="O857" s="12" t="s">
        <v>2237</v>
      </c>
      <c r="P857" s="12" t="s">
        <v>2236</v>
      </c>
      <c r="Q857" s="10" t="s">
        <v>2236</v>
      </c>
      <c r="R857" s="10" t="s">
        <v>2236</v>
      </c>
      <c r="S857" s="10" t="s">
        <v>2236</v>
      </c>
      <c r="T857" s="10" t="s">
        <v>2236</v>
      </c>
      <c r="U8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58" spans="1:31" hidden="1" x14ac:dyDescent="0.3">
      <c r="A858" s="12" t="s">
        <v>2641</v>
      </c>
      <c r="B858" s="12" t="s">
        <v>2366</v>
      </c>
      <c r="C858" s="12" t="s">
        <v>3356</v>
      </c>
      <c r="D858" s="12" t="s">
        <v>3357</v>
      </c>
      <c r="E858" s="12" t="s">
        <v>2236</v>
      </c>
      <c r="F858" s="8">
        <v>0</v>
      </c>
      <c r="G858" s="12" t="s">
        <v>2237</v>
      </c>
      <c r="H858" s="12">
        <v>0</v>
      </c>
      <c r="I858" s="12" t="s">
        <v>2237</v>
      </c>
      <c r="J858" s="12">
        <v>0</v>
      </c>
      <c r="K858" s="12" t="s">
        <v>2237</v>
      </c>
      <c r="L858" s="12">
        <v>0</v>
      </c>
      <c r="M858" s="12" t="s">
        <v>2237</v>
      </c>
      <c r="N858" s="8">
        <v>364.23</v>
      </c>
      <c r="O858" s="12" t="s">
        <v>2237</v>
      </c>
      <c r="P858" s="12" t="s">
        <v>2236</v>
      </c>
      <c r="Q858" s="10" t="s">
        <v>2236</v>
      </c>
      <c r="R858" s="10" t="s">
        <v>2236</v>
      </c>
      <c r="S858" s="10" t="s">
        <v>2236</v>
      </c>
      <c r="T858" s="10" t="s">
        <v>2877</v>
      </c>
      <c r="U8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59" spans="1:31" hidden="1" x14ac:dyDescent="0.3">
      <c r="A859" s="12" t="s">
        <v>2643</v>
      </c>
      <c r="B859" s="12" t="s">
        <v>2371</v>
      </c>
      <c r="C859" s="12" t="s">
        <v>3358</v>
      </c>
      <c r="D859" s="12" t="s">
        <v>3359</v>
      </c>
      <c r="E859" s="12" t="s">
        <v>2236</v>
      </c>
      <c r="F859" s="8">
        <v>0</v>
      </c>
      <c r="G859" s="12" t="s">
        <v>2237</v>
      </c>
      <c r="H859" s="12">
        <v>0</v>
      </c>
      <c r="I859" s="12" t="s">
        <v>2237</v>
      </c>
      <c r="J859" s="12">
        <v>0</v>
      </c>
      <c r="K859" s="12" t="s">
        <v>2237</v>
      </c>
      <c r="L859" s="12">
        <v>0</v>
      </c>
      <c r="M859" s="12" t="s">
        <v>2237</v>
      </c>
      <c r="N859" s="8">
        <v>0</v>
      </c>
      <c r="O859" s="12" t="s">
        <v>2237</v>
      </c>
      <c r="P859" s="12" t="s">
        <v>2236</v>
      </c>
      <c r="Q859" s="10" t="s">
        <v>2236</v>
      </c>
      <c r="R859" s="10" t="s">
        <v>2236</v>
      </c>
      <c r="S859" s="10" t="s">
        <v>2236</v>
      </c>
      <c r="T859" s="10" t="s">
        <v>2236</v>
      </c>
      <c r="U8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0" spans="1:31" hidden="1" x14ac:dyDescent="0.3">
      <c r="A860" s="12" t="s">
        <v>2644</v>
      </c>
      <c r="B860" s="12" t="s">
        <v>2371</v>
      </c>
      <c r="C860" s="12" t="s">
        <v>3360</v>
      </c>
      <c r="D860" s="12" t="s">
        <v>3361</v>
      </c>
      <c r="E860" s="12" t="s">
        <v>2236</v>
      </c>
      <c r="F860" s="8">
        <v>0</v>
      </c>
      <c r="G860" s="12" t="s">
        <v>2237</v>
      </c>
      <c r="H860" s="12">
        <v>0</v>
      </c>
      <c r="I860" s="12" t="s">
        <v>2237</v>
      </c>
      <c r="J860" s="12">
        <v>0</v>
      </c>
      <c r="K860" s="12" t="s">
        <v>2237</v>
      </c>
      <c r="L860" s="12">
        <v>0</v>
      </c>
      <c r="M860" s="12" t="s">
        <v>2237</v>
      </c>
      <c r="N860" s="8">
        <v>0</v>
      </c>
      <c r="O860" s="12" t="s">
        <v>2237</v>
      </c>
      <c r="P860" s="12" t="s">
        <v>2236</v>
      </c>
      <c r="Q860" s="10" t="s">
        <v>2236</v>
      </c>
      <c r="R860" s="10" t="s">
        <v>2236</v>
      </c>
      <c r="S860" s="10" t="s">
        <v>2236</v>
      </c>
      <c r="T860" s="10" t="s">
        <v>2236</v>
      </c>
      <c r="U8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1" spans="1:31" hidden="1" x14ac:dyDescent="0.3">
      <c r="A861" s="12" t="s">
        <v>2646</v>
      </c>
      <c r="B861" s="12" t="s">
        <v>2371</v>
      </c>
      <c r="C861" s="12" t="s">
        <v>3202</v>
      </c>
      <c r="D861" s="12" t="s">
        <v>3362</v>
      </c>
      <c r="E861" s="12" t="s">
        <v>2236</v>
      </c>
      <c r="F861" s="8">
        <v>0</v>
      </c>
      <c r="G861" s="12" t="s">
        <v>2237</v>
      </c>
      <c r="H861" s="12">
        <v>0</v>
      </c>
      <c r="I861" s="12" t="s">
        <v>2237</v>
      </c>
      <c r="J861" s="12">
        <v>0</v>
      </c>
      <c r="K861" s="12" t="s">
        <v>2237</v>
      </c>
      <c r="L861" s="12">
        <v>0</v>
      </c>
      <c r="M861" s="12" t="s">
        <v>2237</v>
      </c>
      <c r="N861" s="8">
        <v>0</v>
      </c>
      <c r="O861" s="12" t="s">
        <v>2237</v>
      </c>
      <c r="P861" s="12" t="s">
        <v>2236</v>
      </c>
      <c r="Q861" s="10" t="s">
        <v>2236</v>
      </c>
      <c r="R861" s="10" t="s">
        <v>2236</v>
      </c>
      <c r="S861" s="10" t="s">
        <v>2236</v>
      </c>
      <c r="T861" s="10" t="s">
        <v>2236</v>
      </c>
      <c r="U8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2" spans="1:31" hidden="1" x14ac:dyDescent="0.3">
      <c r="A862" s="12" t="s">
        <v>2647</v>
      </c>
      <c r="B862" s="12" t="s">
        <v>2371</v>
      </c>
      <c r="C862" s="12" t="s">
        <v>3363</v>
      </c>
      <c r="D862" s="12" t="s">
        <v>3364</v>
      </c>
      <c r="E862" s="12" t="s">
        <v>2236</v>
      </c>
      <c r="F862" s="8">
        <v>0</v>
      </c>
      <c r="G862" s="12" t="s">
        <v>2237</v>
      </c>
      <c r="H862" s="12">
        <v>0</v>
      </c>
      <c r="I862" s="12" t="s">
        <v>2237</v>
      </c>
      <c r="J862" s="12">
        <v>0</v>
      </c>
      <c r="K862" s="12" t="s">
        <v>2237</v>
      </c>
      <c r="L862" s="12">
        <v>0</v>
      </c>
      <c r="M862" s="12" t="s">
        <v>2237</v>
      </c>
      <c r="N862" s="8">
        <v>0</v>
      </c>
      <c r="O862" s="12" t="s">
        <v>2237</v>
      </c>
      <c r="P862" s="12" t="s">
        <v>2236</v>
      </c>
      <c r="Q862" s="10" t="s">
        <v>2236</v>
      </c>
      <c r="R862" s="10" t="s">
        <v>2236</v>
      </c>
      <c r="S862" s="10" t="s">
        <v>2236</v>
      </c>
      <c r="T862" s="10" t="s">
        <v>2236</v>
      </c>
      <c r="U8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3" spans="1:31" hidden="1" x14ac:dyDescent="0.3">
      <c r="A863" s="12" t="s">
        <v>2648</v>
      </c>
      <c r="B863" s="12" t="s">
        <v>2366</v>
      </c>
      <c r="C863" s="12" t="s">
        <v>3365</v>
      </c>
      <c r="D863" s="12" t="s">
        <v>3366</v>
      </c>
      <c r="E863" s="12" t="s">
        <v>2236</v>
      </c>
      <c r="F863" s="8">
        <v>0</v>
      </c>
      <c r="G863" s="12" t="s">
        <v>2237</v>
      </c>
      <c r="H863" s="12">
        <v>0</v>
      </c>
      <c r="I863" s="12" t="s">
        <v>2237</v>
      </c>
      <c r="J863" s="12">
        <v>0</v>
      </c>
      <c r="K863" s="12" t="s">
        <v>2237</v>
      </c>
      <c r="L863" s="12">
        <v>0</v>
      </c>
      <c r="M863" s="12" t="s">
        <v>2237</v>
      </c>
      <c r="N863" s="8">
        <v>4080.17</v>
      </c>
      <c r="O863" s="12" t="s">
        <v>2237</v>
      </c>
      <c r="P863" s="12" t="s">
        <v>2236</v>
      </c>
      <c r="Q863" s="10" t="s">
        <v>2236</v>
      </c>
      <c r="R863" s="10" t="s">
        <v>2236</v>
      </c>
      <c r="S863" s="10" t="s">
        <v>2236</v>
      </c>
      <c r="T863" s="10" t="s">
        <v>3367</v>
      </c>
      <c r="U8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4" spans="1:31" hidden="1" x14ac:dyDescent="0.3">
      <c r="A864" s="12" t="s">
        <v>2649</v>
      </c>
      <c r="B864" s="12" t="s">
        <v>2371</v>
      </c>
      <c r="C864" s="12" t="s">
        <v>3368</v>
      </c>
      <c r="D864" s="12" t="s">
        <v>3369</v>
      </c>
      <c r="E864" s="12" t="s">
        <v>2236</v>
      </c>
      <c r="F864" s="8">
        <v>0</v>
      </c>
      <c r="G864" s="12" t="s">
        <v>2237</v>
      </c>
      <c r="H864" s="12">
        <v>0</v>
      </c>
      <c r="I864" s="12" t="s">
        <v>2237</v>
      </c>
      <c r="J864" s="12">
        <v>0</v>
      </c>
      <c r="K864" s="12" t="s">
        <v>2237</v>
      </c>
      <c r="L864" s="12">
        <v>0</v>
      </c>
      <c r="M864" s="12" t="s">
        <v>2237</v>
      </c>
      <c r="N864" s="8">
        <v>0</v>
      </c>
      <c r="O864" s="12" t="s">
        <v>2237</v>
      </c>
      <c r="P864" s="12" t="s">
        <v>2236</v>
      </c>
      <c r="Q864" s="10" t="s">
        <v>2236</v>
      </c>
      <c r="R864" s="10" t="s">
        <v>2236</v>
      </c>
      <c r="S864" s="10" t="s">
        <v>2236</v>
      </c>
      <c r="T864" s="10" t="s">
        <v>2236</v>
      </c>
      <c r="U8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5" spans="1:31" hidden="1" x14ac:dyDescent="0.3">
      <c r="A865" s="12" t="s">
        <v>2650</v>
      </c>
      <c r="B865" s="12" t="s">
        <v>2371</v>
      </c>
      <c r="C865" s="12" t="s">
        <v>3370</v>
      </c>
      <c r="D865" s="12" t="s">
        <v>3371</v>
      </c>
      <c r="E865" s="12" t="s">
        <v>2236</v>
      </c>
      <c r="F865" s="8">
        <v>0</v>
      </c>
      <c r="G865" s="12" t="s">
        <v>2237</v>
      </c>
      <c r="H865" s="12">
        <v>0</v>
      </c>
      <c r="I865" s="12" t="s">
        <v>2237</v>
      </c>
      <c r="J865" s="12">
        <v>0</v>
      </c>
      <c r="K865" s="12" t="s">
        <v>2237</v>
      </c>
      <c r="L865" s="12">
        <v>0</v>
      </c>
      <c r="M865" s="12" t="s">
        <v>2237</v>
      </c>
      <c r="N865" s="8">
        <v>0</v>
      </c>
      <c r="O865" s="12" t="s">
        <v>2237</v>
      </c>
      <c r="P865" s="12" t="s">
        <v>2236</v>
      </c>
      <c r="Q865" s="10" t="s">
        <v>2236</v>
      </c>
      <c r="R865" s="10" t="s">
        <v>2236</v>
      </c>
      <c r="S865" s="10" t="s">
        <v>2236</v>
      </c>
      <c r="T865" s="10" t="s">
        <v>2236</v>
      </c>
      <c r="U8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6" spans="1:31" hidden="1" x14ac:dyDescent="0.3">
      <c r="A866" s="12" t="s">
        <v>2651</v>
      </c>
      <c r="B866" s="12" t="s">
        <v>2371</v>
      </c>
      <c r="C866" s="12" t="s">
        <v>3372</v>
      </c>
      <c r="D866" s="12" t="s">
        <v>3373</v>
      </c>
      <c r="E866" s="12" t="s">
        <v>2236</v>
      </c>
      <c r="F866" s="8">
        <v>0</v>
      </c>
      <c r="G866" s="12" t="s">
        <v>2237</v>
      </c>
      <c r="H866" s="12">
        <v>0</v>
      </c>
      <c r="I866" s="12" t="s">
        <v>2237</v>
      </c>
      <c r="J866" s="12">
        <v>0</v>
      </c>
      <c r="K866" s="12" t="s">
        <v>2237</v>
      </c>
      <c r="L866" s="12">
        <v>0</v>
      </c>
      <c r="M866" s="12" t="s">
        <v>2237</v>
      </c>
      <c r="N866" s="8">
        <v>0</v>
      </c>
      <c r="O866" s="12" t="s">
        <v>2237</v>
      </c>
      <c r="P866" s="12" t="s">
        <v>2236</v>
      </c>
      <c r="Q866" s="10" t="s">
        <v>2236</v>
      </c>
      <c r="R866" s="10" t="s">
        <v>2236</v>
      </c>
      <c r="S866" s="10" t="s">
        <v>2236</v>
      </c>
      <c r="T866" s="10" t="s">
        <v>2236</v>
      </c>
      <c r="U8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7" spans="1:31" hidden="1" x14ac:dyDescent="0.3">
      <c r="A867" s="12" t="s">
        <v>2652</v>
      </c>
      <c r="B867" s="12" t="s">
        <v>2371</v>
      </c>
      <c r="C867" s="12" t="s">
        <v>3374</v>
      </c>
      <c r="D867" s="12" t="s">
        <v>3375</v>
      </c>
      <c r="E867" s="12" t="s">
        <v>2236</v>
      </c>
      <c r="F867" s="8">
        <v>0</v>
      </c>
      <c r="G867" s="12" t="s">
        <v>2237</v>
      </c>
      <c r="H867" s="12">
        <v>0</v>
      </c>
      <c r="I867" s="12" t="s">
        <v>2237</v>
      </c>
      <c r="J867" s="12">
        <v>0</v>
      </c>
      <c r="K867" s="12" t="s">
        <v>2237</v>
      </c>
      <c r="L867" s="12">
        <v>0</v>
      </c>
      <c r="M867" s="12" t="s">
        <v>2237</v>
      </c>
      <c r="N867" s="8">
        <v>0</v>
      </c>
      <c r="O867" s="12" t="s">
        <v>2237</v>
      </c>
      <c r="P867" s="12" t="s">
        <v>2236</v>
      </c>
      <c r="Q867" s="10" t="s">
        <v>2236</v>
      </c>
      <c r="R867" s="10" t="s">
        <v>2236</v>
      </c>
      <c r="S867" s="10" t="s">
        <v>2236</v>
      </c>
      <c r="T867" s="10" t="s">
        <v>2236</v>
      </c>
      <c r="U8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8" spans="1:31" hidden="1" x14ac:dyDescent="0.3">
      <c r="A868" s="12" t="s">
        <v>2653</v>
      </c>
      <c r="B868" s="12" t="s">
        <v>2371</v>
      </c>
      <c r="C868" s="12" t="s">
        <v>3176</v>
      </c>
      <c r="D868" s="12" t="s">
        <v>3376</v>
      </c>
      <c r="E868" s="12" t="s">
        <v>2236</v>
      </c>
      <c r="F868" s="8">
        <v>0</v>
      </c>
      <c r="G868" s="12" t="s">
        <v>2237</v>
      </c>
      <c r="H868" s="12">
        <v>0</v>
      </c>
      <c r="I868" s="12" t="s">
        <v>2237</v>
      </c>
      <c r="J868" s="12">
        <v>0</v>
      </c>
      <c r="K868" s="12" t="s">
        <v>2237</v>
      </c>
      <c r="L868" s="12">
        <v>0</v>
      </c>
      <c r="M868" s="12" t="s">
        <v>2237</v>
      </c>
      <c r="N868" s="8">
        <v>0</v>
      </c>
      <c r="O868" s="12" t="s">
        <v>2237</v>
      </c>
      <c r="P868" s="12" t="s">
        <v>2236</v>
      </c>
      <c r="Q868" s="10" t="s">
        <v>2236</v>
      </c>
      <c r="R868" s="10" t="s">
        <v>2236</v>
      </c>
      <c r="S868" s="10" t="s">
        <v>2236</v>
      </c>
      <c r="T868" s="10" t="s">
        <v>2236</v>
      </c>
      <c r="U8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69" spans="1:31" hidden="1" x14ac:dyDescent="0.3">
      <c r="A869" s="12" t="s">
        <v>2654</v>
      </c>
      <c r="B869" s="12" t="s">
        <v>2371</v>
      </c>
      <c r="C869" s="12" t="s">
        <v>3377</v>
      </c>
      <c r="D869" s="12" t="s">
        <v>3378</v>
      </c>
      <c r="E869" s="12" t="s">
        <v>2236</v>
      </c>
      <c r="F869" s="8">
        <v>0</v>
      </c>
      <c r="G869" s="12" t="s">
        <v>2237</v>
      </c>
      <c r="H869" s="12">
        <v>0</v>
      </c>
      <c r="I869" s="12" t="s">
        <v>2237</v>
      </c>
      <c r="J869" s="12">
        <v>0</v>
      </c>
      <c r="K869" s="12" t="s">
        <v>2237</v>
      </c>
      <c r="L869" s="12">
        <v>0</v>
      </c>
      <c r="M869" s="12" t="s">
        <v>2237</v>
      </c>
      <c r="N869" s="8">
        <v>0</v>
      </c>
      <c r="O869" s="12" t="s">
        <v>2237</v>
      </c>
      <c r="P869" s="12" t="s">
        <v>2236</v>
      </c>
      <c r="Q869" s="10" t="s">
        <v>2236</v>
      </c>
      <c r="R869" s="10" t="s">
        <v>2236</v>
      </c>
      <c r="S869" s="10" t="s">
        <v>2236</v>
      </c>
      <c r="T869" s="10" t="s">
        <v>2236</v>
      </c>
      <c r="U8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0" spans="1:31" hidden="1" x14ac:dyDescent="0.3">
      <c r="A870" s="12" t="s">
        <v>2655</v>
      </c>
      <c r="B870" s="12" t="s">
        <v>2371</v>
      </c>
      <c r="C870" s="12" t="s">
        <v>3379</v>
      </c>
      <c r="D870" s="12" t="s">
        <v>3380</v>
      </c>
      <c r="E870" s="12" t="s">
        <v>2236</v>
      </c>
      <c r="F870" s="8">
        <v>0</v>
      </c>
      <c r="G870" s="12" t="s">
        <v>2237</v>
      </c>
      <c r="H870" s="12">
        <v>0</v>
      </c>
      <c r="I870" s="12" t="s">
        <v>2237</v>
      </c>
      <c r="J870" s="12">
        <v>0</v>
      </c>
      <c r="K870" s="12" t="s">
        <v>2237</v>
      </c>
      <c r="L870" s="12">
        <v>0</v>
      </c>
      <c r="M870" s="12" t="s">
        <v>2237</v>
      </c>
      <c r="N870" s="8">
        <v>0</v>
      </c>
      <c r="O870" s="12" t="s">
        <v>2237</v>
      </c>
      <c r="P870" s="12" t="s">
        <v>2236</v>
      </c>
      <c r="Q870" s="10" t="s">
        <v>2236</v>
      </c>
      <c r="R870" s="10" t="s">
        <v>2236</v>
      </c>
      <c r="S870" s="10" t="s">
        <v>2236</v>
      </c>
      <c r="T870" s="10" t="s">
        <v>2236</v>
      </c>
      <c r="U8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1" spans="1:31" hidden="1" x14ac:dyDescent="0.3">
      <c r="A871" s="12" t="s">
        <v>2657</v>
      </c>
      <c r="B871" s="12" t="s">
        <v>2371</v>
      </c>
      <c r="C871" s="12" t="s">
        <v>3381</v>
      </c>
      <c r="D871" s="12" t="s">
        <v>3382</v>
      </c>
      <c r="E871" s="12" t="s">
        <v>2236</v>
      </c>
      <c r="F871" s="8">
        <v>0</v>
      </c>
      <c r="G871" s="12" t="s">
        <v>2237</v>
      </c>
      <c r="H871" s="12">
        <v>0</v>
      </c>
      <c r="I871" s="12" t="s">
        <v>2237</v>
      </c>
      <c r="J871" s="12">
        <v>0</v>
      </c>
      <c r="K871" s="12" t="s">
        <v>2237</v>
      </c>
      <c r="L871" s="12">
        <v>0</v>
      </c>
      <c r="M871" s="12" t="s">
        <v>2237</v>
      </c>
      <c r="N871" s="8">
        <v>0</v>
      </c>
      <c r="O871" s="12" t="s">
        <v>2237</v>
      </c>
      <c r="P871" s="12" t="s">
        <v>2236</v>
      </c>
      <c r="Q871" s="10" t="s">
        <v>2236</v>
      </c>
      <c r="R871" s="10" t="s">
        <v>2236</v>
      </c>
      <c r="S871" s="10" t="s">
        <v>2236</v>
      </c>
      <c r="T871" s="10" t="s">
        <v>2236</v>
      </c>
      <c r="U8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2" spans="1:31" hidden="1" x14ac:dyDescent="0.3">
      <c r="A872" s="12" t="s">
        <v>2658</v>
      </c>
      <c r="B872" s="12" t="s">
        <v>2371</v>
      </c>
      <c r="C872" s="12" t="s">
        <v>3383</v>
      </c>
      <c r="D872" s="12" t="s">
        <v>3384</v>
      </c>
      <c r="E872" s="12" t="s">
        <v>2236</v>
      </c>
      <c r="F872" s="8">
        <v>0</v>
      </c>
      <c r="G872" s="12" t="s">
        <v>2237</v>
      </c>
      <c r="H872" s="12">
        <v>0</v>
      </c>
      <c r="I872" s="12" t="s">
        <v>2237</v>
      </c>
      <c r="J872" s="12">
        <v>0</v>
      </c>
      <c r="K872" s="12" t="s">
        <v>2237</v>
      </c>
      <c r="L872" s="12">
        <v>0</v>
      </c>
      <c r="M872" s="12" t="s">
        <v>2237</v>
      </c>
      <c r="N872" s="8">
        <v>0</v>
      </c>
      <c r="O872" s="12" t="s">
        <v>2237</v>
      </c>
      <c r="P872" s="12" t="s">
        <v>2236</v>
      </c>
      <c r="Q872" s="10" t="s">
        <v>2236</v>
      </c>
      <c r="R872" s="10" t="s">
        <v>2236</v>
      </c>
      <c r="S872" s="10" t="s">
        <v>2236</v>
      </c>
      <c r="T872" s="10" t="s">
        <v>2236</v>
      </c>
      <c r="U8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3" spans="1:31" hidden="1" x14ac:dyDescent="0.3">
      <c r="A873" s="12" t="s">
        <v>2659</v>
      </c>
      <c r="B873" s="12" t="s">
        <v>2371</v>
      </c>
      <c r="C873" s="12" t="s">
        <v>3385</v>
      </c>
      <c r="D873" s="12" t="s">
        <v>3386</v>
      </c>
      <c r="E873" s="12" t="s">
        <v>2236</v>
      </c>
      <c r="F873" s="8">
        <v>0</v>
      </c>
      <c r="G873" s="12" t="s">
        <v>2237</v>
      </c>
      <c r="H873" s="12">
        <v>0</v>
      </c>
      <c r="I873" s="12" t="s">
        <v>2237</v>
      </c>
      <c r="J873" s="12">
        <v>0</v>
      </c>
      <c r="K873" s="12" t="s">
        <v>2237</v>
      </c>
      <c r="L873" s="12">
        <v>0</v>
      </c>
      <c r="M873" s="12" t="s">
        <v>2237</v>
      </c>
      <c r="N873" s="8">
        <v>0</v>
      </c>
      <c r="O873" s="12" t="s">
        <v>2237</v>
      </c>
      <c r="P873" s="12" t="s">
        <v>2236</v>
      </c>
      <c r="Q873" s="10" t="s">
        <v>2236</v>
      </c>
      <c r="R873" s="10" t="s">
        <v>2236</v>
      </c>
      <c r="S873" s="10" t="s">
        <v>2236</v>
      </c>
      <c r="T873" s="10" t="s">
        <v>2236</v>
      </c>
      <c r="U8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4" spans="1:31" hidden="1" x14ac:dyDescent="0.3">
      <c r="A874" s="12" t="s">
        <v>2660</v>
      </c>
      <c r="B874" s="12" t="s">
        <v>2371</v>
      </c>
      <c r="C874" s="12" t="s">
        <v>3387</v>
      </c>
      <c r="D874" s="12" t="s">
        <v>3388</v>
      </c>
      <c r="E874" s="12" t="s">
        <v>2236</v>
      </c>
      <c r="F874" s="8">
        <v>0</v>
      </c>
      <c r="G874" s="12" t="s">
        <v>2237</v>
      </c>
      <c r="H874" s="12">
        <v>0</v>
      </c>
      <c r="I874" s="12" t="s">
        <v>2237</v>
      </c>
      <c r="J874" s="12">
        <v>0</v>
      </c>
      <c r="K874" s="12" t="s">
        <v>2237</v>
      </c>
      <c r="L874" s="12">
        <v>0</v>
      </c>
      <c r="M874" s="12" t="s">
        <v>2237</v>
      </c>
      <c r="N874" s="8">
        <v>0</v>
      </c>
      <c r="O874" s="12" t="s">
        <v>2237</v>
      </c>
      <c r="P874" s="12" t="s">
        <v>2236</v>
      </c>
      <c r="Q874" s="10" t="s">
        <v>2236</v>
      </c>
      <c r="R874" s="10" t="s">
        <v>2236</v>
      </c>
      <c r="S874" s="10" t="s">
        <v>2236</v>
      </c>
      <c r="T874" s="10" t="s">
        <v>2236</v>
      </c>
      <c r="U8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5" spans="1:31" hidden="1" x14ac:dyDescent="0.3">
      <c r="A875" s="12" t="s">
        <v>2661</v>
      </c>
      <c r="B875" s="12" t="s">
        <v>2371</v>
      </c>
      <c r="C875" s="12" t="s">
        <v>3389</v>
      </c>
      <c r="D875" s="12" t="s">
        <v>3390</v>
      </c>
      <c r="E875" s="12" t="s">
        <v>2236</v>
      </c>
      <c r="F875" s="8">
        <v>0</v>
      </c>
      <c r="G875" s="12" t="s">
        <v>2237</v>
      </c>
      <c r="H875" s="12">
        <v>0</v>
      </c>
      <c r="I875" s="12" t="s">
        <v>2237</v>
      </c>
      <c r="J875" s="12">
        <v>0</v>
      </c>
      <c r="K875" s="12" t="s">
        <v>2237</v>
      </c>
      <c r="L875" s="12">
        <v>0</v>
      </c>
      <c r="M875" s="12" t="s">
        <v>2237</v>
      </c>
      <c r="N875" s="8">
        <v>0</v>
      </c>
      <c r="O875" s="12" t="s">
        <v>2237</v>
      </c>
      <c r="P875" s="12" t="s">
        <v>2236</v>
      </c>
      <c r="Q875" s="10" t="s">
        <v>2236</v>
      </c>
      <c r="R875" s="10" t="s">
        <v>2236</v>
      </c>
      <c r="S875" s="10" t="s">
        <v>2236</v>
      </c>
      <c r="T875" s="10" t="s">
        <v>2236</v>
      </c>
      <c r="U8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6" spans="1:31" hidden="1" x14ac:dyDescent="0.3">
      <c r="A876" s="12" t="s">
        <v>2662</v>
      </c>
      <c r="B876" s="12" t="s">
        <v>2371</v>
      </c>
      <c r="C876" s="12" t="s">
        <v>3391</v>
      </c>
      <c r="D876" s="12" t="s">
        <v>3392</v>
      </c>
      <c r="E876" s="12" t="s">
        <v>2236</v>
      </c>
      <c r="F876" s="8">
        <v>0</v>
      </c>
      <c r="G876" s="12" t="s">
        <v>2237</v>
      </c>
      <c r="H876" s="12">
        <v>0</v>
      </c>
      <c r="I876" s="12" t="s">
        <v>2237</v>
      </c>
      <c r="J876" s="12">
        <v>0</v>
      </c>
      <c r="K876" s="12" t="s">
        <v>2237</v>
      </c>
      <c r="L876" s="12">
        <v>0</v>
      </c>
      <c r="M876" s="12" t="s">
        <v>2237</v>
      </c>
      <c r="N876" s="8">
        <v>0</v>
      </c>
      <c r="O876" s="12" t="s">
        <v>2237</v>
      </c>
      <c r="P876" s="12" t="s">
        <v>2236</v>
      </c>
      <c r="Q876" s="10" t="s">
        <v>2236</v>
      </c>
      <c r="R876" s="10" t="s">
        <v>2236</v>
      </c>
      <c r="S876" s="10" t="s">
        <v>2236</v>
      </c>
      <c r="T876" s="10" t="s">
        <v>2236</v>
      </c>
      <c r="U8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7" spans="1:31" hidden="1" x14ac:dyDescent="0.3">
      <c r="A877" s="12" t="s">
        <v>2663</v>
      </c>
      <c r="B877" s="12" t="s">
        <v>2371</v>
      </c>
      <c r="C877" s="12" t="s">
        <v>3393</v>
      </c>
      <c r="D877" s="12" t="s">
        <v>3394</v>
      </c>
      <c r="E877" s="12" t="s">
        <v>2236</v>
      </c>
      <c r="F877" s="8">
        <v>0</v>
      </c>
      <c r="G877" s="12" t="s">
        <v>2237</v>
      </c>
      <c r="H877" s="12">
        <v>0</v>
      </c>
      <c r="I877" s="12" t="s">
        <v>2237</v>
      </c>
      <c r="J877" s="12">
        <v>0</v>
      </c>
      <c r="K877" s="12" t="s">
        <v>2237</v>
      </c>
      <c r="L877" s="12">
        <v>0</v>
      </c>
      <c r="M877" s="12" t="s">
        <v>2237</v>
      </c>
      <c r="N877" s="8">
        <v>0</v>
      </c>
      <c r="O877" s="12" t="s">
        <v>2237</v>
      </c>
      <c r="P877" s="12" t="s">
        <v>2236</v>
      </c>
      <c r="Q877" s="10" t="s">
        <v>2236</v>
      </c>
      <c r="R877" s="10" t="s">
        <v>2236</v>
      </c>
      <c r="S877" s="10" t="s">
        <v>2236</v>
      </c>
      <c r="T877" s="10" t="s">
        <v>2236</v>
      </c>
      <c r="U8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8" spans="1:31" hidden="1" x14ac:dyDescent="0.3">
      <c r="A878" s="12" t="s">
        <v>2664</v>
      </c>
      <c r="B878" s="12" t="s">
        <v>2371</v>
      </c>
      <c r="C878" s="12" t="s">
        <v>3395</v>
      </c>
      <c r="D878" s="12" t="s">
        <v>3396</v>
      </c>
      <c r="E878" s="12" t="s">
        <v>2236</v>
      </c>
      <c r="F878" s="8">
        <v>0</v>
      </c>
      <c r="G878" s="12" t="s">
        <v>2237</v>
      </c>
      <c r="H878" s="12">
        <v>0</v>
      </c>
      <c r="I878" s="12" t="s">
        <v>2237</v>
      </c>
      <c r="J878" s="12">
        <v>0</v>
      </c>
      <c r="K878" s="12" t="s">
        <v>2237</v>
      </c>
      <c r="L878" s="12">
        <v>0</v>
      </c>
      <c r="M878" s="12" t="s">
        <v>2237</v>
      </c>
      <c r="N878" s="8">
        <v>0</v>
      </c>
      <c r="O878" s="12" t="s">
        <v>2237</v>
      </c>
      <c r="P878" s="12" t="s">
        <v>2236</v>
      </c>
      <c r="Q878" s="10" t="s">
        <v>2236</v>
      </c>
      <c r="R878" s="10" t="s">
        <v>2236</v>
      </c>
      <c r="S878" s="10" t="s">
        <v>2236</v>
      </c>
      <c r="T878" s="10" t="s">
        <v>2236</v>
      </c>
      <c r="U8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79" spans="1:31" hidden="1" x14ac:dyDescent="0.3">
      <c r="A879" s="12" t="s">
        <v>2665</v>
      </c>
      <c r="B879" s="12" t="s">
        <v>2371</v>
      </c>
      <c r="C879" s="12" t="s">
        <v>3397</v>
      </c>
      <c r="D879" s="12" t="s">
        <v>3398</v>
      </c>
      <c r="E879" s="12" t="s">
        <v>2236</v>
      </c>
      <c r="F879" s="8">
        <v>0</v>
      </c>
      <c r="G879" s="12" t="s">
        <v>2237</v>
      </c>
      <c r="H879" s="12">
        <v>0</v>
      </c>
      <c r="I879" s="12" t="s">
        <v>2237</v>
      </c>
      <c r="J879" s="12">
        <v>0</v>
      </c>
      <c r="K879" s="12" t="s">
        <v>2237</v>
      </c>
      <c r="L879" s="12">
        <v>0</v>
      </c>
      <c r="M879" s="12" t="s">
        <v>2237</v>
      </c>
      <c r="N879" s="8">
        <v>0</v>
      </c>
      <c r="O879" s="12" t="s">
        <v>2237</v>
      </c>
      <c r="P879" s="12" t="s">
        <v>2236</v>
      </c>
      <c r="Q879" s="10" t="s">
        <v>2236</v>
      </c>
      <c r="R879" s="10" t="s">
        <v>2236</v>
      </c>
      <c r="S879" s="10" t="s">
        <v>2236</v>
      </c>
      <c r="T879" s="10" t="s">
        <v>2236</v>
      </c>
      <c r="U8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0" spans="1:31" hidden="1" x14ac:dyDescent="0.3">
      <c r="A880" s="12" t="s">
        <v>2666</v>
      </c>
      <c r="B880" s="12" t="s">
        <v>2371</v>
      </c>
      <c r="C880" s="12" t="s">
        <v>3399</v>
      </c>
      <c r="D880" s="12" t="s">
        <v>3400</v>
      </c>
      <c r="E880" s="12" t="s">
        <v>2236</v>
      </c>
      <c r="F880" s="8">
        <v>0</v>
      </c>
      <c r="G880" s="12" t="s">
        <v>2237</v>
      </c>
      <c r="H880" s="12">
        <v>0</v>
      </c>
      <c r="I880" s="12" t="s">
        <v>2237</v>
      </c>
      <c r="J880" s="12">
        <v>0</v>
      </c>
      <c r="K880" s="12" t="s">
        <v>2237</v>
      </c>
      <c r="L880" s="12">
        <v>0</v>
      </c>
      <c r="M880" s="12" t="s">
        <v>2237</v>
      </c>
      <c r="N880" s="8">
        <v>0</v>
      </c>
      <c r="O880" s="12" t="s">
        <v>2237</v>
      </c>
      <c r="P880" s="12" t="s">
        <v>2236</v>
      </c>
      <c r="Q880" s="10" t="s">
        <v>2236</v>
      </c>
      <c r="R880" s="10" t="s">
        <v>2236</v>
      </c>
      <c r="S880" s="10" t="s">
        <v>2236</v>
      </c>
      <c r="T880" s="10" t="s">
        <v>2236</v>
      </c>
      <c r="U8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1" spans="1:31" hidden="1" x14ac:dyDescent="0.3">
      <c r="A881" s="12" t="s">
        <v>2667</v>
      </c>
      <c r="B881" s="12" t="s">
        <v>2371</v>
      </c>
      <c r="C881" s="12" t="s">
        <v>3401</v>
      </c>
      <c r="D881" s="12" t="s">
        <v>3402</v>
      </c>
      <c r="E881" s="12" t="s">
        <v>2236</v>
      </c>
      <c r="F881" s="8">
        <v>0</v>
      </c>
      <c r="G881" s="12" t="s">
        <v>2237</v>
      </c>
      <c r="H881" s="12">
        <v>0</v>
      </c>
      <c r="I881" s="12" t="s">
        <v>2237</v>
      </c>
      <c r="J881" s="12">
        <v>0</v>
      </c>
      <c r="K881" s="12" t="s">
        <v>2237</v>
      </c>
      <c r="L881" s="12">
        <v>0</v>
      </c>
      <c r="M881" s="12" t="s">
        <v>2237</v>
      </c>
      <c r="N881" s="8">
        <v>0</v>
      </c>
      <c r="O881" s="12" t="s">
        <v>2237</v>
      </c>
      <c r="P881" s="12" t="s">
        <v>2236</v>
      </c>
      <c r="Q881" s="10" t="s">
        <v>2236</v>
      </c>
      <c r="R881" s="10" t="s">
        <v>2236</v>
      </c>
      <c r="S881" s="10" t="s">
        <v>2236</v>
      </c>
      <c r="T881" s="10" t="s">
        <v>2236</v>
      </c>
      <c r="U8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2" spans="1:31" hidden="1" x14ac:dyDescent="0.3">
      <c r="A882" s="12" t="s">
        <v>2668</v>
      </c>
      <c r="B882" s="12" t="s">
        <v>2371</v>
      </c>
      <c r="C882" s="12" t="s">
        <v>3403</v>
      </c>
      <c r="D882" s="12" t="s">
        <v>3404</v>
      </c>
      <c r="E882" s="12" t="s">
        <v>2236</v>
      </c>
      <c r="F882" s="8">
        <v>0</v>
      </c>
      <c r="G882" s="12" t="s">
        <v>2237</v>
      </c>
      <c r="H882" s="12">
        <v>0</v>
      </c>
      <c r="I882" s="12" t="s">
        <v>2237</v>
      </c>
      <c r="J882" s="12">
        <v>0</v>
      </c>
      <c r="K882" s="12" t="s">
        <v>2237</v>
      </c>
      <c r="L882" s="12">
        <v>0</v>
      </c>
      <c r="M882" s="12" t="s">
        <v>2237</v>
      </c>
      <c r="N882" s="8">
        <v>0</v>
      </c>
      <c r="O882" s="12" t="s">
        <v>2237</v>
      </c>
      <c r="P882" s="12" t="s">
        <v>2236</v>
      </c>
      <c r="Q882" s="10" t="s">
        <v>2236</v>
      </c>
      <c r="R882" s="10" t="s">
        <v>2236</v>
      </c>
      <c r="S882" s="10" t="s">
        <v>2236</v>
      </c>
      <c r="T882" s="10" t="s">
        <v>2236</v>
      </c>
      <c r="U8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3" spans="1:31" hidden="1" x14ac:dyDescent="0.3">
      <c r="A883" s="12" t="s">
        <v>2669</v>
      </c>
      <c r="B883" s="12" t="s">
        <v>2371</v>
      </c>
      <c r="C883" s="12" t="s">
        <v>3405</v>
      </c>
      <c r="D883" s="12" t="s">
        <v>3406</v>
      </c>
      <c r="E883" s="12" t="s">
        <v>2236</v>
      </c>
      <c r="F883" s="8">
        <v>0</v>
      </c>
      <c r="G883" s="12" t="s">
        <v>2237</v>
      </c>
      <c r="H883" s="12">
        <v>0</v>
      </c>
      <c r="I883" s="12" t="s">
        <v>2237</v>
      </c>
      <c r="J883" s="12">
        <v>0</v>
      </c>
      <c r="K883" s="12" t="s">
        <v>2237</v>
      </c>
      <c r="L883" s="12">
        <v>0</v>
      </c>
      <c r="M883" s="12" t="s">
        <v>2237</v>
      </c>
      <c r="N883" s="8">
        <v>0</v>
      </c>
      <c r="O883" s="12" t="s">
        <v>2237</v>
      </c>
      <c r="P883" s="12" t="s">
        <v>2236</v>
      </c>
      <c r="Q883" s="10" t="s">
        <v>2236</v>
      </c>
      <c r="R883" s="10" t="s">
        <v>2236</v>
      </c>
      <c r="S883" s="10" t="s">
        <v>2236</v>
      </c>
      <c r="T883" s="10" t="s">
        <v>2236</v>
      </c>
      <c r="U8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4" spans="1:31" hidden="1" x14ac:dyDescent="0.3">
      <c r="A884" s="12" t="s">
        <v>2670</v>
      </c>
      <c r="B884" s="12" t="s">
        <v>2371</v>
      </c>
      <c r="C884" s="12" t="s">
        <v>3407</v>
      </c>
      <c r="D884" s="12" t="s">
        <v>3408</v>
      </c>
      <c r="E884" s="12" t="s">
        <v>2236</v>
      </c>
      <c r="F884" s="8">
        <v>0</v>
      </c>
      <c r="G884" s="12" t="s">
        <v>2237</v>
      </c>
      <c r="H884" s="12">
        <v>0</v>
      </c>
      <c r="I884" s="12" t="s">
        <v>2237</v>
      </c>
      <c r="J884" s="12">
        <v>0</v>
      </c>
      <c r="K884" s="12" t="s">
        <v>2237</v>
      </c>
      <c r="L884" s="12">
        <v>0</v>
      </c>
      <c r="M884" s="12" t="s">
        <v>2237</v>
      </c>
      <c r="N884" s="8">
        <v>0</v>
      </c>
      <c r="O884" s="12" t="s">
        <v>2237</v>
      </c>
      <c r="P884" s="12" t="s">
        <v>2236</v>
      </c>
      <c r="Q884" s="10" t="s">
        <v>2236</v>
      </c>
      <c r="R884" s="10" t="s">
        <v>2236</v>
      </c>
      <c r="S884" s="10" t="s">
        <v>2236</v>
      </c>
      <c r="T884" s="10" t="s">
        <v>2236</v>
      </c>
      <c r="U8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5" spans="1:31" hidden="1" x14ac:dyDescent="0.3">
      <c r="A885" s="12" t="s">
        <v>2671</v>
      </c>
      <c r="B885" s="12" t="s">
        <v>2371</v>
      </c>
      <c r="C885" s="12" t="s">
        <v>3409</v>
      </c>
      <c r="D885" s="12" t="s">
        <v>3410</v>
      </c>
      <c r="E885" s="12" t="s">
        <v>2236</v>
      </c>
      <c r="F885" s="8">
        <v>0</v>
      </c>
      <c r="G885" s="12" t="s">
        <v>2237</v>
      </c>
      <c r="H885" s="12">
        <v>0</v>
      </c>
      <c r="I885" s="12" t="s">
        <v>2237</v>
      </c>
      <c r="J885" s="12">
        <v>0</v>
      </c>
      <c r="K885" s="12" t="s">
        <v>2237</v>
      </c>
      <c r="L885" s="12">
        <v>0</v>
      </c>
      <c r="M885" s="12" t="s">
        <v>2237</v>
      </c>
      <c r="N885" s="8">
        <v>0</v>
      </c>
      <c r="O885" s="12" t="s">
        <v>2237</v>
      </c>
      <c r="P885" s="12" t="s">
        <v>2236</v>
      </c>
      <c r="Q885" s="10" t="s">
        <v>2236</v>
      </c>
      <c r="R885" s="10" t="s">
        <v>2236</v>
      </c>
      <c r="S885" s="10" t="s">
        <v>2236</v>
      </c>
      <c r="T885" s="10" t="s">
        <v>2236</v>
      </c>
      <c r="U8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6" spans="1:31" hidden="1" x14ac:dyDescent="0.3">
      <c r="A886" s="12" t="s">
        <v>2672</v>
      </c>
      <c r="B886" s="12" t="s">
        <v>2371</v>
      </c>
      <c r="C886" s="12" t="s">
        <v>3411</v>
      </c>
      <c r="D886" s="12" t="s">
        <v>3412</v>
      </c>
      <c r="E886" s="12" t="s">
        <v>2236</v>
      </c>
      <c r="F886" s="8">
        <v>0</v>
      </c>
      <c r="G886" s="12" t="s">
        <v>2237</v>
      </c>
      <c r="H886" s="12">
        <v>0</v>
      </c>
      <c r="I886" s="12" t="s">
        <v>2237</v>
      </c>
      <c r="J886" s="12">
        <v>0</v>
      </c>
      <c r="K886" s="12" t="s">
        <v>2237</v>
      </c>
      <c r="L886" s="12">
        <v>0</v>
      </c>
      <c r="M886" s="12" t="s">
        <v>2237</v>
      </c>
      <c r="N886" s="8">
        <v>0</v>
      </c>
      <c r="O886" s="12" t="s">
        <v>2237</v>
      </c>
      <c r="P886" s="12" t="s">
        <v>2236</v>
      </c>
      <c r="Q886" s="10" t="s">
        <v>2236</v>
      </c>
      <c r="R886" s="10" t="s">
        <v>2236</v>
      </c>
      <c r="S886" s="10" t="s">
        <v>2236</v>
      </c>
      <c r="T886" s="10" t="s">
        <v>2236</v>
      </c>
      <c r="U8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7" spans="1:31" hidden="1" x14ac:dyDescent="0.3">
      <c r="A887" s="12" t="s">
        <v>2673</v>
      </c>
      <c r="B887" s="12" t="s">
        <v>2371</v>
      </c>
      <c r="C887" s="12" t="s">
        <v>3413</v>
      </c>
      <c r="D887" s="12" t="s">
        <v>3414</v>
      </c>
      <c r="E887" s="12" t="s">
        <v>2236</v>
      </c>
      <c r="F887" s="8">
        <v>0</v>
      </c>
      <c r="G887" s="12" t="s">
        <v>2237</v>
      </c>
      <c r="H887" s="12">
        <v>0</v>
      </c>
      <c r="I887" s="12" t="s">
        <v>2237</v>
      </c>
      <c r="J887" s="12">
        <v>0</v>
      </c>
      <c r="K887" s="12" t="s">
        <v>2237</v>
      </c>
      <c r="L887" s="12">
        <v>0</v>
      </c>
      <c r="M887" s="12" t="s">
        <v>2237</v>
      </c>
      <c r="N887" s="8">
        <v>0</v>
      </c>
      <c r="O887" s="12" t="s">
        <v>2237</v>
      </c>
      <c r="P887" s="12" t="s">
        <v>2236</v>
      </c>
      <c r="Q887" s="10" t="s">
        <v>2236</v>
      </c>
      <c r="R887" s="10" t="s">
        <v>2236</v>
      </c>
      <c r="S887" s="10" t="s">
        <v>2236</v>
      </c>
      <c r="T887" s="10" t="s">
        <v>2236</v>
      </c>
      <c r="U8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8" spans="1:31" hidden="1" x14ac:dyDescent="0.3">
      <c r="A888" s="12" t="s">
        <v>2674</v>
      </c>
      <c r="B888" s="12" t="s">
        <v>2371</v>
      </c>
      <c r="C888" s="12" t="s">
        <v>3415</v>
      </c>
      <c r="D888" s="12" t="s">
        <v>3416</v>
      </c>
      <c r="E888" s="12" t="s">
        <v>2236</v>
      </c>
      <c r="F888" s="8">
        <v>0</v>
      </c>
      <c r="G888" s="12" t="s">
        <v>2237</v>
      </c>
      <c r="H888" s="12">
        <v>0</v>
      </c>
      <c r="I888" s="12" t="s">
        <v>2237</v>
      </c>
      <c r="J888" s="12">
        <v>0</v>
      </c>
      <c r="K888" s="12" t="s">
        <v>2237</v>
      </c>
      <c r="L888" s="12">
        <v>0</v>
      </c>
      <c r="M888" s="12" t="s">
        <v>2237</v>
      </c>
      <c r="N888" s="8">
        <v>0</v>
      </c>
      <c r="O888" s="12" t="s">
        <v>2237</v>
      </c>
      <c r="P888" s="12" t="s">
        <v>2236</v>
      </c>
      <c r="Q888" s="10" t="s">
        <v>2236</v>
      </c>
      <c r="R888" s="10" t="s">
        <v>2236</v>
      </c>
      <c r="S888" s="10" t="s">
        <v>2236</v>
      </c>
      <c r="T888" s="10" t="s">
        <v>2236</v>
      </c>
      <c r="U8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89" spans="1:31" hidden="1" x14ac:dyDescent="0.3">
      <c r="A889" s="12" t="s">
        <v>2675</v>
      </c>
      <c r="B889" s="12" t="s">
        <v>2371</v>
      </c>
      <c r="C889" s="12" t="s">
        <v>3417</v>
      </c>
      <c r="D889" s="12" t="s">
        <v>3418</v>
      </c>
      <c r="E889" s="12" t="s">
        <v>2236</v>
      </c>
      <c r="F889" s="8">
        <v>0</v>
      </c>
      <c r="G889" s="12" t="s">
        <v>2237</v>
      </c>
      <c r="H889" s="12">
        <v>0</v>
      </c>
      <c r="I889" s="12" t="s">
        <v>2237</v>
      </c>
      <c r="J889" s="12">
        <v>0</v>
      </c>
      <c r="K889" s="12" t="s">
        <v>2237</v>
      </c>
      <c r="L889" s="12">
        <v>0</v>
      </c>
      <c r="M889" s="12" t="s">
        <v>2237</v>
      </c>
      <c r="N889" s="8">
        <v>0</v>
      </c>
      <c r="O889" s="12" t="s">
        <v>2237</v>
      </c>
      <c r="P889" s="12" t="s">
        <v>2236</v>
      </c>
      <c r="Q889" s="10" t="s">
        <v>2236</v>
      </c>
      <c r="R889" s="10" t="s">
        <v>2236</v>
      </c>
      <c r="S889" s="10" t="s">
        <v>2236</v>
      </c>
      <c r="T889" s="10" t="s">
        <v>2236</v>
      </c>
      <c r="U8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0" spans="1:31" hidden="1" x14ac:dyDescent="0.3">
      <c r="A890" s="12" t="s">
        <v>2676</v>
      </c>
      <c r="B890" s="12" t="s">
        <v>2371</v>
      </c>
      <c r="C890" s="12" t="s">
        <v>3419</v>
      </c>
      <c r="D890" s="12" t="s">
        <v>3420</v>
      </c>
      <c r="E890" s="12" t="s">
        <v>2236</v>
      </c>
      <c r="F890" s="8">
        <v>0</v>
      </c>
      <c r="G890" s="12" t="s">
        <v>2237</v>
      </c>
      <c r="H890" s="12">
        <v>0</v>
      </c>
      <c r="I890" s="12" t="s">
        <v>2237</v>
      </c>
      <c r="J890" s="12">
        <v>0</v>
      </c>
      <c r="K890" s="12" t="s">
        <v>2237</v>
      </c>
      <c r="L890" s="12">
        <v>0</v>
      </c>
      <c r="M890" s="12" t="s">
        <v>2237</v>
      </c>
      <c r="N890" s="8">
        <v>0</v>
      </c>
      <c r="O890" s="12" t="s">
        <v>2237</v>
      </c>
      <c r="P890" s="12" t="s">
        <v>2236</v>
      </c>
      <c r="Q890" s="10" t="s">
        <v>2236</v>
      </c>
      <c r="R890" s="10" t="s">
        <v>2236</v>
      </c>
      <c r="S890" s="10" t="s">
        <v>2236</v>
      </c>
      <c r="T890" s="10" t="s">
        <v>2236</v>
      </c>
      <c r="U8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1" spans="1:31" hidden="1" x14ac:dyDescent="0.3">
      <c r="A891" s="12" t="s">
        <v>2677</v>
      </c>
      <c r="B891" s="12" t="s">
        <v>2371</v>
      </c>
      <c r="C891" s="12" t="s">
        <v>3421</v>
      </c>
      <c r="D891" s="12" t="s">
        <v>3422</v>
      </c>
      <c r="E891" s="12" t="s">
        <v>2236</v>
      </c>
      <c r="F891" s="8">
        <v>0</v>
      </c>
      <c r="G891" s="12" t="s">
        <v>2237</v>
      </c>
      <c r="H891" s="12">
        <v>0</v>
      </c>
      <c r="I891" s="12" t="s">
        <v>2237</v>
      </c>
      <c r="J891" s="12">
        <v>0</v>
      </c>
      <c r="K891" s="12" t="s">
        <v>2237</v>
      </c>
      <c r="L891" s="12">
        <v>0</v>
      </c>
      <c r="M891" s="12" t="s">
        <v>2237</v>
      </c>
      <c r="N891" s="8">
        <v>0</v>
      </c>
      <c r="O891" s="12" t="s">
        <v>2237</v>
      </c>
      <c r="P891" s="12" t="s">
        <v>2236</v>
      </c>
      <c r="Q891" s="10" t="s">
        <v>2236</v>
      </c>
      <c r="R891" s="10" t="s">
        <v>2236</v>
      </c>
      <c r="S891" s="10" t="s">
        <v>2236</v>
      </c>
      <c r="T891" s="10" t="s">
        <v>2236</v>
      </c>
      <c r="U8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2" spans="1:31" hidden="1" x14ac:dyDescent="0.3">
      <c r="A892" s="12" t="s">
        <v>2678</v>
      </c>
      <c r="B892" s="12" t="s">
        <v>2371</v>
      </c>
      <c r="C892" s="12" t="s">
        <v>3423</v>
      </c>
      <c r="D892" s="12" t="s">
        <v>3424</v>
      </c>
      <c r="E892" s="12" t="s">
        <v>2236</v>
      </c>
      <c r="F892" s="8">
        <v>0</v>
      </c>
      <c r="G892" s="12" t="s">
        <v>2237</v>
      </c>
      <c r="H892" s="12">
        <v>0</v>
      </c>
      <c r="I892" s="12" t="s">
        <v>2237</v>
      </c>
      <c r="J892" s="12">
        <v>0</v>
      </c>
      <c r="K892" s="12" t="s">
        <v>2237</v>
      </c>
      <c r="L892" s="12">
        <v>0</v>
      </c>
      <c r="M892" s="12" t="s">
        <v>2237</v>
      </c>
      <c r="N892" s="8">
        <v>0</v>
      </c>
      <c r="O892" s="12" t="s">
        <v>2237</v>
      </c>
      <c r="P892" s="12" t="s">
        <v>2236</v>
      </c>
      <c r="Q892" s="10" t="s">
        <v>2236</v>
      </c>
      <c r="R892" s="10" t="s">
        <v>2236</v>
      </c>
      <c r="S892" s="10" t="s">
        <v>2236</v>
      </c>
      <c r="T892" s="10" t="s">
        <v>2236</v>
      </c>
      <c r="U8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3" spans="1:31" hidden="1" x14ac:dyDescent="0.3">
      <c r="A893" s="12" t="s">
        <v>2679</v>
      </c>
      <c r="B893" s="12" t="s">
        <v>2371</v>
      </c>
      <c r="C893" s="12" t="s">
        <v>3425</v>
      </c>
      <c r="D893" s="12" t="s">
        <v>3426</v>
      </c>
      <c r="E893" s="12" t="s">
        <v>2236</v>
      </c>
      <c r="F893" s="8">
        <v>0</v>
      </c>
      <c r="G893" s="12" t="s">
        <v>2237</v>
      </c>
      <c r="H893" s="12">
        <v>0</v>
      </c>
      <c r="I893" s="12" t="s">
        <v>2237</v>
      </c>
      <c r="J893" s="12">
        <v>0</v>
      </c>
      <c r="K893" s="12" t="s">
        <v>2237</v>
      </c>
      <c r="L893" s="12">
        <v>0</v>
      </c>
      <c r="M893" s="12" t="s">
        <v>2237</v>
      </c>
      <c r="N893" s="8">
        <v>0</v>
      </c>
      <c r="O893" s="12" t="s">
        <v>2237</v>
      </c>
      <c r="P893" s="12" t="s">
        <v>2236</v>
      </c>
      <c r="Q893" s="10" t="s">
        <v>2236</v>
      </c>
      <c r="R893" s="10" t="s">
        <v>2236</v>
      </c>
      <c r="S893" s="10" t="s">
        <v>2236</v>
      </c>
      <c r="T893" s="10" t="s">
        <v>2236</v>
      </c>
      <c r="U8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4" spans="1:31" hidden="1" x14ac:dyDescent="0.3">
      <c r="A894" s="12" t="s">
        <v>2680</v>
      </c>
      <c r="B894" s="12" t="s">
        <v>2371</v>
      </c>
      <c r="C894" s="12" t="s">
        <v>3427</v>
      </c>
      <c r="D894" s="12" t="s">
        <v>3428</v>
      </c>
      <c r="E894" s="12" t="s">
        <v>2236</v>
      </c>
      <c r="F894" s="8">
        <v>0</v>
      </c>
      <c r="G894" s="12" t="s">
        <v>2237</v>
      </c>
      <c r="H894" s="12">
        <v>0</v>
      </c>
      <c r="I894" s="12" t="s">
        <v>2237</v>
      </c>
      <c r="J894" s="12">
        <v>0</v>
      </c>
      <c r="K894" s="12" t="s">
        <v>2237</v>
      </c>
      <c r="L894" s="12">
        <v>0</v>
      </c>
      <c r="M894" s="12" t="s">
        <v>2237</v>
      </c>
      <c r="N894" s="8">
        <v>0</v>
      </c>
      <c r="O894" s="12" t="s">
        <v>2237</v>
      </c>
      <c r="P894" s="12" t="s">
        <v>2236</v>
      </c>
      <c r="Q894" s="10" t="s">
        <v>2236</v>
      </c>
      <c r="R894" s="10" t="s">
        <v>2236</v>
      </c>
      <c r="S894" s="10" t="s">
        <v>2236</v>
      </c>
      <c r="T894" s="10" t="s">
        <v>2236</v>
      </c>
      <c r="U8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5" spans="1:31" hidden="1" x14ac:dyDescent="0.3">
      <c r="A895" s="12" t="s">
        <v>2681</v>
      </c>
      <c r="B895" s="12" t="s">
        <v>2371</v>
      </c>
      <c r="C895" s="12" t="s">
        <v>3429</v>
      </c>
      <c r="D895" s="12" t="s">
        <v>3430</v>
      </c>
      <c r="E895" s="12" t="s">
        <v>2236</v>
      </c>
      <c r="F895" s="8">
        <v>0</v>
      </c>
      <c r="G895" s="12" t="s">
        <v>2237</v>
      </c>
      <c r="H895" s="12">
        <v>0</v>
      </c>
      <c r="I895" s="12" t="s">
        <v>2237</v>
      </c>
      <c r="J895" s="12">
        <v>0</v>
      </c>
      <c r="K895" s="12" t="s">
        <v>2237</v>
      </c>
      <c r="L895" s="12">
        <v>0</v>
      </c>
      <c r="M895" s="12" t="s">
        <v>2237</v>
      </c>
      <c r="N895" s="8">
        <v>0</v>
      </c>
      <c r="O895" s="12" t="s">
        <v>2237</v>
      </c>
      <c r="P895" s="12" t="s">
        <v>2236</v>
      </c>
      <c r="Q895" s="10" t="s">
        <v>2236</v>
      </c>
      <c r="R895" s="10" t="s">
        <v>2236</v>
      </c>
      <c r="S895" s="10" t="s">
        <v>2236</v>
      </c>
      <c r="T895" s="10" t="s">
        <v>2236</v>
      </c>
      <c r="U8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6" spans="1:31" hidden="1" x14ac:dyDescent="0.3">
      <c r="A896" s="12" t="s">
        <v>2682</v>
      </c>
      <c r="B896" s="12" t="s">
        <v>2371</v>
      </c>
      <c r="C896" s="12" t="s">
        <v>3431</v>
      </c>
      <c r="D896" s="12" t="s">
        <v>3432</v>
      </c>
      <c r="E896" s="12" t="s">
        <v>2236</v>
      </c>
      <c r="F896" s="8">
        <v>0</v>
      </c>
      <c r="G896" s="12" t="s">
        <v>2237</v>
      </c>
      <c r="H896" s="12">
        <v>0</v>
      </c>
      <c r="I896" s="12" t="s">
        <v>2237</v>
      </c>
      <c r="J896" s="12">
        <v>0</v>
      </c>
      <c r="K896" s="12" t="s">
        <v>2237</v>
      </c>
      <c r="L896" s="12">
        <v>0</v>
      </c>
      <c r="M896" s="12" t="s">
        <v>2237</v>
      </c>
      <c r="N896" s="8">
        <v>0</v>
      </c>
      <c r="O896" s="12" t="s">
        <v>2237</v>
      </c>
      <c r="P896" s="12" t="s">
        <v>2236</v>
      </c>
      <c r="Q896" s="10" t="s">
        <v>2236</v>
      </c>
      <c r="R896" s="10" t="s">
        <v>2236</v>
      </c>
      <c r="S896" s="10" t="s">
        <v>2236</v>
      </c>
      <c r="T896" s="10" t="s">
        <v>2236</v>
      </c>
      <c r="U8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7" spans="1:31" hidden="1" x14ac:dyDescent="0.3">
      <c r="A897" s="12" t="s">
        <v>2683</v>
      </c>
      <c r="B897" s="12" t="s">
        <v>2371</v>
      </c>
      <c r="C897" s="12" t="s">
        <v>3011</v>
      </c>
      <c r="D897" s="12" t="s">
        <v>3433</v>
      </c>
      <c r="E897" s="12" t="s">
        <v>2236</v>
      </c>
      <c r="F897" s="8">
        <v>0</v>
      </c>
      <c r="G897" s="12" t="s">
        <v>2237</v>
      </c>
      <c r="H897" s="12">
        <v>0</v>
      </c>
      <c r="I897" s="12" t="s">
        <v>2237</v>
      </c>
      <c r="J897" s="12">
        <v>0</v>
      </c>
      <c r="K897" s="12" t="s">
        <v>2237</v>
      </c>
      <c r="L897" s="12">
        <v>0</v>
      </c>
      <c r="M897" s="12" t="s">
        <v>2237</v>
      </c>
      <c r="N897" s="8">
        <v>0</v>
      </c>
      <c r="O897" s="12" t="s">
        <v>2237</v>
      </c>
      <c r="P897" s="12" t="s">
        <v>2236</v>
      </c>
      <c r="Q897" s="10" t="s">
        <v>2236</v>
      </c>
      <c r="R897" s="10" t="s">
        <v>2236</v>
      </c>
      <c r="S897" s="10" t="s">
        <v>2236</v>
      </c>
      <c r="T897" s="10" t="s">
        <v>2236</v>
      </c>
      <c r="U8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8" spans="1:31" hidden="1" x14ac:dyDescent="0.3">
      <c r="A898" s="12" t="s">
        <v>2684</v>
      </c>
      <c r="B898" s="12" t="s">
        <v>2371</v>
      </c>
      <c r="C898" s="12" t="s">
        <v>2902</v>
      </c>
      <c r="D898" s="12" t="s">
        <v>3434</v>
      </c>
      <c r="E898" s="12" t="s">
        <v>2236</v>
      </c>
      <c r="F898" s="8">
        <v>0</v>
      </c>
      <c r="G898" s="12" t="s">
        <v>2237</v>
      </c>
      <c r="H898" s="12">
        <v>0</v>
      </c>
      <c r="I898" s="12" t="s">
        <v>2237</v>
      </c>
      <c r="J898" s="12">
        <v>0</v>
      </c>
      <c r="K898" s="12" t="s">
        <v>2237</v>
      </c>
      <c r="L898" s="12">
        <v>0</v>
      </c>
      <c r="M898" s="12" t="s">
        <v>2237</v>
      </c>
      <c r="N898" s="8">
        <v>0</v>
      </c>
      <c r="O898" s="12" t="s">
        <v>2237</v>
      </c>
      <c r="P898" s="12" t="s">
        <v>2236</v>
      </c>
      <c r="Q898" s="10" t="s">
        <v>2236</v>
      </c>
      <c r="R898" s="10" t="s">
        <v>2236</v>
      </c>
      <c r="S898" s="10" t="s">
        <v>2236</v>
      </c>
      <c r="T898" s="10" t="s">
        <v>2236</v>
      </c>
      <c r="U8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899" spans="1:31" hidden="1" x14ac:dyDescent="0.3">
      <c r="A899" s="12" t="s">
        <v>2685</v>
      </c>
      <c r="B899" s="12" t="s">
        <v>2371</v>
      </c>
      <c r="C899" s="12" t="s">
        <v>3435</v>
      </c>
      <c r="D899" s="12" t="s">
        <v>3436</v>
      </c>
      <c r="E899" s="12" t="s">
        <v>2236</v>
      </c>
      <c r="F899" s="8">
        <v>0</v>
      </c>
      <c r="G899" s="12" t="s">
        <v>2237</v>
      </c>
      <c r="H899" s="12">
        <v>0</v>
      </c>
      <c r="I899" s="12" t="s">
        <v>2237</v>
      </c>
      <c r="J899" s="12">
        <v>0</v>
      </c>
      <c r="K899" s="12" t="s">
        <v>2237</v>
      </c>
      <c r="L899" s="12">
        <v>0</v>
      </c>
      <c r="M899" s="12" t="s">
        <v>2237</v>
      </c>
      <c r="N899" s="8">
        <v>0</v>
      </c>
      <c r="O899" s="12" t="s">
        <v>2237</v>
      </c>
      <c r="P899" s="12" t="s">
        <v>2236</v>
      </c>
      <c r="Q899" s="10" t="s">
        <v>2236</v>
      </c>
      <c r="R899" s="10" t="s">
        <v>2236</v>
      </c>
      <c r="S899" s="10" t="s">
        <v>2236</v>
      </c>
      <c r="T899" s="10" t="s">
        <v>2236</v>
      </c>
      <c r="U8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8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8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8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8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8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8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8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8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8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8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0" spans="1:31" hidden="1" x14ac:dyDescent="0.3">
      <c r="A900" s="12" t="s">
        <v>2686</v>
      </c>
      <c r="B900" s="12" t="s">
        <v>2371</v>
      </c>
      <c r="C900" s="12" t="s">
        <v>3437</v>
      </c>
      <c r="D900" s="12" t="s">
        <v>3438</v>
      </c>
      <c r="E900" s="12" t="s">
        <v>2236</v>
      </c>
      <c r="F900" s="8">
        <v>0</v>
      </c>
      <c r="G900" s="12" t="s">
        <v>2237</v>
      </c>
      <c r="H900" s="12">
        <v>0</v>
      </c>
      <c r="I900" s="12" t="s">
        <v>2237</v>
      </c>
      <c r="J900" s="12">
        <v>0</v>
      </c>
      <c r="K900" s="12" t="s">
        <v>2237</v>
      </c>
      <c r="L900" s="12">
        <v>0</v>
      </c>
      <c r="M900" s="12" t="s">
        <v>2237</v>
      </c>
      <c r="N900" s="8">
        <v>0</v>
      </c>
      <c r="O900" s="12" t="s">
        <v>2237</v>
      </c>
      <c r="P900" s="12" t="s">
        <v>2236</v>
      </c>
      <c r="Q900" s="10" t="s">
        <v>2236</v>
      </c>
      <c r="R900" s="10" t="s">
        <v>2236</v>
      </c>
      <c r="S900" s="10" t="s">
        <v>2236</v>
      </c>
      <c r="T900" s="10" t="s">
        <v>2236</v>
      </c>
      <c r="U9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1" spans="1:31" hidden="1" x14ac:dyDescent="0.3">
      <c r="A901" s="12" t="s">
        <v>2687</v>
      </c>
      <c r="B901" s="12" t="s">
        <v>2371</v>
      </c>
      <c r="C901" s="12" t="s">
        <v>3439</v>
      </c>
      <c r="D901" s="12" t="s">
        <v>3440</v>
      </c>
      <c r="E901" s="12" t="s">
        <v>2236</v>
      </c>
      <c r="F901" s="8">
        <v>0</v>
      </c>
      <c r="G901" s="12" t="s">
        <v>2237</v>
      </c>
      <c r="H901" s="12">
        <v>0</v>
      </c>
      <c r="I901" s="12" t="s">
        <v>2237</v>
      </c>
      <c r="J901" s="12">
        <v>0</v>
      </c>
      <c r="K901" s="12" t="s">
        <v>2237</v>
      </c>
      <c r="L901" s="12">
        <v>0</v>
      </c>
      <c r="M901" s="12" t="s">
        <v>2237</v>
      </c>
      <c r="N901" s="8">
        <v>0</v>
      </c>
      <c r="O901" s="12" t="s">
        <v>2237</v>
      </c>
      <c r="P901" s="12" t="s">
        <v>2236</v>
      </c>
      <c r="Q901" s="10" t="s">
        <v>2236</v>
      </c>
      <c r="R901" s="10" t="s">
        <v>2236</v>
      </c>
      <c r="S901" s="10" t="s">
        <v>2236</v>
      </c>
      <c r="T901" s="10" t="s">
        <v>2236</v>
      </c>
      <c r="U9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2" spans="1:31" hidden="1" x14ac:dyDescent="0.3">
      <c r="A902" s="12" t="s">
        <v>2688</v>
      </c>
      <c r="B902" s="12" t="s">
        <v>2371</v>
      </c>
      <c r="C902" s="12" t="s">
        <v>3441</v>
      </c>
      <c r="D902" s="12" t="s">
        <v>3442</v>
      </c>
      <c r="E902" s="12" t="s">
        <v>2236</v>
      </c>
      <c r="F902" s="8">
        <v>0</v>
      </c>
      <c r="G902" s="12" t="s">
        <v>2237</v>
      </c>
      <c r="H902" s="12">
        <v>0</v>
      </c>
      <c r="I902" s="12" t="s">
        <v>2237</v>
      </c>
      <c r="J902" s="12">
        <v>0</v>
      </c>
      <c r="K902" s="12" t="s">
        <v>2237</v>
      </c>
      <c r="L902" s="12">
        <v>0</v>
      </c>
      <c r="M902" s="12" t="s">
        <v>2237</v>
      </c>
      <c r="N902" s="8">
        <v>0</v>
      </c>
      <c r="O902" s="12" t="s">
        <v>2237</v>
      </c>
      <c r="P902" s="12" t="s">
        <v>2236</v>
      </c>
      <c r="Q902" s="10" t="s">
        <v>2236</v>
      </c>
      <c r="R902" s="10" t="s">
        <v>2236</v>
      </c>
      <c r="S902" s="10" t="s">
        <v>2236</v>
      </c>
      <c r="T902" s="10" t="s">
        <v>2236</v>
      </c>
      <c r="U9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3" spans="1:31" hidden="1" x14ac:dyDescent="0.3">
      <c r="A903" s="12" t="s">
        <v>2690</v>
      </c>
      <c r="B903" s="12" t="s">
        <v>2371</v>
      </c>
      <c r="C903" s="12" t="s">
        <v>3443</v>
      </c>
      <c r="D903" s="12" t="s">
        <v>3444</v>
      </c>
      <c r="E903" s="12" t="s">
        <v>2236</v>
      </c>
      <c r="F903" s="8">
        <v>0</v>
      </c>
      <c r="G903" s="12" t="s">
        <v>2237</v>
      </c>
      <c r="H903" s="12">
        <v>0</v>
      </c>
      <c r="I903" s="12" t="s">
        <v>2237</v>
      </c>
      <c r="J903" s="12">
        <v>0</v>
      </c>
      <c r="K903" s="12" t="s">
        <v>2237</v>
      </c>
      <c r="L903" s="12">
        <v>0</v>
      </c>
      <c r="M903" s="12" t="s">
        <v>2237</v>
      </c>
      <c r="N903" s="8">
        <v>0</v>
      </c>
      <c r="O903" s="12" t="s">
        <v>2237</v>
      </c>
      <c r="P903" s="12" t="s">
        <v>2236</v>
      </c>
      <c r="Q903" s="10" t="s">
        <v>2236</v>
      </c>
      <c r="R903" s="10" t="s">
        <v>2236</v>
      </c>
      <c r="S903" s="10" t="s">
        <v>2236</v>
      </c>
      <c r="T903" s="10" t="s">
        <v>2236</v>
      </c>
      <c r="U9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4" spans="1:31" hidden="1" x14ac:dyDescent="0.3">
      <c r="A904" s="12" t="s">
        <v>2691</v>
      </c>
      <c r="B904" s="12" t="s">
        <v>2371</v>
      </c>
      <c r="C904" s="12" t="s">
        <v>3445</v>
      </c>
      <c r="D904" s="12" t="s">
        <v>3446</v>
      </c>
      <c r="E904" s="12" t="s">
        <v>2236</v>
      </c>
      <c r="F904" s="8">
        <v>0</v>
      </c>
      <c r="G904" s="12" t="s">
        <v>2237</v>
      </c>
      <c r="H904" s="12">
        <v>0</v>
      </c>
      <c r="I904" s="12" t="s">
        <v>2237</v>
      </c>
      <c r="J904" s="12">
        <v>0</v>
      </c>
      <c r="K904" s="12" t="s">
        <v>2237</v>
      </c>
      <c r="L904" s="12">
        <v>0</v>
      </c>
      <c r="M904" s="12" t="s">
        <v>2237</v>
      </c>
      <c r="N904" s="8">
        <v>0</v>
      </c>
      <c r="O904" s="12" t="s">
        <v>2237</v>
      </c>
      <c r="P904" s="12" t="s">
        <v>2236</v>
      </c>
      <c r="Q904" s="10" t="s">
        <v>2236</v>
      </c>
      <c r="R904" s="10" t="s">
        <v>2236</v>
      </c>
      <c r="S904" s="10" t="s">
        <v>2236</v>
      </c>
      <c r="T904" s="10" t="s">
        <v>2236</v>
      </c>
      <c r="U9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5" spans="1:31" hidden="1" x14ac:dyDescent="0.3">
      <c r="A905" s="12" t="s">
        <v>2692</v>
      </c>
      <c r="B905" s="12" t="s">
        <v>2371</v>
      </c>
      <c r="C905" s="12" t="s">
        <v>3447</v>
      </c>
      <c r="D905" s="12" t="s">
        <v>3448</v>
      </c>
      <c r="E905" s="12" t="s">
        <v>2236</v>
      </c>
      <c r="F905" s="8">
        <v>0</v>
      </c>
      <c r="G905" s="12" t="s">
        <v>2237</v>
      </c>
      <c r="H905" s="12">
        <v>0</v>
      </c>
      <c r="I905" s="12" t="s">
        <v>2237</v>
      </c>
      <c r="J905" s="12">
        <v>0</v>
      </c>
      <c r="K905" s="12" t="s">
        <v>2237</v>
      </c>
      <c r="L905" s="12">
        <v>0</v>
      </c>
      <c r="M905" s="12" t="s">
        <v>2237</v>
      </c>
      <c r="N905" s="8">
        <v>0</v>
      </c>
      <c r="O905" s="12" t="s">
        <v>2237</v>
      </c>
      <c r="P905" s="12" t="s">
        <v>2236</v>
      </c>
      <c r="Q905" s="10" t="s">
        <v>2236</v>
      </c>
      <c r="R905" s="10" t="s">
        <v>2236</v>
      </c>
      <c r="S905" s="10" t="s">
        <v>2236</v>
      </c>
      <c r="T905" s="10" t="s">
        <v>2236</v>
      </c>
      <c r="U9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6" spans="1:31" hidden="1" x14ac:dyDescent="0.3">
      <c r="A906" s="12" t="s">
        <v>2693</v>
      </c>
      <c r="B906" s="12" t="s">
        <v>2371</v>
      </c>
      <c r="C906" s="12" t="s">
        <v>3449</v>
      </c>
      <c r="D906" s="12" t="s">
        <v>3450</v>
      </c>
      <c r="E906" s="12" t="s">
        <v>2236</v>
      </c>
      <c r="F906" s="8">
        <v>0</v>
      </c>
      <c r="G906" s="12" t="s">
        <v>2237</v>
      </c>
      <c r="H906" s="12">
        <v>0</v>
      </c>
      <c r="I906" s="12" t="s">
        <v>2237</v>
      </c>
      <c r="J906" s="12">
        <v>0</v>
      </c>
      <c r="K906" s="12" t="s">
        <v>2237</v>
      </c>
      <c r="L906" s="12">
        <v>0</v>
      </c>
      <c r="M906" s="12" t="s">
        <v>2237</v>
      </c>
      <c r="N906" s="8">
        <v>0</v>
      </c>
      <c r="O906" s="12" t="s">
        <v>2237</v>
      </c>
      <c r="P906" s="12" t="s">
        <v>2236</v>
      </c>
      <c r="Q906" s="10" t="s">
        <v>2236</v>
      </c>
      <c r="R906" s="10" t="s">
        <v>2236</v>
      </c>
      <c r="S906" s="10" t="s">
        <v>2236</v>
      </c>
      <c r="T906" s="10" t="s">
        <v>2236</v>
      </c>
      <c r="U9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7" spans="1:31" hidden="1" x14ac:dyDescent="0.3">
      <c r="A907" s="12" t="s">
        <v>2694</v>
      </c>
      <c r="B907" s="12" t="s">
        <v>2371</v>
      </c>
      <c r="C907" s="12" t="s">
        <v>3451</v>
      </c>
      <c r="D907" s="12" t="s">
        <v>3452</v>
      </c>
      <c r="E907" s="12" t="s">
        <v>2236</v>
      </c>
      <c r="F907" s="8">
        <v>0</v>
      </c>
      <c r="G907" s="12" t="s">
        <v>2237</v>
      </c>
      <c r="H907" s="12">
        <v>0</v>
      </c>
      <c r="I907" s="12" t="s">
        <v>2237</v>
      </c>
      <c r="J907" s="12">
        <v>0</v>
      </c>
      <c r="K907" s="12" t="s">
        <v>2237</v>
      </c>
      <c r="L907" s="12">
        <v>0</v>
      </c>
      <c r="M907" s="12" t="s">
        <v>2237</v>
      </c>
      <c r="N907" s="8">
        <v>0</v>
      </c>
      <c r="O907" s="12" t="s">
        <v>2237</v>
      </c>
      <c r="P907" s="12" t="s">
        <v>2236</v>
      </c>
      <c r="Q907" s="10" t="s">
        <v>2236</v>
      </c>
      <c r="R907" s="10" t="s">
        <v>2236</v>
      </c>
      <c r="S907" s="10" t="s">
        <v>2236</v>
      </c>
      <c r="T907" s="10" t="s">
        <v>2236</v>
      </c>
      <c r="U9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8" spans="1:31" hidden="1" x14ac:dyDescent="0.3">
      <c r="A908" s="12" t="s">
        <v>2695</v>
      </c>
      <c r="B908" s="12" t="s">
        <v>2371</v>
      </c>
      <c r="C908" s="12" t="s">
        <v>3453</v>
      </c>
      <c r="D908" s="12" t="s">
        <v>3454</v>
      </c>
      <c r="E908" s="12" t="s">
        <v>2236</v>
      </c>
      <c r="F908" s="8">
        <v>0</v>
      </c>
      <c r="G908" s="12" t="s">
        <v>2237</v>
      </c>
      <c r="H908" s="12">
        <v>0</v>
      </c>
      <c r="I908" s="12" t="s">
        <v>2237</v>
      </c>
      <c r="J908" s="12">
        <v>0</v>
      </c>
      <c r="K908" s="12" t="s">
        <v>2237</v>
      </c>
      <c r="L908" s="12">
        <v>0</v>
      </c>
      <c r="M908" s="12" t="s">
        <v>2237</v>
      </c>
      <c r="N908" s="8">
        <v>0</v>
      </c>
      <c r="O908" s="12" t="s">
        <v>2237</v>
      </c>
      <c r="P908" s="12" t="s">
        <v>2236</v>
      </c>
      <c r="Q908" s="10" t="s">
        <v>2236</v>
      </c>
      <c r="R908" s="10" t="s">
        <v>2236</v>
      </c>
      <c r="S908" s="10" t="s">
        <v>2236</v>
      </c>
      <c r="T908" s="10" t="s">
        <v>2236</v>
      </c>
      <c r="U9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09" spans="1:31" hidden="1" x14ac:dyDescent="0.3">
      <c r="A909" s="12" t="s">
        <v>2696</v>
      </c>
      <c r="B909" s="12" t="s">
        <v>2371</v>
      </c>
      <c r="C909" s="12" t="s">
        <v>3455</v>
      </c>
      <c r="D909" s="12" t="s">
        <v>3456</v>
      </c>
      <c r="E909" s="12" t="s">
        <v>2236</v>
      </c>
      <c r="F909" s="8">
        <v>0</v>
      </c>
      <c r="G909" s="12" t="s">
        <v>2237</v>
      </c>
      <c r="H909" s="12">
        <v>0</v>
      </c>
      <c r="I909" s="12" t="s">
        <v>2237</v>
      </c>
      <c r="J909" s="12">
        <v>0</v>
      </c>
      <c r="K909" s="12" t="s">
        <v>2237</v>
      </c>
      <c r="L909" s="12">
        <v>0</v>
      </c>
      <c r="M909" s="12" t="s">
        <v>2237</v>
      </c>
      <c r="N909" s="8">
        <v>0</v>
      </c>
      <c r="O909" s="12" t="s">
        <v>2237</v>
      </c>
      <c r="P909" s="12" t="s">
        <v>2236</v>
      </c>
      <c r="Q909" s="10" t="s">
        <v>2236</v>
      </c>
      <c r="R909" s="10" t="s">
        <v>2236</v>
      </c>
      <c r="S909" s="10" t="s">
        <v>2236</v>
      </c>
      <c r="T909" s="10" t="s">
        <v>2236</v>
      </c>
      <c r="U9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0" spans="1:31" hidden="1" x14ac:dyDescent="0.3">
      <c r="A910" s="12" t="s">
        <v>2697</v>
      </c>
      <c r="B910" s="12" t="s">
        <v>2371</v>
      </c>
      <c r="C910" s="12" t="s">
        <v>3457</v>
      </c>
      <c r="D910" s="12" t="s">
        <v>3458</v>
      </c>
      <c r="E910" s="12" t="s">
        <v>2236</v>
      </c>
      <c r="F910" s="8">
        <v>0</v>
      </c>
      <c r="G910" s="12" t="s">
        <v>2237</v>
      </c>
      <c r="H910" s="12">
        <v>0</v>
      </c>
      <c r="I910" s="12" t="s">
        <v>2237</v>
      </c>
      <c r="J910" s="12">
        <v>0</v>
      </c>
      <c r="K910" s="12" t="s">
        <v>2237</v>
      </c>
      <c r="L910" s="12">
        <v>0</v>
      </c>
      <c r="M910" s="12" t="s">
        <v>2237</v>
      </c>
      <c r="N910" s="8">
        <v>0</v>
      </c>
      <c r="O910" s="12" t="s">
        <v>2237</v>
      </c>
      <c r="P910" s="12" t="s">
        <v>2236</v>
      </c>
      <c r="Q910" s="10" t="s">
        <v>2236</v>
      </c>
      <c r="R910" s="10" t="s">
        <v>2236</v>
      </c>
      <c r="S910" s="10" t="s">
        <v>2236</v>
      </c>
      <c r="T910" s="10" t="s">
        <v>2236</v>
      </c>
      <c r="U9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1" spans="1:31" hidden="1" x14ac:dyDescent="0.3">
      <c r="A911" s="12" t="s">
        <v>2698</v>
      </c>
      <c r="B911" s="12" t="s">
        <v>2371</v>
      </c>
      <c r="C911" s="12" t="s">
        <v>2902</v>
      </c>
      <c r="D911" s="12" t="s">
        <v>3459</v>
      </c>
      <c r="E911" s="12" t="s">
        <v>2236</v>
      </c>
      <c r="F911" s="8">
        <v>0</v>
      </c>
      <c r="G911" s="12" t="s">
        <v>2237</v>
      </c>
      <c r="H911" s="12">
        <v>0</v>
      </c>
      <c r="I911" s="12" t="s">
        <v>2237</v>
      </c>
      <c r="J911" s="12">
        <v>0</v>
      </c>
      <c r="K911" s="12" t="s">
        <v>2237</v>
      </c>
      <c r="L911" s="12">
        <v>0</v>
      </c>
      <c r="M911" s="12" t="s">
        <v>2237</v>
      </c>
      <c r="N911" s="8">
        <v>0</v>
      </c>
      <c r="O911" s="12" t="s">
        <v>2237</v>
      </c>
      <c r="P911" s="12" t="s">
        <v>2236</v>
      </c>
      <c r="Q911" s="10" t="s">
        <v>2236</v>
      </c>
      <c r="R911" s="10" t="s">
        <v>2236</v>
      </c>
      <c r="S911" s="10" t="s">
        <v>2236</v>
      </c>
      <c r="T911" s="10" t="s">
        <v>2236</v>
      </c>
      <c r="U9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2" spans="1:31" hidden="1" x14ac:dyDescent="0.3">
      <c r="A912" s="12" t="s">
        <v>2699</v>
      </c>
      <c r="B912" s="12" t="s">
        <v>2371</v>
      </c>
      <c r="C912" s="12" t="s">
        <v>3176</v>
      </c>
      <c r="D912" s="12" t="s">
        <v>3460</v>
      </c>
      <c r="E912" s="12" t="s">
        <v>2236</v>
      </c>
      <c r="F912" s="8">
        <v>0</v>
      </c>
      <c r="G912" s="12" t="s">
        <v>2237</v>
      </c>
      <c r="H912" s="12">
        <v>0</v>
      </c>
      <c r="I912" s="12" t="s">
        <v>2237</v>
      </c>
      <c r="J912" s="12">
        <v>0</v>
      </c>
      <c r="K912" s="12" t="s">
        <v>2237</v>
      </c>
      <c r="L912" s="12">
        <v>0</v>
      </c>
      <c r="M912" s="12" t="s">
        <v>2237</v>
      </c>
      <c r="N912" s="8">
        <v>0</v>
      </c>
      <c r="O912" s="12" t="s">
        <v>2237</v>
      </c>
      <c r="P912" s="12" t="s">
        <v>2236</v>
      </c>
      <c r="Q912" s="10" t="s">
        <v>2236</v>
      </c>
      <c r="R912" s="10" t="s">
        <v>2236</v>
      </c>
      <c r="S912" s="10" t="s">
        <v>2236</v>
      </c>
      <c r="T912" s="10" t="s">
        <v>2236</v>
      </c>
      <c r="U9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3" spans="1:31" hidden="1" x14ac:dyDescent="0.3">
      <c r="A913" s="12" t="s">
        <v>2700</v>
      </c>
      <c r="B913" s="12" t="s">
        <v>2371</v>
      </c>
      <c r="C913" s="12" t="s">
        <v>3461</v>
      </c>
      <c r="D913" s="12" t="s">
        <v>3462</v>
      </c>
      <c r="E913" s="12" t="s">
        <v>2236</v>
      </c>
      <c r="F913" s="8">
        <v>0</v>
      </c>
      <c r="G913" s="12" t="s">
        <v>2237</v>
      </c>
      <c r="H913" s="12">
        <v>0</v>
      </c>
      <c r="I913" s="12" t="s">
        <v>2237</v>
      </c>
      <c r="J913" s="12">
        <v>0</v>
      </c>
      <c r="K913" s="12" t="s">
        <v>2237</v>
      </c>
      <c r="L913" s="12">
        <v>0</v>
      </c>
      <c r="M913" s="12" t="s">
        <v>2237</v>
      </c>
      <c r="N913" s="8">
        <v>0</v>
      </c>
      <c r="O913" s="12" t="s">
        <v>2237</v>
      </c>
      <c r="P913" s="12" t="s">
        <v>2236</v>
      </c>
      <c r="Q913" s="10" t="s">
        <v>2236</v>
      </c>
      <c r="R913" s="10" t="s">
        <v>2236</v>
      </c>
      <c r="S913" s="10" t="s">
        <v>2236</v>
      </c>
      <c r="T913" s="10" t="s">
        <v>2236</v>
      </c>
      <c r="U9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4" spans="1:31" hidden="1" x14ac:dyDescent="0.3">
      <c r="A914" s="12" t="s">
        <v>2701</v>
      </c>
      <c r="B914" s="12" t="s">
        <v>2371</v>
      </c>
      <c r="C914" s="12" t="s">
        <v>3463</v>
      </c>
      <c r="D914" s="12" t="s">
        <v>3464</v>
      </c>
      <c r="E914" s="12" t="s">
        <v>2236</v>
      </c>
      <c r="F914" s="8">
        <v>0</v>
      </c>
      <c r="G914" s="12" t="s">
        <v>2237</v>
      </c>
      <c r="H914" s="12">
        <v>0</v>
      </c>
      <c r="I914" s="12" t="s">
        <v>2237</v>
      </c>
      <c r="J914" s="12">
        <v>0</v>
      </c>
      <c r="K914" s="12" t="s">
        <v>2237</v>
      </c>
      <c r="L914" s="12">
        <v>0</v>
      </c>
      <c r="M914" s="12" t="s">
        <v>2237</v>
      </c>
      <c r="N914" s="8">
        <v>0</v>
      </c>
      <c r="O914" s="12" t="s">
        <v>2237</v>
      </c>
      <c r="P914" s="12" t="s">
        <v>2236</v>
      </c>
      <c r="Q914" s="10" t="s">
        <v>2236</v>
      </c>
      <c r="R914" s="10" t="s">
        <v>2236</v>
      </c>
      <c r="S914" s="10" t="s">
        <v>2236</v>
      </c>
      <c r="T914" s="10" t="s">
        <v>2236</v>
      </c>
      <c r="U9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5" spans="1:31" hidden="1" x14ac:dyDescent="0.3">
      <c r="A915" s="12" t="s">
        <v>2702</v>
      </c>
      <c r="B915" s="12" t="s">
        <v>2371</v>
      </c>
      <c r="C915" s="12" t="s">
        <v>3465</v>
      </c>
      <c r="D915" s="12" t="s">
        <v>3466</v>
      </c>
      <c r="E915" s="12" t="s">
        <v>2236</v>
      </c>
      <c r="F915" s="8">
        <v>0</v>
      </c>
      <c r="G915" s="12" t="s">
        <v>2237</v>
      </c>
      <c r="H915" s="12">
        <v>0</v>
      </c>
      <c r="I915" s="12" t="s">
        <v>2237</v>
      </c>
      <c r="J915" s="12">
        <v>0</v>
      </c>
      <c r="K915" s="12" t="s">
        <v>2237</v>
      </c>
      <c r="L915" s="12">
        <v>0</v>
      </c>
      <c r="M915" s="12" t="s">
        <v>2237</v>
      </c>
      <c r="N915" s="8">
        <v>0</v>
      </c>
      <c r="O915" s="12" t="s">
        <v>2237</v>
      </c>
      <c r="P915" s="12" t="s">
        <v>2236</v>
      </c>
      <c r="Q915" s="10" t="s">
        <v>2236</v>
      </c>
      <c r="R915" s="10" t="s">
        <v>2236</v>
      </c>
      <c r="S915" s="10" t="s">
        <v>2236</v>
      </c>
      <c r="T915" s="10" t="s">
        <v>2236</v>
      </c>
      <c r="U9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6" spans="1:31" hidden="1" x14ac:dyDescent="0.3">
      <c r="A916" s="12" t="s">
        <v>2703</v>
      </c>
      <c r="B916" s="12" t="s">
        <v>2371</v>
      </c>
      <c r="C916" s="12" t="s">
        <v>3467</v>
      </c>
      <c r="D916" s="12" t="s">
        <v>3468</v>
      </c>
      <c r="E916" s="12" t="s">
        <v>2236</v>
      </c>
      <c r="F916" s="8">
        <v>0</v>
      </c>
      <c r="G916" s="12" t="s">
        <v>2237</v>
      </c>
      <c r="H916" s="12">
        <v>0</v>
      </c>
      <c r="I916" s="12" t="s">
        <v>2237</v>
      </c>
      <c r="J916" s="12">
        <v>0</v>
      </c>
      <c r="K916" s="12" t="s">
        <v>2237</v>
      </c>
      <c r="L916" s="12">
        <v>0</v>
      </c>
      <c r="M916" s="12" t="s">
        <v>2237</v>
      </c>
      <c r="N916" s="8">
        <v>0</v>
      </c>
      <c r="O916" s="12" t="s">
        <v>2237</v>
      </c>
      <c r="P916" s="12" t="s">
        <v>2236</v>
      </c>
      <c r="Q916" s="10" t="s">
        <v>2236</v>
      </c>
      <c r="R916" s="10" t="s">
        <v>2236</v>
      </c>
      <c r="S916" s="10" t="s">
        <v>2236</v>
      </c>
      <c r="T916" s="10" t="s">
        <v>2236</v>
      </c>
      <c r="U9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7" spans="1:31" hidden="1" x14ac:dyDescent="0.3">
      <c r="A917" s="12" t="s">
        <v>2704</v>
      </c>
      <c r="B917" s="12" t="s">
        <v>2371</v>
      </c>
      <c r="C917" s="12" t="s">
        <v>3469</v>
      </c>
      <c r="D917" s="12" t="s">
        <v>3470</v>
      </c>
      <c r="E917" s="12" t="s">
        <v>2236</v>
      </c>
      <c r="F917" s="8">
        <v>0</v>
      </c>
      <c r="G917" s="12" t="s">
        <v>2237</v>
      </c>
      <c r="H917" s="12">
        <v>0</v>
      </c>
      <c r="I917" s="12" t="s">
        <v>2237</v>
      </c>
      <c r="J917" s="12">
        <v>0</v>
      </c>
      <c r="K917" s="12" t="s">
        <v>2237</v>
      </c>
      <c r="L917" s="12">
        <v>0</v>
      </c>
      <c r="M917" s="12" t="s">
        <v>2237</v>
      </c>
      <c r="N917" s="8">
        <v>0</v>
      </c>
      <c r="O917" s="12" t="s">
        <v>2237</v>
      </c>
      <c r="P917" s="12" t="s">
        <v>2236</v>
      </c>
      <c r="Q917" s="10" t="s">
        <v>2236</v>
      </c>
      <c r="R917" s="10" t="s">
        <v>2236</v>
      </c>
      <c r="S917" s="10" t="s">
        <v>2236</v>
      </c>
      <c r="T917" s="10" t="s">
        <v>2236</v>
      </c>
      <c r="U9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8" spans="1:31" hidden="1" x14ac:dyDescent="0.3">
      <c r="A918" s="12" t="s">
        <v>2705</v>
      </c>
      <c r="B918" s="12" t="s">
        <v>2371</v>
      </c>
      <c r="C918" s="12" t="s">
        <v>3471</v>
      </c>
      <c r="D918" s="12" t="s">
        <v>3472</v>
      </c>
      <c r="E918" s="12" t="s">
        <v>2236</v>
      </c>
      <c r="F918" s="8">
        <v>0</v>
      </c>
      <c r="G918" s="12" t="s">
        <v>2237</v>
      </c>
      <c r="H918" s="12">
        <v>0</v>
      </c>
      <c r="I918" s="12" t="s">
        <v>2237</v>
      </c>
      <c r="J918" s="12">
        <v>0</v>
      </c>
      <c r="K918" s="12" t="s">
        <v>2237</v>
      </c>
      <c r="L918" s="12">
        <v>0</v>
      </c>
      <c r="M918" s="12" t="s">
        <v>2237</v>
      </c>
      <c r="N918" s="8">
        <v>0</v>
      </c>
      <c r="O918" s="12" t="s">
        <v>2237</v>
      </c>
      <c r="P918" s="12" t="s">
        <v>2236</v>
      </c>
      <c r="Q918" s="10" t="s">
        <v>2236</v>
      </c>
      <c r="R918" s="10" t="s">
        <v>2236</v>
      </c>
      <c r="S918" s="10" t="s">
        <v>2236</v>
      </c>
      <c r="T918" s="10" t="s">
        <v>2236</v>
      </c>
      <c r="U9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19" spans="1:31" hidden="1" x14ac:dyDescent="0.3">
      <c r="A919" s="12" t="s">
        <v>2706</v>
      </c>
      <c r="B919" s="12" t="s">
        <v>2371</v>
      </c>
      <c r="C919" s="12" t="s">
        <v>3473</v>
      </c>
      <c r="D919" s="12" t="s">
        <v>3474</v>
      </c>
      <c r="E919" s="12" t="s">
        <v>2236</v>
      </c>
      <c r="F919" s="8">
        <v>0</v>
      </c>
      <c r="G919" s="12" t="s">
        <v>2237</v>
      </c>
      <c r="H919" s="12">
        <v>0</v>
      </c>
      <c r="I919" s="12" t="s">
        <v>2237</v>
      </c>
      <c r="J919" s="12">
        <v>0</v>
      </c>
      <c r="K919" s="12" t="s">
        <v>2237</v>
      </c>
      <c r="L919" s="12">
        <v>0</v>
      </c>
      <c r="M919" s="12" t="s">
        <v>2237</v>
      </c>
      <c r="N919" s="8">
        <v>0</v>
      </c>
      <c r="O919" s="12" t="s">
        <v>2237</v>
      </c>
      <c r="P919" s="12" t="s">
        <v>2236</v>
      </c>
      <c r="Q919" s="10" t="s">
        <v>2236</v>
      </c>
      <c r="R919" s="10" t="s">
        <v>2236</v>
      </c>
      <c r="S919" s="10" t="s">
        <v>2236</v>
      </c>
      <c r="T919" s="10" t="s">
        <v>2236</v>
      </c>
      <c r="U9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0" spans="1:31" hidden="1" x14ac:dyDescent="0.3">
      <c r="A920" s="12" t="s">
        <v>2707</v>
      </c>
      <c r="B920" s="12" t="s">
        <v>2371</v>
      </c>
      <c r="C920" s="12" t="s">
        <v>3475</v>
      </c>
      <c r="D920" s="12" t="s">
        <v>3476</v>
      </c>
      <c r="E920" s="12" t="s">
        <v>2236</v>
      </c>
      <c r="F920" s="8">
        <v>0</v>
      </c>
      <c r="G920" s="12" t="s">
        <v>2237</v>
      </c>
      <c r="H920" s="12">
        <v>0</v>
      </c>
      <c r="I920" s="12" t="s">
        <v>2237</v>
      </c>
      <c r="J920" s="12">
        <v>0</v>
      </c>
      <c r="K920" s="12" t="s">
        <v>2237</v>
      </c>
      <c r="L920" s="12">
        <v>0</v>
      </c>
      <c r="M920" s="12" t="s">
        <v>2237</v>
      </c>
      <c r="N920" s="8">
        <v>0</v>
      </c>
      <c r="O920" s="12" t="s">
        <v>2237</v>
      </c>
      <c r="P920" s="12" t="s">
        <v>2236</v>
      </c>
      <c r="Q920" s="10" t="s">
        <v>2236</v>
      </c>
      <c r="R920" s="10" t="s">
        <v>2236</v>
      </c>
      <c r="S920" s="10" t="s">
        <v>2236</v>
      </c>
      <c r="T920" s="10" t="s">
        <v>2236</v>
      </c>
      <c r="U9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1" spans="1:31" hidden="1" x14ac:dyDescent="0.3">
      <c r="A921" s="12" t="s">
        <v>2708</v>
      </c>
      <c r="B921" s="12" t="s">
        <v>2371</v>
      </c>
      <c r="C921" s="12" t="s">
        <v>3477</v>
      </c>
      <c r="D921" s="12" t="s">
        <v>3478</v>
      </c>
      <c r="E921" s="12" t="s">
        <v>2236</v>
      </c>
      <c r="F921" s="8">
        <v>0</v>
      </c>
      <c r="G921" s="12" t="s">
        <v>2237</v>
      </c>
      <c r="H921" s="12">
        <v>0</v>
      </c>
      <c r="I921" s="12" t="s">
        <v>2237</v>
      </c>
      <c r="J921" s="12">
        <v>0</v>
      </c>
      <c r="K921" s="12" t="s">
        <v>2237</v>
      </c>
      <c r="L921" s="12">
        <v>0</v>
      </c>
      <c r="M921" s="12" t="s">
        <v>2237</v>
      </c>
      <c r="N921" s="8">
        <v>0</v>
      </c>
      <c r="O921" s="12" t="s">
        <v>2237</v>
      </c>
      <c r="P921" s="12" t="s">
        <v>2236</v>
      </c>
      <c r="Q921" s="10" t="s">
        <v>2236</v>
      </c>
      <c r="R921" s="10" t="s">
        <v>2236</v>
      </c>
      <c r="S921" s="10" t="s">
        <v>2236</v>
      </c>
      <c r="T921" s="10" t="s">
        <v>2236</v>
      </c>
      <c r="U9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2" spans="1:31" hidden="1" x14ac:dyDescent="0.3">
      <c r="A922" s="12" t="s">
        <v>2709</v>
      </c>
      <c r="B922" s="12" t="s">
        <v>2371</v>
      </c>
      <c r="C922" s="12" t="s">
        <v>3479</v>
      </c>
      <c r="D922" s="12" t="s">
        <v>3480</v>
      </c>
      <c r="E922" s="12" t="s">
        <v>2236</v>
      </c>
      <c r="F922" s="8">
        <v>0</v>
      </c>
      <c r="G922" s="12" t="s">
        <v>2237</v>
      </c>
      <c r="H922" s="12">
        <v>0</v>
      </c>
      <c r="I922" s="12" t="s">
        <v>2237</v>
      </c>
      <c r="J922" s="12">
        <v>0</v>
      </c>
      <c r="K922" s="12" t="s">
        <v>2237</v>
      </c>
      <c r="L922" s="12">
        <v>0</v>
      </c>
      <c r="M922" s="12" t="s">
        <v>2237</v>
      </c>
      <c r="N922" s="8">
        <v>0</v>
      </c>
      <c r="O922" s="12" t="s">
        <v>2237</v>
      </c>
      <c r="P922" s="12" t="s">
        <v>2236</v>
      </c>
      <c r="Q922" s="10" t="s">
        <v>2236</v>
      </c>
      <c r="R922" s="10" t="s">
        <v>2236</v>
      </c>
      <c r="S922" s="10" t="s">
        <v>2236</v>
      </c>
      <c r="T922" s="10" t="s">
        <v>2236</v>
      </c>
      <c r="U9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3" spans="1:31" hidden="1" x14ac:dyDescent="0.3">
      <c r="A923" s="12" t="s">
        <v>2710</v>
      </c>
      <c r="B923" s="12" t="s">
        <v>2371</v>
      </c>
      <c r="C923" s="12" t="s">
        <v>3481</v>
      </c>
      <c r="D923" s="12" t="s">
        <v>3482</v>
      </c>
      <c r="E923" s="12" t="s">
        <v>2236</v>
      </c>
      <c r="F923" s="8">
        <v>0</v>
      </c>
      <c r="G923" s="12" t="s">
        <v>2237</v>
      </c>
      <c r="H923" s="12">
        <v>0</v>
      </c>
      <c r="I923" s="12" t="s">
        <v>2237</v>
      </c>
      <c r="J923" s="12">
        <v>0</v>
      </c>
      <c r="K923" s="12" t="s">
        <v>2237</v>
      </c>
      <c r="L923" s="12">
        <v>0</v>
      </c>
      <c r="M923" s="12" t="s">
        <v>2237</v>
      </c>
      <c r="N923" s="8">
        <v>0</v>
      </c>
      <c r="O923" s="12" t="s">
        <v>2237</v>
      </c>
      <c r="P923" s="12" t="s">
        <v>2236</v>
      </c>
      <c r="Q923" s="10" t="s">
        <v>2236</v>
      </c>
      <c r="R923" s="10" t="s">
        <v>2236</v>
      </c>
      <c r="S923" s="10" t="s">
        <v>2236</v>
      </c>
      <c r="T923" s="10" t="s">
        <v>2236</v>
      </c>
      <c r="U9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4" spans="1:31" hidden="1" x14ac:dyDescent="0.3">
      <c r="A924" s="12" t="s">
        <v>2711</v>
      </c>
      <c r="B924" s="12" t="s">
        <v>2371</v>
      </c>
      <c r="C924" s="12" t="s">
        <v>3483</v>
      </c>
      <c r="D924" s="12" t="s">
        <v>3484</v>
      </c>
      <c r="E924" s="12" t="s">
        <v>2236</v>
      </c>
      <c r="F924" s="8">
        <v>0</v>
      </c>
      <c r="G924" s="12" t="s">
        <v>2237</v>
      </c>
      <c r="H924" s="12">
        <v>0</v>
      </c>
      <c r="I924" s="12" t="s">
        <v>2237</v>
      </c>
      <c r="J924" s="12">
        <v>0</v>
      </c>
      <c r="K924" s="12" t="s">
        <v>2237</v>
      </c>
      <c r="L924" s="12">
        <v>0</v>
      </c>
      <c r="M924" s="12" t="s">
        <v>2237</v>
      </c>
      <c r="N924" s="8">
        <v>0</v>
      </c>
      <c r="O924" s="12" t="s">
        <v>2237</v>
      </c>
      <c r="P924" s="12" t="s">
        <v>2236</v>
      </c>
      <c r="Q924" s="10" t="s">
        <v>2236</v>
      </c>
      <c r="R924" s="10" t="s">
        <v>2236</v>
      </c>
      <c r="S924" s="10" t="s">
        <v>2236</v>
      </c>
      <c r="T924" s="10" t="s">
        <v>2236</v>
      </c>
      <c r="U9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5" spans="1:31" hidden="1" x14ac:dyDescent="0.3">
      <c r="A925" s="12" t="s">
        <v>2712</v>
      </c>
      <c r="B925" s="12" t="s">
        <v>2366</v>
      </c>
      <c r="C925" s="12" t="s">
        <v>3485</v>
      </c>
      <c r="D925" s="12" t="s">
        <v>3486</v>
      </c>
      <c r="E925" s="12" t="s">
        <v>2236</v>
      </c>
      <c r="F925" s="8">
        <v>0</v>
      </c>
      <c r="G925" s="12" t="s">
        <v>2237</v>
      </c>
      <c r="H925" s="12">
        <v>0</v>
      </c>
      <c r="I925" s="12" t="s">
        <v>2237</v>
      </c>
      <c r="J925" s="12">
        <v>0</v>
      </c>
      <c r="K925" s="12" t="s">
        <v>2237</v>
      </c>
      <c r="L925" s="12">
        <v>0</v>
      </c>
      <c r="M925" s="12" t="s">
        <v>2237</v>
      </c>
      <c r="N925" s="8">
        <v>0.9</v>
      </c>
      <c r="O925" s="12" t="s">
        <v>2237</v>
      </c>
      <c r="P925" s="12" t="s">
        <v>2236</v>
      </c>
      <c r="Q925" s="10" t="s">
        <v>2236</v>
      </c>
      <c r="R925" s="10" t="s">
        <v>2236</v>
      </c>
      <c r="S925" s="10" t="s">
        <v>2236</v>
      </c>
      <c r="T925" s="10" t="s">
        <v>2866</v>
      </c>
      <c r="U9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6" spans="1:31" hidden="1" x14ac:dyDescent="0.3">
      <c r="A926" s="12" t="s">
        <v>2713</v>
      </c>
      <c r="B926" s="12" t="s">
        <v>2371</v>
      </c>
      <c r="C926" s="12" t="s">
        <v>3487</v>
      </c>
      <c r="D926" s="12" t="s">
        <v>3488</v>
      </c>
      <c r="E926" s="12" t="s">
        <v>2236</v>
      </c>
      <c r="F926" s="8">
        <v>0</v>
      </c>
      <c r="G926" s="12" t="s">
        <v>2237</v>
      </c>
      <c r="H926" s="12">
        <v>0</v>
      </c>
      <c r="I926" s="12" t="s">
        <v>2237</v>
      </c>
      <c r="J926" s="12">
        <v>0</v>
      </c>
      <c r="K926" s="12" t="s">
        <v>2237</v>
      </c>
      <c r="L926" s="12">
        <v>0</v>
      </c>
      <c r="M926" s="12" t="s">
        <v>2237</v>
      </c>
      <c r="N926" s="8">
        <v>0</v>
      </c>
      <c r="O926" s="12" t="s">
        <v>2237</v>
      </c>
      <c r="P926" s="12" t="s">
        <v>2236</v>
      </c>
      <c r="Q926" s="10" t="s">
        <v>2236</v>
      </c>
      <c r="R926" s="10" t="s">
        <v>2236</v>
      </c>
      <c r="S926" s="10" t="s">
        <v>2236</v>
      </c>
      <c r="T926" s="10" t="s">
        <v>2236</v>
      </c>
      <c r="U9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7" spans="1:31" hidden="1" x14ac:dyDescent="0.3">
      <c r="A927" s="12" t="s">
        <v>2714</v>
      </c>
      <c r="B927" s="12" t="s">
        <v>2371</v>
      </c>
      <c r="C927" s="12" t="s">
        <v>3489</v>
      </c>
      <c r="D927" s="12" t="s">
        <v>3490</v>
      </c>
      <c r="E927" s="12" t="s">
        <v>2236</v>
      </c>
      <c r="F927" s="8">
        <v>0</v>
      </c>
      <c r="G927" s="12" t="s">
        <v>2237</v>
      </c>
      <c r="H927" s="12">
        <v>0</v>
      </c>
      <c r="I927" s="12" t="s">
        <v>2237</v>
      </c>
      <c r="J927" s="12">
        <v>0</v>
      </c>
      <c r="K927" s="12" t="s">
        <v>2237</v>
      </c>
      <c r="L927" s="12">
        <v>0</v>
      </c>
      <c r="M927" s="12" t="s">
        <v>2237</v>
      </c>
      <c r="N927" s="8">
        <v>0</v>
      </c>
      <c r="O927" s="12" t="s">
        <v>2237</v>
      </c>
      <c r="P927" s="12" t="s">
        <v>2236</v>
      </c>
      <c r="Q927" s="10" t="s">
        <v>2236</v>
      </c>
      <c r="R927" s="10" t="s">
        <v>2236</v>
      </c>
      <c r="S927" s="10" t="s">
        <v>2236</v>
      </c>
      <c r="T927" s="10" t="s">
        <v>2236</v>
      </c>
      <c r="U9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8" spans="1:31" hidden="1" x14ac:dyDescent="0.3">
      <c r="A928" s="12" t="s">
        <v>2715</v>
      </c>
      <c r="B928" s="12" t="s">
        <v>2371</v>
      </c>
      <c r="C928" s="12" t="s">
        <v>3491</v>
      </c>
      <c r="D928" s="12" t="s">
        <v>3492</v>
      </c>
      <c r="E928" s="12" t="s">
        <v>2236</v>
      </c>
      <c r="F928" s="8">
        <v>0</v>
      </c>
      <c r="G928" s="12" t="s">
        <v>2237</v>
      </c>
      <c r="H928" s="12">
        <v>0</v>
      </c>
      <c r="I928" s="12" t="s">
        <v>2237</v>
      </c>
      <c r="J928" s="12">
        <v>0</v>
      </c>
      <c r="K928" s="12" t="s">
        <v>2237</v>
      </c>
      <c r="L928" s="12">
        <v>0</v>
      </c>
      <c r="M928" s="12" t="s">
        <v>2237</v>
      </c>
      <c r="N928" s="8">
        <v>0</v>
      </c>
      <c r="O928" s="12" t="s">
        <v>2237</v>
      </c>
      <c r="P928" s="12" t="s">
        <v>2236</v>
      </c>
      <c r="Q928" s="10" t="s">
        <v>2236</v>
      </c>
      <c r="R928" s="10" t="s">
        <v>2236</v>
      </c>
      <c r="S928" s="10" t="s">
        <v>2236</v>
      </c>
      <c r="T928" s="10" t="s">
        <v>2236</v>
      </c>
      <c r="U9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29" spans="1:31" hidden="1" x14ac:dyDescent="0.3">
      <c r="A929" s="12" t="s">
        <v>2716</v>
      </c>
      <c r="B929" s="12" t="s">
        <v>2371</v>
      </c>
      <c r="C929" s="12" t="s">
        <v>3493</v>
      </c>
      <c r="D929" s="12" t="s">
        <v>3494</v>
      </c>
      <c r="E929" s="12" t="s">
        <v>2236</v>
      </c>
      <c r="F929" s="8">
        <v>0</v>
      </c>
      <c r="G929" s="12" t="s">
        <v>2237</v>
      </c>
      <c r="H929" s="12">
        <v>0</v>
      </c>
      <c r="I929" s="12" t="s">
        <v>2237</v>
      </c>
      <c r="J929" s="12">
        <v>0</v>
      </c>
      <c r="K929" s="12" t="s">
        <v>2237</v>
      </c>
      <c r="L929" s="12">
        <v>0</v>
      </c>
      <c r="M929" s="12" t="s">
        <v>2237</v>
      </c>
      <c r="N929" s="8">
        <v>0</v>
      </c>
      <c r="O929" s="12" t="s">
        <v>2237</v>
      </c>
      <c r="P929" s="12" t="s">
        <v>2236</v>
      </c>
      <c r="Q929" s="10" t="s">
        <v>2236</v>
      </c>
      <c r="R929" s="10" t="s">
        <v>2236</v>
      </c>
      <c r="S929" s="10" t="s">
        <v>2236</v>
      </c>
      <c r="T929" s="10" t="s">
        <v>2236</v>
      </c>
      <c r="U9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0" spans="1:31" hidden="1" x14ac:dyDescent="0.3">
      <c r="A930" s="12" t="s">
        <v>2717</v>
      </c>
      <c r="B930" s="12" t="s">
        <v>2371</v>
      </c>
      <c r="C930" s="12" t="s">
        <v>3495</v>
      </c>
      <c r="D930" s="12" t="s">
        <v>3496</v>
      </c>
      <c r="E930" s="12" t="s">
        <v>2236</v>
      </c>
      <c r="F930" s="8">
        <v>0</v>
      </c>
      <c r="G930" s="12" t="s">
        <v>2237</v>
      </c>
      <c r="H930" s="12">
        <v>0</v>
      </c>
      <c r="I930" s="12" t="s">
        <v>2237</v>
      </c>
      <c r="J930" s="12">
        <v>0</v>
      </c>
      <c r="K930" s="12" t="s">
        <v>2237</v>
      </c>
      <c r="L930" s="12">
        <v>0</v>
      </c>
      <c r="M930" s="12" t="s">
        <v>2237</v>
      </c>
      <c r="N930" s="8">
        <v>0</v>
      </c>
      <c r="O930" s="12" t="s">
        <v>2237</v>
      </c>
      <c r="P930" s="12" t="s">
        <v>2236</v>
      </c>
      <c r="Q930" s="10" t="s">
        <v>2236</v>
      </c>
      <c r="R930" s="10" t="s">
        <v>2236</v>
      </c>
      <c r="S930" s="10" t="s">
        <v>2236</v>
      </c>
      <c r="T930" s="10" t="s">
        <v>2236</v>
      </c>
      <c r="U9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1" spans="1:31" hidden="1" x14ac:dyDescent="0.3">
      <c r="A931" s="12" t="s">
        <v>2718</v>
      </c>
      <c r="B931" s="12" t="s">
        <v>2371</v>
      </c>
      <c r="C931" s="12" t="s">
        <v>3497</v>
      </c>
      <c r="D931" s="12" t="s">
        <v>3498</v>
      </c>
      <c r="E931" s="12" t="s">
        <v>2236</v>
      </c>
      <c r="F931" s="8">
        <v>0</v>
      </c>
      <c r="G931" s="12" t="s">
        <v>2237</v>
      </c>
      <c r="H931" s="12">
        <v>0</v>
      </c>
      <c r="I931" s="12" t="s">
        <v>2237</v>
      </c>
      <c r="J931" s="12">
        <v>0</v>
      </c>
      <c r="K931" s="12" t="s">
        <v>2237</v>
      </c>
      <c r="L931" s="12">
        <v>0</v>
      </c>
      <c r="M931" s="12" t="s">
        <v>2237</v>
      </c>
      <c r="N931" s="8">
        <v>0</v>
      </c>
      <c r="O931" s="12" t="s">
        <v>2237</v>
      </c>
      <c r="P931" s="12" t="s">
        <v>2236</v>
      </c>
      <c r="Q931" s="10" t="s">
        <v>2236</v>
      </c>
      <c r="R931" s="10" t="s">
        <v>2236</v>
      </c>
      <c r="S931" s="10" t="s">
        <v>2236</v>
      </c>
      <c r="T931" s="10" t="s">
        <v>2236</v>
      </c>
      <c r="U9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2" spans="1:31" hidden="1" x14ac:dyDescent="0.3">
      <c r="A932" s="12" t="s">
        <v>2719</v>
      </c>
      <c r="B932" s="12" t="s">
        <v>2371</v>
      </c>
      <c r="C932" s="12" t="s">
        <v>3499</v>
      </c>
      <c r="D932" s="12" t="s">
        <v>3500</v>
      </c>
      <c r="E932" s="12" t="s">
        <v>2236</v>
      </c>
      <c r="F932" s="8">
        <v>0</v>
      </c>
      <c r="G932" s="12" t="s">
        <v>2237</v>
      </c>
      <c r="H932" s="12">
        <v>0</v>
      </c>
      <c r="I932" s="12" t="s">
        <v>2237</v>
      </c>
      <c r="J932" s="12">
        <v>0</v>
      </c>
      <c r="K932" s="12" t="s">
        <v>2237</v>
      </c>
      <c r="L932" s="12">
        <v>0</v>
      </c>
      <c r="M932" s="12" t="s">
        <v>2237</v>
      </c>
      <c r="N932" s="8">
        <v>0</v>
      </c>
      <c r="O932" s="12" t="s">
        <v>2237</v>
      </c>
      <c r="P932" s="12" t="s">
        <v>2236</v>
      </c>
      <c r="Q932" s="10" t="s">
        <v>2236</v>
      </c>
      <c r="R932" s="10" t="s">
        <v>2236</v>
      </c>
      <c r="S932" s="10" t="s">
        <v>2236</v>
      </c>
      <c r="T932" s="10" t="s">
        <v>2236</v>
      </c>
      <c r="U9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3" spans="1:31" hidden="1" x14ac:dyDescent="0.3">
      <c r="A933" s="12" t="s">
        <v>2720</v>
      </c>
      <c r="B933" s="12" t="s">
        <v>2371</v>
      </c>
      <c r="C933" s="12" t="s">
        <v>3176</v>
      </c>
      <c r="D933" s="12" t="s">
        <v>3501</v>
      </c>
      <c r="E933" s="12" t="s">
        <v>2236</v>
      </c>
      <c r="F933" s="8">
        <v>0</v>
      </c>
      <c r="G933" s="12" t="s">
        <v>2237</v>
      </c>
      <c r="H933" s="12">
        <v>0</v>
      </c>
      <c r="I933" s="12" t="s">
        <v>2237</v>
      </c>
      <c r="J933" s="12">
        <v>0</v>
      </c>
      <c r="K933" s="12" t="s">
        <v>2237</v>
      </c>
      <c r="L933" s="12">
        <v>0</v>
      </c>
      <c r="M933" s="12" t="s">
        <v>2237</v>
      </c>
      <c r="N933" s="8">
        <v>0</v>
      </c>
      <c r="O933" s="12" t="s">
        <v>2237</v>
      </c>
      <c r="P933" s="12" t="s">
        <v>2236</v>
      </c>
      <c r="Q933" s="10" t="s">
        <v>2236</v>
      </c>
      <c r="R933" s="10" t="s">
        <v>2236</v>
      </c>
      <c r="S933" s="10" t="s">
        <v>2236</v>
      </c>
      <c r="T933" s="10" t="s">
        <v>2236</v>
      </c>
      <c r="U9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4" spans="1:31" hidden="1" x14ac:dyDescent="0.3">
      <c r="A934" s="12" t="s">
        <v>2721</v>
      </c>
      <c r="B934" s="12" t="s">
        <v>2366</v>
      </c>
      <c r="C934" s="12" t="s">
        <v>3502</v>
      </c>
      <c r="D934" s="12" t="s">
        <v>3503</v>
      </c>
      <c r="E934" s="12" t="s">
        <v>2236</v>
      </c>
      <c r="F934" s="8">
        <v>0</v>
      </c>
      <c r="G934" s="12" t="s">
        <v>2237</v>
      </c>
      <c r="H934" s="12">
        <v>0</v>
      </c>
      <c r="I934" s="12" t="s">
        <v>2237</v>
      </c>
      <c r="J934" s="12">
        <v>0</v>
      </c>
      <c r="K934" s="12" t="s">
        <v>2237</v>
      </c>
      <c r="L934" s="12">
        <v>0</v>
      </c>
      <c r="M934" s="12" t="s">
        <v>2237</v>
      </c>
      <c r="N934" s="8">
        <v>637.63</v>
      </c>
      <c r="O934" s="12" t="s">
        <v>2237</v>
      </c>
      <c r="P934" s="12" t="s">
        <v>2236</v>
      </c>
      <c r="Q934" s="10" t="s">
        <v>2236</v>
      </c>
      <c r="R934" s="10" t="s">
        <v>2236</v>
      </c>
      <c r="S934" s="10" t="s">
        <v>2236</v>
      </c>
      <c r="T934" s="10" t="s">
        <v>2877</v>
      </c>
      <c r="U9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5" spans="1:31" hidden="1" x14ac:dyDescent="0.3">
      <c r="A935" s="12" t="s">
        <v>2723</v>
      </c>
      <c r="B935" s="12" t="s">
        <v>2371</v>
      </c>
      <c r="C935" s="12" t="s">
        <v>3504</v>
      </c>
      <c r="D935" s="12" t="s">
        <v>3505</v>
      </c>
      <c r="E935" s="12" t="s">
        <v>2236</v>
      </c>
      <c r="F935" s="8">
        <v>0</v>
      </c>
      <c r="G935" s="12" t="s">
        <v>2237</v>
      </c>
      <c r="H935" s="12">
        <v>0</v>
      </c>
      <c r="I935" s="12" t="s">
        <v>2237</v>
      </c>
      <c r="J935" s="12">
        <v>0</v>
      </c>
      <c r="K935" s="12" t="s">
        <v>2237</v>
      </c>
      <c r="L935" s="12">
        <v>0</v>
      </c>
      <c r="M935" s="12" t="s">
        <v>2237</v>
      </c>
      <c r="N935" s="8">
        <v>0</v>
      </c>
      <c r="O935" s="12" t="s">
        <v>2237</v>
      </c>
      <c r="P935" s="12" t="s">
        <v>2236</v>
      </c>
      <c r="Q935" s="10" t="s">
        <v>2236</v>
      </c>
      <c r="R935" s="10" t="s">
        <v>2236</v>
      </c>
      <c r="S935" s="10" t="s">
        <v>2236</v>
      </c>
      <c r="T935" s="10" t="s">
        <v>2236</v>
      </c>
      <c r="U9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6" spans="1:31" hidden="1" x14ac:dyDescent="0.3">
      <c r="A936" s="12" t="s">
        <v>2724</v>
      </c>
      <c r="B936" s="12" t="s">
        <v>2371</v>
      </c>
      <c r="C936" s="12" t="s">
        <v>3506</v>
      </c>
      <c r="D936" s="12" t="s">
        <v>3507</v>
      </c>
      <c r="E936" s="12" t="s">
        <v>2236</v>
      </c>
      <c r="F936" s="8">
        <v>0</v>
      </c>
      <c r="G936" s="12" t="s">
        <v>2237</v>
      </c>
      <c r="H936" s="12">
        <v>0</v>
      </c>
      <c r="I936" s="12" t="s">
        <v>2237</v>
      </c>
      <c r="J936" s="12">
        <v>0</v>
      </c>
      <c r="K936" s="12" t="s">
        <v>2237</v>
      </c>
      <c r="L936" s="12">
        <v>0</v>
      </c>
      <c r="M936" s="12" t="s">
        <v>2237</v>
      </c>
      <c r="N936" s="8">
        <v>0</v>
      </c>
      <c r="O936" s="12" t="s">
        <v>2237</v>
      </c>
      <c r="P936" s="12" t="s">
        <v>2236</v>
      </c>
      <c r="Q936" s="10" t="s">
        <v>2236</v>
      </c>
      <c r="R936" s="10" t="s">
        <v>2236</v>
      </c>
      <c r="S936" s="10" t="s">
        <v>2236</v>
      </c>
      <c r="T936" s="10" t="s">
        <v>2236</v>
      </c>
      <c r="U9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7" spans="1:31" hidden="1" x14ac:dyDescent="0.3">
      <c r="A937" s="12" t="s">
        <v>2725</v>
      </c>
      <c r="B937" s="12" t="s">
        <v>2371</v>
      </c>
      <c r="C937" s="12" t="s">
        <v>3508</v>
      </c>
      <c r="D937" s="12" t="s">
        <v>3509</v>
      </c>
      <c r="E937" s="12" t="s">
        <v>2236</v>
      </c>
      <c r="F937" s="8">
        <v>0</v>
      </c>
      <c r="G937" s="12" t="s">
        <v>2237</v>
      </c>
      <c r="H937" s="12">
        <v>0</v>
      </c>
      <c r="I937" s="12" t="s">
        <v>2237</v>
      </c>
      <c r="J937" s="12">
        <v>0</v>
      </c>
      <c r="K937" s="12" t="s">
        <v>2237</v>
      </c>
      <c r="L937" s="12">
        <v>0</v>
      </c>
      <c r="M937" s="12" t="s">
        <v>2237</v>
      </c>
      <c r="N937" s="8">
        <v>0</v>
      </c>
      <c r="O937" s="12" t="s">
        <v>2237</v>
      </c>
      <c r="P937" s="12" t="s">
        <v>2236</v>
      </c>
      <c r="Q937" s="10" t="s">
        <v>2236</v>
      </c>
      <c r="R937" s="10" t="s">
        <v>2236</v>
      </c>
      <c r="S937" s="10" t="s">
        <v>2236</v>
      </c>
      <c r="T937" s="10" t="s">
        <v>2236</v>
      </c>
      <c r="U9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8" spans="1:31" hidden="1" x14ac:dyDescent="0.3">
      <c r="A938" s="12" t="s">
        <v>2726</v>
      </c>
      <c r="B938" s="12" t="s">
        <v>2371</v>
      </c>
      <c r="C938" s="12" t="s">
        <v>3510</v>
      </c>
      <c r="D938" s="12" t="s">
        <v>3511</v>
      </c>
      <c r="E938" s="12" t="s">
        <v>2236</v>
      </c>
      <c r="F938" s="8">
        <v>0</v>
      </c>
      <c r="G938" s="12" t="s">
        <v>2237</v>
      </c>
      <c r="H938" s="12">
        <v>0</v>
      </c>
      <c r="I938" s="12" t="s">
        <v>2237</v>
      </c>
      <c r="J938" s="12">
        <v>0</v>
      </c>
      <c r="K938" s="12" t="s">
        <v>2237</v>
      </c>
      <c r="L938" s="12">
        <v>0</v>
      </c>
      <c r="M938" s="12" t="s">
        <v>2237</v>
      </c>
      <c r="N938" s="8">
        <v>0</v>
      </c>
      <c r="O938" s="12" t="s">
        <v>2237</v>
      </c>
      <c r="P938" s="12" t="s">
        <v>2236</v>
      </c>
      <c r="Q938" s="10" t="s">
        <v>2236</v>
      </c>
      <c r="R938" s="10" t="s">
        <v>2236</v>
      </c>
      <c r="S938" s="10" t="s">
        <v>2236</v>
      </c>
      <c r="T938" s="10" t="s">
        <v>2236</v>
      </c>
      <c r="U9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39" spans="1:31" hidden="1" x14ac:dyDescent="0.3">
      <c r="A939" s="12" t="s">
        <v>2727</v>
      </c>
      <c r="B939" s="12" t="s">
        <v>2371</v>
      </c>
      <c r="C939" s="12" t="s">
        <v>3512</v>
      </c>
      <c r="D939" s="12" t="s">
        <v>3513</v>
      </c>
      <c r="E939" s="12" t="s">
        <v>2236</v>
      </c>
      <c r="F939" s="8">
        <v>0</v>
      </c>
      <c r="G939" s="12" t="s">
        <v>2237</v>
      </c>
      <c r="H939" s="12">
        <v>0</v>
      </c>
      <c r="I939" s="12" t="s">
        <v>2237</v>
      </c>
      <c r="J939" s="12">
        <v>0</v>
      </c>
      <c r="K939" s="12" t="s">
        <v>2237</v>
      </c>
      <c r="L939" s="12">
        <v>0</v>
      </c>
      <c r="M939" s="12" t="s">
        <v>2237</v>
      </c>
      <c r="N939" s="8">
        <v>0</v>
      </c>
      <c r="O939" s="12" t="s">
        <v>2237</v>
      </c>
      <c r="P939" s="12" t="s">
        <v>2236</v>
      </c>
      <c r="Q939" s="10" t="s">
        <v>2236</v>
      </c>
      <c r="R939" s="10" t="s">
        <v>2236</v>
      </c>
      <c r="S939" s="10" t="s">
        <v>2236</v>
      </c>
      <c r="T939" s="10" t="s">
        <v>2236</v>
      </c>
      <c r="U9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0" spans="1:31" hidden="1" x14ac:dyDescent="0.3">
      <c r="A940" s="12" t="s">
        <v>2728</v>
      </c>
      <c r="B940" s="12" t="s">
        <v>2371</v>
      </c>
      <c r="C940" s="12" t="s">
        <v>2902</v>
      </c>
      <c r="D940" s="12" t="s">
        <v>3514</v>
      </c>
      <c r="E940" s="12" t="s">
        <v>2236</v>
      </c>
      <c r="F940" s="8">
        <v>0</v>
      </c>
      <c r="G940" s="12" t="s">
        <v>2237</v>
      </c>
      <c r="H940" s="12">
        <v>0</v>
      </c>
      <c r="I940" s="12" t="s">
        <v>2237</v>
      </c>
      <c r="J940" s="12">
        <v>0</v>
      </c>
      <c r="K940" s="12" t="s">
        <v>2237</v>
      </c>
      <c r="L940" s="12">
        <v>0</v>
      </c>
      <c r="M940" s="12" t="s">
        <v>2237</v>
      </c>
      <c r="N940" s="8">
        <v>0</v>
      </c>
      <c r="O940" s="12" t="s">
        <v>2237</v>
      </c>
      <c r="P940" s="12" t="s">
        <v>2236</v>
      </c>
      <c r="Q940" s="10" t="s">
        <v>2236</v>
      </c>
      <c r="R940" s="10" t="s">
        <v>2236</v>
      </c>
      <c r="S940" s="10" t="s">
        <v>2236</v>
      </c>
      <c r="T940" s="10" t="s">
        <v>2236</v>
      </c>
      <c r="U9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1" spans="1:31" hidden="1" x14ac:dyDescent="0.3">
      <c r="A941" s="12" t="s">
        <v>2729</v>
      </c>
      <c r="B941" s="12" t="s">
        <v>2371</v>
      </c>
      <c r="C941" s="12" t="s">
        <v>3515</v>
      </c>
      <c r="D941" s="12" t="s">
        <v>3516</v>
      </c>
      <c r="E941" s="12" t="s">
        <v>2236</v>
      </c>
      <c r="F941" s="8">
        <v>0</v>
      </c>
      <c r="G941" s="12" t="s">
        <v>2237</v>
      </c>
      <c r="H941" s="12">
        <v>0</v>
      </c>
      <c r="I941" s="12" t="s">
        <v>2237</v>
      </c>
      <c r="J941" s="12">
        <v>0</v>
      </c>
      <c r="K941" s="12" t="s">
        <v>2237</v>
      </c>
      <c r="L941" s="12">
        <v>0</v>
      </c>
      <c r="M941" s="12" t="s">
        <v>2237</v>
      </c>
      <c r="N941" s="8">
        <v>0</v>
      </c>
      <c r="O941" s="12" t="s">
        <v>2237</v>
      </c>
      <c r="P941" s="12" t="s">
        <v>2236</v>
      </c>
      <c r="Q941" s="10" t="s">
        <v>2236</v>
      </c>
      <c r="R941" s="10" t="s">
        <v>2236</v>
      </c>
      <c r="S941" s="10" t="s">
        <v>2236</v>
      </c>
      <c r="T941" s="10" t="s">
        <v>2236</v>
      </c>
      <c r="U9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2" spans="1:31" hidden="1" x14ac:dyDescent="0.3">
      <c r="A942" s="12" t="s">
        <v>2730</v>
      </c>
      <c r="B942" s="12" t="s">
        <v>2371</v>
      </c>
      <c r="C942" s="12" t="s">
        <v>3517</v>
      </c>
      <c r="D942" s="12" t="s">
        <v>3518</v>
      </c>
      <c r="E942" s="12" t="s">
        <v>2236</v>
      </c>
      <c r="F942" s="8">
        <v>0</v>
      </c>
      <c r="G942" s="12" t="s">
        <v>2237</v>
      </c>
      <c r="H942" s="12">
        <v>0</v>
      </c>
      <c r="I942" s="12" t="s">
        <v>2237</v>
      </c>
      <c r="J942" s="12">
        <v>0</v>
      </c>
      <c r="K942" s="12" t="s">
        <v>2237</v>
      </c>
      <c r="L942" s="12">
        <v>0</v>
      </c>
      <c r="M942" s="12" t="s">
        <v>2237</v>
      </c>
      <c r="N942" s="8">
        <v>0</v>
      </c>
      <c r="O942" s="12" t="s">
        <v>2237</v>
      </c>
      <c r="P942" s="12" t="s">
        <v>2236</v>
      </c>
      <c r="Q942" s="10" t="s">
        <v>2236</v>
      </c>
      <c r="R942" s="10" t="s">
        <v>2236</v>
      </c>
      <c r="S942" s="10" t="s">
        <v>2236</v>
      </c>
      <c r="T942" s="10" t="s">
        <v>2236</v>
      </c>
      <c r="U9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3" spans="1:31" hidden="1" x14ac:dyDescent="0.3">
      <c r="A943" s="12" t="s">
        <v>2731</v>
      </c>
      <c r="B943" s="12" t="s">
        <v>2371</v>
      </c>
      <c r="C943" s="12" t="s">
        <v>3519</v>
      </c>
      <c r="D943" s="12" t="s">
        <v>3520</v>
      </c>
      <c r="E943" s="12" t="s">
        <v>2236</v>
      </c>
      <c r="F943" s="8">
        <v>0</v>
      </c>
      <c r="G943" s="12" t="s">
        <v>2237</v>
      </c>
      <c r="H943" s="12">
        <v>0</v>
      </c>
      <c r="I943" s="12" t="s">
        <v>2237</v>
      </c>
      <c r="J943" s="12">
        <v>0</v>
      </c>
      <c r="K943" s="12" t="s">
        <v>2237</v>
      </c>
      <c r="L943" s="12">
        <v>0</v>
      </c>
      <c r="M943" s="12" t="s">
        <v>2237</v>
      </c>
      <c r="N943" s="8">
        <v>0</v>
      </c>
      <c r="O943" s="12" t="s">
        <v>2237</v>
      </c>
      <c r="P943" s="12" t="s">
        <v>2236</v>
      </c>
      <c r="Q943" s="10" t="s">
        <v>2236</v>
      </c>
      <c r="R943" s="10" t="s">
        <v>2236</v>
      </c>
      <c r="S943" s="10" t="s">
        <v>2236</v>
      </c>
      <c r="T943" s="10" t="s">
        <v>2236</v>
      </c>
      <c r="U9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4" spans="1:31" hidden="1" x14ac:dyDescent="0.3">
      <c r="A944" s="12" t="s">
        <v>2732</v>
      </c>
      <c r="B944" s="12" t="s">
        <v>2371</v>
      </c>
      <c r="C944" s="12" t="s">
        <v>3086</v>
      </c>
      <c r="D944" s="12" t="s">
        <v>3521</v>
      </c>
      <c r="E944" s="12" t="s">
        <v>2236</v>
      </c>
      <c r="F944" s="8">
        <v>0</v>
      </c>
      <c r="G944" s="12" t="s">
        <v>2237</v>
      </c>
      <c r="H944" s="12">
        <v>0</v>
      </c>
      <c r="I944" s="12" t="s">
        <v>2237</v>
      </c>
      <c r="J944" s="12">
        <v>0</v>
      </c>
      <c r="K944" s="12" t="s">
        <v>2237</v>
      </c>
      <c r="L944" s="12">
        <v>0</v>
      </c>
      <c r="M944" s="12" t="s">
        <v>2237</v>
      </c>
      <c r="N944" s="8">
        <v>0</v>
      </c>
      <c r="O944" s="12" t="s">
        <v>2237</v>
      </c>
      <c r="P944" s="12" t="s">
        <v>2236</v>
      </c>
      <c r="Q944" s="10" t="s">
        <v>2236</v>
      </c>
      <c r="R944" s="10" t="s">
        <v>2236</v>
      </c>
      <c r="S944" s="10" t="s">
        <v>2236</v>
      </c>
      <c r="T944" s="10" t="s">
        <v>2236</v>
      </c>
      <c r="U9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5" spans="1:31" hidden="1" x14ac:dyDescent="0.3">
      <c r="A945" s="12" t="s">
        <v>2733</v>
      </c>
      <c r="B945" s="12" t="s">
        <v>2371</v>
      </c>
      <c r="C945" s="12" t="s">
        <v>3522</v>
      </c>
      <c r="D945" s="12" t="s">
        <v>3523</v>
      </c>
      <c r="E945" s="12" t="s">
        <v>2236</v>
      </c>
      <c r="F945" s="8">
        <v>0</v>
      </c>
      <c r="G945" s="12" t="s">
        <v>2237</v>
      </c>
      <c r="H945" s="12">
        <v>0</v>
      </c>
      <c r="I945" s="12" t="s">
        <v>2237</v>
      </c>
      <c r="J945" s="12">
        <v>0</v>
      </c>
      <c r="K945" s="12" t="s">
        <v>2237</v>
      </c>
      <c r="L945" s="12">
        <v>0</v>
      </c>
      <c r="M945" s="12" t="s">
        <v>2237</v>
      </c>
      <c r="N945" s="8">
        <v>0</v>
      </c>
      <c r="O945" s="12" t="s">
        <v>2237</v>
      </c>
      <c r="P945" s="12" t="s">
        <v>2236</v>
      </c>
      <c r="Q945" s="10" t="s">
        <v>2236</v>
      </c>
      <c r="R945" s="10" t="s">
        <v>2236</v>
      </c>
      <c r="S945" s="10" t="s">
        <v>2236</v>
      </c>
      <c r="T945" s="10" t="s">
        <v>2236</v>
      </c>
      <c r="U9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6" spans="1:31" hidden="1" x14ac:dyDescent="0.3">
      <c r="A946" s="12" t="s">
        <v>2734</v>
      </c>
      <c r="B946" s="12" t="s">
        <v>2371</v>
      </c>
      <c r="C946" s="12" t="s">
        <v>3524</v>
      </c>
      <c r="D946" s="12" t="s">
        <v>3525</v>
      </c>
      <c r="E946" s="12" t="s">
        <v>2236</v>
      </c>
      <c r="F946" s="8">
        <v>0</v>
      </c>
      <c r="G946" s="12" t="s">
        <v>2237</v>
      </c>
      <c r="H946" s="12">
        <v>0</v>
      </c>
      <c r="I946" s="12" t="s">
        <v>2237</v>
      </c>
      <c r="J946" s="12">
        <v>0</v>
      </c>
      <c r="K946" s="12" t="s">
        <v>2237</v>
      </c>
      <c r="L946" s="12">
        <v>0</v>
      </c>
      <c r="M946" s="12" t="s">
        <v>2237</v>
      </c>
      <c r="N946" s="8">
        <v>0</v>
      </c>
      <c r="O946" s="12" t="s">
        <v>2237</v>
      </c>
      <c r="P946" s="12" t="s">
        <v>2236</v>
      </c>
      <c r="Q946" s="10" t="s">
        <v>2236</v>
      </c>
      <c r="R946" s="10" t="s">
        <v>2236</v>
      </c>
      <c r="S946" s="10" t="s">
        <v>2236</v>
      </c>
      <c r="T946" s="10" t="s">
        <v>2236</v>
      </c>
      <c r="U9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7" spans="1:31" hidden="1" x14ac:dyDescent="0.3">
      <c r="A947" s="12" t="s">
        <v>2735</v>
      </c>
      <c r="B947" s="12" t="s">
        <v>2371</v>
      </c>
      <c r="C947" s="12" t="s">
        <v>3526</v>
      </c>
      <c r="D947" s="12" t="s">
        <v>3527</v>
      </c>
      <c r="E947" s="12" t="s">
        <v>2236</v>
      </c>
      <c r="F947" s="8">
        <v>0</v>
      </c>
      <c r="G947" s="12" t="s">
        <v>2237</v>
      </c>
      <c r="H947" s="12">
        <v>0</v>
      </c>
      <c r="I947" s="12" t="s">
        <v>2237</v>
      </c>
      <c r="J947" s="12">
        <v>0</v>
      </c>
      <c r="K947" s="12" t="s">
        <v>2237</v>
      </c>
      <c r="L947" s="12">
        <v>0</v>
      </c>
      <c r="M947" s="12" t="s">
        <v>2237</v>
      </c>
      <c r="N947" s="8">
        <v>0</v>
      </c>
      <c r="O947" s="12" t="s">
        <v>2237</v>
      </c>
      <c r="P947" s="12" t="s">
        <v>2236</v>
      </c>
      <c r="Q947" s="10" t="s">
        <v>2236</v>
      </c>
      <c r="R947" s="10" t="s">
        <v>2236</v>
      </c>
      <c r="S947" s="10" t="s">
        <v>2236</v>
      </c>
      <c r="T947" s="10" t="s">
        <v>2236</v>
      </c>
      <c r="U9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8" spans="1:31" hidden="1" x14ac:dyDescent="0.3">
      <c r="A948" s="12" t="s">
        <v>2736</v>
      </c>
      <c r="B948" s="12" t="s">
        <v>2371</v>
      </c>
      <c r="C948" s="12" t="s">
        <v>2902</v>
      </c>
      <c r="D948" s="12" t="s">
        <v>3528</v>
      </c>
      <c r="E948" s="12" t="s">
        <v>2236</v>
      </c>
      <c r="F948" s="8">
        <v>0</v>
      </c>
      <c r="G948" s="12" t="s">
        <v>2237</v>
      </c>
      <c r="H948" s="12">
        <v>0</v>
      </c>
      <c r="I948" s="12" t="s">
        <v>2237</v>
      </c>
      <c r="J948" s="12">
        <v>0</v>
      </c>
      <c r="K948" s="12" t="s">
        <v>2237</v>
      </c>
      <c r="L948" s="12">
        <v>0</v>
      </c>
      <c r="M948" s="12" t="s">
        <v>2237</v>
      </c>
      <c r="N948" s="8">
        <v>0</v>
      </c>
      <c r="O948" s="12" t="s">
        <v>2237</v>
      </c>
      <c r="P948" s="12" t="s">
        <v>2236</v>
      </c>
      <c r="Q948" s="10" t="s">
        <v>2236</v>
      </c>
      <c r="R948" s="10" t="s">
        <v>2236</v>
      </c>
      <c r="S948" s="10" t="s">
        <v>2236</v>
      </c>
      <c r="T948" s="10" t="s">
        <v>2236</v>
      </c>
      <c r="U9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49" spans="1:31" hidden="1" x14ac:dyDescent="0.3">
      <c r="A949" s="12" t="s">
        <v>2737</v>
      </c>
      <c r="B949" s="12" t="s">
        <v>2371</v>
      </c>
      <c r="C949" s="12" t="s">
        <v>3529</v>
      </c>
      <c r="D949" s="12" t="s">
        <v>3530</v>
      </c>
      <c r="E949" s="12" t="s">
        <v>2236</v>
      </c>
      <c r="F949" s="8">
        <v>0</v>
      </c>
      <c r="G949" s="12" t="s">
        <v>2237</v>
      </c>
      <c r="H949" s="12">
        <v>0</v>
      </c>
      <c r="I949" s="12" t="s">
        <v>2237</v>
      </c>
      <c r="J949" s="12">
        <v>0</v>
      </c>
      <c r="K949" s="12" t="s">
        <v>2237</v>
      </c>
      <c r="L949" s="12">
        <v>0</v>
      </c>
      <c r="M949" s="12" t="s">
        <v>2237</v>
      </c>
      <c r="N949" s="8">
        <v>0</v>
      </c>
      <c r="O949" s="12" t="s">
        <v>2237</v>
      </c>
      <c r="P949" s="12" t="s">
        <v>2236</v>
      </c>
      <c r="Q949" s="10" t="s">
        <v>2236</v>
      </c>
      <c r="R949" s="10" t="s">
        <v>2236</v>
      </c>
      <c r="S949" s="10" t="s">
        <v>2236</v>
      </c>
      <c r="T949" s="10" t="s">
        <v>2236</v>
      </c>
      <c r="U9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0" spans="1:31" hidden="1" x14ac:dyDescent="0.3">
      <c r="A950" s="12" t="s">
        <v>2738</v>
      </c>
      <c r="B950" s="12" t="s">
        <v>2371</v>
      </c>
      <c r="C950" s="12" t="s">
        <v>3531</v>
      </c>
      <c r="D950" s="12" t="s">
        <v>3532</v>
      </c>
      <c r="E950" s="12" t="s">
        <v>2236</v>
      </c>
      <c r="F950" s="8">
        <v>0</v>
      </c>
      <c r="G950" s="12" t="s">
        <v>2237</v>
      </c>
      <c r="H950" s="12">
        <v>0</v>
      </c>
      <c r="I950" s="12" t="s">
        <v>2237</v>
      </c>
      <c r="J950" s="12">
        <v>0</v>
      </c>
      <c r="K950" s="12" t="s">
        <v>2237</v>
      </c>
      <c r="L950" s="12">
        <v>0</v>
      </c>
      <c r="M950" s="12" t="s">
        <v>2237</v>
      </c>
      <c r="N950" s="8">
        <v>0</v>
      </c>
      <c r="O950" s="12" t="s">
        <v>2237</v>
      </c>
      <c r="P950" s="12" t="s">
        <v>2236</v>
      </c>
      <c r="Q950" s="10" t="s">
        <v>2236</v>
      </c>
      <c r="R950" s="10" t="s">
        <v>2236</v>
      </c>
      <c r="S950" s="10" t="s">
        <v>2236</v>
      </c>
      <c r="T950" s="10" t="s">
        <v>2236</v>
      </c>
      <c r="U9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1" spans="1:31" hidden="1" x14ac:dyDescent="0.3">
      <c r="A951" s="12" t="s">
        <v>2739</v>
      </c>
      <c r="B951" s="12" t="s">
        <v>2371</v>
      </c>
      <c r="C951" s="12" t="s">
        <v>2902</v>
      </c>
      <c r="D951" s="12" t="s">
        <v>3533</v>
      </c>
      <c r="E951" s="12" t="s">
        <v>2236</v>
      </c>
      <c r="F951" s="8">
        <v>0</v>
      </c>
      <c r="G951" s="12" t="s">
        <v>2237</v>
      </c>
      <c r="H951" s="12">
        <v>0</v>
      </c>
      <c r="I951" s="12" t="s">
        <v>2237</v>
      </c>
      <c r="J951" s="12">
        <v>0</v>
      </c>
      <c r="K951" s="12" t="s">
        <v>2237</v>
      </c>
      <c r="L951" s="12">
        <v>0</v>
      </c>
      <c r="M951" s="12" t="s">
        <v>2237</v>
      </c>
      <c r="N951" s="8">
        <v>0</v>
      </c>
      <c r="O951" s="12" t="s">
        <v>2237</v>
      </c>
      <c r="P951" s="12" t="s">
        <v>2236</v>
      </c>
      <c r="Q951" s="10" t="s">
        <v>2236</v>
      </c>
      <c r="R951" s="10" t="s">
        <v>2236</v>
      </c>
      <c r="S951" s="10" t="s">
        <v>2236</v>
      </c>
      <c r="T951" s="10" t="s">
        <v>2236</v>
      </c>
      <c r="U9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2" spans="1:31" hidden="1" x14ac:dyDescent="0.3">
      <c r="A952" s="12" t="s">
        <v>2740</v>
      </c>
      <c r="B952" s="12" t="s">
        <v>2371</v>
      </c>
      <c r="C952" s="12" t="s">
        <v>3534</v>
      </c>
      <c r="D952" s="12" t="s">
        <v>3535</v>
      </c>
      <c r="E952" s="12" t="s">
        <v>2236</v>
      </c>
      <c r="F952" s="8">
        <v>0</v>
      </c>
      <c r="G952" s="12" t="s">
        <v>2237</v>
      </c>
      <c r="H952" s="12">
        <v>0</v>
      </c>
      <c r="I952" s="12" t="s">
        <v>2237</v>
      </c>
      <c r="J952" s="12">
        <v>0</v>
      </c>
      <c r="K952" s="12" t="s">
        <v>2237</v>
      </c>
      <c r="L952" s="12">
        <v>0</v>
      </c>
      <c r="M952" s="12" t="s">
        <v>2237</v>
      </c>
      <c r="N952" s="8">
        <v>0</v>
      </c>
      <c r="O952" s="12" t="s">
        <v>2237</v>
      </c>
      <c r="P952" s="12" t="s">
        <v>2236</v>
      </c>
      <c r="Q952" s="10" t="s">
        <v>2236</v>
      </c>
      <c r="R952" s="10" t="s">
        <v>2236</v>
      </c>
      <c r="S952" s="10" t="s">
        <v>2236</v>
      </c>
      <c r="T952" s="10" t="s">
        <v>2236</v>
      </c>
      <c r="U9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3" spans="1:31" hidden="1" x14ac:dyDescent="0.3">
      <c r="A953" s="12" t="s">
        <v>2741</v>
      </c>
      <c r="B953" s="12" t="s">
        <v>2371</v>
      </c>
      <c r="C953" s="12" t="s">
        <v>3536</v>
      </c>
      <c r="D953" s="12" t="s">
        <v>3537</v>
      </c>
      <c r="E953" s="12" t="s">
        <v>2236</v>
      </c>
      <c r="F953" s="8">
        <v>0</v>
      </c>
      <c r="G953" s="12" t="s">
        <v>2237</v>
      </c>
      <c r="H953" s="12">
        <v>0</v>
      </c>
      <c r="I953" s="12" t="s">
        <v>2237</v>
      </c>
      <c r="J953" s="12">
        <v>0</v>
      </c>
      <c r="K953" s="12" t="s">
        <v>2237</v>
      </c>
      <c r="L953" s="12">
        <v>0</v>
      </c>
      <c r="M953" s="12" t="s">
        <v>2237</v>
      </c>
      <c r="N953" s="8">
        <v>0</v>
      </c>
      <c r="O953" s="12" t="s">
        <v>2237</v>
      </c>
      <c r="P953" s="12" t="s">
        <v>2236</v>
      </c>
      <c r="Q953" s="10" t="s">
        <v>2236</v>
      </c>
      <c r="R953" s="10" t="s">
        <v>2236</v>
      </c>
      <c r="S953" s="10" t="s">
        <v>2236</v>
      </c>
      <c r="T953" s="10" t="s">
        <v>2236</v>
      </c>
      <c r="U9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4" spans="1:31" hidden="1" x14ac:dyDescent="0.3">
      <c r="A954" s="12" t="s">
        <v>2742</v>
      </c>
      <c r="B954" s="12" t="s">
        <v>2371</v>
      </c>
      <c r="C954" s="12" t="s">
        <v>3538</v>
      </c>
      <c r="D954" s="12" t="s">
        <v>3539</v>
      </c>
      <c r="E954" s="12" t="s">
        <v>2236</v>
      </c>
      <c r="F954" s="8">
        <v>0</v>
      </c>
      <c r="G954" s="12" t="s">
        <v>2237</v>
      </c>
      <c r="H954" s="12">
        <v>0</v>
      </c>
      <c r="I954" s="12" t="s">
        <v>2237</v>
      </c>
      <c r="J954" s="12">
        <v>0</v>
      </c>
      <c r="K954" s="12" t="s">
        <v>2237</v>
      </c>
      <c r="L954" s="12">
        <v>0</v>
      </c>
      <c r="M954" s="12" t="s">
        <v>2237</v>
      </c>
      <c r="N954" s="8">
        <v>0</v>
      </c>
      <c r="O954" s="12" t="s">
        <v>2237</v>
      </c>
      <c r="P954" s="12" t="s">
        <v>2236</v>
      </c>
      <c r="Q954" s="10" t="s">
        <v>2236</v>
      </c>
      <c r="R954" s="10" t="s">
        <v>2236</v>
      </c>
      <c r="S954" s="10" t="s">
        <v>2236</v>
      </c>
      <c r="T954" s="10" t="s">
        <v>2236</v>
      </c>
      <c r="U9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5" spans="1:31" hidden="1" x14ac:dyDescent="0.3">
      <c r="A955" s="12" t="s">
        <v>2743</v>
      </c>
      <c r="B955" s="12" t="s">
        <v>2371</v>
      </c>
      <c r="C955" s="12" t="s">
        <v>3540</v>
      </c>
      <c r="D955" s="12" t="s">
        <v>3541</v>
      </c>
      <c r="E955" s="12" t="s">
        <v>2236</v>
      </c>
      <c r="F955" s="8">
        <v>0</v>
      </c>
      <c r="G955" s="12" t="s">
        <v>2237</v>
      </c>
      <c r="H955" s="12">
        <v>0</v>
      </c>
      <c r="I955" s="12" t="s">
        <v>2237</v>
      </c>
      <c r="J955" s="12">
        <v>0</v>
      </c>
      <c r="K955" s="12" t="s">
        <v>2237</v>
      </c>
      <c r="L955" s="12">
        <v>0</v>
      </c>
      <c r="M955" s="12" t="s">
        <v>2237</v>
      </c>
      <c r="N955" s="8">
        <v>0</v>
      </c>
      <c r="O955" s="12" t="s">
        <v>2237</v>
      </c>
      <c r="P955" s="12" t="s">
        <v>2236</v>
      </c>
      <c r="Q955" s="10" t="s">
        <v>2236</v>
      </c>
      <c r="R955" s="10" t="s">
        <v>2236</v>
      </c>
      <c r="S955" s="10" t="s">
        <v>2236</v>
      </c>
      <c r="T955" s="10" t="s">
        <v>2236</v>
      </c>
      <c r="U9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6" spans="1:31" hidden="1" x14ac:dyDescent="0.3">
      <c r="A956" s="12" t="s">
        <v>2744</v>
      </c>
      <c r="B956" s="12" t="s">
        <v>2371</v>
      </c>
      <c r="C956" s="12" t="s">
        <v>3542</v>
      </c>
      <c r="D956" s="12" t="s">
        <v>3543</v>
      </c>
      <c r="E956" s="12" t="s">
        <v>2236</v>
      </c>
      <c r="F956" s="8">
        <v>0</v>
      </c>
      <c r="G956" s="12" t="s">
        <v>2237</v>
      </c>
      <c r="H956" s="12">
        <v>0</v>
      </c>
      <c r="I956" s="12" t="s">
        <v>2237</v>
      </c>
      <c r="J956" s="12">
        <v>0</v>
      </c>
      <c r="K956" s="12" t="s">
        <v>2237</v>
      </c>
      <c r="L956" s="12">
        <v>0</v>
      </c>
      <c r="M956" s="12" t="s">
        <v>2237</v>
      </c>
      <c r="N956" s="8">
        <v>0</v>
      </c>
      <c r="O956" s="12" t="s">
        <v>2237</v>
      </c>
      <c r="P956" s="12" t="s">
        <v>2236</v>
      </c>
      <c r="Q956" s="10" t="s">
        <v>2236</v>
      </c>
      <c r="R956" s="10" t="s">
        <v>2236</v>
      </c>
      <c r="S956" s="10" t="s">
        <v>2236</v>
      </c>
      <c r="T956" s="10" t="s">
        <v>2236</v>
      </c>
      <c r="U9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7" spans="1:31" hidden="1" x14ac:dyDescent="0.3">
      <c r="A957" s="12" t="s">
        <v>2745</v>
      </c>
      <c r="B957" s="12" t="s">
        <v>2371</v>
      </c>
      <c r="C957" s="12" t="s">
        <v>2902</v>
      </c>
      <c r="D957" s="12" t="s">
        <v>3544</v>
      </c>
      <c r="E957" s="12" t="s">
        <v>2236</v>
      </c>
      <c r="F957" s="8">
        <v>0</v>
      </c>
      <c r="G957" s="12" t="s">
        <v>2237</v>
      </c>
      <c r="H957" s="12">
        <v>0</v>
      </c>
      <c r="I957" s="12" t="s">
        <v>2237</v>
      </c>
      <c r="J957" s="12">
        <v>0</v>
      </c>
      <c r="K957" s="12" t="s">
        <v>2237</v>
      </c>
      <c r="L957" s="12">
        <v>0</v>
      </c>
      <c r="M957" s="12" t="s">
        <v>2237</v>
      </c>
      <c r="N957" s="8">
        <v>0</v>
      </c>
      <c r="O957" s="12" t="s">
        <v>2237</v>
      </c>
      <c r="P957" s="12" t="s">
        <v>2236</v>
      </c>
      <c r="Q957" s="10" t="s">
        <v>2236</v>
      </c>
      <c r="R957" s="10" t="s">
        <v>2236</v>
      </c>
      <c r="S957" s="10" t="s">
        <v>2236</v>
      </c>
      <c r="T957" s="10" t="s">
        <v>2236</v>
      </c>
      <c r="U9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8" spans="1:31" hidden="1" x14ac:dyDescent="0.3">
      <c r="A958" s="12" t="s">
        <v>2746</v>
      </c>
      <c r="B958" s="12" t="s">
        <v>2371</v>
      </c>
      <c r="C958" s="12" t="s">
        <v>3545</v>
      </c>
      <c r="D958" s="12" t="s">
        <v>3546</v>
      </c>
      <c r="E958" s="12" t="s">
        <v>2236</v>
      </c>
      <c r="F958" s="8">
        <v>0</v>
      </c>
      <c r="G958" s="12" t="s">
        <v>2237</v>
      </c>
      <c r="H958" s="12">
        <v>0</v>
      </c>
      <c r="I958" s="12" t="s">
        <v>2237</v>
      </c>
      <c r="J958" s="12">
        <v>0</v>
      </c>
      <c r="K958" s="12" t="s">
        <v>2237</v>
      </c>
      <c r="L958" s="12">
        <v>0</v>
      </c>
      <c r="M958" s="12" t="s">
        <v>2237</v>
      </c>
      <c r="N958" s="8">
        <v>0</v>
      </c>
      <c r="O958" s="12" t="s">
        <v>2237</v>
      </c>
      <c r="P958" s="12" t="s">
        <v>2236</v>
      </c>
      <c r="Q958" s="10" t="s">
        <v>2236</v>
      </c>
      <c r="R958" s="10" t="s">
        <v>2236</v>
      </c>
      <c r="S958" s="10" t="s">
        <v>2236</v>
      </c>
      <c r="T958" s="10" t="s">
        <v>2236</v>
      </c>
      <c r="U9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59" spans="1:31" hidden="1" x14ac:dyDescent="0.3">
      <c r="A959" s="12" t="s">
        <v>2747</v>
      </c>
      <c r="B959" s="12" t="s">
        <v>2371</v>
      </c>
      <c r="C959" s="12" t="s">
        <v>3547</v>
      </c>
      <c r="D959" s="12" t="s">
        <v>3548</v>
      </c>
      <c r="E959" s="12" t="s">
        <v>2236</v>
      </c>
      <c r="F959" s="8">
        <v>0</v>
      </c>
      <c r="G959" s="12" t="s">
        <v>2237</v>
      </c>
      <c r="H959" s="12">
        <v>0</v>
      </c>
      <c r="I959" s="12" t="s">
        <v>2237</v>
      </c>
      <c r="J959" s="12">
        <v>0</v>
      </c>
      <c r="K959" s="12" t="s">
        <v>2237</v>
      </c>
      <c r="L959" s="12">
        <v>0</v>
      </c>
      <c r="M959" s="12" t="s">
        <v>2237</v>
      </c>
      <c r="N959" s="8">
        <v>0</v>
      </c>
      <c r="O959" s="12" t="s">
        <v>2237</v>
      </c>
      <c r="P959" s="12" t="s">
        <v>2236</v>
      </c>
      <c r="Q959" s="10" t="s">
        <v>2236</v>
      </c>
      <c r="R959" s="10" t="s">
        <v>2236</v>
      </c>
      <c r="S959" s="10" t="s">
        <v>2236</v>
      </c>
      <c r="T959" s="10" t="s">
        <v>2236</v>
      </c>
      <c r="U9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0" spans="1:31" hidden="1" x14ac:dyDescent="0.3">
      <c r="A960" s="12" t="s">
        <v>2748</v>
      </c>
      <c r="B960" s="12" t="s">
        <v>2371</v>
      </c>
      <c r="C960" s="12" t="s">
        <v>3549</v>
      </c>
      <c r="D960" s="12" t="s">
        <v>3550</v>
      </c>
      <c r="E960" s="12" t="s">
        <v>2236</v>
      </c>
      <c r="F960" s="8">
        <v>0</v>
      </c>
      <c r="G960" s="12" t="s">
        <v>2237</v>
      </c>
      <c r="H960" s="12">
        <v>0</v>
      </c>
      <c r="I960" s="12" t="s">
        <v>2237</v>
      </c>
      <c r="J960" s="12">
        <v>0</v>
      </c>
      <c r="K960" s="12" t="s">
        <v>2237</v>
      </c>
      <c r="L960" s="12">
        <v>0</v>
      </c>
      <c r="M960" s="12" t="s">
        <v>2237</v>
      </c>
      <c r="N960" s="8">
        <v>0</v>
      </c>
      <c r="O960" s="12" t="s">
        <v>2237</v>
      </c>
      <c r="P960" s="12" t="s">
        <v>2236</v>
      </c>
      <c r="Q960" s="10" t="s">
        <v>2236</v>
      </c>
      <c r="R960" s="10" t="s">
        <v>2236</v>
      </c>
      <c r="S960" s="10" t="s">
        <v>2236</v>
      </c>
      <c r="T960" s="10" t="s">
        <v>2236</v>
      </c>
      <c r="U9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1" spans="1:31" hidden="1" x14ac:dyDescent="0.3">
      <c r="A961" s="12" t="s">
        <v>2749</v>
      </c>
      <c r="B961" s="12" t="s">
        <v>2371</v>
      </c>
      <c r="C961" s="12" t="s">
        <v>3551</v>
      </c>
      <c r="D961" s="12" t="s">
        <v>3552</v>
      </c>
      <c r="E961" s="12" t="s">
        <v>2236</v>
      </c>
      <c r="F961" s="8">
        <v>0</v>
      </c>
      <c r="G961" s="12" t="s">
        <v>2237</v>
      </c>
      <c r="H961" s="12">
        <v>0</v>
      </c>
      <c r="I961" s="12" t="s">
        <v>2237</v>
      </c>
      <c r="J961" s="12">
        <v>0</v>
      </c>
      <c r="K961" s="12" t="s">
        <v>2237</v>
      </c>
      <c r="L961" s="12">
        <v>0</v>
      </c>
      <c r="M961" s="12" t="s">
        <v>2237</v>
      </c>
      <c r="N961" s="8">
        <v>0</v>
      </c>
      <c r="O961" s="12" t="s">
        <v>2237</v>
      </c>
      <c r="P961" s="12" t="s">
        <v>2236</v>
      </c>
      <c r="Q961" s="10" t="s">
        <v>2236</v>
      </c>
      <c r="R961" s="10" t="s">
        <v>2236</v>
      </c>
      <c r="S961" s="10" t="s">
        <v>2236</v>
      </c>
      <c r="T961" s="10" t="s">
        <v>2236</v>
      </c>
      <c r="U9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2" spans="1:31" hidden="1" x14ac:dyDescent="0.3">
      <c r="A962" s="12" t="s">
        <v>2750</v>
      </c>
      <c r="B962" s="12" t="s">
        <v>2371</v>
      </c>
      <c r="C962" s="12" t="s">
        <v>3553</v>
      </c>
      <c r="D962" s="12" t="s">
        <v>3554</v>
      </c>
      <c r="E962" s="12" t="s">
        <v>2236</v>
      </c>
      <c r="F962" s="8">
        <v>0</v>
      </c>
      <c r="G962" s="12" t="s">
        <v>2237</v>
      </c>
      <c r="H962" s="12">
        <v>0</v>
      </c>
      <c r="I962" s="12" t="s">
        <v>2237</v>
      </c>
      <c r="J962" s="12">
        <v>0</v>
      </c>
      <c r="K962" s="12" t="s">
        <v>2237</v>
      </c>
      <c r="L962" s="12">
        <v>0</v>
      </c>
      <c r="M962" s="12" t="s">
        <v>2237</v>
      </c>
      <c r="N962" s="8">
        <v>0</v>
      </c>
      <c r="O962" s="12" t="s">
        <v>2237</v>
      </c>
      <c r="P962" s="12" t="s">
        <v>2236</v>
      </c>
      <c r="Q962" s="10" t="s">
        <v>2236</v>
      </c>
      <c r="R962" s="10" t="s">
        <v>2236</v>
      </c>
      <c r="S962" s="10" t="s">
        <v>2236</v>
      </c>
      <c r="T962" s="10" t="s">
        <v>2236</v>
      </c>
      <c r="U9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3" spans="1:31" hidden="1" x14ac:dyDescent="0.3">
      <c r="A963" s="12" t="s">
        <v>2751</v>
      </c>
      <c r="B963" s="12" t="s">
        <v>2371</v>
      </c>
      <c r="C963" s="12" t="s">
        <v>3555</v>
      </c>
      <c r="D963" s="12" t="s">
        <v>3556</v>
      </c>
      <c r="E963" s="12" t="s">
        <v>2236</v>
      </c>
      <c r="F963" s="8">
        <v>0</v>
      </c>
      <c r="G963" s="12" t="s">
        <v>2237</v>
      </c>
      <c r="H963" s="12">
        <v>0</v>
      </c>
      <c r="I963" s="12" t="s">
        <v>2237</v>
      </c>
      <c r="J963" s="12">
        <v>0</v>
      </c>
      <c r="K963" s="12" t="s">
        <v>2237</v>
      </c>
      <c r="L963" s="12">
        <v>0</v>
      </c>
      <c r="M963" s="12" t="s">
        <v>2237</v>
      </c>
      <c r="N963" s="8">
        <v>0</v>
      </c>
      <c r="O963" s="12" t="s">
        <v>2237</v>
      </c>
      <c r="P963" s="12" t="s">
        <v>2236</v>
      </c>
      <c r="Q963" s="10" t="s">
        <v>2236</v>
      </c>
      <c r="R963" s="10" t="s">
        <v>2236</v>
      </c>
      <c r="S963" s="10" t="s">
        <v>2236</v>
      </c>
      <c r="T963" s="10" t="s">
        <v>2236</v>
      </c>
      <c r="U9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4" spans="1:31" hidden="1" x14ac:dyDescent="0.3">
      <c r="A964" s="12" t="s">
        <v>2752</v>
      </c>
      <c r="B964" s="12" t="s">
        <v>2371</v>
      </c>
      <c r="C964" s="12" t="s">
        <v>3557</v>
      </c>
      <c r="D964" s="12" t="s">
        <v>3558</v>
      </c>
      <c r="E964" s="12" t="s">
        <v>2236</v>
      </c>
      <c r="F964" s="8">
        <v>0</v>
      </c>
      <c r="G964" s="12" t="s">
        <v>2237</v>
      </c>
      <c r="H964" s="12">
        <v>0</v>
      </c>
      <c r="I964" s="12" t="s">
        <v>2237</v>
      </c>
      <c r="J964" s="12">
        <v>0</v>
      </c>
      <c r="K964" s="12" t="s">
        <v>2237</v>
      </c>
      <c r="L964" s="12">
        <v>0</v>
      </c>
      <c r="M964" s="12" t="s">
        <v>2237</v>
      </c>
      <c r="N964" s="8">
        <v>0</v>
      </c>
      <c r="O964" s="12" t="s">
        <v>2237</v>
      </c>
      <c r="P964" s="12" t="s">
        <v>2236</v>
      </c>
      <c r="Q964" s="10" t="s">
        <v>2236</v>
      </c>
      <c r="R964" s="10" t="s">
        <v>2236</v>
      </c>
      <c r="S964" s="10" t="s">
        <v>2236</v>
      </c>
      <c r="T964" s="10" t="s">
        <v>2236</v>
      </c>
      <c r="U9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5" spans="1:31" hidden="1" x14ac:dyDescent="0.3">
      <c r="A965" s="12" t="s">
        <v>2753</v>
      </c>
      <c r="B965" s="12" t="s">
        <v>2371</v>
      </c>
      <c r="C965" s="12" t="s">
        <v>3559</v>
      </c>
      <c r="D965" s="12" t="s">
        <v>3560</v>
      </c>
      <c r="E965" s="12" t="s">
        <v>2236</v>
      </c>
      <c r="F965" s="8">
        <v>0</v>
      </c>
      <c r="G965" s="12" t="s">
        <v>2237</v>
      </c>
      <c r="H965" s="12">
        <v>0</v>
      </c>
      <c r="I965" s="12" t="s">
        <v>2237</v>
      </c>
      <c r="J965" s="12">
        <v>0</v>
      </c>
      <c r="K965" s="12" t="s">
        <v>2237</v>
      </c>
      <c r="L965" s="12">
        <v>0</v>
      </c>
      <c r="M965" s="12" t="s">
        <v>2237</v>
      </c>
      <c r="N965" s="8">
        <v>0</v>
      </c>
      <c r="O965" s="12" t="s">
        <v>2237</v>
      </c>
      <c r="P965" s="12" t="s">
        <v>2236</v>
      </c>
      <c r="Q965" s="10" t="s">
        <v>2236</v>
      </c>
      <c r="R965" s="10" t="s">
        <v>2236</v>
      </c>
      <c r="S965" s="10" t="s">
        <v>2236</v>
      </c>
      <c r="T965" s="10" t="s">
        <v>2236</v>
      </c>
      <c r="U9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6" spans="1:31" hidden="1" x14ac:dyDescent="0.3">
      <c r="A966" s="12" t="s">
        <v>2754</v>
      </c>
      <c r="B966" s="12" t="s">
        <v>2371</v>
      </c>
      <c r="C966" s="12" t="s">
        <v>3561</v>
      </c>
      <c r="D966" s="12" t="s">
        <v>3562</v>
      </c>
      <c r="E966" s="12" t="s">
        <v>2236</v>
      </c>
      <c r="F966" s="8">
        <v>0</v>
      </c>
      <c r="G966" s="12" t="s">
        <v>2237</v>
      </c>
      <c r="H966" s="12">
        <v>0</v>
      </c>
      <c r="I966" s="12" t="s">
        <v>2237</v>
      </c>
      <c r="J966" s="12">
        <v>0</v>
      </c>
      <c r="K966" s="12" t="s">
        <v>2237</v>
      </c>
      <c r="L966" s="12">
        <v>0</v>
      </c>
      <c r="M966" s="12" t="s">
        <v>2237</v>
      </c>
      <c r="N966" s="8">
        <v>0</v>
      </c>
      <c r="O966" s="12" t="s">
        <v>2237</v>
      </c>
      <c r="P966" s="12" t="s">
        <v>2236</v>
      </c>
      <c r="Q966" s="10" t="s">
        <v>2236</v>
      </c>
      <c r="R966" s="10" t="s">
        <v>2236</v>
      </c>
      <c r="S966" s="10" t="s">
        <v>2236</v>
      </c>
      <c r="T966" s="10" t="s">
        <v>2236</v>
      </c>
      <c r="U9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7" spans="1:31" hidden="1" x14ac:dyDescent="0.3">
      <c r="A967" s="12" t="s">
        <v>2755</v>
      </c>
      <c r="B967" s="12" t="s">
        <v>2371</v>
      </c>
      <c r="C967" s="12" t="s">
        <v>3563</v>
      </c>
      <c r="D967" s="12" t="s">
        <v>3564</v>
      </c>
      <c r="E967" s="12" t="s">
        <v>2236</v>
      </c>
      <c r="F967" s="8">
        <v>0</v>
      </c>
      <c r="G967" s="12" t="s">
        <v>2237</v>
      </c>
      <c r="H967" s="12">
        <v>0</v>
      </c>
      <c r="I967" s="12" t="s">
        <v>2237</v>
      </c>
      <c r="J967" s="12">
        <v>0</v>
      </c>
      <c r="K967" s="12" t="s">
        <v>2237</v>
      </c>
      <c r="L967" s="12">
        <v>0</v>
      </c>
      <c r="M967" s="12" t="s">
        <v>2237</v>
      </c>
      <c r="N967" s="8">
        <v>0</v>
      </c>
      <c r="O967" s="12" t="s">
        <v>2237</v>
      </c>
      <c r="P967" s="12" t="s">
        <v>2236</v>
      </c>
      <c r="Q967" s="10" t="s">
        <v>2236</v>
      </c>
      <c r="R967" s="10" t="s">
        <v>2236</v>
      </c>
      <c r="S967" s="10" t="s">
        <v>2236</v>
      </c>
      <c r="T967" s="10" t="s">
        <v>2236</v>
      </c>
      <c r="U9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8" spans="1:31" hidden="1" x14ac:dyDescent="0.3">
      <c r="A968" s="12" t="s">
        <v>2756</v>
      </c>
      <c r="B968" s="12" t="s">
        <v>2371</v>
      </c>
      <c r="C968" s="12" t="s">
        <v>3565</v>
      </c>
      <c r="D968" s="12" t="s">
        <v>3566</v>
      </c>
      <c r="E968" s="12" t="s">
        <v>2236</v>
      </c>
      <c r="F968" s="8">
        <v>0</v>
      </c>
      <c r="G968" s="12" t="s">
        <v>2237</v>
      </c>
      <c r="H968" s="12">
        <v>0</v>
      </c>
      <c r="I968" s="12" t="s">
        <v>2237</v>
      </c>
      <c r="J968" s="12">
        <v>0</v>
      </c>
      <c r="K968" s="12" t="s">
        <v>2237</v>
      </c>
      <c r="L968" s="12">
        <v>0</v>
      </c>
      <c r="M968" s="12" t="s">
        <v>2237</v>
      </c>
      <c r="N968" s="8">
        <v>0</v>
      </c>
      <c r="O968" s="12" t="s">
        <v>2237</v>
      </c>
      <c r="P968" s="12" t="s">
        <v>2236</v>
      </c>
      <c r="Q968" s="10" t="s">
        <v>2236</v>
      </c>
      <c r="R968" s="10" t="s">
        <v>2236</v>
      </c>
      <c r="S968" s="10" t="s">
        <v>2236</v>
      </c>
      <c r="T968" s="10" t="s">
        <v>2236</v>
      </c>
      <c r="U9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69" spans="1:31" hidden="1" x14ac:dyDescent="0.3">
      <c r="A969" s="12" t="s">
        <v>2757</v>
      </c>
      <c r="B969" s="12" t="s">
        <v>2371</v>
      </c>
      <c r="C969" s="12" t="s">
        <v>3567</v>
      </c>
      <c r="D969" s="12" t="s">
        <v>3568</v>
      </c>
      <c r="E969" s="12" t="s">
        <v>2236</v>
      </c>
      <c r="F969" s="8">
        <v>0</v>
      </c>
      <c r="G969" s="12" t="s">
        <v>2237</v>
      </c>
      <c r="H969" s="12">
        <v>0</v>
      </c>
      <c r="I969" s="12" t="s">
        <v>2237</v>
      </c>
      <c r="J969" s="12">
        <v>0</v>
      </c>
      <c r="K969" s="12" t="s">
        <v>2237</v>
      </c>
      <c r="L969" s="12">
        <v>0</v>
      </c>
      <c r="M969" s="12" t="s">
        <v>2237</v>
      </c>
      <c r="N969" s="8">
        <v>0</v>
      </c>
      <c r="O969" s="12" t="s">
        <v>2237</v>
      </c>
      <c r="P969" s="12" t="s">
        <v>2236</v>
      </c>
      <c r="Q969" s="10" t="s">
        <v>2236</v>
      </c>
      <c r="R969" s="10" t="s">
        <v>2236</v>
      </c>
      <c r="S969" s="10" t="s">
        <v>2236</v>
      </c>
      <c r="T969" s="10" t="s">
        <v>2236</v>
      </c>
      <c r="U9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0" spans="1:31" hidden="1" x14ac:dyDescent="0.3">
      <c r="A970" s="12" t="s">
        <v>2758</v>
      </c>
      <c r="B970" s="12" t="s">
        <v>2371</v>
      </c>
      <c r="C970" s="12" t="s">
        <v>3569</v>
      </c>
      <c r="D970" s="12" t="s">
        <v>3570</v>
      </c>
      <c r="E970" s="12" t="s">
        <v>2236</v>
      </c>
      <c r="F970" s="8">
        <v>0</v>
      </c>
      <c r="G970" s="12" t="s">
        <v>2237</v>
      </c>
      <c r="H970" s="12">
        <v>0</v>
      </c>
      <c r="I970" s="12" t="s">
        <v>2237</v>
      </c>
      <c r="J970" s="12">
        <v>0</v>
      </c>
      <c r="K970" s="12" t="s">
        <v>2237</v>
      </c>
      <c r="L970" s="12">
        <v>0</v>
      </c>
      <c r="M970" s="12" t="s">
        <v>2237</v>
      </c>
      <c r="N970" s="8">
        <v>0</v>
      </c>
      <c r="O970" s="12" t="s">
        <v>2237</v>
      </c>
      <c r="P970" s="12" t="s">
        <v>2236</v>
      </c>
      <c r="Q970" s="10" t="s">
        <v>2236</v>
      </c>
      <c r="R970" s="10" t="s">
        <v>2236</v>
      </c>
      <c r="S970" s="10" t="s">
        <v>2236</v>
      </c>
      <c r="T970" s="10" t="s">
        <v>2236</v>
      </c>
      <c r="U9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1" spans="1:31" hidden="1" x14ac:dyDescent="0.3">
      <c r="A971" s="12" t="s">
        <v>2759</v>
      </c>
      <c r="B971" s="12" t="s">
        <v>2371</v>
      </c>
      <c r="C971" s="12" t="s">
        <v>3571</v>
      </c>
      <c r="D971" s="12" t="s">
        <v>3572</v>
      </c>
      <c r="E971" s="12" t="s">
        <v>2236</v>
      </c>
      <c r="F971" s="8">
        <v>0</v>
      </c>
      <c r="G971" s="12" t="s">
        <v>2237</v>
      </c>
      <c r="H971" s="12">
        <v>0</v>
      </c>
      <c r="I971" s="12" t="s">
        <v>2237</v>
      </c>
      <c r="J971" s="12">
        <v>0</v>
      </c>
      <c r="K971" s="12" t="s">
        <v>2237</v>
      </c>
      <c r="L971" s="12">
        <v>0</v>
      </c>
      <c r="M971" s="12" t="s">
        <v>2237</v>
      </c>
      <c r="N971" s="8">
        <v>0</v>
      </c>
      <c r="O971" s="12" t="s">
        <v>2237</v>
      </c>
      <c r="P971" s="12" t="s">
        <v>2236</v>
      </c>
      <c r="Q971" s="10" t="s">
        <v>2236</v>
      </c>
      <c r="R971" s="10" t="s">
        <v>2236</v>
      </c>
      <c r="S971" s="10" t="s">
        <v>2236</v>
      </c>
      <c r="T971" s="10" t="s">
        <v>2236</v>
      </c>
      <c r="U9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2" spans="1:31" hidden="1" x14ac:dyDescent="0.3">
      <c r="A972" s="12" t="s">
        <v>2760</v>
      </c>
      <c r="B972" s="12" t="s">
        <v>2371</v>
      </c>
      <c r="C972" s="12" t="s">
        <v>3573</v>
      </c>
      <c r="D972" s="12" t="s">
        <v>3574</v>
      </c>
      <c r="E972" s="12" t="s">
        <v>2236</v>
      </c>
      <c r="F972" s="8">
        <v>0</v>
      </c>
      <c r="G972" s="12" t="s">
        <v>2237</v>
      </c>
      <c r="H972" s="12">
        <v>0</v>
      </c>
      <c r="I972" s="12" t="s">
        <v>2237</v>
      </c>
      <c r="J972" s="12">
        <v>0</v>
      </c>
      <c r="K972" s="12" t="s">
        <v>2237</v>
      </c>
      <c r="L972" s="12">
        <v>0</v>
      </c>
      <c r="M972" s="12" t="s">
        <v>2237</v>
      </c>
      <c r="N972" s="8">
        <v>0</v>
      </c>
      <c r="O972" s="12" t="s">
        <v>2237</v>
      </c>
      <c r="P972" s="12" t="s">
        <v>2236</v>
      </c>
      <c r="Q972" s="10" t="s">
        <v>2236</v>
      </c>
      <c r="R972" s="10" t="s">
        <v>2236</v>
      </c>
      <c r="S972" s="10" t="s">
        <v>2236</v>
      </c>
      <c r="T972" s="10" t="s">
        <v>2236</v>
      </c>
      <c r="U9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3" spans="1:31" hidden="1" x14ac:dyDescent="0.3">
      <c r="A973" s="12" t="s">
        <v>2761</v>
      </c>
      <c r="B973" s="12" t="s">
        <v>2366</v>
      </c>
      <c r="C973" s="12" t="s">
        <v>3575</v>
      </c>
      <c r="D973" s="12" t="s">
        <v>3576</v>
      </c>
      <c r="E973" s="12" t="s">
        <v>2236</v>
      </c>
      <c r="F973" s="8">
        <v>0</v>
      </c>
      <c r="G973" s="12" t="s">
        <v>2237</v>
      </c>
      <c r="H973" s="12">
        <v>0</v>
      </c>
      <c r="I973" s="12" t="s">
        <v>2237</v>
      </c>
      <c r="J973" s="12">
        <v>0</v>
      </c>
      <c r="K973" s="12" t="s">
        <v>2237</v>
      </c>
      <c r="L973" s="12">
        <v>0</v>
      </c>
      <c r="M973" s="12" t="s">
        <v>2237</v>
      </c>
      <c r="N973" s="8">
        <v>1.05</v>
      </c>
      <c r="O973" s="12" t="s">
        <v>2237</v>
      </c>
      <c r="P973" s="12" t="s">
        <v>2236</v>
      </c>
      <c r="Q973" s="10" t="s">
        <v>2236</v>
      </c>
      <c r="R973" s="10" t="s">
        <v>2236</v>
      </c>
      <c r="S973" s="10" t="s">
        <v>2236</v>
      </c>
      <c r="T973" s="10" t="s">
        <v>2929</v>
      </c>
      <c r="U9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4" spans="1:31" hidden="1" x14ac:dyDescent="0.3">
      <c r="A974" s="12" t="s">
        <v>2762</v>
      </c>
      <c r="B974" s="12" t="s">
        <v>2371</v>
      </c>
      <c r="C974" s="12" t="s">
        <v>3575</v>
      </c>
      <c r="D974" s="12" t="s">
        <v>3577</v>
      </c>
      <c r="E974" s="12" t="s">
        <v>2236</v>
      </c>
      <c r="F974" s="8">
        <v>0</v>
      </c>
      <c r="G974" s="12" t="s">
        <v>2237</v>
      </c>
      <c r="H974" s="12">
        <v>0</v>
      </c>
      <c r="I974" s="12" t="s">
        <v>2237</v>
      </c>
      <c r="J974" s="12">
        <v>0</v>
      </c>
      <c r="K974" s="12" t="s">
        <v>2237</v>
      </c>
      <c r="L974" s="12">
        <v>0</v>
      </c>
      <c r="M974" s="12" t="s">
        <v>2237</v>
      </c>
      <c r="N974" s="8">
        <v>0</v>
      </c>
      <c r="O974" s="12" t="s">
        <v>2237</v>
      </c>
      <c r="P974" s="12" t="s">
        <v>2236</v>
      </c>
      <c r="Q974" s="10" t="s">
        <v>2236</v>
      </c>
      <c r="R974" s="10" t="s">
        <v>2236</v>
      </c>
      <c r="S974" s="10" t="s">
        <v>2236</v>
      </c>
      <c r="T974" s="10" t="s">
        <v>2236</v>
      </c>
      <c r="U9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5" spans="1:31" hidden="1" x14ac:dyDescent="0.3">
      <c r="A975" s="12" t="s">
        <v>2763</v>
      </c>
      <c r="B975" s="12" t="s">
        <v>2371</v>
      </c>
      <c r="C975" s="12" t="s">
        <v>3578</v>
      </c>
      <c r="D975" s="12" t="s">
        <v>3579</v>
      </c>
      <c r="E975" s="12" t="s">
        <v>2236</v>
      </c>
      <c r="F975" s="8">
        <v>0</v>
      </c>
      <c r="G975" s="12" t="s">
        <v>2237</v>
      </c>
      <c r="H975" s="12">
        <v>0</v>
      </c>
      <c r="I975" s="12" t="s">
        <v>2237</v>
      </c>
      <c r="J975" s="12">
        <v>0</v>
      </c>
      <c r="K975" s="12" t="s">
        <v>2237</v>
      </c>
      <c r="L975" s="12">
        <v>0</v>
      </c>
      <c r="M975" s="12" t="s">
        <v>2237</v>
      </c>
      <c r="N975" s="8">
        <v>0</v>
      </c>
      <c r="O975" s="12" t="s">
        <v>2237</v>
      </c>
      <c r="P975" s="12" t="s">
        <v>2236</v>
      </c>
      <c r="Q975" s="10" t="s">
        <v>2236</v>
      </c>
      <c r="R975" s="10" t="s">
        <v>2236</v>
      </c>
      <c r="S975" s="10" t="s">
        <v>2236</v>
      </c>
      <c r="T975" s="10" t="s">
        <v>2236</v>
      </c>
      <c r="U9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6" spans="1:31" hidden="1" x14ac:dyDescent="0.3">
      <c r="A976" s="12" t="s">
        <v>2764</v>
      </c>
      <c r="B976" s="12" t="s">
        <v>2371</v>
      </c>
      <c r="C976" s="12" t="s">
        <v>2902</v>
      </c>
      <c r="D976" s="12" t="s">
        <v>3580</v>
      </c>
      <c r="E976" s="12" t="s">
        <v>2236</v>
      </c>
      <c r="F976" s="8">
        <v>0</v>
      </c>
      <c r="G976" s="12" t="s">
        <v>2237</v>
      </c>
      <c r="H976" s="12">
        <v>0</v>
      </c>
      <c r="I976" s="12" t="s">
        <v>2237</v>
      </c>
      <c r="J976" s="12">
        <v>0</v>
      </c>
      <c r="K976" s="12" t="s">
        <v>2237</v>
      </c>
      <c r="L976" s="12">
        <v>0</v>
      </c>
      <c r="M976" s="12" t="s">
        <v>2237</v>
      </c>
      <c r="N976" s="8">
        <v>0</v>
      </c>
      <c r="O976" s="12" t="s">
        <v>2237</v>
      </c>
      <c r="P976" s="12" t="s">
        <v>2236</v>
      </c>
      <c r="Q976" s="10" t="s">
        <v>2236</v>
      </c>
      <c r="R976" s="10" t="s">
        <v>2236</v>
      </c>
      <c r="S976" s="10" t="s">
        <v>2236</v>
      </c>
      <c r="T976" s="10" t="s">
        <v>2236</v>
      </c>
      <c r="U9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7" spans="1:31" hidden="1" x14ac:dyDescent="0.3">
      <c r="A977" s="12" t="s">
        <v>2765</v>
      </c>
      <c r="B977" s="12" t="s">
        <v>2371</v>
      </c>
      <c r="C977" s="12" t="s">
        <v>3581</v>
      </c>
      <c r="D977" s="12" t="s">
        <v>3582</v>
      </c>
      <c r="E977" s="12" t="s">
        <v>2236</v>
      </c>
      <c r="F977" s="8">
        <v>0</v>
      </c>
      <c r="G977" s="12" t="s">
        <v>2237</v>
      </c>
      <c r="H977" s="12">
        <v>0</v>
      </c>
      <c r="I977" s="12" t="s">
        <v>2237</v>
      </c>
      <c r="J977" s="12">
        <v>0</v>
      </c>
      <c r="K977" s="12" t="s">
        <v>2237</v>
      </c>
      <c r="L977" s="12">
        <v>0</v>
      </c>
      <c r="M977" s="12" t="s">
        <v>2237</v>
      </c>
      <c r="N977" s="8">
        <v>0</v>
      </c>
      <c r="O977" s="12" t="s">
        <v>2237</v>
      </c>
      <c r="P977" s="12" t="s">
        <v>2236</v>
      </c>
      <c r="Q977" s="10" t="s">
        <v>2236</v>
      </c>
      <c r="R977" s="10" t="s">
        <v>2236</v>
      </c>
      <c r="S977" s="10" t="s">
        <v>2236</v>
      </c>
      <c r="T977" s="10" t="s">
        <v>2236</v>
      </c>
      <c r="U9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8" spans="1:31" hidden="1" x14ac:dyDescent="0.3">
      <c r="A978" s="12" t="s">
        <v>2766</v>
      </c>
      <c r="B978" s="12" t="s">
        <v>2366</v>
      </c>
      <c r="C978" s="12" t="s">
        <v>3583</v>
      </c>
      <c r="D978" s="12" t="s">
        <v>3584</v>
      </c>
      <c r="E978" s="12" t="s">
        <v>2236</v>
      </c>
      <c r="F978" s="8">
        <v>0</v>
      </c>
      <c r="G978" s="12" t="s">
        <v>2237</v>
      </c>
      <c r="H978" s="12">
        <v>0</v>
      </c>
      <c r="I978" s="12" t="s">
        <v>2237</v>
      </c>
      <c r="J978" s="12">
        <v>0</v>
      </c>
      <c r="K978" s="12" t="s">
        <v>2237</v>
      </c>
      <c r="L978" s="12">
        <v>0</v>
      </c>
      <c r="M978" s="12" t="s">
        <v>2237</v>
      </c>
      <c r="N978" s="8">
        <v>0</v>
      </c>
      <c r="O978" s="12" t="s">
        <v>2237</v>
      </c>
      <c r="P978" s="12" t="s">
        <v>2236</v>
      </c>
      <c r="Q978" s="10" t="s">
        <v>2236</v>
      </c>
      <c r="R978" s="10" t="s">
        <v>2236</v>
      </c>
      <c r="S978" s="10" t="s">
        <v>2236</v>
      </c>
      <c r="T978" s="10" t="s">
        <v>3585</v>
      </c>
      <c r="U9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79" spans="1:31" hidden="1" x14ac:dyDescent="0.3">
      <c r="A979" s="12" t="s">
        <v>2767</v>
      </c>
      <c r="B979" s="12" t="s">
        <v>2371</v>
      </c>
      <c r="C979" s="12" t="s">
        <v>3586</v>
      </c>
      <c r="D979" s="12" t="s">
        <v>3587</v>
      </c>
      <c r="E979" s="12" t="s">
        <v>2236</v>
      </c>
      <c r="F979" s="8">
        <v>0</v>
      </c>
      <c r="G979" s="12" t="s">
        <v>2237</v>
      </c>
      <c r="H979" s="12">
        <v>0</v>
      </c>
      <c r="I979" s="12" t="s">
        <v>2237</v>
      </c>
      <c r="J979" s="12">
        <v>0</v>
      </c>
      <c r="K979" s="12" t="s">
        <v>2237</v>
      </c>
      <c r="L979" s="12">
        <v>0</v>
      </c>
      <c r="M979" s="12" t="s">
        <v>2237</v>
      </c>
      <c r="N979" s="8">
        <v>0</v>
      </c>
      <c r="O979" s="12" t="s">
        <v>2237</v>
      </c>
      <c r="P979" s="12" t="s">
        <v>2236</v>
      </c>
      <c r="Q979" s="10" t="s">
        <v>2236</v>
      </c>
      <c r="R979" s="10" t="s">
        <v>2236</v>
      </c>
      <c r="S979" s="10" t="s">
        <v>2236</v>
      </c>
      <c r="T979" s="10" t="s">
        <v>2236</v>
      </c>
      <c r="U9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0" spans="1:31" hidden="1" x14ac:dyDescent="0.3">
      <c r="A980" s="12" t="s">
        <v>2768</v>
      </c>
      <c r="B980" s="12" t="s">
        <v>2371</v>
      </c>
      <c r="C980" s="12" t="s">
        <v>3588</v>
      </c>
      <c r="D980" s="12" t="s">
        <v>3589</v>
      </c>
      <c r="E980" s="12" t="s">
        <v>2236</v>
      </c>
      <c r="F980" s="8">
        <v>0</v>
      </c>
      <c r="G980" s="12" t="s">
        <v>2237</v>
      </c>
      <c r="H980" s="12">
        <v>0</v>
      </c>
      <c r="I980" s="12" t="s">
        <v>2237</v>
      </c>
      <c r="J980" s="12">
        <v>0</v>
      </c>
      <c r="K980" s="12" t="s">
        <v>2237</v>
      </c>
      <c r="L980" s="12">
        <v>0</v>
      </c>
      <c r="M980" s="12" t="s">
        <v>2237</v>
      </c>
      <c r="N980" s="8">
        <v>0</v>
      </c>
      <c r="O980" s="12" t="s">
        <v>2237</v>
      </c>
      <c r="P980" s="12" t="s">
        <v>2236</v>
      </c>
      <c r="Q980" s="10" t="s">
        <v>2236</v>
      </c>
      <c r="R980" s="10" t="s">
        <v>2236</v>
      </c>
      <c r="S980" s="10" t="s">
        <v>2236</v>
      </c>
      <c r="T980" s="10" t="s">
        <v>2236</v>
      </c>
      <c r="U9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1" spans="1:31" hidden="1" x14ac:dyDescent="0.3">
      <c r="A981" s="12" t="s">
        <v>2769</v>
      </c>
      <c r="B981" s="12" t="s">
        <v>2371</v>
      </c>
      <c r="C981" s="12" t="s">
        <v>3123</v>
      </c>
      <c r="D981" s="12" t="s">
        <v>3590</v>
      </c>
      <c r="E981" s="12" t="s">
        <v>2236</v>
      </c>
      <c r="F981" s="8">
        <v>0</v>
      </c>
      <c r="G981" s="12" t="s">
        <v>2237</v>
      </c>
      <c r="H981" s="12">
        <v>0</v>
      </c>
      <c r="I981" s="12" t="s">
        <v>2237</v>
      </c>
      <c r="J981" s="12">
        <v>0</v>
      </c>
      <c r="K981" s="12" t="s">
        <v>2237</v>
      </c>
      <c r="L981" s="12">
        <v>0</v>
      </c>
      <c r="M981" s="12" t="s">
        <v>2237</v>
      </c>
      <c r="N981" s="8">
        <v>0</v>
      </c>
      <c r="O981" s="12" t="s">
        <v>2237</v>
      </c>
      <c r="P981" s="12" t="s">
        <v>2236</v>
      </c>
      <c r="Q981" s="10" t="s">
        <v>2236</v>
      </c>
      <c r="R981" s="10" t="s">
        <v>2236</v>
      </c>
      <c r="S981" s="10" t="s">
        <v>2236</v>
      </c>
      <c r="T981" s="10" t="s">
        <v>2236</v>
      </c>
      <c r="U9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2" spans="1:31" hidden="1" x14ac:dyDescent="0.3">
      <c r="A982" s="12" t="s">
        <v>2770</v>
      </c>
      <c r="B982" s="12" t="s">
        <v>2371</v>
      </c>
      <c r="C982" s="12" t="s">
        <v>3591</v>
      </c>
      <c r="D982" s="12" t="s">
        <v>3592</v>
      </c>
      <c r="E982" s="12" t="s">
        <v>2236</v>
      </c>
      <c r="F982" s="8">
        <v>0</v>
      </c>
      <c r="G982" s="12" t="s">
        <v>2237</v>
      </c>
      <c r="H982" s="12">
        <v>0</v>
      </c>
      <c r="I982" s="12" t="s">
        <v>2237</v>
      </c>
      <c r="J982" s="12">
        <v>0</v>
      </c>
      <c r="K982" s="12" t="s">
        <v>2237</v>
      </c>
      <c r="L982" s="12">
        <v>0</v>
      </c>
      <c r="M982" s="12" t="s">
        <v>2237</v>
      </c>
      <c r="N982" s="8">
        <v>0</v>
      </c>
      <c r="O982" s="12" t="s">
        <v>2237</v>
      </c>
      <c r="P982" s="12" t="s">
        <v>2236</v>
      </c>
      <c r="Q982" s="10" t="s">
        <v>2236</v>
      </c>
      <c r="R982" s="10" t="s">
        <v>2236</v>
      </c>
      <c r="S982" s="10" t="s">
        <v>2236</v>
      </c>
      <c r="T982" s="10" t="s">
        <v>2236</v>
      </c>
      <c r="U9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3" spans="1:31" x14ac:dyDescent="0.3">
      <c r="A983" s="12" t="s">
        <v>2771</v>
      </c>
      <c r="B983" s="12" t="s">
        <v>26</v>
      </c>
      <c r="C983" s="12" t="s">
        <v>1850</v>
      </c>
      <c r="D983" s="12" t="s">
        <v>1851</v>
      </c>
      <c r="E983" s="12" t="s">
        <v>2842</v>
      </c>
      <c r="F983" s="8">
        <v>79868.5</v>
      </c>
      <c r="G983" s="12" t="s">
        <v>2237</v>
      </c>
      <c r="H983" s="12">
        <v>79868.5</v>
      </c>
      <c r="I983" s="12" t="s">
        <v>2237</v>
      </c>
      <c r="J983" s="12">
        <v>0</v>
      </c>
      <c r="K983" s="12" t="s">
        <v>2237</v>
      </c>
      <c r="L983" s="12">
        <v>0</v>
      </c>
      <c r="M983" s="12" t="s">
        <v>2237</v>
      </c>
      <c r="N983" s="8">
        <v>81477.19</v>
      </c>
      <c r="O983" s="12" t="s">
        <v>2237</v>
      </c>
      <c r="P983" s="12" t="s">
        <v>2236</v>
      </c>
      <c r="Q983" s="10" t="s">
        <v>2242</v>
      </c>
      <c r="R983" s="10" t="s">
        <v>2238</v>
      </c>
      <c r="S983" s="10" t="s">
        <v>2243</v>
      </c>
      <c r="T983" s="10" t="s">
        <v>3351</v>
      </c>
      <c r="U9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98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98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98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E530-301297504-D225301</v>
      </c>
      <c r="Y9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983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983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9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3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9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984" spans="1:31" x14ac:dyDescent="0.3">
      <c r="A984" s="12" t="s">
        <v>2772</v>
      </c>
      <c r="B984" s="12" t="s">
        <v>30</v>
      </c>
      <c r="C984" s="12" t="s">
        <v>1850</v>
      </c>
      <c r="D984" s="12" t="s">
        <v>1852</v>
      </c>
      <c r="E984" s="12" t="s">
        <v>2842</v>
      </c>
      <c r="F984" s="8">
        <v>0</v>
      </c>
      <c r="G984" s="12" t="s">
        <v>2237</v>
      </c>
      <c r="H984" s="12">
        <v>0</v>
      </c>
      <c r="I984" s="12" t="s">
        <v>2237</v>
      </c>
      <c r="J984" s="12">
        <v>0</v>
      </c>
      <c r="K984" s="12" t="s">
        <v>2237</v>
      </c>
      <c r="L984" s="12">
        <v>0</v>
      </c>
      <c r="M984" s="12" t="s">
        <v>2237</v>
      </c>
      <c r="N984" s="8">
        <v>81477.19</v>
      </c>
      <c r="O984" s="12" t="s">
        <v>2237</v>
      </c>
      <c r="P984" s="12" t="s">
        <v>2236</v>
      </c>
      <c r="Q984" s="10" t="s">
        <v>2242</v>
      </c>
      <c r="R984" s="10" t="s">
        <v>2238</v>
      </c>
      <c r="S984" s="10" t="s">
        <v>2243</v>
      </c>
      <c r="T984" s="10" t="s">
        <v>2645</v>
      </c>
      <c r="U98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98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98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98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E530-301297504-D225301</v>
      </c>
      <c r="Y984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E530-30129750404-D225301</v>
      </c>
      <c r="Z98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984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984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984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984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9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985" spans="1:31" hidden="1" x14ac:dyDescent="0.3">
      <c r="A985" s="12" t="s">
        <v>2773</v>
      </c>
      <c r="B985" s="12" t="s">
        <v>2366</v>
      </c>
      <c r="C985" s="12" t="s">
        <v>3593</v>
      </c>
      <c r="D985" s="12" t="s">
        <v>3594</v>
      </c>
      <c r="E985" s="12" t="s">
        <v>2236</v>
      </c>
      <c r="F985" s="8">
        <v>0</v>
      </c>
      <c r="G985" s="12" t="s">
        <v>2237</v>
      </c>
      <c r="H985" s="12">
        <v>0</v>
      </c>
      <c r="I985" s="12" t="s">
        <v>2237</v>
      </c>
      <c r="J985" s="12">
        <v>0</v>
      </c>
      <c r="K985" s="12" t="s">
        <v>2237</v>
      </c>
      <c r="L985" s="12">
        <v>0</v>
      </c>
      <c r="M985" s="12" t="s">
        <v>2237</v>
      </c>
      <c r="N985" s="8">
        <v>113.61</v>
      </c>
      <c r="O985" s="12" t="s">
        <v>2237</v>
      </c>
      <c r="P985" s="12" t="s">
        <v>2236</v>
      </c>
      <c r="Q985" s="10" t="s">
        <v>2236</v>
      </c>
      <c r="R985" s="10" t="s">
        <v>2236</v>
      </c>
      <c r="S985" s="10" t="s">
        <v>2236</v>
      </c>
      <c r="T985" s="10" t="s">
        <v>2866</v>
      </c>
      <c r="U9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6" spans="1:31" hidden="1" x14ac:dyDescent="0.3">
      <c r="A986" s="12" t="s">
        <v>2774</v>
      </c>
      <c r="B986" s="12" t="s">
        <v>2371</v>
      </c>
      <c r="C986" s="12" t="s">
        <v>3595</v>
      </c>
      <c r="D986" s="12" t="s">
        <v>3596</v>
      </c>
      <c r="E986" s="12" t="s">
        <v>2236</v>
      </c>
      <c r="F986" s="8">
        <v>0</v>
      </c>
      <c r="G986" s="12" t="s">
        <v>2237</v>
      </c>
      <c r="H986" s="12">
        <v>0</v>
      </c>
      <c r="I986" s="12" t="s">
        <v>2237</v>
      </c>
      <c r="J986" s="12">
        <v>0</v>
      </c>
      <c r="K986" s="12" t="s">
        <v>2237</v>
      </c>
      <c r="L986" s="12">
        <v>0</v>
      </c>
      <c r="M986" s="12" t="s">
        <v>2237</v>
      </c>
      <c r="N986" s="8">
        <v>0</v>
      </c>
      <c r="O986" s="12" t="s">
        <v>2237</v>
      </c>
      <c r="P986" s="12" t="s">
        <v>2236</v>
      </c>
      <c r="Q986" s="10" t="s">
        <v>2236</v>
      </c>
      <c r="R986" s="10" t="s">
        <v>2236</v>
      </c>
      <c r="S986" s="10" t="s">
        <v>2236</v>
      </c>
      <c r="T986" s="10" t="s">
        <v>2236</v>
      </c>
      <c r="U9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7" spans="1:31" hidden="1" x14ac:dyDescent="0.3">
      <c r="A987" s="12" t="s">
        <v>2775</v>
      </c>
      <c r="B987" s="12" t="s">
        <v>2366</v>
      </c>
      <c r="C987" s="12" t="s">
        <v>3597</v>
      </c>
      <c r="D987" s="12" t="s">
        <v>3598</v>
      </c>
      <c r="E987" s="12" t="s">
        <v>2236</v>
      </c>
      <c r="F987" s="8">
        <v>0</v>
      </c>
      <c r="G987" s="12" t="s">
        <v>2237</v>
      </c>
      <c r="H987" s="12">
        <v>0</v>
      </c>
      <c r="I987" s="12" t="s">
        <v>2237</v>
      </c>
      <c r="J987" s="12">
        <v>0</v>
      </c>
      <c r="K987" s="12" t="s">
        <v>2237</v>
      </c>
      <c r="L987" s="12">
        <v>0</v>
      </c>
      <c r="M987" s="12" t="s">
        <v>2237</v>
      </c>
      <c r="N987" s="8">
        <v>170.03</v>
      </c>
      <c r="O987" s="12" t="s">
        <v>2237</v>
      </c>
      <c r="P987" s="12" t="s">
        <v>2236</v>
      </c>
      <c r="Q987" s="10" t="s">
        <v>2236</v>
      </c>
      <c r="R987" s="10" t="s">
        <v>2236</v>
      </c>
      <c r="S987" s="10" t="s">
        <v>2236</v>
      </c>
      <c r="T987" s="10" t="s">
        <v>2866</v>
      </c>
      <c r="U9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8" spans="1:31" hidden="1" x14ac:dyDescent="0.3">
      <c r="A988" s="12" t="s">
        <v>2776</v>
      </c>
      <c r="B988" s="12" t="s">
        <v>2371</v>
      </c>
      <c r="C988" s="12" t="s">
        <v>3599</v>
      </c>
      <c r="D988" s="12" t="s">
        <v>3600</v>
      </c>
      <c r="E988" s="12" t="s">
        <v>2236</v>
      </c>
      <c r="F988" s="8">
        <v>0</v>
      </c>
      <c r="G988" s="12" t="s">
        <v>2237</v>
      </c>
      <c r="H988" s="12">
        <v>0</v>
      </c>
      <c r="I988" s="12" t="s">
        <v>2237</v>
      </c>
      <c r="J988" s="12">
        <v>0</v>
      </c>
      <c r="K988" s="12" t="s">
        <v>2237</v>
      </c>
      <c r="L988" s="12">
        <v>0</v>
      </c>
      <c r="M988" s="12" t="s">
        <v>2237</v>
      </c>
      <c r="N988" s="8">
        <v>0</v>
      </c>
      <c r="O988" s="12" t="s">
        <v>2237</v>
      </c>
      <c r="P988" s="12" t="s">
        <v>2236</v>
      </c>
      <c r="Q988" s="10" t="s">
        <v>2236</v>
      </c>
      <c r="R988" s="10" t="s">
        <v>2236</v>
      </c>
      <c r="S988" s="10" t="s">
        <v>2236</v>
      </c>
      <c r="T988" s="10" t="s">
        <v>2236</v>
      </c>
      <c r="U9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89" spans="1:31" hidden="1" x14ac:dyDescent="0.3">
      <c r="A989" s="12" t="s">
        <v>2777</v>
      </c>
      <c r="B989" s="12" t="s">
        <v>2371</v>
      </c>
      <c r="C989" s="12" t="s">
        <v>3192</v>
      </c>
      <c r="D989" s="12" t="s">
        <v>3601</v>
      </c>
      <c r="E989" s="12" t="s">
        <v>2236</v>
      </c>
      <c r="F989" s="8">
        <v>0</v>
      </c>
      <c r="G989" s="12" t="s">
        <v>2237</v>
      </c>
      <c r="H989" s="12">
        <v>0</v>
      </c>
      <c r="I989" s="12" t="s">
        <v>2237</v>
      </c>
      <c r="J989" s="12">
        <v>0</v>
      </c>
      <c r="K989" s="12" t="s">
        <v>2237</v>
      </c>
      <c r="L989" s="12">
        <v>0</v>
      </c>
      <c r="M989" s="12" t="s">
        <v>2237</v>
      </c>
      <c r="N989" s="8">
        <v>0</v>
      </c>
      <c r="O989" s="12" t="s">
        <v>2237</v>
      </c>
      <c r="P989" s="12" t="s">
        <v>2236</v>
      </c>
      <c r="Q989" s="10" t="s">
        <v>2236</v>
      </c>
      <c r="R989" s="10" t="s">
        <v>2236</v>
      </c>
      <c r="S989" s="10" t="s">
        <v>2236</v>
      </c>
      <c r="T989" s="10" t="s">
        <v>2236</v>
      </c>
      <c r="U9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0" spans="1:31" hidden="1" x14ac:dyDescent="0.3">
      <c r="A990" s="12" t="s">
        <v>2778</v>
      </c>
      <c r="B990" s="12" t="s">
        <v>2371</v>
      </c>
      <c r="C990" s="12" t="s">
        <v>3602</v>
      </c>
      <c r="D990" s="12" t="s">
        <v>3603</v>
      </c>
      <c r="E990" s="12" t="s">
        <v>2236</v>
      </c>
      <c r="F990" s="8">
        <v>0</v>
      </c>
      <c r="G990" s="12" t="s">
        <v>2237</v>
      </c>
      <c r="H990" s="12">
        <v>0</v>
      </c>
      <c r="I990" s="12" t="s">
        <v>2237</v>
      </c>
      <c r="J990" s="12">
        <v>0</v>
      </c>
      <c r="K990" s="12" t="s">
        <v>2237</v>
      </c>
      <c r="L990" s="12">
        <v>0</v>
      </c>
      <c r="M990" s="12" t="s">
        <v>2237</v>
      </c>
      <c r="N990" s="8">
        <v>0</v>
      </c>
      <c r="O990" s="12" t="s">
        <v>2237</v>
      </c>
      <c r="P990" s="12" t="s">
        <v>2236</v>
      </c>
      <c r="Q990" s="10" t="s">
        <v>2236</v>
      </c>
      <c r="R990" s="10" t="s">
        <v>2236</v>
      </c>
      <c r="S990" s="10" t="s">
        <v>2236</v>
      </c>
      <c r="T990" s="10" t="s">
        <v>2236</v>
      </c>
      <c r="U9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1" spans="1:31" hidden="1" x14ac:dyDescent="0.3">
      <c r="A991" s="12" t="s">
        <v>2779</v>
      </c>
      <c r="B991" s="12" t="s">
        <v>2371</v>
      </c>
      <c r="C991" s="12" t="s">
        <v>3604</v>
      </c>
      <c r="D991" s="12" t="s">
        <v>3605</v>
      </c>
      <c r="E991" s="12" t="s">
        <v>2236</v>
      </c>
      <c r="F991" s="8">
        <v>0</v>
      </c>
      <c r="G991" s="12" t="s">
        <v>2237</v>
      </c>
      <c r="H991" s="12">
        <v>0</v>
      </c>
      <c r="I991" s="12" t="s">
        <v>2237</v>
      </c>
      <c r="J991" s="12">
        <v>0</v>
      </c>
      <c r="K991" s="12" t="s">
        <v>2237</v>
      </c>
      <c r="L991" s="12">
        <v>0</v>
      </c>
      <c r="M991" s="12" t="s">
        <v>2237</v>
      </c>
      <c r="N991" s="8">
        <v>0</v>
      </c>
      <c r="O991" s="12" t="s">
        <v>2237</v>
      </c>
      <c r="P991" s="12" t="s">
        <v>2236</v>
      </c>
      <c r="Q991" s="10" t="s">
        <v>2236</v>
      </c>
      <c r="R991" s="10" t="s">
        <v>2236</v>
      </c>
      <c r="S991" s="10" t="s">
        <v>2236</v>
      </c>
      <c r="T991" s="10" t="s">
        <v>2236</v>
      </c>
      <c r="U9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2" spans="1:31" hidden="1" x14ac:dyDescent="0.3">
      <c r="A992" s="12" t="s">
        <v>2780</v>
      </c>
      <c r="B992" s="12" t="s">
        <v>2371</v>
      </c>
      <c r="C992" s="12" t="s">
        <v>3606</v>
      </c>
      <c r="D992" s="12" t="s">
        <v>3607</v>
      </c>
      <c r="E992" s="12" t="s">
        <v>2236</v>
      </c>
      <c r="F992" s="8">
        <v>0</v>
      </c>
      <c r="G992" s="12" t="s">
        <v>2237</v>
      </c>
      <c r="H992" s="12">
        <v>0</v>
      </c>
      <c r="I992" s="12" t="s">
        <v>2237</v>
      </c>
      <c r="J992" s="12">
        <v>0</v>
      </c>
      <c r="K992" s="12" t="s">
        <v>2237</v>
      </c>
      <c r="L992" s="12">
        <v>0</v>
      </c>
      <c r="M992" s="12" t="s">
        <v>2237</v>
      </c>
      <c r="N992" s="8">
        <v>0</v>
      </c>
      <c r="O992" s="12" t="s">
        <v>2237</v>
      </c>
      <c r="P992" s="12" t="s">
        <v>2236</v>
      </c>
      <c r="Q992" s="10" t="s">
        <v>2236</v>
      </c>
      <c r="R992" s="10" t="s">
        <v>2236</v>
      </c>
      <c r="S992" s="10" t="s">
        <v>2236</v>
      </c>
      <c r="T992" s="10" t="s">
        <v>2236</v>
      </c>
      <c r="U9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3" spans="1:31" hidden="1" x14ac:dyDescent="0.3">
      <c r="A993" s="12" t="s">
        <v>2781</v>
      </c>
      <c r="B993" s="12" t="s">
        <v>2371</v>
      </c>
      <c r="C993" s="12" t="s">
        <v>3608</v>
      </c>
      <c r="D993" s="12" t="s">
        <v>3609</v>
      </c>
      <c r="E993" s="12" t="s">
        <v>2236</v>
      </c>
      <c r="F993" s="8">
        <v>0</v>
      </c>
      <c r="G993" s="12" t="s">
        <v>2237</v>
      </c>
      <c r="H993" s="12">
        <v>0</v>
      </c>
      <c r="I993" s="12" t="s">
        <v>2237</v>
      </c>
      <c r="J993" s="12">
        <v>0</v>
      </c>
      <c r="K993" s="12" t="s">
        <v>2237</v>
      </c>
      <c r="L993" s="12">
        <v>0</v>
      </c>
      <c r="M993" s="12" t="s">
        <v>2237</v>
      </c>
      <c r="N993" s="8">
        <v>0</v>
      </c>
      <c r="O993" s="12" t="s">
        <v>2237</v>
      </c>
      <c r="P993" s="12" t="s">
        <v>2236</v>
      </c>
      <c r="Q993" s="10" t="s">
        <v>2236</v>
      </c>
      <c r="R993" s="10" t="s">
        <v>2236</v>
      </c>
      <c r="S993" s="10" t="s">
        <v>2236</v>
      </c>
      <c r="T993" s="10" t="s">
        <v>2236</v>
      </c>
      <c r="U9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4" spans="1:31" hidden="1" x14ac:dyDescent="0.3">
      <c r="A994" s="12" t="s">
        <v>2782</v>
      </c>
      <c r="B994" s="12" t="s">
        <v>2371</v>
      </c>
      <c r="C994" s="12" t="s">
        <v>3610</v>
      </c>
      <c r="D994" s="12" t="s">
        <v>3611</v>
      </c>
      <c r="E994" s="12" t="s">
        <v>2236</v>
      </c>
      <c r="F994" s="8">
        <v>0</v>
      </c>
      <c r="G994" s="12" t="s">
        <v>2237</v>
      </c>
      <c r="H994" s="12">
        <v>0</v>
      </c>
      <c r="I994" s="12" t="s">
        <v>2237</v>
      </c>
      <c r="J994" s="12">
        <v>0</v>
      </c>
      <c r="K994" s="12" t="s">
        <v>2237</v>
      </c>
      <c r="L994" s="12">
        <v>0</v>
      </c>
      <c r="M994" s="12" t="s">
        <v>2237</v>
      </c>
      <c r="N994" s="8">
        <v>0</v>
      </c>
      <c r="O994" s="12" t="s">
        <v>2237</v>
      </c>
      <c r="P994" s="12" t="s">
        <v>2236</v>
      </c>
      <c r="Q994" s="10" t="s">
        <v>2236</v>
      </c>
      <c r="R994" s="10" t="s">
        <v>2236</v>
      </c>
      <c r="S994" s="10" t="s">
        <v>2236</v>
      </c>
      <c r="T994" s="10" t="s">
        <v>2236</v>
      </c>
      <c r="U9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5" spans="1:31" hidden="1" x14ac:dyDescent="0.3">
      <c r="A995" s="12" t="s">
        <v>2783</v>
      </c>
      <c r="B995" s="12" t="s">
        <v>2371</v>
      </c>
      <c r="C995" s="12" t="s">
        <v>3612</v>
      </c>
      <c r="D995" s="12" t="s">
        <v>3613</v>
      </c>
      <c r="E995" s="12" t="s">
        <v>2236</v>
      </c>
      <c r="F995" s="8">
        <v>0</v>
      </c>
      <c r="G995" s="12" t="s">
        <v>2237</v>
      </c>
      <c r="H995" s="12">
        <v>0</v>
      </c>
      <c r="I995" s="12" t="s">
        <v>2237</v>
      </c>
      <c r="J995" s="12">
        <v>0</v>
      </c>
      <c r="K995" s="12" t="s">
        <v>2237</v>
      </c>
      <c r="L995" s="12">
        <v>0</v>
      </c>
      <c r="M995" s="12" t="s">
        <v>2237</v>
      </c>
      <c r="N995" s="8">
        <v>0</v>
      </c>
      <c r="O995" s="12" t="s">
        <v>2237</v>
      </c>
      <c r="P995" s="12" t="s">
        <v>2236</v>
      </c>
      <c r="Q995" s="10" t="s">
        <v>2236</v>
      </c>
      <c r="R995" s="10" t="s">
        <v>2236</v>
      </c>
      <c r="S995" s="10" t="s">
        <v>2236</v>
      </c>
      <c r="T995" s="10" t="s">
        <v>2236</v>
      </c>
      <c r="U9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6" spans="1:31" hidden="1" x14ac:dyDescent="0.3">
      <c r="A996" s="12" t="s">
        <v>2785</v>
      </c>
      <c r="B996" s="12" t="s">
        <v>2371</v>
      </c>
      <c r="C996" s="12" t="s">
        <v>3614</v>
      </c>
      <c r="D996" s="12" t="s">
        <v>3615</v>
      </c>
      <c r="E996" s="12" t="s">
        <v>2236</v>
      </c>
      <c r="F996" s="8">
        <v>0</v>
      </c>
      <c r="G996" s="12" t="s">
        <v>2237</v>
      </c>
      <c r="H996" s="12">
        <v>0</v>
      </c>
      <c r="I996" s="12" t="s">
        <v>2237</v>
      </c>
      <c r="J996" s="12">
        <v>0</v>
      </c>
      <c r="K996" s="12" t="s">
        <v>2237</v>
      </c>
      <c r="L996" s="12">
        <v>0</v>
      </c>
      <c r="M996" s="12" t="s">
        <v>2237</v>
      </c>
      <c r="N996" s="8">
        <v>0</v>
      </c>
      <c r="O996" s="12" t="s">
        <v>2237</v>
      </c>
      <c r="P996" s="12" t="s">
        <v>2236</v>
      </c>
      <c r="Q996" s="10" t="s">
        <v>2236</v>
      </c>
      <c r="R996" s="10" t="s">
        <v>2236</v>
      </c>
      <c r="S996" s="10" t="s">
        <v>2236</v>
      </c>
      <c r="T996" s="10" t="s">
        <v>2236</v>
      </c>
      <c r="U9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7" spans="1:31" hidden="1" x14ac:dyDescent="0.3">
      <c r="A997" s="12" t="s">
        <v>2786</v>
      </c>
      <c r="B997" s="12" t="s">
        <v>2371</v>
      </c>
      <c r="C997" s="12" t="s">
        <v>3616</v>
      </c>
      <c r="D997" s="12" t="s">
        <v>3617</v>
      </c>
      <c r="E997" s="12" t="s">
        <v>2236</v>
      </c>
      <c r="F997" s="8">
        <v>0</v>
      </c>
      <c r="G997" s="12" t="s">
        <v>2237</v>
      </c>
      <c r="H997" s="12">
        <v>0</v>
      </c>
      <c r="I997" s="12" t="s">
        <v>2237</v>
      </c>
      <c r="J997" s="12">
        <v>0</v>
      </c>
      <c r="K997" s="12" t="s">
        <v>2237</v>
      </c>
      <c r="L997" s="12">
        <v>0</v>
      </c>
      <c r="M997" s="12" t="s">
        <v>2237</v>
      </c>
      <c r="N997" s="8">
        <v>0</v>
      </c>
      <c r="O997" s="12" t="s">
        <v>2237</v>
      </c>
      <c r="P997" s="12" t="s">
        <v>2236</v>
      </c>
      <c r="Q997" s="10" t="s">
        <v>2236</v>
      </c>
      <c r="R997" s="10" t="s">
        <v>2236</v>
      </c>
      <c r="S997" s="10" t="s">
        <v>2236</v>
      </c>
      <c r="T997" s="10" t="s">
        <v>2236</v>
      </c>
      <c r="U9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8" spans="1:31" hidden="1" x14ac:dyDescent="0.3">
      <c r="A998" s="12" t="s">
        <v>2787</v>
      </c>
      <c r="B998" s="12" t="s">
        <v>2371</v>
      </c>
      <c r="C998" s="12" t="s">
        <v>3123</v>
      </c>
      <c r="D998" s="12" t="s">
        <v>3618</v>
      </c>
      <c r="E998" s="12" t="s">
        <v>2236</v>
      </c>
      <c r="F998" s="8">
        <v>0</v>
      </c>
      <c r="G998" s="12" t="s">
        <v>2237</v>
      </c>
      <c r="H998" s="12">
        <v>0</v>
      </c>
      <c r="I998" s="12" t="s">
        <v>2237</v>
      </c>
      <c r="J998" s="12">
        <v>0</v>
      </c>
      <c r="K998" s="12" t="s">
        <v>2237</v>
      </c>
      <c r="L998" s="12">
        <v>0</v>
      </c>
      <c r="M998" s="12" t="s">
        <v>2237</v>
      </c>
      <c r="N998" s="8">
        <v>0</v>
      </c>
      <c r="O998" s="12" t="s">
        <v>2237</v>
      </c>
      <c r="P998" s="12" t="s">
        <v>2236</v>
      </c>
      <c r="Q998" s="10" t="s">
        <v>2236</v>
      </c>
      <c r="R998" s="10" t="s">
        <v>2236</v>
      </c>
      <c r="S998" s="10" t="s">
        <v>2236</v>
      </c>
      <c r="T998" s="10" t="s">
        <v>2236</v>
      </c>
      <c r="U9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999" spans="1:31" hidden="1" x14ac:dyDescent="0.3">
      <c r="A999" s="12" t="s">
        <v>2788</v>
      </c>
      <c r="B999" s="12" t="s">
        <v>2371</v>
      </c>
      <c r="C999" s="12" t="s">
        <v>3619</v>
      </c>
      <c r="D999" s="12" t="s">
        <v>3620</v>
      </c>
      <c r="E999" s="12" t="s">
        <v>2236</v>
      </c>
      <c r="F999" s="8">
        <v>0</v>
      </c>
      <c r="G999" s="12" t="s">
        <v>2237</v>
      </c>
      <c r="H999" s="12">
        <v>0</v>
      </c>
      <c r="I999" s="12" t="s">
        <v>2237</v>
      </c>
      <c r="J999" s="12">
        <v>0</v>
      </c>
      <c r="K999" s="12" t="s">
        <v>2237</v>
      </c>
      <c r="L999" s="12">
        <v>0</v>
      </c>
      <c r="M999" s="12" t="s">
        <v>2237</v>
      </c>
      <c r="N999" s="8">
        <v>0</v>
      </c>
      <c r="O999" s="12" t="s">
        <v>2237</v>
      </c>
      <c r="P999" s="12" t="s">
        <v>2236</v>
      </c>
      <c r="Q999" s="10" t="s">
        <v>2236</v>
      </c>
      <c r="R999" s="10" t="s">
        <v>2236</v>
      </c>
      <c r="S999" s="10" t="s">
        <v>2236</v>
      </c>
      <c r="T999" s="10" t="s">
        <v>2236</v>
      </c>
      <c r="U9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9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9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9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9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9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9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9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9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9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9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0" spans="1:31" hidden="1" x14ac:dyDescent="0.3">
      <c r="A1000" s="12" t="s">
        <v>2789</v>
      </c>
      <c r="B1000" s="12" t="s">
        <v>2371</v>
      </c>
      <c r="C1000" s="12" t="s">
        <v>3621</v>
      </c>
      <c r="D1000" s="12" t="s">
        <v>3622</v>
      </c>
      <c r="E1000" s="12" t="s">
        <v>2236</v>
      </c>
      <c r="F1000" s="8">
        <v>0</v>
      </c>
      <c r="G1000" s="12" t="s">
        <v>2237</v>
      </c>
      <c r="H1000" s="12">
        <v>0</v>
      </c>
      <c r="I1000" s="12" t="s">
        <v>2237</v>
      </c>
      <c r="J1000" s="12">
        <v>0</v>
      </c>
      <c r="K1000" s="12" t="s">
        <v>2237</v>
      </c>
      <c r="L1000" s="12">
        <v>0</v>
      </c>
      <c r="M1000" s="12" t="s">
        <v>2237</v>
      </c>
      <c r="N1000" s="8">
        <v>0</v>
      </c>
      <c r="O1000" s="12" t="s">
        <v>2237</v>
      </c>
      <c r="P1000" s="12" t="s">
        <v>2236</v>
      </c>
      <c r="Q1000" s="10" t="s">
        <v>2236</v>
      </c>
      <c r="R1000" s="10" t="s">
        <v>2236</v>
      </c>
      <c r="S1000" s="10" t="s">
        <v>2236</v>
      </c>
      <c r="T1000" s="10" t="s">
        <v>2236</v>
      </c>
      <c r="U10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1" spans="1:31" hidden="1" x14ac:dyDescent="0.3">
      <c r="A1001" s="12" t="s">
        <v>2790</v>
      </c>
      <c r="B1001" s="12" t="s">
        <v>2371</v>
      </c>
      <c r="C1001" s="12" t="s">
        <v>3623</v>
      </c>
      <c r="D1001" s="12" t="s">
        <v>3624</v>
      </c>
      <c r="E1001" s="12" t="s">
        <v>2236</v>
      </c>
      <c r="F1001" s="8">
        <v>0</v>
      </c>
      <c r="G1001" s="12" t="s">
        <v>2237</v>
      </c>
      <c r="H1001" s="12">
        <v>0</v>
      </c>
      <c r="I1001" s="12" t="s">
        <v>2237</v>
      </c>
      <c r="J1001" s="12">
        <v>0</v>
      </c>
      <c r="K1001" s="12" t="s">
        <v>2237</v>
      </c>
      <c r="L1001" s="12">
        <v>0</v>
      </c>
      <c r="M1001" s="12" t="s">
        <v>2237</v>
      </c>
      <c r="N1001" s="8">
        <v>0</v>
      </c>
      <c r="O1001" s="12" t="s">
        <v>2237</v>
      </c>
      <c r="P1001" s="12" t="s">
        <v>2236</v>
      </c>
      <c r="Q1001" s="10" t="s">
        <v>2236</v>
      </c>
      <c r="R1001" s="10" t="s">
        <v>2236</v>
      </c>
      <c r="S1001" s="10" t="s">
        <v>2236</v>
      </c>
      <c r="T1001" s="10" t="s">
        <v>2236</v>
      </c>
      <c r="U10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2" spans="1:31" hidden="1" x14ac:dyDescent="0.3">
      <c r="A1002" s="12" t="s">
        <v>2791</v>
      </c>
      <c r="B1002" s="12" t="s">
        <v>2366</v>
      </c>
      <c r="C1002" s="12" t="s">
        <v>3625</v>
      </c>
      <c r="D1002" s="12" t="s">
        <v>3626</v>
      </c>
      <c r="E1002" s="12" t="s">
        <v>2236</v>
      </c>
      <c r="F1002" s="8">
        <v>0</v>
      </c>
      <c r="G1002" s="12" t="s">
        <v>2237</v>
      </c>
      <c r="H1002" s="12">
        <v>0</v>
      </c>
      <c r="I1002" s="12" t="s">
        <v>2237</v>
      </c>
      <c r="J1002" s="12">
        <v>0</v>
      </c>
      <c r="K1002" s="12" t="s">
        <v>2237</v>
      </c>
      <c r="L1002" s="12">
        <v>0</v>
      </c>
      <c r="M1002" s="12" t="s">
        <v>2237</v>
      </c>
      <c r="N1002" s="8">
        <v>0.36</v>
      </c>
      <c r="O1002" s="12" t="s">
        <v>2237</v>
      </c>
      <c r="P1002" s="12" t="s">
        <v>2236</v>
      </c>
      <c r="Q1002" s="10" t="s">
        <v>2236</v>
      </c>
      <c r="R1002" s="10" t="s">
        <v>2236</v>
      </c>
      <c r="S1002" s="10" t="s">
        <v>2236</v>
      </c>
      <c r="T1002" s="10" t="s">
        <v>2929</v>
      </c>
      <c r="U10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3" spans="1:31" hidden="1" x14ac:dyDescent="0.3">
      <c r="A1003" s="12" t="s">
        <v>2792</v>
      </c>
      <c r="B1003" s="12" t="s">
        <v>2371</v>
      </c>
      <c r="C1003" s="12" t="s">
        <v>3625</v>
      </c>
      <c r="D1003" s="12" t="s">
        <v>3627</v>
      </c>
      <c r="E1003" s="12" t="s">
        <v>2236</v>
      </c>
      <c r="F1003" s="8">
        <v>0</v>
      </c>
      <c r="G1003" s="12" t="s">
        <v>2237</v>
      </c>
      <c r="H1003" s="12">
        <v>0</v>
      </c>
      <c r="I1003" s="12" t="s">
        <v>2237</v>
      </c>
      <c r="J1003" s="12">
        <v>0</v>
      </c>
      <c r="K1003" s="12" t="s">
        <v>2237</v>
      </c>
      <c r="L1003" s="12">
        <v>0</v>
      </c>
      <c r="M1003" s="12" t="s">
        <v>2237</v>
      </c>
      <c r="N1003" s="8">
        <v>0</v>
      </c>
      <c r="O1003" s="12" t="s">
        <v>2237</v>
      </c>
      <c r="P1003" s="12" t="s">
        <v>2236</v>
      </c>
      <c r="Q1003" s="10" t="s">
        <v>2236</v>
      </c>
      <c r="R1003" s="10" t="s">
        <v>2236</v>
      </c>
      <c r="S1003" s="10" t="s">
        <v>2236</v>
      </c>
      <c r="T1003" s="10" t="s">
        <v>2236</v>
      </c>
      <c r="U10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4" spans="1:31" hidden="1" x14ac:dyDescent="0.3">
      <c r="A1004" s="12" t="s">
        <v>2793</v>
      </c>
      <c r="B1004" s="12" t="s">
        <v>2371</v>
      </c>
      <c r="C1004" s="12" t="s">
        <v>3628</v>
      </c>
      <c r="D1004" s="12" t="s">
        <v>3629</v>
      </c>
      <c r="E1004" s="12" t="s">
        <v>2236</v>
      </c>
      <c r="F1004" s="8">
        <v>0</v>
      </c>
      <c r="G1004" s="12" t="s">
        <v>2237</v>
      </c>
      <c r="H1004" s="12">
        <v>0</v>
      </c>
      <c r="I1004" s="12" t="s">
        <v>2237</v>
      </c>
      <c r="J1004" s="12">
        <v>0</v>
      </c>
      <c r="K1004" s="12" t="s">
        <v>2237</v>
      </c>
      <c r="L1004" s="12">
        <v>0</v>
      </c>
      <c r="M1004" s="12" t="s">
        <v>2237</v>
      </c>
      <c r="N1004" s="8">
        <v>0</v>
      </c>
      <c r="O1004" s="12" t="s">
        <v>2237</v>
      </c>
      <c r="P1004" s="12" t="s">
        <v>2236</v>
      </c>
      <c r="Q1004" s="10" t="s">
        <v>2236</v>
      </c>
      <c r="R1004" s="10" t="s">
        <v>2236</v>
      </c>
      <c r="S1004" s="10" t="s">
        <v>2236</v>
      </c>
      <c r="T1004" s="10" t="s">
        <v>2236</v>
      </c>
      <c r="U10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5" spans="1:31" hidden="1" x14ac:dyDescent="0.3">
      <c r="A1005" s="12" t="s">
        <v>2794</v>
      </c>
      <c r="B1005" s="12" t="s">
        <v>2371</v>
      </c>
      <c r="C1005" s="12" t="s">
        <v>3630</v>
      </c>
      <c r="D1005" s="12" t="s">
        <v>3631</v>
      </c>
      <c r="E1005" s="12" t="s">
        <v>2236</v>
      </c>
      <c r="F1005" s="8">
        <v>0</v>
      </c>
      <c r="G1005" s="12" t="s">
        <v>2237</v>
      </c>
      <c r="H1005" s="12">
        <v>0</v>
      </c>
      <c r="I1005" s="12" t="s">
        <v>2237</v>
      </c>
      <c r="J1005" s="12">
        <v>0</v>
      </c>
      <c r="K1005" s="12" t="s">
        <v>2237</v>
      </c>
      <c r="L1005" s="12">
        <v>0</v>
      </c>
      <c r="M1005" s="12" t="s">
        <v>2237</v>
      </c>
      <c r="N1005" s="8">
        <v>0</v>
      </c>
      <c r="O1005" s="12" t="s">
        <v>2237</v>
      </c>
      <c r="P1005" s="12" t="s">
        <v>2236</v>
      </c>
      <c r="Q1005" s="10" t="s">
        <v>2236</v>
      </c>
      <c r="R1005" s="10" t="s">
        <v>2236</v>
      </c>
      <c r="S1005" s="10" t="s">
        <v>2236</v>
      </c>
      <c r="T1005" s="10" t="s">
        <v>2236</v>
      </c>
      <c r="U10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6" spans="1:31" hidden="1" x14ac:dyDescent="0.3">
      <c r="A1006" s="12" t="s">
        <v>2795</v>
      </c>
      <c r="B1006" s="12" t="s">
        <v>2371</v>
      </c>
      <c r="C1006" s="12" t="s">
        <v>3632</v>
      </c>
      <c r="D1006" s="12" t="s">
        <v>3633</v>
      </c>
      <c r="E1006" s="12" t="s">
        <v>2236</v>
      </c>
      <c r="F1006" s="8">
        <v>0</v>
      </c>
      <c r="G1006" s="12" t="s">
        <v>2237</v>
      </c>
      <c r="H1006" s="12">
        <v>0</v>
      </c>
      <c r="I1006" s="12" t="s">
        <v>2237</v>
      </c>
      <c r="J1006" s="12">
        <v>0</v>
      </c>
      <c r="K1006" s="12" t="s">
        <v>2237</v>
      </c>
      <c r="L1006" s="12">
        <v>0</v>
      </c>
      <c r="M1006" s="12" t="s">
        <v>2237</v>
      </c>
      <c r="N1006" s="8">
        <v>0</v>
      </c>
      <c r="O1006" s="12" t="s">
        <v>2237</v>
      </c>
      <c r="P1006" s="12" t="s">
        <v>2236</v>
      </c>
      <c r="Q1006" s="10" t="s">
        <v>2236</v>
      </c>
      <c r="R1006" s="10" t="s">
        <v>2236</v>
      </c>
      <c r="S1006" s="10" t="s">
        <v>2236</v>
      </c>
      <c r="T1006" s="10" t="s">
        <v>2236</v>
      </c>
      <c r="U10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07" spans="1:31" x14ac:dyDescent="0.3">
      <c r="A1007" s="12" t="s">
        <v>2796</v>
      </c>
      <c r="B1007" s="12" t="s">
        <v>26</v>
      </c>
      <c r="C1007" s="12" t="s">
        <v>1853</v>
      </c>
      <c r="D1007" s="12" t="s">
        <v>1854</v>
      </c>
      <c r="E1007" s="12" t="s">
        <v>2842</v>
      </c>
      <c r="F1007" s="8">
        <v>79868.5</v>
      </c>
      <c r="G1007" s="12" t="s">
        <v>2237</v>
      </c>
      <c r="H1007" s="12">
        <v>79868.5</v>
      </c>
      <c r="I1007" s="12" t="s">
        <v>2237</v>
      </c>
      <c r="J1007" s="12">
        <v>0</v>
      </c>
      <c r="K1007" s="12" t="s">
        <v>2237</v>
      </c>
      <c r="L1007" s="12">
        <v>0</v>
      </c>
      <c r="M1007" s="12" t="s">
        <v>2237</v>
      </c>
      <c r="N1007" s="8">
        <v>82269.19</v>
      </c>
      <c r="O1007" s="12" t="s">
        <v>2237</v>
      </c>
      <c r="P1007" s="12" t="s">
        <v>2236</v>
      </c>
      <c r="Q1007" s="10" t="s">
        <v>2242</v>
      </c>
      <c r="R1007" s="10" t="s">
        <v>2238</v>
      </c>
      <c r="S1007" s="10" t="s">
        <v>2243</v>
      </c>
      <c r="T1007" s="10" t="s">
        <v>3351</v>
      </c>
      <c r="U100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00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100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100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E530-301297503-D225301</v>
      </c>
      <c r="Y10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07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007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0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7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0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008" spans="1:31" x14ac:dyDescent="0.3">
      <c r="A1008" s="12" t="s">
        <v>2797</v>
      </c>
      <c r="B1008" s="12" t="s">
        <v>30</v>
      </c>
      <c r="C1008" s="12" t="s">
        <v>1853</v>
      </c>
      <c r="D1008" s="12" t="s">
        <v>1855</v>
      </c>
      <c r="E1008" s="12" t="s">
        <v>2842</v>
      </c>
      <c r="F1008" s="8">
        <v>0</v>
      </c>
      <c r="G1008" s="12" t="s">
        <v>2237</v>
      </c>
      <c r="H1008" s="12">
        <v>0</v>
      </c>
      <c r="I1008" s="12" t="s">
        <v>2237</v>
      </c>
      <c r="J1008" s="12">
        <v>0</v>
      </c>
      <c r="K1008" s="12" t="s">
        <v>2237</v>
      </c>
      <c r="L1008" s="12">
        <v>0</v>
      </c>
      <c r="M1008" s="12" t="s">
        <v>2237</v>
      </c>
      <c r="N1008" s="8">
        <v>82269.19</v>
      </c>
      <c r="O1008" s="12" t="s">
        <v>2237</v>
      </c>
      <c r="P1008" s="12" t="s">
        <v>2236</v>
      </c>
      <c r="Q1008" s="10" t="s">
        <v>2242</v>
      </c>
      <c r="R1008" s="10" t="s">
        <v>2238</v>
      </c>
      <c r="S1008" s="10" t="s">
        <v>2243</v>
      </c>
      <c r="T1008" s="10" t="s">
        <v>2645</v>
      </c>
      <c r="U100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00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100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100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E530-301297503-D225301</v>
      </c>
      <c r="Y100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E530-30129750303-D225301</v>
      </c>
      <c r="Z100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08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008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008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008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0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009" spans="1:31" hidden="1" x14ac:dyDescent="0.3">
      <c r="A1009" s="12" t="s">
        <v>2798</v>
      </c>
      <c r="B1009" s="12" t="s">
        <v>2366</v>
      </c>
      <c r="C1009" s="12" t="s">
        <v>3634</v>
      </c>
      <c r="D1009" s="12" t="s">
        <v>3635</v>
      </c>
      <c r="E1009" s="12" t="s">
        <v>2236</v>
      </c>
      <c r="F1009" s="8">
        <v>0</v>
      </c>
      <c r="G1009" s="12" t="s">
        <v>2237</v>
      </c>
      <c r="H1009" s="12">
        <v>0</v>
      </c>
      <c r="I1009" s="12" t="s">
        <v>2237</v>
      </c>
      <c r="J1009" s="12">
        <v>0</v>
      </c>
      <c r="K1009" s="12" t="s">
        <v>2237</v>
      </c>
      <c r="L1009" s="12">
        <v>0</v>
      </c>
      <c r="M1009" s="12" t="s">
        <v>2237</v>
      </c>
      <c r="N1009" s="8">
        <v>2965.02</v>
      </c>
      <c r="O1009" s="12" t="s">
        <v>2237</v>
      </c>
      <c r="P1009" s="12" t="s">
        <v>2236</v>
      </c>
      <c r="Q1009" s="10" t="s">
        <v>2236</v>
      </c>
      <c r="R1009" s="10" t="s">
        <v>2236</v>
      </c>
      <c r="S1009" s="10" t="s">
        <v>2236</v>
      </c>
      <c r="T1009" s="10" t="s">
        <v>3367</v>
      </c>
      <c r="U10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0" spans="1:31" hidden="1" x14ac:dyDescent="0.3">
      <c r="A1010" s="12" t="s">
        <v>2799</v>
      </c>
      <c r="B1010" s="12" t="s">
        <v>2371</v>
      </c>
      <c r="C1010" s="12" t="s">
        <v>3636</v>
      </c>
      <c r="D1010" s="12" t="s">
        <v>3637</v>
      </c>
      <c r="E1010" s="12" t="s">
        <v>2236</v>
      </c>
      <c r="F1010" s="8">
        <v>0</v>
      </c>
      <c r="G1010" s="12" t="s">
        <v>2237</v>
      </c>
      <c r="H1010" s="12">
        <v>0</v>
      </c>
      <c r="I1010" s="12" t="s">
        <v>2237</v>
      </c>
      <c r="J1010" s="12">
        <v>0</v>
      </c>
      <c r="K1010" s="12" t="s">
        <v>2237</v>
      </c>
      <c r="L1010" s="12">
        <v>0</v>
      </c>
      <c r="M1010" s="12" t="s">
        <v>2237</v>
      </c>
      <c r="N1010" s="8">
        <v>0</v>
      </c>
      <c r="O1010" s="12" t="s">
        <v>2237</v>
      </c>
      <c r="P1010" s="12" t="s">
        <v>2236</v>
      </c>
      <c r="Q1010" s="10" t="s">
        <v>2236</v>
      </c>
      <c r="R1010" s="10" t="s">
        <v>2236</v>
      </c>
      <c r="S1010" s="10" t="s">
        <v>2236</v>
      </c>
      <c r="T1010" s="10" t="s">
        <v>2236</v>
      </c>
      <c r="U10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1" spans="1:31" hidden="1" x14ac:dyDescent="0.3">
      <c r="A1011" s="12" t="s">
        <v>2800</v>
      </c>
      <c r="B1011" s="12" t="s">
        <v>2371</v>
      </c>
      <c r="C1011" s="12" t="s">
        <v>3114</v>
      </c>
      <c r="D1011" s="12" t="s">
        <v>3638</v>
      </c>
      <c r="E1011" s="12" t="s">
        <v>2236</v>
      </c>
      <c r="F1011" s="8">
        <v>0</v>
      </c>
      <c r="G1011" s="12" t="s">
        <v>2237</v>
      </c>
      <c r="H1011" s="12">
        <v>0</v>
      </c>
      <c r="I1011" s="12" t="s">
        <v>2237</v>
      </c>
      <c r="J1011" s="12">
        <v>0</v>
      </c>
      <c r="K1011" s="12" t="s">
        <v>2237</v>
      </c>
      <c r="L1011" s="12">
        <v>0</v>
      </c>
      <c r="M1011" s="12" t="s">
        <v>2237</v>
      </c>
      <c r="N1011" s="8">
        <v>0</v>
      </c>
      <c r="O1011" s="12" t="s">
        <v>2237</v>
      </c>
      <c r="P1011" s="12" t="s">
        <v>2236</v>
      </c>
      <c r="Q1011" s="10" t="s">
        <v>2236</v>
      </c>
      <c r="R1011" s="10" t="s">
        <v>2236</v>
      </c>
      <c r="S1011" s="10" t="s">
        <v>2236</v>
      </c>
      <c r="T1011" s="10" t="s">
        <v>2236</v>
      </c>
      <c r="U10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2" spans="1:31" hidden="1" x14ac:dyDescent="0.3">
      <c r="A1012" s="12" t="s">
        <v>2801</v>
      </c>
      <c r="B1012" s="12" t="s">
        <v>2371</v>
      </c>
      <c r="C1012" s="12" t="s">
        <v>3639</v>
      </c>
      <c r="D1012" s="12" t="s">
        <v>3640</v>
      </c>
      <c r="E1012" s="12" t="s">
        <v>2236</v>
      </c>
      <c r="F1012" s="8">
        <v>0</v>
      </c>
      <c r="G1012" s="12" t="s">
        <v>2237</v>
      </c>
      <c r="H1012" s="12">
        <v>0</v>
      </c>
      <c r="I1012" s="12" t="s">
        <v>2237</v>
      </c>
      <c r="J1012" s="12">
        <v>0</v>
      </c>
      <c r="K1012" s="12" t="s">
        <v>2237</v>
      </c>
      <c r="L1012" s="12">
        <v>0</v>
      </c>
      <c r="M1012" s="12" t="s">
        <v>2237</v>
      </c>
      <c r="N1012" s="8">
        <v>0</v>
      </c>
      <c r="O1012" s="12" t="s">
        <v>2237</v>
      </c>
      <c r="P1012" s="12" t="s">
        <v>2236</v>
      </c>
      <c r="Q1012" s="10" t="s">
        <v>2236</v>
      </c>
      <c r="R1012" s="10" t="s">
        <v>2236</v>
      </c>
      <c r="S1012" s="10" t="s">
        <v>2236</v>
      </c>
      <c r="T1012" s="10" t="s">
        <v>2236</v>
      </c>
      <c r="U10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3" spans="1:31" hidden="1" x14ac:dyDescent="0.3">
      <c r="A1013" s="12" t="s">
        <v>2802</v>
      </c>
      <c r="B1013" s="12" t="s">
        <v>2371</v>
      </c>
      <c r="C1013" s="12" t="s">
        <v>3641</v>
      </c>
      <c r="D1013" s="12" t="s">
        <v>3642</v>
      </c>
      <c r="E1013" s="12" t="s">
        <v>2236</v>
      </c>
      <c r="F1013" s="8">
        <v>0</v>
      </c>
      <c r="G1013" s="12" t="s">
        <v>2237</v>
      </c>
      <c r="H1013" s="12">
        <v>0</v>
      </c>
      <c r="I1013" s="12" t="s">
        <v>2237</v>
      </c>
      <c r="J1013" s="12">
        <v>0</v>
      </c>
      <c r="K1013" s="12" t="s">
        <v>2237</v>
      </c>
      <c r="L1013" s="12">
        <v>0</v>
      </c>
      <c r="M1013" s="12" t="s">
        <v>2237</v>
      </c>
      <c r="N1013" s="8">
        <v>0</v>
      </c>
      <c r="O1013" s="12" t="s">
        <v>2237</v>
      </c>
      <c r="P1013" s="12" t="s">
        <v>2236</v>
      </c>
      <c r="Q1013" s="10" t="s">
        <v>2236</v>
      </c>
      <c r="R1013" s="10" t="s">
        <v>2236</v>
      </c>
      <c r="S1013" s="10" t="s">
        <v>2236</v>
      </c>
      <c r="T1013" s="10" t="s">
        <v>2236</v>
      </c>
      <c r="U10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4" spans="1:31" hidden="1" x14ac:dyDescent="0.3">
      <c r="A1014" s="12" t="s">
        <v>2803</v>
      </c>
      <c r="B1014" s="12" t="s">
        <v>2371</v>
      </c>
      <c r="C1014" s="12" t="s">
        <v>3643</v>
      </c>
      <c r="D1014" s="12" t="s">
        <v>3644</v>
      </c>
      <c r="E1014" s="12" t="s">
        <v>2236</v>
      </c>
      <c r="F1014" s="8">
        <v>0</v>
      </c>
      <c r="G1014" s="12" t="s">
        <v>2237</v>
      </c>
      <c r="H1014" s="12">
        <v>0</v>
      </c>
      <c r="I1014" s="12" t="s">
        <v>2237</v>
      </c>
      <c r="J1014" s="12">
        <v>0</v>
      </c>
      <c r="K1014" s="12" t="s">
        <v>2237</v>
      </c>
      <c r="L1014" s="12">
        <v>0</v>
      </c>
      <c r="M1014" s="12" t="s">
        <v>2237</v>
      </c>
      <c r="N1014" s="8">
        <v>0</v>
      </c>
      <c r="O1014" s="12" t="s">
        <v>2237</v>
      </c>
      <c r="P1014" s="12" t="s">
        <v>2236</v>
      </c>
      <c r="Q1014" s="10" t="s">
        <v>2236</v>
      </c>
      <c r="R1014" s="10" t="s">
        <v>2236</v>
      </c>
      <c r="S1014" s="10" t="s">
        <v>2236</v>
      </c>
      <c r="T1014" s="10" t="s">
        <v>2236</v>
      </c>
      <c r="U10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5" spans="1:31" hidden="1" x14ac:dyDescent="0.3">
      <c r="A1015" s="12" t="s">
        <v>2804</v>
      </c>
      <c r="B1015" s="12" t="s">
        <v>2371</v>
      </c>
      <c r="C1015" s="12" t="s">
        <v>3645</v>
      </c>
      <c r="D1015" s="12" t="s">
        <v>3646</v>
      </c>
      <c r="E1015" s="12" t="s">
        <v>2236</v>
      </c>
      <c r="F1015" s="8">
        <v>0</v>
      </c>
      <c r="G1015" s="12" t="s">
        <v>2237</v>
      </c>
      <c r="H1015" s="12">
        <v>0</v>
      </c>
      <c r="I1015" s="12" t="s">
        <v>2237</v>
      </c>
      <c r="J1015" s="12">
        <v>0</v>
      </c>
      <c r="K1015" s="12" t="s">
        <v>2237</v>
      </c>
      <c r="L1015" s="12">
        <v>0</v>
      </c>
      <c r="M1015" s="12" t="s">
        <v>2237</v>
      </c>
      <c r="N1015" s="8">
        <v>0</v>
      </c>
      <c r="O1015" s="12" t="s">
        <v>2237</v>
      </c>
      <c r="P1015" s="12" t="s">
        <v>2236</v>
      </c>
      <c r="Q1015" s="10" t="s">
        <v>2236</v>
      </c>
      <c r="R1015" s="10" t="s">
        <v>2236</v>
      </c>
      <c r="S1015" s="10" t="s">
        <v>2236</v>
      </c>
      <c r="T1015" s="10" t="s">
        <v>2236</v>
      </c>
      <c r="U10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6" spans="1:31" hidden="1" x14ac:dyDescent="0.3">
      <c r="A1016" s="12" t="s">
        <v>2805</v>
      </c>
      <c r="B1016" s="12" t="s">
        <v>2371</v>
      </c>
      <c r="C1016" s="12" t="s">
        <v>3647</v>
      </c>
      <c r="D1016" s="12" t="s">
        <v>3648</v>
      </c>
      <c r="E1016" s="12" t="s">
        <v>2236</v>
      </c>
      <c r="F1016" s="8">
        <v>0</v>
      </c>
      <c r="G1016" s="12" t="s">
        <v>2237</v>
      </c>
      <c r="H1016" s="12">
        <v>0</v>
      </c>
      <c r="I1016" s="12" t="s">
        <v>2237</v>
      </c>
      <c r="J1016" s="12">
        <v>0</v>
      </c>
      <c r="K1016" s="12" t="s">
        <v>2237</v>
      </c>
      <c r="L1016" s="12">
        <v>0</v>
      </c>
      <c r="M1016" s="12" t="s">
        <v>2237</v>
      </c>
      <c r="N1016" s="8">
        <v>0</v>
      </c>
      <c r="O1016" s="12" t="s">
        <v>2237</v>
      </c>
      <c r="P1016" s="12" t="s">
        <v>2236</v>
      </c>
      <c r="Q1016" s="10" t="s">
        <v>2236</v>
      </c>
      <c r="R1016" s="10" t="s">
        <v>2236</v>
      </c>
      <c r="S1016" s="10" t="s">
        <v>2236</v>
      </c>
      <c r="T1016" s="10" t="s">
        <v>2236</v>
      </c>
      <c r="U10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7" spans="1:31" hidden="1" x14ac:dyDescent="0.3">
      <c r="A1017" s="12" t="s">
        <v>2806</v>
      </c>
      <c r="B1017" s="12" t="s">
        <v>2371</v>
      </c>
      <c r="C1017" s="12" t="s">
        <v>3649</v>
      </c>
      <c r="D1017" s="12" t="s">
        <v>3650</v>
      </c>
      <c r="E1017" s="12" t="s">
        <v>2236</v>
      </c>
      <c r="F1017" s="8">
        <v>0</v>
      </c>
      <c r="G1017" s="12" t="s">
        <v>2237</v>
      </c>
      <c r="H1017" s="12">
        <v>0</v>
      </c>
      <c r="I1017" s="12" t="s">
        <v>2237</v>
      </c>
      <c r="J1017" s="12">
        <v>0</v>
      </c>
      <c r="K1017" s="12" t="s">
        <v>2237</v>
      </c>
      <c r="L1017" s="12">
        <v>0</v>
      </c>
      <c r="M1017" s="12" t="s">
        <v>2237</v>
      </c>
      <c r="N1017" s="8">
        <v>0</v>
      </c>
      <c r="O1017" s="12" t="s">
        <v>2237</v>
      </c>
      <c r="P1017" s="12" t="s">
        <v>2236</v>
      </c>
      <c r="Q1017" s="10" t="s">
        <v>2236</v>
      </c>
      <c r="R1017" s="10" t="s">
        <v>2236</v>
      </c>
      <c r="S1017" s="10" t="s">
        <v>2236</v>
      </c>
      <c r="T1017" s="10" t="s">
        <v>2236</v>
      </c>
      <c r="U10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8" spans="1:31" hidden="1" x14ac:dyDescent="0.3">
      <c r="A1018" s="12" t="s">
        <v>2807</v>
      </c>
      <c r="B1018" s="12" t="s">
        <v>2371</v>
      </c>
      <c r="C1018" s="12" t="s">
        <v>3651</v>
      </c>
      <c r="D1018" s="12" t="s">
        <v>3652</v>
      </c>
      <c r="E1018" s="12" t="s">
        <v>2236</v>
      </c>
      <c r="F1018" s="8">
        <v>0</v>
      </c>
      <c r="G1018" s="12" t="s">
        <v>2237</v>
      </c>
      <c r="H1018" s="12">
        <v>0</v>
      </c>
      <c r="I1018" s="12" t="s">
        <v>2237</v>
      </c>
      <c r="J1018" s="12">
        <v>0</v>
      </c>
      <c r="K1018" s="12" t="s">
        <v>2237</v>
      </c>
      <c r="L1018" s="12">
        <v>0</v>
      </c>
      <c r="M1018" s="12" t="s">
        <v>2237</v>
      </c>
      <c r="N1018" s="8">
        <v>0</v>
      </c>
      <c r="O1018" s="12" t="s">
        <v>2237</v>
      </c>
      <c r="P1018" s="12" t="s">
        <v>2236</v>
      </c>
      <c r="Q1018" s="10" t="s">
        <v>2236</v>
      </c>
      <c r="R1018" s="10" t="s">
        <v>2236</v>
      </c>
      <c r="S1018" s="10" t="s">
        <v>2236</v>
      </c>
      <c r="T1018" s="10" t="s">
        <v>2236</v>
      </c>
      <c r="U10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19" spans="1:31" hidden="1" x14ac:dyDescent="0.3">
      <c r="A1019" s="12" t="s">
        <v>2808</v>
      </c>
      <c r="B1019" s="12" t="s">
        <v>2371</v>
      </c>
      <c r="C1019" s="12" t="s">
        <v>3653</v>
      </c>
      <c r="D1019" s="12" t="s">
        <v>3654</v>
      </c>
      <c r="E1019" s="12" t="s">
        <v>2236</v>
      </c>
      <c r="F1019" s="8">
        <v>0</v>
      </c>
      <c r="G1019" s="12" t="s">
        <v>2237</v>
      </c>
      <c r="H1019" s="12">
        <v>0</v>
      </c>
      <c r="I1019" s="12" t="s">
        <v>2237</v>
      </c>
      <c r="J1019" s="12">
        <v>0</v>
      </c>
      <c r="K1019" s="12" t="s">
        <v>2237</v>
      </c>
      <c r="L1019" s="12">
        <v>0</v>
      </c>
      <c r="M1019" s="12" t="s">
        <v>2237</v>
      </c>
      <c r="N1019" s="8">
        <v>0</v>
      </c>
      <c r="O1019" s="12" t="s">
        <v>2237</v>
      </c>
      <c r="P1019" s="12" t="s">
        <v>2236</v>
      </c>
      <c r="Q1019" s="10" t="s">
        <v>2236</v>
      </c>
      <c r="R1019" s="10" t="s">
        <v>2236</v>
      </c>
      <c r="S1019" s="10" t="s">
        <v>2236</v>
      </c>
      <c r="T1019" s="10" t="s">
        <v>2236</v>
      </c>
      <c r="U10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0" spans="1:31" hidden="1" x14ac:dyDescent="0.3">
      <c r="A1020" s="12" t="s">
        <v>2809</v>
      </c>
      <c r="B1020" s="12" t="s">
        <v>2371</v>
      </c>
      <c r="C1020" s="12" t="s">
        <v>3655</v>
      </c>
      <c r="D1020" s="12" t="s">
        <v>3656</v>
      </c>
      <c r="E1020" s="12" t="s">
        <v>2236</v>
      </c>
      <c r="F1020" s="8">
        <v>0</v>
      </c>
      <c r="G1020" s="12" t="s">
        <v>2237</v>
      </c>
      <c r="H1020" s="12">
        <v>0</v>
      </c>
      <c r="I1020" s="12" t="s">
        <v>2237</v>
      </c>
      <c r="J1020" s="12">
        <v>0</v>
      </c>
      <c r="K1020" s="12" t="s">
        <v>2237</v>
      </c>
      <c r="L1020" s="12">
        <v>0</v>
      </c>
      <c r="M1020" s="12" t="s">
        <v>2237</v>
      </c>
      <c r="N1020" s="8">
        <v>0</v>
      </c>
      <c r="O1020" s="12" t="s">
        <v>2237</v>
      </c>
      <c r="P1020" s="12" t="s">
        <v>2236</v>
      </c>
      <c r="Q1020" s="10" t="s">
        <v>2236</v>
      </c>
      <c r="R1020" s="10" t="s">
        <v>2236</v>
      </c>
      <c r="S1020" s="10" t="s">
        <v>2236</v>
      </c>
      <c r="T1020" s="10" t="s">
        <v>2236</v>
      </c>
      <c r="U10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1" spans="1:31" hidden="1" x14ac:dyDescent="0.3">
      <c r="A1021" s="12" t="s">
        <v>2810</v>
      </c>
      <c r="B1021" s="12" t="s">
        <v>2371</v>
      </c>
      <c r="C1021" s="12" t="s">
        <v>3657</v>
      </c>
      <c r="D1021" s="12" t="s">
        <v>3658</v>
      </c>
      <c r="E1021" s="12" t="s">
        <v>2236</v>
      </c>
      <c r="F1021" s="8">
        <v>0</v>
      </c>
      <c r="G1021" s="12" t="s">
        <v>2237</v>
      </c>
      <c r="H1021" s="12">
        <v>0</v>
      </c>
      <c r="I1021" s="12" t="s">
        <v>2237</v>
      </c>
      <c r="J1021" s="12">
        <v>0</v>
      </c>
      <c r="K1021" s="12" t="s">
        <v>2237</v>
      </c>
      <c r="L1021" s="12">
        <v>0</v>
      </c>
      <c r="M1021" s="12" t="s">
        <v>2237</v>
      </c>
      <c r="N1021" s="8">
        <v>0</v>
      </c>
      <c r="O1021" s="12" t="s">
        <v>2237</v>
      </c>
      <c r="P1021" s="12" t="s">
        <v>2236</v>
      </c>
      <c r="Q1021" s="10" t="s">
        <v>2236</v>
      </c>
      <c r="R1021" s="10" t="s">
        <v>2236</v>
      </c>
      <c r="S1021" s="10" t="s">
        <v>2236</v>
      </c>
      <c r="T1021" s="10" t="s">
        <v>2236</v>
      </c>
      <c r="U10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2" spans="1:31" hidden="1" x14ac:dyDescent="0.3">
      <c r="A1022" s="12" t="s">
        <v>2811</v>
      </c>
      <c r="B1022" s="12" t="s">
        <v>2371</v>
      </c>
      <c r="C1022" s="12" t="s">
        <v>3659</v>
      </c>
      <c r="D1022" s="12" t="s">
        <v>3660</v>
      </c>
      <c r="E1022" s="12" t="s">
        <v>2236</v>
      </c>
      <c r="F1022" s="8">
        <v>0</v>
      </c>
      <c r="G1022" s="12" t="s">
        <v>2237</v>
      </c>
      <c r="H1022" s="12">
        <v>0</v>
      </c>
      <c r="I1022" s="12" t="s">
        <v>2237</v>
      </c>
      <c r="J1022" s="12">
        <v>0</v>
      </c>
      <c r="K1022" s="12" t="s">
        <v>2237</v>
      </c>
      <c r="L1022" s="12">
        <v>0</v>
      </c>
      <c r="M1022" s="12" t="s">
        <v>2237</v>
      </c>
      <c r="N1022" s="8">
        <v>0</v>
      </c>
      <c r="O1022" s="12" t="s">
        <v>2237</v>
      </c>
      <c r="P1022" s="12" t="s">
        <v>2236</v>
      </c>
      <c r="Q1022" s="10" t="s">
        <v>2236</v>
      </c>
      <c r="R1022" s="10" t="s">
        <v>2236</v>
      </c>
      <c r="S1022" s="10" t="s">
        <v>2236</v>
      </c>
      <c r="T1022" s="10" t="s">
        <v>2236</v>
      </c>
      <c r="U10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3" spans="1:31" hidden="1" x14ac:dyDescent="0.3">
      <c r="A1023" s="12" t="s">
        <v>2812</v>
      </c>
      <c r="B1023" s="12" t="s">
        <v>2366</v>
      </c>
      <c r="C1023" s="12" t="s">
        <v>3661</v>
      </c>
      <c r="D1023" s="12" t="s">
        <v>3662</v>
      </c>
      <c r="E1023" s="12" t="s">
        <v>2236</v>
      </c>
      <c r="F1023" s="8">
        <v>0</v>
      </c>
      <c r="G1023" s="12" t="s">
        <v>2237</v>
      </c>
      <c r="H1023" s="12">
        <v>0</v>
      </c>
      <c r="I1023" s="12" t="s">
        <v>2237</v>
      </c>
      <c r="J1023" s="12">
        <v>0</v>
      </c>
      <c r="K1023" s="12" t="s">
        <v>2237</v>
      </c>
      <c r="L1023" s="12">
        <v>0</v>
      </c>
      <c r="M1023" s="12" t="s">
        <v>2237</v>
      </c>
      <c r="N1023" s="8">
        <v>518.29999999999995</v>
      </c>
      <c r="O1023" s="12" t="s">
        <v>2237</v>
      </c>
      <c r="P1023" s="12" t="s">
        <v>2236</v>
      </c>
      <c r="Q1023" s="10" t="s">
        <v>2236</v>
      </c>
      <c r="R1023" s="10" t="s">
        <v>2236</v>
      </c>
      <c r="S1023" s="10" t="s">
        <v>2236</v>
      </c>
      <c r="T1023" s="10" t="s">
        <v>3196</v>
      </c>
      <c r="U10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4" spans="1:31" hidden="1" x14ac:dyDescent="0.3">
      <c r="A1024" s="12" t="s">
        <v>2813</v>
      </c>
      <c r="B1024" s="12" t="s">
        <v>2371</v>
      </c>
      <c r="C1024" s="12" t="s">
        <v>3663</v>
      </c>
      <c r="D1024" s="12" t="s">
        <v>3664</v>
      </c>
      <c r="E1024" s="12" t="s">
        <v>2236</v>
      </c>
      <c r="F1024" s="8">
        <v>0</v>
      </c>
      <c r="G1024" s="12" t="s">
        <v>2237</v>
      </c>
      <c r="H1024" s="12">
        <v>0</v>
      </c>
      <c r="I1024" s="12" t="s">
        <v>2237</v>
      </c>
      <c r="J1024" s="12">
        <v>0</v>
      </c>
      <c r="K1024" s="12" t="s">
        <v>2237</v>
      </c>
      <c r="L1024" s="12">
        <v>0</v>
      </c>
      <c r="M1024" s="12" t="s">
        <v>2237</v>
      </c>
      <c r="N1024" s="8">
        <v>0</v>
      </c>
      <c r="O1024" s="12" t="s">
        <v>2237</v>
      </c>
      <c r="P1024" s="12" t="s">
        <v>2236</v>
      </c>
      <c r="Q1024" s="10" t="s">
        <v>2236</v>
      </c>
      <c r="R1024" s="10" t="s">
        <v>2236</v>
      </c>
      <c r="S1024" s="10" t="s">
        <v>2236</v>
      </c>
      <c r="T1024" s="10" t="s">
        <v>2236</v>
      </c>
      <c r="U10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5" spans="1:31" hidden="1" x14ac:dyDescent="0.3">
      <c r="A1025" s="12" t="s">
        <v>2814</v>
      </c>
      <c r="B1025" s="12" t="s">
        <v>2371</v>
      </c>
      <c r="C1025" s="12" t="s">
        <v>3665</v>
      </c>
      <c r="D1025" s="12" t="s">
        <v>3666</v>
      </c>
      <c r="E1025" s="12" t="s">
        <v>2236</v>
      </c>
      <c r="F1025" s="8">
        <v>0</v>
      </c>
      <c r="G1025" s="12" t="s">
        <v>2237</v>
      </c>
      <c r="H1025" s="12">
        <v>0</v>
      </c>
      <c r="I1025" s="12" t="s">
        <v>2237</v>
      </c>
      <c r="J1025" s="12">
        <v>0</v>
      </c>
      <c r="K1025" s="12" t="s">
        <v>2237</v>
      </c>
      <c r="L1025" s="12">
        <v>0</v>
      </c>
      <c r="M1025" s="12" t="s">
        <v>2237</v>
      </c>
      <c r="N1025" s="8">
        <v>0</v>
      </c>
      <c r="O1025" s="12" t="s">
        <v>2237</v>
      </c>
      <c r="P1025" s="12" t="s">
        <v>2236</v>
      </c>
      <c r="Q1025" s="10" t="s">
        <v>2236</v>
      </c>
      <c r="R1025" s="10" t="s">
        <v>2236</v>
      </c>
      <c r="S1025" s="10" t="s">
        <v>2236</v>
      </c>
      <c r="T1025" s="10" t="s">
        <v>2236</v>
      </c>
      <c r="U10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6" spans="1:31" hidden="1" x14ac:dyDescent="0.3">
      <c r="A1026" s="12" t="s">
        <v>2815</v>
      </c>
      <c r="B1026" s="12" t="s">
        <v>2371</v>
      </c>
      <c r="C1026" s="12" t="s">
        <v>3667</v>
      </c>
      <c r="D1026" s="12" t="s">
        <v>3668</v>
      </c>
      <c r="E1026" s="12" t="s">
        <v>2236</v>
      </c>
      <c r="F1026" s="8">
        <v>0</v>
      </c>
      <c r="G1026" s="12" t="s">
        <v>2237</v>
      </c>
      <c r="H1026" s="12">
        <v>0</v>
      </c>
      <c r="I1026" s="12" t="s">
        <v>2237</v>
      </c>
      <c r="J1026" s="12">
        <v>0</v>
      </c>
      <c r="K1026" s="12" t="s">
        <v>2237</v>
      </c>
      <c r="L1026" s="12">
        <v>0</v>
      </c>
      <c r="M1026" s="12" t="s">
        <v>2237</v>
      </c>
      <c r="N1026" s="8">
        <v>0</v>
      </c>
      <c r="O1026" s="12" t="s">
        <v>2237</v>
      </c>
      <c r="P1026" s="12" t="s">
        <v>2236</v>
      </c>
      <c r="Q1026" s="10" t="s">
        <v>2236</v>
      </c>
      <c r="R1026" s="10" t="s">
        <v>2236</v>
      </c>
      <c r="S1026" s="10" t="s">
        <v>2236</v>
      </c>
      <c r="T1026" s="10" t="s">
        <v>2236</v>
      </c>
      <c r="U10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7" spans="1:31" hidden="1" x14ac:dyDescent="0.3">
      <c r="A1027" s="12" t="s">
        <v>2816</v>
      </c>
      <c r="B1027" s="12" t="s">
        <v>2371</v>
      </c>
      <c r="C1027" s="12" t="s">
        <v>3669</v>
      </c>
      <c r="D1027" s="12" t="s">
        <v>3670</v>
      </c>
      <c r="E1027" s="12" t="s">
        <v>2236</v>
      </c>
      <c r="F1027" s="8">
        <v>0</v>
      </c>
      <c r="G1027" s="12" t="s">
        <v>2237</v>
      </c>
      <c r="H1027" s="12">
        <v>0</v>
      </c>
      <c r="I1027" s="12" t="s">
        <v>2237</v>
      </c>
      <c r="J1027" s="12">
        <v>0</v>
      </c>
      <c r="K1027" s="12" t="s">
        <v>2237</v>
      </c>
      <c r="L1027" s="12">
        <v>0</v>
      </c>
      <c r="M1027" s="12" t="s">
        <v>2237</v>
      </c>
      <c r="N1027" s="8">
        <v>0</v>
      </c>
      <c r="O1027" s="12" t="s">
        <v>2237</v>
      </c>
      <c r="P1027" s="12" t="s">
        <v>2236</v>
      </c>
      <c r="Q1027" s="10" t="s">
        <v>2236</v>
      </c>
      <c r="R1027" s="10" t="s">
        <v>2236</v>
      </c>
      <c r="S1027" s="10" t="s">
        <v>2236</v>
      </c>
      <c r="T1027" s="10" t="s">
        <v>2236</v>
      </c>
      <c r="U10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8" spans="1:31" hidden="1" x14ac:dyDescent="0.3">
      <c r="A1028" s="12" t="s">
        <v>2818</v>
      </c>
      <c r="B1028" s="12" t="s">
        <v>2371</v>
      </c>
      <c r="C1028" s="12" t="s">
        <v>3671</v>
      </c>
      <c r="D1028" s="12" t="s">
        <v>3672</v>
      </c>
      <c r="E1028" s="12" t="s">
        <v>2236</v>
      </c>
      <c r="F1028" s="8">
        <v>0</v>
      </c>
      <c r="G1028" s="12" t="s">
        <v>2237</v>
      </c>
      <c r="H1028" s="12">
        <v>0</v>
      </c>
      <c r="I1028" s="12" t="s">
        <v>2237</v>
      </c>
      <c r="J1028" s="12">
        <v>0</v>
      </c>
      <c r="K1028" s="12" t="s">
        <v>2237</v>
      </c>
      <c r="L1028" s="12">
        <v>0</v>
      </c>
      <c r="M1028" s="12" t="s">
        <v>2237</v>
      </c>
      <c r="N1028" s="8">
        <v>0</v>
      </c>
      <c r="O1028" s="12" t="s">
        <v>2237</v>
      </c>
      <c r="P1028" s="12" t="s">
        <v>2236</v>
      </c>
      <c r="Q1028" s="10" t="s">
        <v>2236</v>
      </c>
      <c r="R1028" s="10" t="s">
        <v>2236</v>
      </c>
      <c r="S1028" s="10" t="s">
        <v>2236</v>
      </c>
      <c r="T1028" s="10" t="s">
        <v>2236</v>
      </c>
      <c r="U10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29" spans="1:31" hidden="1" x14ac:dyDescent="0.3">
      <c r="A1029" s="12" t="s">
        <v>2819</v>
      </c>
      <c r="B1029" s="12" t="s">
        <v>2371</v>
      </c>
      <c r="C1029" s="12" t="s">
        <v>3673</v>
      </c>
      <c r="D1029" s="12" t="s">
        <v>3674</v>
      </c>
      <c r="E1029" s="12" t="s">
        <v>2236</v>
      </c>
      <c r="F1029" s="8">
        <v>0</v>
      </c>
      <c r="G1029" s="12" t="s">
        <v>2237</v>
      </c>
      <c r="H1029" s="12">
        <v>0</v>
      </c>
      <c r="I1029" s="12" t="s">
        <v>2237</v>
      </c>
      <c r="J1029" s="12">
        <v>0</v>
      </c>
      <c r="K1029" s="12" t="s">
        <v>2237</v>
      </c>
      <c r="L1029" s="12">
        <v>0</v>
      </c>
      <c r="M1029" s="12" t="s">
        <v>2237</v>
      </c>
      <c r="N1029" s="8">
        <v>0</v>
      </c>
      <c r="O1029" s="12" t="s">
        <v>2237</v>
      </c>
      <c r="P1029" s="12" t="s">
        <v>2236</v>
      </c>
      <c r="Q1029" s="10" t="s">
        <v>2236</v>
      </c>
      <c r="R1029" s="10" t="s">
        <v>2236</v>
      </c>
      <c r="S1029" s="10" t="s">
        <v>2236</v>
      </c>
      <c r="T1029" s="10" t="s">
        <v>2236</v>
      </c>
      <c r="U10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0" spans="1:31" hidden="1" x14ac:dyDescent="0.3">
      <c r="A1030" s="12" t="s">
        <v>2820</v>
      </c>
      <c r="B1030" s="12" t="s">
        <v>2371</v>
      </c>
      <c r="C1030" s="12" t="s">
        <v>3675</v>
      </c>
      <c r="D1030" s="12" t="s">
        <v>3676</v>
      </c>
      <c r="E1030" s="12" t="s">
        <v>2236</v>
      </c>
      <c r="F1030" s="8">
        <v>0</v>
      </c>
      <c r="G1030" s="12" t="s">
        <v>2237</v>
      </c>
      <c r="H1030" s="12">
        <v>0</v>
      </c>
      <c r="I1030" s="12" t="s">
        <v>2237</v>
      </c>
      <c r="J1030" s="12">
        <v>0</v>
      </c>
      <c r="K1030" s="12" t="s">
        <v>2237</v>
      </c>
      <c r="L1030" s="12">
        <v>0</v>
      </c>
      <c r="M1030" s="12" t="s">
        <v>2237</v>
      </c>
      <c r="N1030" s="8">
        <v>0</v>
      </c>
      <c r="O1030" s="12" t="s">
        <v>2237</v>
      </c>
      <c r="P1030" s="12" t="s">
        <v>2236</v>
      </c>
      <c r="Q1030" s="10" t="s">
        <v>2236</v>
      </c>
      <c r="R1030" s="10" t="s">
        <v>2236</v>
      </c>
      <c r="S1030" s="10" t="s">
        <v>2236</v>
      </c>
      <c r="T1030" s="10" t="s">
        <v>2236</v>
      </c>
      <c r="U10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1" spans="1:31" hidden="1" x14ac:dyDescent="0.3">
      <c r="A1031" s="12" t="s">
        <v>2821</v>
      </c>
      <c r="B1031" s="12" t="s">
        <v>2371</v>
      </c>
      <c r="C1031" s="12" t="s">
        <v>3677</v>
      </c>
      <c r="D1031" s="12" t="s">
        <v>3678</v>
      </c>
      <c r="E1031" s="12" t="s">
        <v>2236</v>
      </c>
      <c r="F1031" s="8">
        <v>0</v>
      </c>
      <c r="G1031" s="12" t="s">
        <v>2237</v>
      </c>
      <c r="H1031" s="12">
        <v>0</v>
      </c>
      <c r="I1031" s="12" t="s">
        <v>2237</v>
      </c>
      <c r="J1031" s="12">
        <v>0</v>
      </c>
      <c r="K1031" s="12" t="s">
        <v>2237</v>
      </c>
      <c r="L1031" s="12">
        <v>0</v>
      </c>
      <c r="M1031" s="12" t="s">
        <v>2237</v>
      </c>
      <c r="N1031" s="8">
        <v>0</v>
      </c>
      <c r="O1031" s="12" t="s">
        <v>2237</v>
      </c>
      <c r="P1031" s="12" t="s">
        <v>2236</v>
      </c>
      <c r="Q1031" s="10" t="s">
        <v>2236</v>
      </c>
      <c r="R1031" s="10" t="s">
        <v>2236</v>
      </c>
      <c r="S1031" s="10" t="s">
        <v>2236</v>
      </c>
      <c r="T1031" s="10" t="s">
        <v>2236</v>
      </c>
      <c r="U10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2" spans="1:31" hidden="1" x14ac:dyDescent="0.3">
      <c r="A1032" s="12" t="s">
        <v>2822</v>
      </c>
      <c r="B1032" s="12" t="s">
        <v>2371</v>
      </c>
      <c r="C1032" s="12" t="s">
        <v>3679</v>
      </c>
      <c r="D1032" s="12" t="s">
        <v>3680</v>
      </c>
      <c r="E1032" s="12" t="s">
        <v>2236</v>
      </c>
      <c r="F1032" s="8">
        <v>0</v>
      </c>
      <c r="G1032" s="12" t="s">
        <v>2237</v>
      </c>
      <c r="H1032" s="12">
        <v>0</v>
      </c>
      <c r="I1032" s="12" t="s">
        <v>2237</v>
      </c>
      <c r="J1032" s="12">
        <v>0</v>
      </c>
      <c r="K1032" s="12" t="s">
        <v>2237</v>
      </c>
      <c r="L1032" s="12">
        <v>0</v>
      </c>
      <c r="M1032" s="12" t="s">
        <v>2237</v>
      </c>
      <c r="N1032" s="8">
        <v>0</v>
      </c>
      <c r="O1032" s="12" t="s">
        <v>2237</v>
      </c>
      <c r="P1032" s="12" t="s">
        <v>2236</v>
      </c>
      <c r="Q1032" s="10" t="s">
        <v>2236</v>
      </c>
      <c r="R1032" s="10" t="s">
        <v>2236</v>
      </c>
      <c r="S1032" s="10" t="s">
        <v>2236</v>
      </c>
      <c r="T1032" s="10" t="s">
        <v>2236</v>
      </c>
      <c r="U10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3" spans="1:31" hidden="1" x14ac:dyDescent="0.3">
      <c r="A1033" s="12" t="s">
        <v>2823</v>
      </c>
      <c r="B1033" s="12" t="s">
        <v>2371</v>
      </c>
      <c r="C1033" s="12" t="s">
        <v>3681</v>
      </c>
      <c r="D1033" s="12" t="s">
        <v>3682</v>
      </c>
      <c r="E1033" s="12" t="s">
        <v>2236</v>
      </c>
      <c r="F1033" s="8">
        <v>0</v>
      </c>
      <c r="G1033" s="12" t="s">
        <v>2237</v>
      </c>
      <c r="H1033" s="12">
        <v>0</v>
      </c>
      <c r="I1033" s="12" t="s">
        <v>2237</v>
      </c>
      <c r="J1033" s="12">
        <v>0</v>
      </c>
      <c r="K1033" s="12" t="s">
        <v>2237</v>
      </c>
      <c r="L1033" s="12">
        <v>0</v>
      </c>
      <c r="M1033" s="12" t="s">
        <v>2237</v>
      </c>
      <c r="N1033" s="8">
        <v>0</v>
      </c>
      <c r="O1033" s="12" t="s">
        <v>2237</v>
      </c>
      <c r="P1033" s="12" t="s">
        <v>2236</v>
      </c>
      <c r="Q1033" s="10" t="s">
        <v>2236</v>
      </c>
      <c r="R1033" s="10" t="s">
        <v>2236</v>
      </c>
      <c r="S1033" s="10" t="s">
        <v>2236</v>
      </c>
      <c r="T1033" s="10" t="s">
        <v>2236</v>
      </c>
      <c r="U10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4" spans="1:31" hidden="1" x14ac:dyDescent="0.3">
      <c r="A1034" s="12" t="s">
        <v>2824</v>
      </c>
      <c r="B1034" s="12" t="s">
        <v>2371</v>
      </c>
      <c r="C1034" s="12" t="s">
        <v>3683</v>
      </c>
      <c r="D1034" s="12" t="s">
        <v>3684</v>
      </c>
      <c r="E1034" s="12" t="s">
        <v>2236</v>
      </c>
      <c r="F1034" s="8">
        <v>0</v>
      </c>
      <c r="G1034" s="12" t="s">
        <v>2237</v>
      </c>
      <c r="H1034" s="12">
        <v>0</v>
      </c>
      <c r="I1034" s="12" t="s">
        <v>2237</v>
      </c>
      <c r="J1034" s="12">
        <v>0</v>
      </c>
      <c r="K1034" s="12" t="s">
        <v>2237</v>
      </c>
      <c r="L1034" s="12">
        <v>0</v>
      </c>
      <c r="M1034" s="12" t="s">
        <v>2237</v>
      </c>
      <c r="N1034" s="8">
        <v>0</v>
      </c>
      <c r="O1034" s="12" t="s">
        <v>2237</v>
      </c>
      <c r="P1034" s="12" t="s">
        <v>2236</v>
      </c>
      <c r="Q1034" s="10" t="s">
        <v>2236</v>
      </c>
      <c r="R1034" s="10" t="s">
        <v>2236</v>
      </c>
      <c r="S1034" s="10" t="s">
        <v>2236</v>
      </c>
      <c r="T1034" s="10" t="s">
        <v>2236</v>
      </c>
      <c r="U10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5" spans="1:31" hidden="1" x14ac:dyDescent="0.3">
      <c r="A1035" s="12" t="s">
        <v>2825</v>
      </c>
      <c r="B1035" s="12" t="s">
        <v>2371</v>
      </c>
      <c r="C1035" s="12" t="s">
        <v>3685</v>
      </c>
      <c r="D1035" s="12" t="s">
        <v>3686</v>
      </c>
      <c r="E1035" s="12" t="s">
        <v>2236</v>
      </c>
      <c r="F1035" s="8">
        <v>0</v>
      </c>
      <c r="G1035" s="12" t="s">
        <v>2237</v>
      </c>
      <c r="H1035" s="12">
        <v>0</v>
      </c>
      <c r="I1035" s="12" t="s">
        <v>2237</v>
      </c>
      <c r="J1035" s="12">
        <v>0</v>
      </c>
      <c r="K1035" s="12" t="s">
        <v>2237</v>
      </c>
      <c r="L1035" s="12">
        <v>0</v>
      </c>
      <c r="M1035" s="12" t="s">
        <v>2237</v>
      </c>
      <c r="N1035" s="8">
        <v>0</v>
      </c>
      <c r="O1035" s="12" t="s">
        <v>2237</v>
      </c>
      <c r="P1035" s="12" t="s">
        <v>2236</v>
      </c>
      <c r="Q1035" s="10" t="s">
        <v>2236</v>
      </c>
      <c r="R1035" s="10" t="s">
        <v>2236</v>
      </c>
      <c r="S1035" s="10" t="s">
        <v>2236</v>
      </c>
      <c r="T1035" s="10" t="s">
        <v>2236</v>
      </c>
      <c r="U10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6" spans="1:31" hidden="1" x14ac:dyDescent="0.3">
      <c r="A1036" s="12" t="s">
        <v>2826</v>
      </c>
      <c r="B1036" s="12" t="s">
        <v>2371</v>
      </c>
      <c r="C1036" s="12" t="s">
        <v>3687</v>
      </c>
      <c r="D1036" s="12" t="s">
        <v>3688</v>
      </c>
      <c r="E1036" s="12" t="s">
        <v>2236</v>
      </c>
      <c r="F1036" s="8">
        <v>0</v>
      </c>
      <c r="G1036" s="12" t="s">
        <v>2237</v>
      </c>
      <c r="H1036" s="12">
        <v>0</v>
      </c>
      <c r="I1036" s="12" t="s">
        <v>2237</v>
      </c>
      <c r="J1036" s="12">
        <v>0</v>
      </c>
      <c r="K1036" s="12" t="s">
        <v>2237</v>
      </c>
      <c r="L1036" s="12">
        <v>0</v>
      </c>
      <c r="M1036" s="12" t="s">
        <v>2237</v>
      </c>
      <c r="N1036" s="8">
        <v>0</v>
      </c>
      <c r="O1036" s="12" t="s">
        <v>2237</v>
      </c>
      <c r="P1036" s="12" t="s">
        <v>2236</v>
      </c>
      <c r="Q1036" s="10" t="s">
        <v>2236</v>
      </c>
      <c r="R1036" s="10" t="s">
        <v>2236</v>
      </c>
      <c r="S1036" s="10" t="s">
        <v>2236</v>
      </c>
      <c r="T1036" s="10" t="s">
        <v>2236</v>
      </c>
      <c r="U10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7" spans="1:31" hidden="1" x14ac:dyDescent="0.3">
      <c r="A1037" s="12" t="s">
        <v>2827</v>
      </c>
      <c r="B1037" s="12" t="s">
        <v>2371</v>
      </c>
      <c r="C1037" s="12" t="s">
        <v>3689</v>
      </c>
      <c r="D1037" s="12" t="s">
        <v>3690</v>
      </c>
      <c r="E1037" s="12" t="s">
        <v>2236</v>
      </c>
      <c r="F1037" s="8">
        <v>0</v>
      </c>
      <c r="G1037" s="12" t="s">
        <v>2237</v>
      </c>
      <c r="H1037" s="12">
        <v>0</v>
      </c>
      <c r="I1037" s="12" t="s">
        <v>2237</v>
      </c>
      <c r="J1037" s="12">
        <v>0</v>
      </c>
      <c r="K1037" s="12" t="s">
        <v>2237</v>
      </c>
      <c r="L1037" s="12">
        <v>0</v>
      </c>
      <c r="M1037" s="12" t="s">
        <v>2237</v>
      </c>
      <c r="N1037" s="8">
        <v>0</v>
      </c>
      <c r="O1037" s="12" t="s">
        <v>2237</v>
      </c>
      <c r="P1037" s="12" t="s">
        <v>2236</v>
      </c>
      <c r="Q1037" s="10" t="s">
        <v>2236</v>
      </c>
      <c r="R1037" s="10" t="s">
        <v>2236</v>
      </c>
      <c r="S1037" s="10" t="s">
        <v>2236</v>
      </c>
      <c r="T1037" s="10" t="s">
        <v>2236</v>
      </c>
      <c r="U10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8" spans="1:31" hidden="1" x14ac:dyDescent="0.3">
      <c r="A1038" s="12" t="s">
        <v>2828</v>
      </c>
      <c r="B1038" s="12" t="s">
        <v>2371</v>
      </c>
      <c r="C1038" s="12" t="s">
        <v>3691</v>
      </c>
      <c r="D1038" s="12" t="s">
        <v>3692</v>
      </c>
      <c r="E1038" s="12" t="s">
        <v>2236</v>
      </c>
      <c r="F1038" s="8">
        <v>0</v>
      </c>
      <c r="G1038" s="12" t="s">
        <v>2237</v>
      </c>
      <c r="H1038" s="12">
        <v>0</v>
      </c>
      <c r="I1038" s="12" t="s">
        <v>2237</v>
      </c>
      <c r="J1038" s="12">
        <v>0</v>
      </c>
      <c r="K1038" s="12" t="s">
        <v>2237</v>
      </c>
      <c r="L1038" s="12">
        <v>0</v>
      </c>
      <c r="M1038" s="12" t="s">
        <v>2237</v>
      </c>
      <c r="N1038" s="8">
        <v>0</v>
      </c>
      <c r="O1038" s="12" t="s">
        <v>2237</v>
      </c>
      <c r="P1038" s="12" t="s">
        <v>2236</v>
      </c>
      <c r="Q1038" s="10" t="s">
        <v>2236</v>
      </c>
      <c r="R1038" s="10" t="s">
        <v>2236</v>
      </c>
      <c r="S1038" s="10" t="s">
        <v>2236</v>
      </c>
      <c r="T1038" s="10" t="s">
        <v>2236</v>
      </c>
      <c r="U10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39" spans="1:31" hidden="1" x14ac:dyDescent="0.3">
      <c r="A1039" s="12" t="s">
        <v>2829</v>
      </c>
      <c r="B1039" s="12" t="s">
        <v>2371</v>
      </c>
      <c r="C1039" s="12" t="s">
        <v>3693</v>
      </c>
      <c r="D1039" s="12" t="s">
        <v>3694</v>
      </c>
      <c r="E1039" s="12" t="s">
        <v>2236</v>
      </c>
      <c r="F1039" s="8">
        <v>0</v>
      </c>
      <c r="G1039" s="12" t="s">
        <v>2237</v>
      </c>
      <c r="H1039" s="12">
        <v>0</v>
      </c>
      <c r="I1039" s="12" t="s">
        <v>2237</v>
      </c>
      <c r="J1039" s="12">
        <v>0</v>
      </c>
      <c r="K1039" s="12" t="s">
        <v>2237</v>
      </c>
      <c r="L1039" s="12">
        <v>0</v>
      </c>
      <c r="M1039" s="12" t="s">
        <v>2237</v>
      </c>
      <c r="N1039" s="8">
        <v>0</v>
      </c>
      <c r="O1039" s="12" t="s">
        <v>2237</v>
      </c>
      <c r="P1039" s="12" t="s">
        <v>2236</v>
      </c>
      <c r="Q1039" s="10" t="s">
        <v>2236</v>
      </c>
      <c r="R1039" s="10" t="s">
        <v>2236</v>
      </c>
      <c r="S1039" s="10" t="s">
        <v>2236</v>
      </c>
      <c r="T1039" s="10" t="s">
        <v>2236</v>
      </c>
      <c r="U10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0" spans="1:31" hidden="1" x14ac:dyDescent="0.3">
      <c r="A1040" s="12" t="s">
        <v>2830</v>
      </c>
      <c r="B1040" s="12" t="s">
        <v>2371</v>
      </c>
      <c r="C1040" s="12" t="s">
        <v>3695</v>
      </c>
      <c r="D1040" s="12" t="s">
        <v>3696</v>
      </c>
      <c r="E1040" s="12" t="s">
        <v>2236</v>
      </c>
      <c r="F1040" s="8">
        <v>0</v>
      </c>
      <c r="G1040" s="12" t="s">
        <v>2237</v>
      </c>
      <c r="H1040" s="12">
        <v>0</v>
      </c>
      <c r="I1040" s="12" t="s">
        <v>2237</v>
      </c>
      <c r="J1040" s="12">
        <v>0</v>
      </c>
      <c r="K1040" s="12" t="s">
        <v>2237</v>
      </c>
      <c r="L1040" s="12">
        <v>0</v>
      </c>
      <c r="M1040" s="12" t="s">
        <v>2237</v>
      </c>
      <c r="N1040" s="8">
        <v>0</v>
      </c>
      <c r="O1040" s="12" t="s">
        <v>2237</v>
      </c>
      <c r="P1040" s="12" t="s">
        <v>2236</v>
      </c>
      <c r="Q1040" s="10" t="s">
        <v>2236</v>
      </c>
      <c r="R1040" s="10" t="s">
        <v>2236</v>
      </c>
      <c r="S1040" s="10" t="s">
        <v>2236</v>
      </c>
      <c r="T1040" s="10" t="s">
        <v>2236</v>
      </c>
      <c r="U10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1" spans="1:31" hidden="1" x14ac:dyDescent="0.3">
      <c r="A1041" s="12" t="s">
        <v>2831</v>
      </c>
      <c r="B1041" s="12" t="s">
        <v>2371</v>
      </c>
      <c r="C1041" s="12" t="s">
        <v>2972</v>
      </c>
      <c r="D1041" s="12" t="s">
        <v>3697</v>
      </c>
      <c r="E1041" s="12" t="s">
        <v>2236</v>
      </c>
      <c r="F1041" s="8">
        <v>0</v>
      </c>
      <c r="G1041" s="12" t="s">
        <v>2237</v>
      </c>
      <c r="H1041" s="12">
        <v>0</v>
      </c>
      <c r="I1041" s="12" t="s">
        <v>2237</v>
      </c>
      <c r="J1041" s="12">
        <v>0</v>
      </c>
      <c r="K1041" s="12" t="s">
        <v>2237</v>
      </c>
      <c r="L1041" s="12">
        <v>0</v>
      </c>
      <c r="M1041" s="12" t="s">
        <v>2237</v>
      </c>
      <c r="N1041" s="8">
        <v>0</v>
      </c>
      <c r="O1041" s="12" t="s">
        <v>2237</v>
      </c>
      <c r="P1041" s="12" t="s">
        <v>2236</v>
      </c>
      <c r="Q1041" s="10" t="s">
        <v>2236</v>
      </c>
      <c r="R1041" s="10" t="s">
        <v>2236</v>
      </c>
      <c r="S1041" s="10" t="s">
        <v>2236</v>
      </c>
      <c r="T1041" s="10" t="s">
        <v>2236</v>
      </c>
      <c r="U10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2" spans="1:31" hidden="1" x14ac:dyDescent="0.3">
      <c r="A1042" s="12" t="s">
        <v>2832</v>
      </c>
      <c r="B1042" s="12" t="s">
        <v>2371</v>
      </c>
      <c r="C1042" s="12" t="s">
        <v>3698</v>
      </c>
      <c r="D1042" s="12" t="s">
        <v>3699</v>
      </c>
      <c r="E1042" s="12" t="s">
        <v>2236</v>
      </c>
      <c r="F1042" s="8">
        <v>0</v>
      </c>
      <c r="G1042" s="12" t="s">
        <v>2237</v>
      </c>
      <c r="H1042" s="12">
        <v>0</v>
      </c>
      <c r="I1042" s="12" t="s">
        <v>2237</v>
      </c>
      <c r="J1042" s="12">
        <v>0</v>
      </c>
      <c r="K1042" s="12" t="s">
        <v>2237</v>
      </c>
      <c r="L1042" s="12">
        <v>0</v>
      </c>
      <c r="M1042" s="12" t="s">
        <v>2237</v>
      </c>
      <c r="N1042" s="8">
        <v>0</v>
      </c>
      <c r="O1042" s="12" t="s">
        <v>2237</v>
      </c>
      <c r="P1042" s="12" t="s">
        <v>2236</v>
      </c>
      <c r="Q1042" s="10" t="s">
        <v>2236</v>
      </c>
      <c r="R1042" s="10" t="s">
        <v>2236</v>
      </c>
      <c r="S1042" s="10" t="s">
        <v>2236</v>
      </c>
      <c r="T1042" s="10" t="s">
        <v>2236</v>
      </c>
      <c r="U10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3" spans="1:31" hidden="1" x14ac:dyDescent="0.3">
      <c r="A1043" s="12" t="s">
        <v>2833</v>
      </c>
      <c r="B1043" s="12" t="s">
        <v>2366</v>
      </c>
      <c r="C1043" s="12" t="s">
        <v>3700</v>
      </c>
      <c r="D1043" s="12" t="s">
        <v>3701</v>
      </c>
      <c r="E1043" s="12" t="s">
        <v>2236</v>
      </c>
      <c r="F1043" s="8">
        <v>0</v>
      </c>
      <c r="G1043" s="12" t="s">
        <v>2237</v>
      </c>
      <c r="H1043" s="12">
        <v>0</v>
      </c>
      <c r="I1043" s="12" t="s">
        <v>2237</v>
      </c>
      <c r="J1043" s="12">
        <v>0</v>
      </c>
      <c r="K1043" s="12" t="s">
        <v>2237</v>
      </c>
      <c r="L1043" s="12">
        <v>0</v>
      </c>
      <c r="M1043" s="12" t="s">
        <v>2237</v>
      </c>
      <c r="N1043" s="8">
        <v>0.56000000000000005</v>
      </c>
      <c r="O1043" s="12" t="s">
        <v>2237</v>
      </c>
      <c r="P1043" s="12" t="s">
        <v>2236</v>
      </c>
      <c r="Q1043" s="10" t="s">
        <v>2236</v>
      </c>
      <c r="R1043" s="10" t="s">
        <v>2236</v>
      </c>
      <c r="S1043" s="10" t="s">
        <v>2236</v>
      </c>
      <c r="T1043" s="10" t="s">
        <v>2929</v>
      </c>
      <c r="U10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4" spans="1:31" hidden="1" x14ac:dyDescent="0.3">
      <c r="A1044" s="12" t="s">
        <v>2834</v>
      </c>
      <c r="B1044" s="12" t="s">
        <v>2371</v>
      </c>
      <c r="C1044" s="12" t="s">
        <v>3702</v>
      </c>
      <c r="D1044" s="12" t="s">
        <v>3703</v>
      </c>
      <c r="E1044" s="12" t="s">
        <v>2236</v>
      </c>
      <c r="F1044" s="8">
        <v>0</v>
      </c>
      <c r="G1044" s="12" t="s">
        <v>2237</v>
      </c>
      <c r="H1044" s="12">
        <v>0</v>
      </c>
      <c r="I1044" s="12" t="s">
        <v>2237</v>
      </c>
      <c r="J1044" s="12">
        <v>0</v>
      </c>
      <c r="K1044" s="12" t="s">
        <v>2237</v>
      </c>
      <c r="L1044" s="12">
        <v>0</v>
      </c>
      <c r="M1044" s="12" t="s">
        <v>2237</v>
      </c>
      <c r="N1044" s="8">
        <v>0</v>
      </c>
      <c r="O1044" s="12" t="s">
        <v>2237</v>
      </c>
      <c r="P1044" s="12" t="s">
        <v>2236</v>
      </c>
      <c r="Q1044" s="10" t="s">
        <v>2236</v>
      </c>
      <c r="R1044" s="10" t="s">
        <v>2236</v>
      </c>
      <c r="S1044" s="10" t="s">
        <v>2236</v>
      </c>
      <c r="T1044" s="10" t="s">
        <v>2236</v>
      </c>
      <c r="U10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5" spans="1:31" hidden="1" x14ac:dyDescent="0.3">
      <c r="A1045" s="12" t="s">
        <v>2835</v>
      </c>
      <c r="B1045" s="12" t="s">
        <v>2371</v>
      </c>
      <c r="C1045" s="12" t="s">
        <v>3704</v>
      </c>
      <c r="D1045" s="12" t="s">
        <v>3705</v>
      </c>
      <c r="E1045" s="12" t="s">
        <v>2236</v>
      </c>
      <c r="F1045" s="8">
        <v>0</v>
      </c>
      <c r="G1045" s="12" t="s">
        <v>2237</v>
      </c>
      <c r="H1045" s="12">
        <v>0</v>
      </c>
      <c r="I1045" s="12" t="s">
        <v>2237</v>
      </c>
      <c r="J1045" s="12">
        <v>0</v>
      </c>
      <c r="K1045" s="12" t="s">
        <v>2237</v>
      </c>
      <c r="L1045" s="12">
        <v>0</v>
      </c>
      <c r="M1045" s="12" t="s">
        <v>2237</v>
      </c>
      <c r="N1045" s="8">
        <v>0</v>
      </c>
      <c r="O1045" s="12" t="s">
        <v>2237</v>
      </c>
      <c r="P1045" s="12" t="s">
        <v>2236</v>
      </c>
      <c r="Q1045" s="10" t="s">
        <v>2236</v>
      </c>
      <c r="R1045" s="10" t="s">
        <v>2236</v>
      </c>
      <c r="S1045" s="10" t="s">
        <v>2236</v>
      </c>
      <c r="T1045" s="10" t="s">
        <v>2236</v>
      </c>
      <c r="U10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6" spans="1:31" hidden="1" x14ac:dyDescent="0.3">
      <c r="A1046" s="12" t="s">
        <v>2836</v>
      </c>
      <c r="B1046" s="12" t="s">
        <v>2371</v>
      </c>
      <c r="C1046" s="12" t="s">
        <v>3706</v>
      </c>
      <c r="D1046" s="12" t="s">
        <v>3707</v>
      </c>
      <c r="E1046" s="12" t="s">
        <v>2236</v>
      </c>
      <c r="F1046" s="8">
        <v>0</v>
      </c>
      <c r="G1046" s="12" t="s">
        <v>2237</v>
      </c>
      <c r="H1046" s="12">
        <v>0</v>
      </c>
      <c r="I1046" s="12" t="s">
        <v>2237</v>
      </c>
      <c r="J1046" s="12">
        <v>0</v>
      </c>
      <c r="K1046" s="12" t="s">
        <v>2237</v>
      </c>
      <c r="L1046" s="12">
        <v>0</v>
      </c>
      <c r="M1046" s="12" t="s">
        <v>2237</v>
      </c>
      <c r="N1046" s="8">
        <v>0</v>
      </c>
      <c r="O1046" s="12" t="s">
        <v>2237</v>
      </c>
      <c r="P1046" s="12" t="s">
        <v>2236</v>
      </c>
      <c r="Q1046" s="10" t="s">
        <v>2236</v>
      </c>
      <c r="R1046" s="10" t="s">
        <v>2236</v>
      </c>
      <c r="S1046" s="10" t="s">
        <v>2236</v>
      </c>
      <c r="T1046" s="10" t="s">
        <v>2236</v>
      </c>
      <c r="U10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7" spans="1:31" hidden="1" x14ac:dyDescent="0.3">
      <c r="A1047" s="12" t="s">
        <v>2837</v>
      </c>
      <c r="B1047" s="12" t="s">
        <v>2371</v>
      </c>
      <c r="C1047" s="12" t="s">
        <v>3708</v>
      </c>
      <c r="D1047" s="12" t="s">
        <v>3709</v>
      </c>
      <c r="E1047" s="12" t="s">
        <v>2236</v>
      </c>
      <c r="F1047" s="8">
        <v>0</v>
      </c>
      <c r="G1047" s="12" t="s">
        <v>2237</v>
      </c>
      <c r="H1047" s="12">
        <v>0</v>
      </c>
      <c r="I1047" s="12" t="s">
        <v>2237</v>
      </c>
      <c r="J1047" s="12">
        <v>0</v>
      </c>
      <c r="K1047" s="12" t="s">
        <v>2237</v>
      </c>
      <c r="L1047" s="12">
        <v>0</v>
      </c>
      <c r="M1047" s="12" t="s">
        <v>2237</v>
      </c>
      <c r="N1047" s="8">
        <v>0</v>
      </c>
      <c r="O1047" s="12" t="s">
        <v>2237</v>
      </c>
      <c r="P1047" s="12" t="s">
        <v>2236</v>
      </c>
      <c r="Q1047" s="10" t="s">
        <v>2236</v>
      </c>
      <c r="R1047" s="10" t="s">
        <v>2236</v>
      </c>
      <c r="S1047" s="10" t="s">
        <v>2236</v>
      </c>
      <c r="T1047" s="10" t="s">
        <v>2236</v>
      </c>
      <c r="U10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8" spans="1:31" hidden="1" x14ac:dyDescent="0.3">
      <c r="A1048" s="12" t="s">
        <v>2838</v>
      </c>
      <c r="B1048" s="12" t="s">
        <v>2371</v>
      </c>
      <c r="C1048" s="12" t="s">
        <v>3710</v>
      </c>
      <c r="D1048" s="12" t="s">
        <v>3711</v>
      </c>
      <c r="E1048" s="12" t="s">
        <v>2236</v>
      </c>
      <c r="F1048" s="8">
        <v>0</v>
      </c>
      <c r="G1048" s="12" t="s">
        <v>2237</v>
      </c>
      <c r="H1048" s="12">
        <v>0</v>
      </c>
      <c r="I1048" s="12" t="s">
        <v>2237</v>
      </c>
      <c r="J1048" s="12">
        <v>0</v>
      </c>
      <c r="K1048" s="12" t="s">
        <v>2237</v>
      </c>
      <c r="L1048" s="12">
        <v>0</v>
      </c>
      <c r="M1048" s="12" t="s">
        <v>2237</v>
      </c>
      <c r="N1048" s="8">
        <v>0</v>
      </c>
      <c r="O1048" s="12" t="s">
        <v>2237</v>
      </c>
      <c r="P1048" s="12" t="s">
        <v>2236</v>
      </c>
      <c r="Q1048" s="10" t="s">
        <v>2236</v>
      </c>
      <c r="R1048" s="10" t="s">
        <v>2236</v>
      </c>
      <c r="S1048" s="10" t="s">
        <v>2236</v>
      </c>
      <c r="T1048" s="10" t="s">
        <v>2236</v>
      </c>
      <c r="U10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49" spans="1:31" hidden="1" x14ac:dyDescent="0.3">
      <c r="A1049" s="12" t="s">
        <v>2839</v>
      </c>
      <c r="B1049" s="12" t="s">
        <v>2371</v>
      </c>
      <c r="C1049" s="12" t="s">
        <v>3712</v>
      </c>
      <c r="D1049" s="12" t="s">
        <v>3713</v>
      </c>
      <c r="E1049" s="12" t="s">
        <v>2236</v>
      </c>
      <c r="F1049" s="8">
        <v>0</v>
      </c>
      <c r="G1049" s="12" t="s">
        <v>2237</v>
      </c>
      <c r="H1049" s="12">
        <v>0</v>
      </c>
      <c r="I1049" s="12" t="s">
        <v>2237</v>
      </c>
      <c r="J1049" s="12">
        <v>0</v>
      </c>
      <c r="K1049" s="12" t="s">
        <v>2237</v>
      </c>
      <c r="L1049" s="12">
        <v>0</v>
      </c>
      <c r="M1049" s="12" t="s">
        <v>2237</v>
      </c>
      <c r="N1049" s="8">
        <v>0</v>
      </c>
      <c r="O1049" s="12" t="s">
        <v>2237</v>
      </c>
      <c r="P1049" s="12" t="s">
        <v>2236</v>
      </c>
      <c r="Q1049" s="10" t="s">
        <v>2236</v>
      </c>
      <c r="R1049" s="10" t="s">
        <v>2236</v>
      </c>
      <c r="S1049" s="10" t="s">
        <v>2236</v>
      </c>
      <c r="T1049" s="10" t="s">
        <v>2236</v>
      </c>
      <c r="U10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0" spans="1:31" x14ac:dyDescent="0.3">
      <c r="A1050" s="12" t="s">
        <v>3714</v>
      </c>
      <c r="B1050" s="12" t="s">
        <v>26</v>
      </c>
      <c r="C1050" s="12" t="s">
        <v>1856</v>
      </c>
      <c r="D1050" s="12" t="s">
        <v>1857</v>
      </c>
      <c r="E1050" s="12" t="s">
        <v>2842</v>
      </c>
      <c r="F1050" s="8">
        <v>79868.5</v>
      </c>
      <c r="G1050" s="12" t="s">
        <v>2237</v>
      </c>
      <c r="H1050" s="12">
        <v>79868.5</v>
      </c>
      <c r="I1050" s="12" t="s">
        <v>2237</v>
      </c>
      <c r="J1050" s="12">
        <v>0</v>
      </c>
      <c r="K1050" s="12" t="s">
        <v>2237</v>
      </c>
      <c r="L1050" s="12">
        <v>0</v>
      </c>
      <c r="M1050" s="12" t="s">
        <v>2237</v>
      </c>
      <c r="N1050" s="8">
        <v>72893.740000000005</v>
      </c>
      <c r="O1050" s="12" t="s">
        <v>2237</v>
      </c>
      <c r="P1050" s="12" t="s">
        <v>2236</v>
      </c>
      <c r="Q1050" s="10" t="s">
        <v>2242</v>
      </c>
      <c r="R1050" s="10" t="s">
        <v>2238</v>
      </c>
      <c r="S1050" s="10" t="s">
        <v>2243</v>
      </c>
      <c r="T1050" s="10" t="s">
        <v>3351</v>
      </c>
      <c r="U10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05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105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105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E530-301297502-D225301</v>
      </c>
      <c r="Y10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50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050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0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0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0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051" spans="1:31" x14ac:dyDescent="0.3">
      <c r="A1051" s="12" t="s">
        <v>3715</v>
      </c>
      <c r="B1051" s="12" t="s">
        <v>30</v>
      </c>
      <c r="C1051" s="12" t="s">
        <v>1856</v>
      </c>
      <c r="D1051" s="12" t="s">
        <v>1858</v>
      </c>
      <c r="E1051" s="12" t="s">
        <v>2842</v>
      </c>
      <c r="F1051" s="8">
        <v>0</v>
      </c>
      <c r="G1051" s="12" t="s">
        <v>2237</v>
      </c>
      <c r="H1051" s="12">
        <v>0</v>
      </c>
      <c r="I1051" s="12" t="s">
        <v>2237</v>
      </c>
      <c r="J1051" s="12">
        <v>0</v>
      </c>
      <c r="K1051" s="12" t="s">
        <v>2237</v>
      </c>
      <c r="L1051" s="12">
        <v>0</v>
      </c>
      <c r="M1051" s="12" t="s">
        <v>2237</v>
      </c>
      <c r="N1051" s="8">
        <v>72893.740000000005</v>
      </c>
      <c r="O1051" s="12" t="s">
        <v>2237</v>
      </c>
      <c r="P1051" s="12" t="s">
        <v>2236</v>
      </c>
      <c r="Q1051" s="10" t="s">
        <v>2242</v>
      </c>
      <c r="R1051" s="10" t="s">
        <v>2238</v>
      </c>
      <c r="S1051" s="10" t="s">
        <v>2243</v>
      </c>
      <c r="T1051" s="10" t="s">
        <v>2645</v>
      </c>
      <c r="U10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05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105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105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E530-301297502-D225301</v>
      </c>
      <c r="Y105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E530-30129750202-D225301</v>
      </c>
      <c r="Z105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51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051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051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051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0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052" spans="1:31" hidden="1" x14ac:dyDescent="0.3">
      <c r="A1052" s="12" t="s">
        <v>3716</v>
      </c>
      <c r="B1052" s="12" t="s">
        <v>2366</v>
      </c>
      <c r="C1052" s="12" t="s">
        <v>3717</v>
      </c>
      <c r="D1052" s="12" t="s">
        <v>3718</v>
      </c>
      <c r="E1052" s="12" t="s">
        <v>2236</v>
      </c>
      <c r="F1052" s="8">
        <v>0</v>
      </c>
      <c r="G1052" s="12" t="s">
        <v>2237</v>
      </c>
      <c r="H1052" s="12">
        <v>0</v>
      </c>
      <c r="I1052" s="12" t="s">
        <v>2237</v>
      </c>
      <c r="J1052" s="12">
        <v>0</v>
      </c>
      <c r="K1052" s="12" t="s">
        <v>2237</v>
      </c>
      <c r="L1052" s="12">
        <v>0</v>
      </c>
      <c r="M1052" s="12" t="s">
        <v>2237</v>
      </c>
      <c r="N1052" s="8">
        <v>4088.65</v>
      </c>
      <c r="O1052" s="12" t="s">
        <v>2237</v>
      </c>
      <c r="P1052" s="12" t="s">
        <v>2236</v>
      </c>
      <c r="Q1052" s="10" t="s">
        <v>2236</v>
      </c>
      <c r="R1052" s="10" t="s">
        <v>2236</v>
      </c>
      <c r="S1052" s="10" t="s">
        <v>2236</v>
      </c>
      <c r="T1052" s="10" t="s">
        <v>3367</v>
      </c>
      <c r="U10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3" spans="1:31" hidden="1" x14ac:dyDescent="0.3">
      <c r="A1053" s="12" t="s">
        <v>3719</v>
      </c>
      <c r="B1053" s="12" t="s">
        <v>2371</v>
      </c>
      <c r="C1053" s="12" t="s">
        <v>3720</v>
      </c>
      <c r="D1053" s="12" t="s">
        <v>3721</v>
      </c>
      <c r="E1053" s="12" t="s">
        <v>2236</v>
      </c>
      <c r="F1053" s="8">
        <v>0</v>
      </c>
      <c r="G1053" s="12" t="s">
        <v>2237</v>
      </c>
      <c r="H1053" s="12">
        <v>0</v>
      </c>
      <c r="I1053" s="12" t="s">
        <v>2237</v>
      </c>
      <c r="J1053" s="12">
        <v>0</v>
      </c>
      <c r="K1053" s="12" t="s">
        <v>2237</v>
      </c>
      <c r="L1053" s="12">
        <v>0</v>
      </c>
      <c r="M1053" s="12" t="s">
        <v>2237</v>
      </c>
      <c r="N1053" s="8">
        <v>0</v>
      </c>
      <c r="O1053" s="12" t="s">
        <v>2237</v>
      </c>
      <c r="P1053" s="12" t="s">
        <v>2236</v>
      </c>
      <c r="Q1053" s="10" t="s">
        <v>2236</v>
      </c>
      <c r="R1053" s="10" t="s">
        <v>2236</v>
      </c>
      <c r="S1053" s="10" t="s">
        <v>2236</v>
      </c>
      <c r="T1053" s="10" t="s">
        <v>2236</v>
      </c>
      <c r="U10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4" spans="1:31" hidden="1" x14ac:dyDescent="0.3">
      <c r="A1054" s="12" t="s">
        <v>3722</v>
      </c>
      <c r="B1054" s="12" t="s">
        <v>2371</v>
      </c>
      <c r="C1054" s="12" t="s">
        <v>3723</v>
      </c>
      <c r="D1054" s="12" t="s">
        <v>3724</v>
      </c>
      <c r="E1054" s="12" t="s">
        <v>2236</v>
      </c>
      <c r="F1054" s="8">
        <v>0</v>
      </c>
      <c r="G1054" s="12" t="s">
        <v>2237</v>
      </c>
      <c r="H1054" s="12">
        <v>0</v>
      </c>
      <c r="I1054" s="12" t="s">
        <v>2237</v>
      </c>
      <c r="J1054" s="12">
        <v>0</v>
      </c>
      <c r="K1054" s="12" t="s">
        <v>2237</v>
      </c>
      <c r="L1054" s="12">
        <v>0</v>
      </c>
      <c r="M1054" s="12" t="s">
        <v>2237</v>
      </c>
      <c r="N1054" s="8">
        <v>0</v>
      </c>
      <c r="O1054" s="12" t="s">
        <v>2237</v>
      </c>
      <c r="P1054" s="12" t="s">
        <v>2236</v>
      </c>
      <c r="Q1054" s="10" t="s">
        <v>2236</v>
      </c>
      <c r="R1054" s="10" t="s">
        <v>2236</v>
      </c>
      <c r="S1054" s="10" t="s">
        <v>2236</v>
      </c>
      <c r="T1054" s="10" t="s">
        <v>2236</v>
      </c>
      <c r="U10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5" spans="1:31" hidden="1" x14ac:dyDescent="0.3">
      <c r="A1055" s="12" t="s">
        <v>3725</v>
      </c>
      <c r="B1055" s="12" t="s">
        <v>2371</v>
      </c>
      <c r="C1055" s="12" t="s">
        <v>3726</v>
      </c>
      <c r="D1055" s="12" t="s">
        <v>3727</v>
      </c>
      <c r="E1055" s="12" t="s">
        <v>2236</v>
      </c>
      <c r="F1055" s="8">
        <v>0</v>
      </c>
      <c r="G1055" s="12" t="s">
        <v>2237</v>
      </c>
      <c r="H1055" s="12">
        <v>0</v>
      </c>
      <c r="I1055" s="12" t="s">
        <v>2237</v>
      </c>
      <c r="J1055" s="12">
        <v>0</v>
      </c>
      <c r="K1055" s="12" t="s">
        <v>2237</v>
      </c>
      <c r="L1055" s="12">
        <v>0</v>
      </c>
      <c r="M1055" s="12" t="s">
        <v>2237</v>
      </c>
      <c r="N1055" s="8">
        <v>0</v>
      </c>
      <c r="O1055" s="12" t="s">
        <v>2237</v>
      </c>
      <c r="P1055" s="12" t="s">
        <v>2236</v>
      </c>
      <c r="Q1055" s="10" t="s">
        <v>2236</v>
      </c>
      <c r="R1055" s="10" t="s">
        <v>2236</v>
      </c>
      <c r="S1055" s="10" t="s">
        <v>2236</v>
      </c>
      <c r="T1055" s="10" t="s">
        <v>2236</v>
      </c>
      <c r="U10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6" spans="1:31" hidden="1" x14ac:dyDescent="0.3">
      <c r="A1056" s="12" t="s">
        <v>3728</v>
      </c>
      <c r="B1056" s="12" t="s">
        <v>2371</v>
      </c>
      <c r="C1056" s="12" t="s">
        <v>3729</v>
      </c>
      <c r="D1056" s="12" t="s">
        <v>3730</v>
      </c>
      <c r="E1056" s="12" t="s">
        <v>2236</v>
      </c>
      <c r="F1056" s="8">
        <v>0</v>
      </c>
      <c r="G1056" s="12" t="s">
        <v>2237</v>
      </c>
      <c r="H1056" s="12">
        <v>0</v>
      </c>
      <c r="I1056" s="12" t="s">
        <v>2237</v>
      </c>
      <c r="J1056" s="12">
        <v>0</v>
      </c>
      <c r="K1056" s="12" t="s">
        <v>2237</v>
      </c>
      <c r="L1056" s="12">
        <v>0</v>
      </c>
      <c r="M1056" s="12" t="s">
        <v>2237</v>
      </c>
      <c r="N1056" s="8">
        <v>0</v>
      </c>
      <c r="O1056" s="12" t="s">
        <v>2237</v>
      </c>
      <c r="P1056" s="12" t="s">
        <v>2236</v>
      </c>
      <c r="Q1056" s="10" t="s">
        <v>2236</v>
      </c>
      <c r="R1056" s="10" t="s">
        <v>2236</v>
      </c>
      <c r="S1056" s="10" t="s">
        <v>2236</v>
      </c>
      <c r="T1056" s="10" t="s">
        <v>2236</v>
      </c>
      <c r="U10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7" spans="1:31" hidden="1" x14ac:dyDescent="0.3">
      <c r="A1057" s="12" t="s">
        <v>3731</v>
      </c>
      <c r="B1057" s="12" t="s">
        <v>2371</v>
      </c>
      <c r="C1057" s="12" t="s">
        <v>3557</v>
      </c>
      <c r="D1057" s="12" t="s">
        <v>3732</v>
      </c>
      <c r="E1057" s="12" t="s">
        <v>2236</v>
      </c>
      <c r="F1057" s="8">
        <v>0</v>
      </c>
      <c r="G1057" s="12" t="s">
        <v>2237</v>
      </c>
      <c r="H1057" s="12">
        <v>0</v>
      </c>
      <c r="I1057" s="12" t="s">
        <v>2237</v>
      </c>
      <c r="J1057" s="12">
        <v>0</v>
      </c>
      <c r="K1057" s="12" t="s">
        <v>2237</v>
      </c>
      <c r="L1057" s="12">
        <v>0</v>
      </c>
      <c r="M1057" s="12" t="s">
        <v>2237</v>
      </c>
      <c r="N1057" s="8">
        <v>0</v>
      </c>
      <c r="O1057" s="12" t="s">
        <v>2237</v>
      </c>
      <c r="P1057" s="12" t="s">
        <v>2236</v>
      </c>
      <c r="Q1057" s="10" t="s">
        <v>2236</v>
      </c>
      <c r="R1057" s="10" t="s">
        <v>2236</v>
      </c>
      <c r="S1057" s="10" t="s">
        <v>2236</v>
      </c>
      <c r="T1057" s="10" t="s">
        <v>2236</v>
      </c>
      <c r="U10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8" spans="1:31" hidden="1" x14ac:dyDescent="0.3">
      <c r="A1058" s="12" t="s">
        <v>3733</v>
      </c>
      <c r="B1058" s="12" t="s">
        <v>2371</v>
      </c>
      <c r="C1058" s="12" t="s">
        <v>3734</v>
      </c>
      <c r="D1058" s="12" t="s">
        <v>3735</v>
      </c>
      <c r="E1058" s="12" t="s">
        <v>2236</v>
      </c>
      <c r="F1058" s="8">
        <v>0</v>
      </c>
      <c r="G1058" s="12" t="s">
        <v>2237</v>
      </c>
      <c r="H1058" s="12">
        <v>0</v>
      </c>
      <c r="I1058" s="12" t="s">
        <v>2237</v>
      </c>
      <c r="J1058" s="12">
        <v>0</v>
      </c>
      <c r="K1058" s="12" t="s">
        <v>2237</v>
      </c>
      <c r="L1058" s="12">
        <v>0</v>
      </c>
      <c r="M1058" s="12" t="s">
        <v>2237</v>
      </c>
      <c r="N1058" s="8">
        <v>0</v>
      </c>
      <c r="O1058" s="12" t="s">
        <v>2237</v>
      </c>
      <c r="P1058" s="12" t="s">
        <v>2236</v>
      </c>
      <c r="Q1058" s="10" t="s">
        <v>2236</v>
      </c>
      <c r="R1058" s="10" t="s">
        <v>2236</v>
      </c>
      <c r="S1058" s="10" t="s">
        <v>2236</v>
      </c>
      <c r="T1058" s="10" t="s">
        <v>2236</v>
      </c>
      <c r="U10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59" spans="1:31" hidden="1" x14ac:dyDescent="0.3">
      <c r="A1059" s="12" t="s">
        <v>3736</v>
      </c>
      <c r="B1059" s="12" t="s">
        <v>2371</v>
      </c>
      <c r="C1059" s="12" t="s">
        <v>3737</v>
      </c>
      <c r="D1059" s="12" t="s">
        <v>3738</v>
      </c>
      <c r="E1059" s="12" t="s">
        <v>2236</v>
      </c>
      <c r="F1059" s="8">
        <v>0</v>
      </c>
      <c r="G1059" s="12" t="s">
        <v>2237</v>
      </c>
      <c r="H1059" s="12">
        <v>0</v>
      </c>
      <c r="I1059" s="12" t="s">
        <v>2237</v>
      </c>
      <c r="J1059" s="12">
        <v>0</v>
      </c>
      <c r="K1059" s="12" t="s">
        <v>2237</v>
      </c>
      <c r="L1059" s="12">
        <v>0</v>
      </c>
      <c r="M1059" s="12" t="s">
        <v>2237</v>
      </c>
      <c r="N1059" s="8">
        <v>0</v>
      </c>
      <c r="O1059" s="12" t="s">
        <v>2237</v>
      </c>
      <c r="P1059" s="12" t="s">
        <v>2236</v>
      </c>
      <c r="Q1059" s="10" t="s">
        <v>2236</v>
      </c>
      <c r="R1059" s="10" t="s">
        <v>2236</v>
      </c>
      <c r="S1059" s="10" t="s">
        <v>2236</v>
      </c>
      <c r="T1059" s="10" t="s">
        <v>2236</v>
      </c>
      <c r="U10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0" spans="1:31" hidden="1" x14ac:dyDescent="0.3">
      <c r="A1060" s="12" t="s">
        <v>3739</v>
      </c>
      <c r="B1060" s="12" t="s">
        <v>2371</v>
      </c>
      <c r="C1060" s="12" t="s">
        <v>3740</v>
      </c>
      <c r="D1060" s="12" t="s">
        <v>3741</v>
      </c>
      <c r="E1060" s="12" t="s">
        <v>2236</v>
      </c>
      <c r="F1060" s="8">
        <v>0</v>
      </c>
      <c r="G1060" s="12" t="s">
        <v>2237</v>
      </c>
      <c r="H1060" s="12">
        <v>0</v>
      </c>
      <c r="I1060" s="12" t="s">
        <v>2237</v>
      </c>
      <c r="J1060" s="12">
        <v>0</v>
      </c>
      <c r="K1060" s="12" t="s">
        <v>2237</v>
      </c>
      <c r="L1060" s="12">
        <v>0</v>
      </c>
      <c r="M1060" s="12" t="s">
        <v>2237</v>
      </c>
      <c r="N1060" s="8">
        <v>0</v>
      </c>
      <c r="O1060" s="12" t="s">
        <v>2237</v>
      </c>
      <c r="P1060" s="12" t="s">
        <v>2236</v>
      </c>
      <c r="Q1060" s="10" t="s">
        <v>2236</v>
      </c>
      <c r="R1060" s="10" t="s">
        <v>2236</v>
      </c>
      <c r="S1060" s="10" t="s">
        <v>2236</v>
      </c>
      <c r="T1060" s="10" t="s">
        <v>2236</v>
      </c>
      <c r="U10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1" spans="1:31" hidden="1" x14ac:dyDescent="0.3">
      <c r="A1061" s="12" t="s">
        <v>3742</v>
      </c>
      <c r="B1061" s="12" t="s">
        <v>2371</v>
      </c>
      <c r="C1061" s="12" t="s">
        <v>3743</v>
      </c>
      <c r="D1061" s="12" t="s">
        <v>3744</v>
      </c>
      <c r="E1061" s="12" t="s">
        <v>2236</v>
      </c>
      <c r="F1061" s="8">
        <v>0</v>
      </c>
      <c r="G1061" s="12" t="s">
        <v>2237</v>
      </c>
      <c r="H1061" s="12">
        <v>0</v>
      </c>
      <c r="I1061" s="12" t="s">
        <v>2237</v>
      </c>
      <c r="J1061" s="12">
        <v>0</v>
      </c>
      <c r="K1061" s="12" t="s">
        <v>2237</v>
      </c>
      <c r="L1061" s="12">
        <v>0</v>
      </c>
      <c r="M1061" s="12" t="s">
        <v>2237</v>
      </c>
      <c r="N1061" s="8">
        <v>0</v>
      </c>
      <c r="O1061" s="12" t="s">
        <v>2237</v>
      </c>
      <c r="P1061" s="12" t="s">
        <v>2236</v>
      </c>
      <c r="Q1061" s="10" t="s">
        <v>2236</v>
      </c>
      <c r="R1061" s="10" t="s">
        <v>2236</v>
      </c>
      <c r="S1061" s="10" t="s">
        <v>2236</v>
      </c>
      <c r="T1061" s="10" t="s">
        <v>2236</v>
      </c>
      <c r="U10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2" spans="1:31" hidden="1" x14ac:dyDescent="0.3">
      <c r="A1062" s="12" t="s">
        <v>3745</v>
      </c>
      <c r="B1062" s="12" t="s">
        <v>2371</v>
      </c>
      <c r="C1062" s="12" t="s">
        <v>3746</v>
      </c>
      <c r="D1062" s="12" t="s">
        <v>3747</v>
      </c>
      <c r="E1062" s="12" t="s">
        <v>2236</v>
      </c>
      <c r="F1062" s="8">
        <v>0</v>
      </c>
      <c r="G1062" s="12" t="s">
        <v>2237</v>
      </c>
      <c r="H1062" s="12">
        <v>0</v>
      </c>
      <c r="I1062" s="12" t="s">
        <v>2237</v>
      </c>
      <c r="J1062" s="12">
        <v>0</v>
      </c>
      <c r="K1062" s="12" t="s">
        <v>2237</v>
      </c>
      <c r="L1062" s="12">
        <v>0</v>
      </c>
      <c r="M1062" s="12" t="s">
        <v>2237</v>
      </c>
      <c r="N1062" s="8">
        <v>0</v>
      </c>
      <c r="O1062" s="12" t="s">
        <v>2237</v>
      </c>
      <c r="P1062" s="12" t="s">
        <v>2236</v>
      </c>
      <c r="Q1062" s="10" t="s">
        <v>2236</v>
      </c>
      <c r="R1062" s="10" t="s">
        <v>2236</v>
      </c>
      <c r="S1062" s="10" t="s">
        <v>2236</v>
      </c>
      <c r="T1062" s="10" t="s">
        <v>2236</v>
      </c>
      <c r="U10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3" spans="1:31" hidden="1" x14ac:dyDescent="0.3">
      <c r="A1063" s="12" t="s">
        <v>3748</v>
      </c>
      <c r="B1063" s="12" t="s">
        <v>2371</v>
      </c>
      <c r="C1063" s="12" t="s">
        <v>3749</v>
      </c>
      <c r="D1063" s="12" t="s">
        <v>3750</v>
      </c>
      <c r="E1063" s="12" t="s">
        <v>2236</v>
      </c>
      <c r="F1063" s="8">
        <v>0</v>
      </c>
      <c r="G1063" s="12" t="s">
        <v>2237</v>
      </c>
      <c r="H1063" s="12">
        <v>0</v>
      </c>
      <c r="I1063" s="12" t="s">
        <v>2237</v>
      </c>
      <c r="J1063" s="12">
        <v>0</v>
      </c>
      <c r="K1063" s="12" t="s">
        <v>2237</v>
      </c>
      <c r="L1063" s="12">
        <v>0</v>
      </c>
      <c r="M1063" s="12" t="s">
        <v>2237</v>
      </c>
      <c r="N1063" s="8">
        <v>0</v>
      </c>
      <c r="O1063" s="12" t="s">
        <v>2237</v>
      </c>
      <c r="P1063" s="12" t="s">
        <v>2236</v>
      </c>
      <c r="Q1063" s="10" t="s">
        <v>2236</v>
      </c>
      <c r="R1063" s="10" t="s">
        <v>2236</v>
      </c>
      <c r="S1063" s="10" t="s">
        <v>2236</v>
      </c>
      <c r="T1063" s="10" t="s">
        <v>2236</v>
      </c>
      <c r="U10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4" spans="1:31" hidden="1" x14ac:dyDescent="0.3">
      <c r="A1064" s="12" t="s">
        <v>3751</v>
      </c>
      <c r="B1064" s="12" t="s">
        <v>2371</v>
      </c>
      <c r="C1064" s="12" t="s">
        <v>3752</v>
      </c>
      <c r="D1064" s="12" t="s">
        <v>3753</v>
      </c>
      <c r="E1064" s="12" t="s">
        <v>2236</v>
      </c>
      <c r="F1064" s="8">
        <v>0</v>
      </c>
      <c r="G1064" s="12" t="s">
        <v>2237</v>
      </c>
      <c r="H1064" s="12">
        <v>0</v>
      </c>
      <c r="I1064" s="12" t="s">
        <v>2237</v>
      </c>
      <c r="J1064" s="12">
        <v>0</v>
      </c>
      <c r="K1064" s="12" t="s">
        <v>2237</v>
      </c>
      <c r="L1064" s="12">
        <v>0</v>
      </c>
      <c r="M1064" s="12" t="s">
        <v>2237</v>
      </c>
      <c r="N1064" s="8">
        <v>0</v>
      </c>
      <c r="O1064" s="12" t="s">
        <v>2237</v>
      </c>
      <c r="P1064" s="12" t="s">
        <v>2236</v>
      </c>
      <c r="Q1064" s="10" t="s">
        <v>2236</v>
      </c>
      <c r="R1064" s="10" t="s">
        <v>2236</v>
      </c>
      <c r="S1064" s="10" t="s">
        <v>2236</v>
      </c>
      <c r="T1064" s="10" t="s">
        <v>2236</v>
      </c>
      <c r="U10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5" spans="1:31" x14ac:dyDescent="0.3">
      <c r="A1065" s="12" t="s">
        <v>3754</v>
      </c>
      <c r="B1065" s="12" t="s">
        <v>26</v>
      </c>
      <c r="C1065" s="12" t="s">
        <v>1859</v>
      </c>
      <c r="D1065" s="12" t="s">
        <v>1860</v>
      </c>
      <c r="E1065" s="12" t="s">
        <v>2842</v>
      </c>
      <c r="F1065" s="8">
        <v>79868.5</v>
      </c>
      <c r="G1065" s="12" t="s">
        <v>2237</v>
      </c>
      <c r="H1065" s="12">
        <v>79868</v>
      </c>
      <c r="I1065" s="12" t="s">
        <v>2237</v>
      </c>
      <c r="J1065" s="12">
        <v>0</v>
      </c>
      <c r="K1065" s="12" t="s">
        <v>2237</v>
      </c>
      <c r="L1065" s="12">
        <v>0</v>
      </c>
      <c r="M1065" s="12" t="s">
        <v>2237</v>
      </c>
      <c r="N1065" s="8">
        <v>78042.460000000006</v>
      </c>
      <c r="O1065" s="12" t="s">
        <v>2237</v>
      </c>
      <c r="P1065" s="12" t="s">
        <v>2236</v>
      </c>
      <c r="Q1065" s="10" t="s">
        <v>2242</v>
      </c>
      <c r="R1065" s="10" t="s">
        <v>2238</v>
      </c>
      <c r="S1065" s="10" t="s">
        <v>2243</v>
      </c>
      <c r="T1065" s="10" t="s">
        <v>3351</v>
      </c>
      <c r="U106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06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106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106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E530-301297501-D225301</v>
      </c>
      <c r="Y10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65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065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0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5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06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066" spans="1:31" x14ac:dyDescent="0.3">
      <c r="A1066" s="12" t="s">
        <v>3755</v>
      </c>
      <c r="B1066" s="12" t="s">
        <v>30</v>
      </c>
      <c r="C1066" s="12" t="s">
        <v>1859</v>
      </c>
      <c r="D1066" s="12" t="s">
        <v>1861</v>
      </c>
      <c r="E1066" s="12" t="s">
        <v>2842</v>
      </c>
      <c r="F1066" s="8">
        <v>0</v>
      </c>
      <c r="G1066" s="12" t="s">
        <v>2237</v>
      </c>
      <c r="H1066" s="12">
        <v>0</v>
      </c>
      <c r="I1066" s="12" t="s">
        <v>2237</v>
      </c>
      <c r="J1066" s="12">
        <v>0</v>
      </c>
      <c r="K1066" s="12" t="s">
        <v>2237</v>
      </c>
      <c r="L1066" s="12">
        <v>0</v>
      </c>
      <c r="M1066" s="12" t="s">
        <v>2237</v>
      </c>
      <c r="N1066" s="8">
        <v>78042.460000000006</v>
      </c>
      <c r="O1066" s="12" t="s">
        <v>2237</v>
      </c>
      <c r="P1066" s="12" t="s">
        <v>2236</v>
      </c>
      <c r="Q1066" s="10" t="s">
        <v>2242</v>
      </c>
      <c r="R1066" s="10" t="s">
        <v>2238</v>
      </c>
      <c r="S1066" s="10" t="s">
        <v>2243</v>
      </c>
      <c r="T1066" s="10" t="s">
        <v>2645</v>
      </c>
      <c r="U106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06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E530-30129-D225301</v>
      </c>
      <c r="W106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E530-3012975-D225301</v>
      </c>
      <c r="X106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E530-301297501-D225301</v>
      </c>
      <c r="Y1066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E530-30129750101-D225301</v>
      </c>
      <c r="Z106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066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066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066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066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0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067" spans="1:31" hidden="1" x14ac:dyDescent="0.3">
      <c r="A1067" s="12" t="s">
        <v>3756</v>
      </c>
      <c r="B1067" s="12" t="s">
        <v>2366</v>
      </c>
      <c r="C1067" s="12" t="s">
        <v>3757</v>
      </c>
      <c r="D1067" s="12" t="s">
        <v>3758</v>
      </c>
      <c r="E1067" s="12" t="s">
        <v>2236</v>
      </c>
      <c r="F1067" s="8">
        <v>0</v>
      </c>
      <c r="G1067" s="12" t="s">
        <v>2237</v>
      </c>
      <c r="H1067" s="12">
        <v>0</v>
      </c>
      <c r="I1067" s="12" t="s">
        <v>2237</v>
      </c>
      <c r="J1067" s="12">
        <v>0</v>
      </c>
      <c r="K1067" s="12" t="s">
        <v>2237</v>
      </c>
      <c r="L1067" s="12">
        <v>0</v>
      </c>
      <c r="M1067" s="12" t="s">
        <v>2237</v>
      </c>
      <c r="N1067" s="8">
        <v>4258.0600000000004</v>
      </c>
      <c r="O1067" s="12" t="s">
        <v>2237</v>
      </c>
      <c r="P1067" s="12" t="s">
        <v>2236</v>
      </c>
      <c r="Q1067" s="10" t="s">
        <v>2236</v>
      </c>
      <c r="R1067" s="10" t="s">
        <v>2236</v>
      </c>
      <c r="S1067" s="10" t="s">
        <v>2236</v>
      </c>
      <c r="T1067" s="10" t="s">
        <v>3367</v>
      </c>
      <c r="U10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8" spans="1:31" hidden="1" x14ac:dyDescent="0.3">
      <c r="A1068" s="12" t="s">
        <v>3759</v>
      </c>
      <c r="B1068" s="12" t="s">
        <v>2371</v>
      </c>
      <c r="C1068" s="12" t="s">
        <v>3760</v>
      </c>
      <c r="D1068" s="12" t="s">
        <v>3761</v>
      </c>
      <c r="E1068" s="12" t="s">
        <v>2236</v>
      </c>
      <c r="F1068" s="8">
        <v>0</v>
      </c>
      <c r="G1068" s="12" t="s">
        <v>2237</v>
      </c>
      <c r="H1068" s="12">
        <v>0</v>
      </c>
      <c r="I1068" s="12" t="s">
        <v>2237</v>
      </c>
      <c r="J1068" s="12">
        <v>0</v>
      </c>
      <c r="K1068" s="12" t="s">
        <v>2237</v>
      </c>
      <c r="L1068" s="12">
        <v>0</v>
      </c>
      <c r="M1068" s="12" t="s">
        <v>2237</v>
      </c>
      <c r="N1068" s="8">
        <v>0</v>
      </c>
      <c r="O1068" s="12" t="s">
        <v>2237</v>
      </c>
      <c r="P1068" s="12" t="s">
        <v>2236</v>
      </c>
      <c r="Q1068" s="10" t="s">
        <v>2236</v>
      </c>
      <c r="R1068" s="10" t="s">
        <v>2236</v>
      </c>
      <c r="S1068" s="10" t="s">
        <v>2236</v>
      </c>
      <c r="T1068" s="10" t="s">
        <v>2236</v>
      </c>
      <c r="U10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69" spans="1:31" hidden="1" x14ac:dyDescent="0.3">
      <c r="A1069" s="12" t="s">
        <v>3762</v>
      </c>
      <c r="B1069" s="12" t="s">
        <v>2371</v>
      </c>
      <c r="C1069" s="12" t="s">
        <v>3763</v>
      </c>
      <c r="D1069" s="12" t="s">
        <v>3764</v>
      </c>
      <c r="E1069" s="12" t="s">
        <v>2236</v>
      </c>
      <c r="F1069" s="8">
        <v>0</v>
      </c>
      <c r="G1069" s="12" t="s">
        <v>2237</v>
      </c>
      <c r="H1069" s="12">
        <v>0</v>
      </c>
      <c r="I1069" s="12" t="s">
        <v>2237</v>
      </c>
      <c r="J1069" s="12">
        <v>0</v>
      </c>
      <c r="K1069" s="12" t="s">
        <v>2237</v>
      </c>
      <c r="L1069" s="12">
        <v>0</v>
      </c>
      <c r="M1069" s="12" t="s">
        <v>2237</v>
      </c>
      <c r="N1069" s="8">
        <v>0</v>
      </c>
      <c r="O1069" s="12" t="s">
        <v>2237</v>
      </c>
      <c r="P1069" s="12" t="s">
        <v>2236</v>
      </c>
      <c r="Q1069" s="10" t="s">
        <v>2236</v>
      </c>
      <c r="R1069" s="10" t="s">
        <v>2236</v>
      </c>
      <c r="S1069" s="10" t="s">
        <v>2236</v>
      </c>
      <c r="T1069" s="10" t="s">
        <v>2236</v>
      </c>
      <c r="U10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0" spans="1:31" hidden="1" x14ac:dyDescent="0.3">
      <c r="A1070" s="12" t="s">
        <v>3765</v>
      </c>
      <c r="B1070" s="12" t="s">
        <v>2371</v>
      </c>
      <c r="C1070" s="12" t="s">
        <v>3766</v>
      </c>
      <c r="D1070" s="12" t="s">
        <v>3767</v>
      </c>
      <c r="E1070" s="12" t="s">
        <v>2236</v>
      </c>
      <c r="F1070" s="8">
        <v>0</v>
      </c>
      <c r="G1070" s="12" t="s">
        <v>2237</v>
      </c>
      <c r="H1070" s="12">
        <v>0</v>
      </c>
      <c r="I1070" s="12" t="s">
        <v>2237</v>
      </c>
      <c r="J1070" s="12">
        <v>0</v>
      </c>
      <c r="K1070" s="12" t="s">
        <v>2237</v>
      </c>
      <c r="L1070" s="12">
        <v>0</v>
      </c>
      <c r="M1070" s="12" t="s">
        <v>2237</v>
      </c>
      <c r="N1070" s="8">
        <v>0</v>
      </c>
      <c r="O1070" s="12" t="s">
        <v>2237</v>
      </c>
      <c r="P1070" s="12" t="s">
        <v>2236</v>
      </c>
      <c r="Q1070" s="10" t="s">
        <v>2236</v>
      </c>
      <c r="R1070" s="10" t="s">
        <v>2236</v>
      </c>
      <c r="S1070" s="10" t="s">
        <v>2236</v>
      </c>
      <c r="T1070" s="10" t="s">
        <v>2236</v>
      </c>
      <c r="U10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1" spans="1:31" hidden="1" x14ac:dyDescent="0.3">
      <c r="A1071" s="12" t="s">
        <v>3768</v>
      </c>
      <c r="B1071" s="12" t="s">
        <v>2371</v>
      </c>
      <c r="C1071" s="12" t="s">
        <v>3769</v>
      </c>
      <c r="D1071" s="12" t="s">
        <v>3770</v>
      </c>
      <c r="E1071" s="12" t="s">
        <v>2236</v>
      </c>
      <c r="F1071" s="8">
        <v>0</v>
      </c>
      <c r="G1071" s="12" t="s">
        <v>2237</v>
      </c>
      <c r="H1071" s="12">
        <v>0</v>
      </c>
      <c r="I1071" s="12" t="s">
        <v>2237</v>
      </c>
      <c r="J1071" s="12">
        <v>0</v>
      </c>
      <c r="K1071" s="12" t="s">
        <v>2237</v>
      </c>
      <c r="L1071" s="12">
        <v>0</v>
      </c>
      <c r="M1071" s="12" t="s">
        <v>2237</v>
      </c>
      <c r="N1071" s="8">
        <v>0</v>
      </c>
      <c r="O1071" s="12" t="s">
        <v>2237</v>
      </c>
      <c r="P1071" s="12" t="s">
        <v>2236</v>
      </c>
      <c r="Q1071" s="10" t="s">
        <v>2236</v>
      </c>
      <c r="R1071" s="10" t="s">
        <v>2236</v>
      </c>
      <c r="S1071" s="10" t="s">
        <v>2236</v>
      </c>
      <c r="T1071" s="10" t="s">
        <v>2236</v>
      </c>
      <c r="U10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2" spans="1:31" hidden="1" x14ac:dyDescent="0.3">
      <c r="A1072" s="12" t="s">
        <v>3771</v>
      </c>
      <c r="B1072" s="12" t="s">
        <v>2371</v>
      </c>
      <c r="C1072" s="12" t="s">
        <v>3772</v>
      </c>
      <c r="D1072" s="12" t="s">
        <v>3773</v>
      </c>
      <c r="E1072" s="12" t="s">
        <v>2236</v>
      </c>
      <c r="F1072" s="8">
        <v>0</v>
      </c>
      <c r="G1072" s="12" t="s">
        <v>2237</v>
      </c>
      <c r="H1072" s="12">
        <v>0</v>
      </c>
      <c r="I1072" s="12" t="s">
        <v>2237</v>
      </c>
      <c r="J1072" s="12">
        <v>0</v>
      </c>
      <c r="K1072" s="12" t="s">
        <v>2237</v>
      </c>
      <c r="L1072" s="12">
        <v>0</v>
      </c>
      <c r="M1072" s="12" t="s">
        <v>2237</v>
      </c>
      <c r="N1072" s="8">
        <v>0</v>
      </c>
      <c r="O1072" s="12" t="s">
        <v>2237</v>
      </c>
      <c r="P1072" s="12" t="s">
        <v>2236</v>
      </c>
      <c r="Q1072" s="10" t="s">
        <v>2236</v>
      </c>
      <c r="R1072" s="10" t="s">
        <v>2236</v>
      </c>
      <c r="S1072" s="10" t="s">
        <v>2236</v>
      </c>
      <c r="T1072" s="10" t="s">
        <v>2236</v>
      </c>
      <c r="U10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3" spans="1:31" hidden="1" x14ac:dyDescent="0.3">
      <c r="A1073" s="12" t="s">
        <v>3774</v>
      </c>
      <c r="B1073" s="12" t="s">
        <v>2371</v>
      </c>
      <c r="C1073" s="12" t="s">
        <v>3775</v>
      </c>
      <c r="D1073" s="12" t="s">
        <v>3776</v>
      </c>
      <c r="E1073" s="12" t="s">
        <v>2236</v>
      </c>
      <c r="F1073" s="8">
        <v>0</v>
      </c>
      <c r="G1073" s="12" t="s">
        <v>2237</v>
      </c>
      <c r="H1073" s="12">
        <v>0</v>
      </c>
      <c r="I1073" s="12" t="s">
        <v>2237</v>
      </c>
      <c r="J1073" s="12">
        <v>0</v>
      </c>
      <c r="K1073" s="12" t="s">
        <v>2237</v>
      </c>
      <c r="L1073" s="12">
        <v>0</v>
      </c>
      <c r="M1073" s="12" t="s">
        <v>2237</v>
      </c>
      <c r="N1073" s="8">
        <v>0</v>
      </c>
      <c r="O1073" s="12" t="s">
        <v>2237</v>
      </c>
      <c r="P1073" s="12" t="s">
        <v>2236</v>
      </c>
      <c r="Q1073" s="10" t="s">
        <v>2236</v>
      </c>
      <c r="R1073" s="10" t="s">
        <v>2236</v>
      </c>
      <c r="S1073" s="10" t="s">
        <v>2236</v>
      </c>
      <c r="T1073" s="10" t="s">
        <v>2236</v>
      </c>
      <c r="U10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4" spans="1:31" hidden="1" x14ac:dyDescent="0.3">
      <c r="A1074" s="12" t="s">
        <v>3777</v>
      </c>
      <c r="B1074" s="12" t="s">
        <v>2371</v>
      </c>
      <c r="C1074" s="12" t="s">
        <v>3778</v>
      </c>
      <c r="D1074" s="12" t="s">
        <v>3779</v>
      </c>
      <c r="E1074" s="12" t="s">
        <v>2236</v>
      </c>
      <c r="F1074" s="8">
        <v>0</v>
      </c>
      <c r="G1074" s="12" t="s">
        <v>2237</v>
      </c>
      <c r="H1074" s="12">
        <v>0</v>
      </c>
      <c r="I1074" s="12" t="s">
        <v>2237</v>
      </c>
      <c r="J1074" s="12">
        <v>0</v>
      </c>
      <c r="K1074" s="12" t="s">
        <v>2237</v>
      </c>
      <c r="L1074" s="12">
        <v>0</v>
      </c>
      <c r="M1074" s="12" t="s">
        <v>2237</v>
      </c>
      <c r="N1074" s="8">
        <v>0</v>
      </c>
      <c r="O1074" s="12" t="s">
        <v>2237</v>
      </c>
      <c r="P1074" s="12" t="s">
        <v>2236</v>
      </c>
      <c r="Q1074" s="10" t="s">
        <v>2236</v>
      </c>
      <c r="R1074" s="10" t="s">
        <v>2236</v>
      </c>
      <c r="S1074" s="10" t="s">
        <v>2236</v>
      </c>
      <c r="T1074" s="10" t="s">
        <v>2236</v>
      </c>
      <c r="U10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5" spans="1:31" hidden="1" x14ac:dyDescent="0.3">
      <c r="A1075" s="12" t="s">
        <v>3780</v>
      </c>
      <c r="B1075" s="12" t="s">
        <v>2371</v>
      </c>
      <c r="C1075" s="12" t="s">
        <v>3781</v>
      </c>
      <c r="D1075" s="12" t="s">
        <v>3782</v>
      </c>
      <c r="E1075" s="12" t="s">
        <v>2236</v>
      </c>
      <c r="F1075" s="8">
        <v>0</v>
      </c>
      <c r="G1075" s="12" t="s">
        <v>2237</v>
      </c>
      <c r="H1075" s="12">
        <v>0</v>
      </c>
      <c r="I1075" s="12" t="s">
        <v>2237</v>
      </c>
      <c r="J1075" s="12">
        <v>0</v>
      </c>
      <c r="K1075" s="12" t="s">
        <v>2237</v>
      </c>
      <c r="L1075" s="12">
        <v>0</v>
      </c>
      <c r="M1075" s="12" t="s">
        <v>2237</v>
      </c>
      <c r="N1075" s="8">
        <v>0</v>
      </c>
      <c r="O1075" s="12" t="s">
        <v>2237</v>
      </c>
      <c r="P1075" s="12" t="s">
        <v>2236</v>
      </c>
      <c r="Q1075" s="10" t="s">
        <v>2236</v>
      </c>
      <c r="R1075" s="10" t="s">
        <v>2236</v>
      </c>
      <c r="S1075" s="10" t="s">
        <v>2236</v>
      </c>
      <c r="T1075" s="10" t="s">
        <v>2236</v>
      </c>
      <c r="U10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6" spans="1:31" hidden="1" x14ac:dyDescent="0.3">
      <c r="A1076" s="12" t="s">
        <v>3783</v>
      </c>
      <c r="B1076" s="12" t="s">
        <v>2371</v>
      </c>
      <c r="C1076" s="12" t="s">
        <v>3784</v>
      </c>
      <c r="D1076" s="12" t="s">
        <v>3785</v>
      </c>
      <c r="E1076" s="12" t="s">
        <v>2236</v>
      </c>
      <c r="F1076" s="8">
        <v>0</v>
      </c>
      <c r="G1076" s="12" t="s">
        <v>2237</v>
      </c>
      <c r="H1076" s="12">
        <v>0</v>
      </c>
      <c r="I1076" s="12" t="s">
        <v>2237</v>
      </c>
      <c r="J1076" s="12">
        <v>0</v>
      </c>
      <c r="K1076" s="12" t="s">
        <v>2237</v>
      </c>
      <c r="L1076" s="12">
        <v>0</v>
      </c>
      <c r="M1076" s="12" t="s">
        <v>2237</v>
      </c>
      <c r="N1076" s="8">
        <v>0</v>
      </c>
      <c r="O1076" s="12" t="s">
        <v>2237</v>
      </c>
      <c r="P1076" s="12" t="s">
        <v>2236</v>
      </c>
      <c r="Q1076" s="10" t="s">
        <v>2236</v>
      </c>
      <c r="R1076" s="10" t="s">
        <v>2236</v>
      </c>
      <c r="S1076" s="10" t="s">
        <v>2236</v>
      </c>
      <c r="T1076" s="10" t="s">
        <v>2236</v>
      </c>
      <c r="U10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7" spans="1:31" hidden="1" x14ac:dyDescent="0.3">
      <c r="A1077" s="12" t="s">
        <v>3786</v>
      </c>
      <c r="B1077" s="12" t="s">
        <v>2371</v>
      </c>
      <c r="C1077" s="12" t="s">
        <v>3787</v>
      </c>
      <c r="D1077" s="12" t="s">
        <v>3788</v>
      </c>
      <c r="E1077" s="12" t="s">
        <v>2236</v>
      </c>
      <c r="F1077" s="8">
        <v>0</v>
      </c>
      <c r="G1077" s="12" t="s">
        <v>2237</v>
      </c>
      <c r="H1077" s="12">
        <v>0</v>
      </c>
      <c r="I1077" s="12" t="s">
        <v>2237</v>
      </c>
      <c r="J1077" s="12">
        <v>0</v>
      </c>
      <c r="K1077" s="12" t="s">
        <v>2237</v>
      </c>
      <c r="L1077" s="12">
        <v>0</v>
      </c>
      <c r="M1077" s="12" t="s">
        <v>2237</v>
      </c>
      <c r="N1077" s="8">
        <v>0</v>
      </c>
      <c r="O1077" s="12" t="s">
        <v>2237</v>
      </c>
      <c r="P1077" s="12" t="s">
        <v>2236</v>
      </c>
      <c r="Q1077" s="10" t="s">
        <v>2236</v>
      </c>
      <c r="R1077" s="10" t="s">
        <v>2236</v>
      </c>
      <c r="S1077" s="10" t="s">
        <v>2236</v>
      </c>
      <c r="T1077" s="10" t="s">
        <v>2236</v>
      </c>
      <c r="U10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8" spans="1:31" hidden="1" x14ac:dyDescent="0.3">
      <c r="A1078" s="12" t="s">
        <v>3789</v>
      </c>
      <c r="B1078" s="12" t="s">
        <v>2371</v>
      </c>
      <c r="C1078" s="12" t="s">
        <v>3790</v>
      </c>
      <c r="D1078" s="12" t="s">
        <v>3791</v>
      </c>
      <c r="E1078" s="12" t="s">
        <v>2236</v>
      </c>
      <c r="F1078" s="8">
        <v>0</v>
      </c>
      <c r="G1078" s="12" t="s">
        <v>2237</v>
      </c>
      <c r="H1078" s="12">
        <v>0</v>
      </c>
      <c r="I1078" s="12" t="s">
        <v>2237</v>
      </c>
      <c r="J1078" s="12">
        <v>0</v>
      </c>
      <c r="K1078" s="12" t="s">
        <v>2237</v>
      </c>
      <c r="L1078" s="12">
        <v>0</v>
      </c>
      <c r="M1078" s="12" t="s">
        <v>2237</v>
      </c>
      <c r="N1078" s="8">
        <v>0</v>
      </c>
      <c r="O1078" s="12" t="s">
        <v>2237</v>
      </c>
      <c r="P1078" s="12" t="s">
        <v>2236</v>
      </c>
      <c r="Q1078" s="10" t="s">
        <v>2236</v>
      </c>
      <c r="R1078" s="10" t="s">
        <v>2236</v>
      </c>
      <c r="S1078" s="10" t="s">
        <v>2236</v>
      </c>
      <c r="T1078" s="10" t="s">
        <v>2236</v>
      </c>
      <c r="U10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79" spans="1:31" hidden="1" x14ac:dyDescent="0.3">
      <c r="A1079" s="12" t="s">
        <v>3792</v>
      </c>
      <c r="B1079" s="12" t="s">
        <v>2371</v>
      </c>
      <c r="C1079" s="12" t="s">
        <v>3793</v>
      </c>
      <c r="D1079" s="12" t="s">
        <v>3794</v>
      </c>
      <c r="E1079" s="12" t="s">
        <v>2236</v>
      </c>
      <c r="F1079" s="8">
        <v>0</v>
      </c>
      <c r="G1079" s="12" t="s">
        <v>2237</v>
      </c>
      <c r="H1079" s="12">
        <v>0</v>
      </c>
      <c r="I1079" s="12" t="s">
        <v>2237</v>
      </c>
      <c r="J1079" s="12">
        <v>0</v>
      </c>
      <c r="K1079" s="12" t="s">
        <v>2237</v>
      </c>
      <c r="L1079" s="12">
        <v>0</v>
      </c>
      <c r="M1079" s="12" t="s">
        <v>2237</v>
      </c>
      <c r="N1079" s="8">
        <v>0</v>
      </c>
      <c r="O1079" s="12" t="s">
        <v>2237</v>
      </c>
      <c r="P1079" s="12" t="s">
        <v>2236</v>
      </c>
      <c r="Q1079" s="10" t="s">
        <v>2236</v>
      </c>
      <c r="R1079" s="10" t="s">
        <v>2236</v>
      </c>
      <c r="S1079" s="10" t="s">
        <v>2236</v>
      </c>
      <c r="T1079" s="10" t="s">
        <v>2236</v>
      </c>
      <c r="U10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0" spans="1:31" hidden="1" x14ac:dyDescent="0.3">
      <c r="A1080" s="12" t="s">
        <v>3795</v>
      </c>
      <c r="B1080" s="12" t="s">
        <v>2371</v>
      </c>
      <c r="C1080" s="12" t="s">
        <v>3796</v>
      </c>
      <c r="D1080" s="12" t="s">
        <v>3797</v>
      </c>
      <c r="E1080" s="12" t="s">
        <v>2236</v>
      </c>
      <c r="F1080" s="8">
        <v>0</v>
      </c>
      <c r="G1080" s="12" t="s">
        <v>2237</v>
      </c>
      <c r="H1080" s="12">
        <v>0</v>
      </c>
      <c r="I1080" s="12" t="s">
        <v>2237</v>
      </c>
      <c r="J1080" s="12">
        <v>0</v>
      </c>
      <c r="K1080" s="12" t="s">
        <v>2237</v>
      </c>
      <c r="L1080" s="12">
        <v>0</v>
      </c>
      <c r="M1080" s="12" t="s">
        <v>2237</v>
      </c>
      <c r="N1080" s="8">
        <v>0</v>
      </c>
      <c r="O1080" s="12" t="s">
        <v>2237</v>
      </c>
      <c r="P1080" s="12" t="s">
        <v>2236</v>
      </c>
      <c r="Q1080" s="10" t="s">
        <v>2236</v>
      </c>
      <c r="R1080" s="10" t="s">
        <v>2236</v>
      </c>
      <c r="S1080" s="10" t="s">
        <v>2236</v>
      </c>
      <c r="T1080" s="10" t="s">
        <v>2236</v>
      </c>
      <c r="U10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1" spans="1:31" hidden="1" x14ac:dyDescent="0.3">
      <c r="A1081" s="12" t="s">
        <v>3798</v>
      </c>
      <c r="B1081" s="12" t="s">
        <v>2371</v>
      </c>
      <c r="C1081" s="12" t="s">
        <v>3799</v>
      </c>
      <c r="D1081" s="12" t="s">
        <v>3800</v>
      </c>
      <c r="E1081" s="12" t="s">
        <v>2236</v>
      </c>
      <c r="F1081" s="8">
        <v>0</v>
      </c>
      <c r="G1081" s="12" t="s">
        <v>2237</v>
      </c>
      <c r="H1081" s="12">
        <v>0</v>
      </c>
      <c r="I1081" s="12" t="s">
        <v>2237</v>
      </c>
      <c r="J1081" s="12">
        <v>0</v>
      </c>
      <c r="K1081" s="12" t="s">
        <v>2237</v>
      </c>
      <c r="L1081" s="12">
        <v>0</v>
      </c>
      <c r="M1081" s="12" t="s">
        <v>2237</v>
      </c>
      <c r="N1081" s="8">
        <v>0</v>
      </c>
      <c r="O1081" s="12" t="s">
        <v>2237</v>
      </c>
      <c r="P1081" s="12" t="s">
        <v>2236</v>
      </c>
      <c r="Q1081" s="10" t="s">
        <v>2236</v>
      </c>
      <c r="R1081" s="10" t="s">
        <v>2236</v>
      </c>
      <c r="S1081" s="10" t="s">
        <v>2236</v>
      </c>
      <c r="T1081" s="10" t="s">
        <v>2236</v>
      </c>
      <c r="U10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2" spans="1:31" hidden="1" x14ac:dyDescent="0.3">
      <c r="A1082" s="12" t="s">
        <v>3801</v>
      </c>
      <c r="B1082" s="12" t="s">
        <v>2371</v>
      </c>
      <c r="C1082" s="12" t="s">
        <v>3802</v>
      </c>
      <c r="D1082" s="12" t="s">
        <v>3803</v>
      </c>
      <c r="E1082" s="12" t="s">
        <v>2236</v>
      </c>
      <c r="F1082" s="8">
        <v>0</v>
      </c>
      <c r="G1082" s="12" t="s">
        <v>2237</v>
      </c>
      <c r="H1082" s="12">
        <v>0</v>
      </c>
      <c r="I1082" s="12" t="s">
        <v>2237</v>
      </c>
      <c r="J1082" s="12">
        <v>0</v>
      </c>
      <c r="K1082" s="12" t="s">
        <v>2237</v>
      </c>
      <c r="L1082" s="12">
        <v>0</v>
      </c>
      <c r="M1082" s="12" t="s">
        <v>2237</v>
      </c>
      <c r="N1082" s="8">
        <v>0</v>
      </c>
      <c r="O1082" s="12" t="s">
        <v>2237</v>
      </c>
      <c r="P1082" s="12" t="s">
        <v>2236</v>
      </c>
      <c r="Q1082" s="10" t="s">
        <v>2236</v>
      </c>
      <c r="R1082" s="10" t="s">
        <v>2236</v>
      </c>
      <c r="S1082" s="10" t="s">
        <v>2236</v>
      </c>
      <c r="T1082" s="10" t="s">
        <v>2236</v>
      </c>
      <c r="U10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3" spans="1:31" hidden="1" x14ac:dyDescent="0.3">
      <c r="A1083" s="12" t="s">
        <v>3804</v>
      </c>
      <c r="B1083" s="12" t="s">
        <v>2371</v>
      </c>
      <c r="C1083" s="12" t="s">
        <v>3805</v>
      </c>
      <c r="D1083" s="12" t="s">
        <v>3806</v>
      </c>
      <c r="E1083" s="12" t="s">
        <v>2236</v>
      </c>
      <c r="F1083" s="8">
        <v>0</v>
      </c>
      <c r="G1083" s="12" t="s">
        <v>2237</v>
      </c>
      <c r="H1083" s="12">
        <v>0</v>
      </c>
      <c r="I1083" s="12" t="s">
        <v>2237</v>
      </c>
      <c r="J1083" s="12">
        <v>0</v>
      </c>
      <c r="K1083" s="12" t="s">
        <v>2237</v>
      </c>
      <c r="L1083" s="12">
        <v>0</v>
      </c>
      <c r="M1083" s="12" t="s">
        <v>2237</v>
      </c>
      <c r="N1083" s="8">
        <v>0</v>
      </c>
      <c r="O1083" s="12" t="s">
        <v>2237</v>
      </c>
      <c r="P1083" s="12" t="s">
        <v>2236</v>
      </c>
      <c r="Q1083" s="10" t="s">
        <v>2236</v>
      </c>
      <c r="R1083" s="10" t="s">
        <v>2236</v>
      </c>
      <c r="S1083" s="10" t="s">
        <v>2236</v>
      </c>
      <c r="T1083" s="10" t="s">
        <v>2236</v>
      </c>
      <c r="U10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4" spans="1:31" hidden="1" x14ac:dyDescent="0.3">
      <c r="A1084" s="12" t="s">
        <v>3807</v>
      </c>
      <c r="B1084" s="12" t="s">
        <v>2371</v>
      </c>
      <c r="C1084" s="12" t="s">
        <v>3808</v>
      </c>
      <c r="D1084" s="12" t="s">
        <v>3809</v>
      </c>
      <c r="E1084" s="12" t="s">
        <v>2236</v>
      </c>
      <c r="F1084" s="8">
        <v>0</v>
      </c>
      <c r="G1084" s="12" t="s">
        <v>2237</v>
      </c>
      <c r="H1084" s="12">
        <v>0</v>
      </c>
      <c r="I1084" s="12" t="s">
        <v>2237</v>
      </c>
      <c r="J1084" s="12">
        <v>0</v>
      </c>
      <c r="K1084" s="12" t="s">
        <v>2237</v>
      </c>
      <c r="L1084" s="12">
        <v>0</v>
      </c>
      <c r="M1084" s="12" t="s">
        <v>2237</v>
      </c>
      <c r="N1084" s="8">
        <v>0</v>
      </c>
      <c r="O1084" s="12" t="s">
        <v>2237</v>
      </c>
      <c r="P1084" s="12" t="s">
        <v>2236</v>
      </c>
      <c r="Q1084" s="10" t="s">
        <v>2236</v>
      </c>
      <c r="R1084" s="10" t="s">
        <v>2236</v>
      </c>
      <c r="S1084" s="10" t="s">
        <v>2236</v>
      </c>
      <c r="T1084" s="10" t="s">
        <v>2236</v>
      </c>
      <c r="U10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5" spans="1:31" hidden="1" x14ac:dyDescent="0.3">
      <c r="A1085" s="12" t="s">
        <v>3810</v>
      </c>
      <c r="B1085" s="12" t="s">
        <v>2371</v>
      </c>
      <c r="C1085" s="12" t="s">
        <v>3811</v>
      </c>
      <c r="D1085" s="12" t="s">
        <v>3812</v>
      </c>
      <c r="E1085" s="12" t="s">
        <v>2236</v>
      </c>
      <c r="F1085" s="8">
        <v>0</v>
      </c>
      <c r="G1085" s="12" t="s">
        <v>2237</v>
      </c>
      <c r="H1085" s="12">
        <v>0</v>
      </c>
      <c r="I1085" s="12" t="s">
        <v>2237</v>
      </c>
      <c r="J1085" s="12">
        <v>0</v>
      </c>
      <c r="K1085" s="12" t="s">
        <v>2237</v>
      </c>
      <c r="L1085" s="12">
        <v>0</v>
      </c>
      <c r="M1085" s="12" t="s">
        <v>2237</v>
      </c>
      <c r="N1085" s="8">
        <v>0</v>
      </c>
      <c r="O1085" s="12" t="s">
        <v>2237</v>
      </c>
      <c r="P1085" s="12" t="s">
        <v>2236</v>
      </c>
      <c r="Q1085" s="10" t="s">
        <v>2236</v>
      </c>
      <c r="R1085" s="10" t="s">
        <v>2236</v>
      </c>
      <c r="S1085" s="10" t="s">
        <v>2236</v>
      </c>
      <c r="T1085" s="10" t="s">
        <v>2236</v>
      </c>
      <c r="U10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6" spans="1:31" hidden="1" x14ac:dyDescent="0.3">
      <c r="A1086" s="12" t="s">
        <v>3813</v>
      </c>
      <c r="B1086" s="12" t="s">
        <v>2371</v>
      </c>
      <c r="C1086" s="12" t="s">
        <v>3814</v>
      </c>
      <c r="D1086" s="12" t="s">
        <v>3815</v>
      </c>
      <c r="E1086" s="12" t="s">
        <v>2236</v>
      </c>
      <c r="F1086" s="8">
        <v>0</v>
      </c>
      <c r="G1086" s="12" t="s">
        <v>2237</v>
      </c>
      <c r="H1086" s="12">
        <v>0</v>
      </c>
      <c r="I1086" s="12" t="s">
        <v>2237</v>
      </c>
      <c r="J1086" s="12">
        <v>0</v>
      </c>
      <c r="K1086" s="12" t="s">
        <v>2237</v>
      </c>
      <c r="L1086" s="12">
        <v>0</v>
      </c>
      <c r="M1086" s="12" t="s">
        <v>2237</v>
      </c>
      <c r="N1086" s="8">
        <v>0</v>
      </c>
      <c r="O1086" s="12" t="s">
        <v>2237</v>
      </c>
      <c r="P1086" s="12" t="s">
        <v>2236</v>
      </c>
      <c r="Q1086" s="10" t="s">
        <v>2236</v>
      </c>
      <c r="R1086" s="10" t="s">
        <v>2236</v>
      </c>
      <c r="S1086" s="10" t="s">
        <v>2236</v>
      </c>
      <c r="T1086" s="10" t="s">
        <v>2236</v>
      </c>
      <c r="U10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7" spans="1:31" hidden="1" x14ac:dyDescent="0.3">
      <c r="A1087" s="12" t="s">
        <v>3816</v>
      </c>
      <c r="B1087" s="12" t="s">
        <v>2371</v>
      </c>
      <c r="C1087" s="12" t="s">
        <v>3817</v>
      </c>
      <c r="D1087" s="12" t="s">
        <v>3818</v>
      </c>
      <c r="E1087" s="12" t="s">
        <v>2236</v>
      </c>
      <c r="F1087" s="8">
        <v>0</v>
      </c>
      <c r="G1087" s="12" t="s">
        <v>2237</v>
      </c>
      <c r="H1087" s="12">
        <v>0</v>
      </c>
      <c r="I1087" s="12" t="s">
        <v>2237</v>
      </c>
      <c r="J1087" s="12">
        <v>0</v>
      </c>
      <c r="K1087" s="12" t="s">
        <v>2237</v>
      </c>
      <c r="L1087" s="12">
        <v>0</v>
      </c>
      <c r="M1087" s="12" t="s">
        <v>2237</v>
      </c>
      <c r="N1087" s="8">
        <v>0</v>
      </c>
      <c r="O1087" s="12" t="s">
        <v>2237</v>
      </c>
      <c r="P1087" s="12" t="s">
        <v>2236</v>
      </c>
      <c r="Q1087" s="10" t="s">
        <v>2236</v>
      </c>
      <c r="R1087" s="10" t="s">
        <v>2236</v>
      </c>
      <c r="S1087" s="10" t="s">
        <v>2236</v>
      </c>
      <c r="T1087" s="10" t="s">
        <v>2236</v>
      </c>
      <c r="U10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8" spans="1:31" hidden="1" x14ac:dyDescent="0.3">
      <c r="A1088" s="12" t="s">
        <v>3819</v>
      </c>
      <c r="B1088" s="12" t="s">
        <v>2371</v>
      </c>
      <c r="C1088" s="12" t="s">
        <v>3820</v>
      </c>
      <c r="D1088" s="12" t="s">
        <v>3821</v>
      </c>
      <c r="E1088" s="12" t="s">
        <v>2236</v>
      </c>
      <c r="F1088" s="8">
        <v>0</v>
      </c>
      <c r="G1088" s="12" t="s">
        <v>2237</v>
      </c>
      <c r="H1088" s="12">
        <v>0</v>
      </c>
      <c r="I1088" s="12" t="s">
        <v>2237</v>
      </c>
      <c r="J1088" s="12">
        <v>0</v>
      </c>
      <c r="K1088" s="12" t="s">
        <v>2237</v>
      </c>
      <c r="L1088" s="12">
        <v>0</v>
      </c>
      <c r="M1088" s="12" t="s">
        <v>2237</v>
      </c>
      <c r="N1088" s="8">
        <v>0</v>
      </c>
      <c r="O1088" s="12" t="s">
        <v>2237</v>
      </c>
      <c r="P1088" s="12" t="s">
        <v>2236</v>
      </c>
      <c r="Q1088" s="10" t="s">
        <v>2236</v>
      </c>
      <c r="R1088" s="10" t="s">
        <v>2236</v>
      </c>
      <c r="S1088" s="10" t="s">
        <v>2236</v>
      </c>
      <c r="T1088" s="10" t="s">
        <v>2236</v>
      </c>
      <c r="U10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89" spans="1:31" hidden="1" x14ac:dyDescent="0.3">
      <c r="A1089" s="12" t="s">
        <v>3822</v>
      </c>
      <c r="B1089" s="12" t="s">
        <v>2371</v>
      </c>
      <c r="C1089" s="12" t="s">
        <v>2902</v>
      </c>
      <c r="D1089" s="12" t="s">
        <v>3823</v>
      </c>
      <c r="E1089" s="12" t="s">
        <v>2236</v>
      </c>
      <c r="F1089" s="8">
        <v>0</v>
      </c>
      <c r="G1089" s="12" t="s">
        <v>2237</v>
      </c>
      <c r="H1089" s="12">
        <v>0</v>
      </c>
      <c r="I1089" s="12" t="s">
        <v>2237</v>
      </c>
      <c r="J1089" s="12">
        <v>0</v>
      </c>
      <c r="K1089" s="12" t="s">
        <v>2237</v>
      </c>
      <c r="L1089" s="12">
        <v>0</v>
      </c>
      <c r="M1089" s="12" t="s">
        <v>2237</v>
      </c>
      <c r="N1089" s="8">
        <v>0</v>
      </c>
      <c r="O1089" s="12" t="s">
        <v>2237</v>
      </c>
      <c r="P1089" s="12" t="s">
        <v>2236</v>
      </c>
      <c r="Q1089" s="10" t="s">
        <v>2236</v>
      </c>
      <c r="R1089" s="10" t="s">
        <v>2236</v>
      </c>
      <c r="S1089" s="10" t="s">
        <v>2236</v>
      </c>
      <c r="T1089" s="10" t="s">
        <v>2236</v>
      </c>
      <c r="U10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0" spans="1:31" hidden="1" x14ac:dyDescent="0.3">
      <c r="A1090" s="12" t="s">
        <v>3824</v>
      </c>
      <c r="B1090" s="12" t="s">
        <v>2371</v>
      </c>
      <c r="C1090" s="12" t="s">
        <v>3825</v>
      </c>
      <c r="D1090" s="12" t="s">
        <v>3826</v>
      </c>
      <c r="E1090" s="12" t="s">
        <v>2236</v>
      </c>
      <c r="F1090" s="8">
        <v>0</v>
      </c>
      <c r="G1090" s="12" t="s">
        <v>2237</v>
      </c>
      <c r="H1090" s="12">
        <v>0</v>
      </c>
      <c r="I1090" s="12" t="s">
        <v>2237</v>
      </c>
      <c r="J1090" s="12">
        <v>0</v>
      </c>
      <c r="K1090" s="12" t="s">
        <v>2237</v>
      </c>
      <c r="L1090" s="12">
        <v>0</v>
      </c>
      <c r="M1090" s="12" t="s">
        <v>2237</v>
      </c>
      <c r="N1090" s="8">
        <v>0</v>
      </c>
      <c r="O1090" s="12" t="s">
        <v>2237</v>
      </c>
      <c r="P1090" s="12" t="s">
        <v>2236</v>
      </c>
      <c r="Q1090" s="10" t="s">
        <v>2236</v>
      </c>
      <c r="R1090" s="10" t="s">
        <v>2236</v>
      </c>
      <c r="S1090" s="10" t="s">
        <v>2236</v>
      </c>
      <c r="T1090" s="10" t="s">
        <v>2236</v>
      </c>
      <c r="U10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1" spans="1:31" hidden="1" x14ac:dyDescent="0.3">
      <c r="A1091" s="12" t="s">
        <v>3827</v>
      </c>
      <c r="B1091" s="12" t="s">
        <v>2371</v>
      </c>
      <c r="C1091" s="12" t="s">
        <v>3828</v>
      </c>
      <c r="D1091" s="12" t="s">
        <v>3829</v>
      </c>
      <c r="E1091" s="12" t="s">
        <v>2236</v>
      </c>
      <c r="F1091" s="8">
        <v>0</v>
      </c>
      <c r="G1091" s="12" t="s">
        <v>2237</v>
      </c>
      <c r="H1091" s="12">
        <v>0</v>
      </c>
      <c r="I1091" s="12" t="s">
        <v>2237</v>
      </c>
      <c r="J1091" s="12">
        <v>0</v>
      </c>
      <c r="K1091" s="12" t="s">
        <v>2237</v>
      </c>
      <c r="L1091" s="12">
        <v>0</v>
      </c>
      <c r="M1091" s="12" t="s">
        <v>2237</v>
      </c>
      <c r="N1091" s="8">
        <v>0</v>
      </c>
      <c r="O1091" s="12" t="s">
        <v>2237</v>
      </c>
      <c r="P1091" s="12" t="s">
        <v>2236</v>
      </c>
      <c r="Q1091" s="10" t="s">
        <v>2236</v>
      </c>
      <c r="R1091" s="10" t="s">
        <v>2236</v>
      </c>
      <c r="S1091" s="10" t="s">
        <v>2236</v>
      </c>
      <c r="T1091" s="10" t="s">
        <v>2236</v>
      </c>
      <c r="U10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2" spans="1:31" hidden="1" x14ac:dyDescent="0.3">
      <c r="A1092" s="12" t="s">
        <v>3830</v>
      </c>
      <c r="B1092" s="12" t="s">
        <v>2371</v>
      </c>
      <c r="C1092" s="12" t="s">
        <v>3831</v>
      </c>
      <c r="D1092" s="12" t="s">
        <v>3832</v>
      </c>
      <c r="E1092" s="12" t="s">
        <v>2236</v>
      </c>
      <c r="F1092" s="8">
        <v>0</v>
      </c>
      <c r="G1092" s="12" t="s">
        <v>2237</v>
      </c>
      <c r="H1092" s="12">
        <v>0</v>
      </c>
      <c r="I1092" s="12" t="s">
        <v>2237</v>
      </c>
      <c r="J1092" s="12">
        <v>0</v>
      </c>
      <c r="K1092" s="12" t="s">
        <v>2237</v>
      </c>
      <c r="L1092" s="12">
        <v>0</v>
      </c>
      <c r="M1092" s="12" t="s">
        <v>2237</v>
      </c>
      <c r="N1092" s="8">
        <v>0</v>
      </c>
      <c r="O1092" s="12" t="s">
        <v>2237</v>
      </c>
      <c r="P1092" s="12" t="s">
        <v>2236</v>
      </c>
      <c r="Q1092" s="10" t="s">
        <v>2236</v>
      </c>
      <c r="R1092" s="10" t="s">
        <v>2236</v>
      </c>
      <c r="S1092" s="10" t="s">
        <v>2236</v>
      </c>
      <c r="T1092" s="10" t="s">
        <v>2236</v>
      </c>
      <c r="U10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3" spans="1:31" hidden="1" x14ac:dyDescent="0.3">
      <c r="A1093" s="12" t="s">
        <v>3833</v>
      </c>
      <c r="B1093" s="12" t="s">
        <v>2371</v>
      </c>
      <c r="C1093" s="12" t="s">
        <v>3834</v>
      </c>
      <c r="D1093" s="12" t="s">
        <v>3835</v>
      </c>
      <c r="E1093" s="12" t="s">
        <v>2236</v>
      </c>
      <c r="F1093" s="8">
        <v>0</v>
      </c>
      <c r="G1093" s="12" t="s">
        <v>2237</v>
      </c>
      <c r="H1093" s="12">
        <v>0</v>
      </c>
      <c r="I1093" s="12" t="s">
        <v>2237</v>
      </c>
      <c r="J1093" s="12">
        <v>0</v>
      </c>
      <c r="K1093" s="12" t="s">
        <v>2237</v>
      </c>
      <c r="L1093" s="12">
        <v>0</v>
      </c>
      <c r="M1093" s="12" t="s">
        <v>2237</v>
      </c>
      <c r="N1093" s="8">
        <v>0</v>
      </c>
      <c r="O1093" s="12" t="s">
        <v>2237</v>
      </c>
      <c r="P1093" s="12" t="s">
        <v>2236</v>
      </c>
      <c r="Q1093" s="10" t="s">
        <v>2236</v>
      </c>
      <c r="R1093" s="10" t="s">
        <v>2236</v>
      </c>
      <c r="S1093" s="10" t="s">
        <v>2236</v>
      </c>
      <c r="T1093" s="10" t="s">
        <v>2236</v>
      </c>
      <c r="U10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4" spans="1:31" hidden="1" x14ac:dyDescent="0.3">
      <c r="A1094" s="12" t="s">
        <v>3836</v>
      </c>
      <c r="B1094" s="12" t="s">
        <v>2371</v>
      </c>
      <c r="C1094" s="12" t="s">
        <v>3837</v>
      </c>
      <c r="D1094" s="12" t="s">
        <v>3838</v>
      </c>
      <c r="E1094" s="12" t="s">
        <v>2236</v>
      </c>
      <c r="F1094" s="8">
        <v>0</v>
      </c>
      <c r="G1094" s="12" t="s">
        <v>2237</v>
      </c>
      <c r="H1094" s="12">
        <v>0</v>
      </c>
      <c r="I1094" s="12" t="s">
        <v>2237</v>
      </c>
      <c r="J1094" s="12">
        <v>0</v>
      </c>
      <c r="K1094" s="12" t="s">
        <v>2237</v>
      </c>
      <c r="L1094" s="12">
        <v>0</v>
      </c>
      <c r="M1094" s="12" t="s">
        <v>2237</v>
      </c>
      <c r="N1094" s="8">
        <v>0</v>
      </c>
      <c r="O1094" s="12" t="s">
        <v>2237</v>
      </c>
      <c r="P1094" s="12" t="s">
        <v>2236</v>
      </c>
      <c r="Q1094" s="10" t="s">
        <v>2236</v>
      </c>
      <c r="R1094" s="10" t="s">
        <v>2236</v>
      </c>
      <c r="S1094" s="10" t="s">
        <v>2236</v>
      </c>
      <c r="T1094" s="10" t="s">
        <v>2236</v>
      </c>
      <c r="U10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5" spans="1:31" hidden="1" x14ac:dyDescent="0.3">
      <c r="A1095" s="12" t="s">
        <v>3839</v>
      </c>
      <c r="B1095" s="12" t="s">
        <v>2371</v>
      </c>
      <c r="C1095" s="12" t="s">
        <v>3840</v>
      </c>
      <c r="D1095" s="12" t="s">
        <v>3841</v>
      </c>
      <c r="E1095" s="12" t="s">
        <v>2236</v>
      </c>
      <c r="F1095" s="8">
        <v>0</v>
      </c>
      <c r="G1095" s="12" t="s">
        <v>2237</v>
      </c>
      <c r="H1095" s="12">
        <v>0</v>
      </c>
      <c r="I1095" s="12" t="s">
        <v>2237</v>
      </c>
      <c r="J1095" s="12">
        <v>0</v>
      </c>
      <c r="K1095" s="12" t="s">
        <v>2237</v>
      </c>
      <c r="L1095" s="12">
        <v>0</v>
      </c>
      <c r="M1095" s="12" t="s">
        <v>2237</v>
      </c>
      <c r="N1095" s="8">
        <v>0</v>
      </c>
      <c r="O1095" s="12" t="s">
        <v>2237</v>
      </c>
      <c r="P1095" s="12" t="s">
        <v>2236</v>
      </c>
      <c r="Q1095" s="10" t="s">
        <v>2236</v>
      </c>
      <c r="R1095" s="10" t="s">
        <v>2236</v>
      </c>
      <c r="S1095" s="10" t="s">
        <v>2236</v>
      </c>
      <c r="T1095" s="10" t="s">
        <v>2236</v>
      </c>
      <c r="U10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6" spans="1:31" hidden="1" x14ac:dyDescent="0.3">
      <c r="A1096" s="12" t="s">
        <v>3842</v>
      </c>
      <c r="B1096" s="12" t="s">
        <v>2371</v>
      </c>
      <c r="C1096" s="12" t="s">
        <v>3843</v>
      </c>
      <c r="D1096" s="12" t="s">
        <v>3844</v>
      </c>
      <c r="E1096" s="12" t="s">
        <v>2236</v>
      </c>
      <c r="F1096" s="8">
        <v>0</v>
      </c>
      <c r="G1096" s="12" t="s">
        <v>2237</v>
      </c>
      <c r="H1096" s="12">
        <v>0</v>
      </c>
      <c r="I1096" s="12" t="s">
        <v>2237</v>
      </c>
      <c r="J1096" s="12">
        <v>0</v>
      </c>
      <c r="K1096" s="12" t="s">
        <v>2237</v>
      </c>
      <c r="L1096" s="12">
        <v>0</v>
      </c>
      <c r="M1096" s="12" t="s">
        <v>2237</v>
      </c>
      <c r="N1096" s="8">
        <v>0</v>
      </c>
      <c r="O1096" s="12" t="s">
        <v>2237</v>
      </c>
      <c r="P1096" s="12" t="s">
        <v>2236</v>
      </c>
      <c r="Q1096" s="10" t="s">
        <v>2236</v>
      </c>
      <c r="R1096" s="10" t="s">
        <v>2236</v>
      </c>
      <c r="S1096" s="10" t="s">
        <v>2236</v>
      </c>
      <c r="T1096" s="10" t="s">
        <v>2236</v>
      </c>
      <c r="U10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7" spans="1:31" hidden="1" x14ac:dyDescent="0.3">
      <c r="A1097" s="12" t="s">
        <v>3845</v>
      </c>
      <c r="B1097" s="12" t="s">
        <v>2371</v>
      </c>
      <c r="C1097" s="12" t="s">
        <v>3846</v>
      </c>
      <c r="D1097" s="12" t="s">
        <v>3847</v>
      </c>
      <c r="E1097" s="12" t="s">
        <v>2236</v>
      </c>
      <c r="F1097" s="8">
        <v>0</v>
      </c>
      <c r="G1097" s="12" t="s">
        <v>2237</v>
      </c>
      <c r="H1097" s="12">
        <v>0</v>
      </c>
      <c r="I1097" s="12" t="s">
        <v>2237</v>
      </c>
      <c r="J1097" s="12">
        <v>0</v>
      </c>
      <c r="K1097" s="12" t="s">
        <v>2237</v>
      </c>
      <c r="L1097" s="12">
        <v>0</v>
      </c>
      <c r="M1097" s="12" t="s">
        <v>2237</v>
      </c>
      <c r="N1097" s="8">
        <v>0</v>
      </c>
      <c r="O1097" s="12" t="s">
        <v>2237</v>
      </c>
      <c r="P1097" s="12" t="s">
        <v>2236</v>
      </c>
      <c r="Q1097" s="10" t="s">
        <v>2236</v>
      </c>
      <c r="R1097" s="10" t="s">
        <v>2236</v>
      </c>
      <c r="S1097" s="10" t="s">
        <v>2236</v>
      </c>
      <c r="T1097" s="10" t="s">
        <v>2236</v>
      </c>
      <c r="U10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8" spans="1:31" hidden="1" x14ac:dyDescent="0.3">
      <c r="A1098" s="12" t="s">
        <v>3848</v>
      </c>
      <c r="B1098" s="12" t="s">
        <v>2371</v>
      </c>
      <c r="C1098" s="12" t="s">
        <v>3849</v>
      </c>
      <c r="D1098" s="12" t="s">
        <v>3850</v>
      </c>
      <c r="E1098" s="12" t="s">
        <v>2236</v>
      </c>
      <c r="F1098" s="8">
        <v>0</v>
      </c>
      <c r="G1098" s="12" t="s">
        <v>2237</v>
      </c>
      <c r="H1098" s="12">
        <v>0</v>
      </c>
      <c r="I1098" s="12" t="s">
        <v>2237</v>
      </c>
      <c r="J1098" s="12">
        <v>0</v>
      </c>
      <c r="K1098" s="12" t="s">
        <v>2237</v>
      </c>
      <c r="L1098" s="12">
        <v>0</v>
      </c>
      <c r="M1098" s="12" t="s">
        <v>2237</v>
      </c>
      <c r="N1098" s="8">
        <v>0</v>
      </c>
      <c r="O1098" s="12" t="s">
        <v>2237</v>
      </c>
      <c r="P1098" s="12" t="s">
        <v>2236</v>
      </c>
      <c r="Q1098" s="10" t="s">
        <v>2236</v>
      </c>
      <c r="R1098" s="10" t="s">
        <v>2236</v>
      </c>
      <c r="S1098" s="10" t="s">
        <v>2236</v>
      </c>
      <c r="T1098" s="10" t="s">
        <v>2236</v>
      </c>
      <c r="U10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099" spans="1:31" hidden="1" x14ac:dyDescent="0.3">
      <c r="A1099" s="12" t="s">
        <v>3851</v>
      </c>
      <c r="B1099" s="12" t="s">
        <v>2371</v>
      </c>
      <c r="C1099" s="12" t="s">
        <v>3852</v>
      </c>
      <c r="D1099" s="12" t="s">
        <v>3853</v>
      </c>
      <c r="E1099" s="12" t="s">
        <v>2236</v>
      </c>
      <c r="F1099" s="8">
        <v>0</v>
      </c>
      <c r="G1099" s="12" t="s">
        <v>2237</v>
      </c>
      <c r="H1099" s="12">
        <v>0</v>
      </c>
      <c r="I1099" s="12" t="s">
        <v>2237</v>
      </c>
      <c r="J1099" s="12">
        <v>0</v>
      </c>
      <c r="K1099" s="12" t="s">
        <v>2237</v>
      </c>
      <c r="L1099" s="12">
        <v>0</v>
      </c>
      <c r="M1099" s="12" t="s">
        <v>2237</v>
      </c>
      <c r="N1099" s="8">
        <v>0</v>
      </c>
      <c r="O1099" s="12" t="s">
        <v>2237</v>
      </c>
      <c r="P1099" s="12" t="s">
        <v>2236</v>
      </c>
      <c r="Q1099" s="10" t="s">
        <v>2236</v>
      </c>
      <c r="R1099" s="10" t="s">
        <v>2236</v>
      </c>
      <c r="S1099" s="10" t="s">
        <v>2236</v>
      </c>
      <c r="T1099" s="10" t="s">
        <v>2236</v>
      </c>
      <c r="U10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0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0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0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0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0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0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0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0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0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0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0" spans="1:31" hidden="1" x14ac:dyDescent="0.3">
      <c r="A1100" s="12" t="s">
        <v>3854</v>
      </c>
      <c r="B1100" s="12" t="s">
        <v>2371</v>
      </c>
      <c r="C1100" s="12" t="s">
        <v>3752</v>
      </c>
      <c r="D1100" s="12" t="s">
        <v>3855</v>
      </c>
      <c r="E1100" s="12" t="s">
        <v>2236</v>
      </c>
      <c r="F1100" s="8">
        <v>0</v>
      </c>
      <c r="G1100" s="12" t="s">
        <v>2237</v>
      </c>
      <c r="H1100" s="12">
        <v>0</v>
      </c>
      <c r="I1100" s="12" t="s">
        <v>2237</v>
      </c>
      <c r="J1100" s="12">
        <v>0</v>
      </c>
      <c r="K1100" s="12" t="s">
        <v>2237</v>
      </c>
      <c r="L1100" s="12">
        <v>0</v>
      </c>
      <c r="M1100" s="12" t="s">
        <v>2237</v>
      </c>
      <c r="N1100" s="8">
        <v>0</v>
      </c>
      <c r="O1100" s="12" t="s">
        <v>2237</v>
      </c>
      <c r="P1100" s="12" t="s">
        <v>2236</v>
      </c>
      <c r="Q1100" s="10" t="s">
        <v>2236</v>
      </c>
      <c r="R1100" s="10" t="s">
        <v>2236</v>
      </c>
      <c r="S1100" s="10" t="s">
        <v>2236</v>
      </c>
      <c r="T1100" s="10" t="s">
        <v>2236</v>
      </c>
      <c r="U11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1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1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1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1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1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1" spans="1:31" hidden="1" x14ac:dyDescent="0.3">
      <c r="A1101" s="12" t="s">
        <v>3856</v>
      </c>
      <c r="B1101" s="12" t="s">
        <v>18</v>
      </c>
      <c r="C1101" s="13" t="s">
        <v>373</v>
      </c>
      <c r="D1101" s="12" t="s">
        <v>1862</v>
      </c>
      <c r="E1101" s="12" t="s">
        <v>2842</v>
      </c>
      <c r="F1101" s="8">
        <v>28604945.300000001</v>
      </c>
      <c r="G1101" s="12" t="s">
        <v>2237</v>
      </c>
      <c r="H1101" s="12">
        <v>26912711.350000001</v>
      </c>
      <c r="I1101" s="12" t="s">
        <v>2237</v>
      </c>
      <c r="J1101" s="12">
        <v>0</v>
      </c>
      <c r="K1101" s="12" t="s">
        <v>2237</v>
      </c>
      <c r="L1101" s="12">
        <v>34172.870000000003</v>
      </c>
      <c r="M1101" s="12" t="s">
        <v>2237</v>
      </c>
      <c r="N1101" s="8">
        <v>25030004.66</v>
      </c>
      <c r="O1101" s="12" t="s">
        <v>2237</v>
      </c>
      <c r="P1101" s="12" t="s">
        <v>2236</v>
      </c>
      <c r="Q1101" s="10" t="s">
        <v>2242</v>
      </c>
      <c r="R1101" s="10" t="s">
        <v>2238</v>
      </c>
      <c r="S1101" s="10" t="s">
        <v>2243</v>
      </c>
      <c r="T1101" s="10" t="s">
        <v>2844</v>
      </c>
      <c r="U110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1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1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2" spans="1:31" hidden="1" x14ac:dyDescent="0.3">
      <c r="A1102" s="12" t="s">
        <v>3857</v>
      </c>
      <c r="B1102" s="12" t="s">
        <v>21</v>
      </c>
      <c r="C1102" s="12" t="s">
        <v>375</v>
      </c>
      <c r="D1102" s="12" t="s">
        <v>1863</v>
      </c>
      <c r="E1102" s="12" t="s">
        <v>2842</v>
      </c>
      <c r="F1102" s="8">
        <v>144244.79999999999</v>
      </c>
      <c r="G1102" s="12" t="s">
        <v>2237</v>
      </c>
      <c r="H1102" s="12">
        <v>144244.79999999999</v>
      </c>
      <c r="I1102" s="12" t="s">
        <v>2237</v>
      </c>
      <c r="J1102" s="12">
        <v>0</v>
      </c>
      <c r="K1102" s="12" t="s">
        <v>2237</v>
      </c>
      <c r="L1102" s="12">
        <v>0</v>
      </c>
      <c r="M1102" s="12" t="s">
        <v>2237</v>
      </c>
      <c r="N1102" s="8">
        <v>119099.02</v>
      </c>
      <c r="O1102" s="12" t="s">
        <v>2237</v>
      </c>
      <c r="P1102" s="12" t="s">
        <v>2236</v>
      </c>
      <c r="Q1102" s="10" t="s">
        <v>2242</v>
      </c>
      <c r="R1102" s="10" t="s">
        <v>2238</v>
      </c>
      <c r="S1102" s="10" t="s">
        <v>2243</v>
      </c>
      <c r="T1102" s="10" t="s">
        <v>2642</v>
      </c>
      <c r="U110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E530-3010173-D225301</v>
      </c>
      <c r="X11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2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11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3" spans="1:31" hidden="1" x14ac:dyDescent="0.3">
      <c r="A1103" s="12" t="s">
        <v>3858</v>
      </c>
      <c r="B1103" s="12" t="s">
        <v>26</v>
      </c>
      <c r="C1103" s="12" t="s">
        <v>375</v>
      </c>
      <c r="D1103" s="12" t="s">
        <v>1864</v>
      </c>
      <c r="E1103" s="12" t="s">
        <v>2842</v>
      </c>
      <c r="F1103" s="8">
        <v>144244.79999999999</v>
      </c>
      <c r="G1103" s="12" t="s">
        <v>2237</v>
      </c>
      <c r="H1103" s="12">
        <v>144244.79999999999</v>
      </c>
      <c r="I1103" s="12" t="s">
        <v>2237</v>
      </c>
      <c r="J1103" s="12">
        <v>0</v>
      </c>
      <c r="K1103" s="12" t="s">
        <v>2237</v>
      </c>
      <c r="L1103" s="12">
        <v>0</v>
      </c>
      <c r="M1103" s="12" t="s">
        <v>2237</v>
      </c>
      <c r="N1103" s="8">
        <v>119099.02</v>
      </c>
      <c r="O1103" s="12" t="s">
        <v>2237</v>
      </c>
      <c r="P1103" s="12" t="s">
        <v>2236</v>
      </c>
      <c r="Q1103" s="10" t="s">
        <v>2242</v>
      </c>
      <c r="R1103" s="10" t="s">
        <v>2238</v>
      </c>
      <c r="S1103" s="10" t="s">
        <v>2243</v>
      </c>
      <c r="T1103" s="10" t="s">
        <v>3351</v>
      </c>
      <c r="U110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E530-3010173-D225301</v>
      </c>
      <c r="X110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E530-301017311-D225301</v>
      </c>
      <c r="Y11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3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1103" s="10" t="str">
        <f>IF(IFERROR(INDEX(WBS_Dictionary!L$2:L$1212, MATCH(Table2[[#This Row],[WBS_ID]], Table26[WBS CODE],0)), "") = "", "null", IFERROR(INDEX(WBS_Dictionary!L$2:L$1212, MATCH(Table2[[#This Row],[WBS_ID]], Table26[WBS CODE],0)), ""))</f>
        <v>Explosive</v>
      </c>
      <c r="AC11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4" spans="1:31" hidden="1" x14ac:dyDescent="0.3">
      <c r="A1104" s="12" t="s">
        <v>3859</v>
      </c>
      <c r="B1104" s="12" t="s">
        <v>30</v>
      </c>
      <c r="C1104" s="12" t="s">
        <v>375</v>
      </c>
      <c r="D1104" s="12" t="s">
        <v>1865</v>
      </c>
      <c r="E1104" s="12" t="s">
        <v>2842</v>
      </c>
      <c r="F1104" s="8">
        <v>0</v>
      </c>
      <c r="G1104" s="12" t="s">
        <v>2237</v>
      </c>
      <c r="H1104" s="12">
        <v>0</v>
      </c>
      <c r="I1104" s="12" t="s">
        <v>2237</v>
      </c>
      <c r="J1104" s="12">
        <v>0</v>
      </c>
      <c r="K1104" s="12" t="s">
        <v>2237</v>
      </c>
      <c r="L1104" s="12">
        <v>0</v>
      </c>
      <c r="M1104" s="12" t="s">
        <v>2237</v>
      </c>
      <c r="N1104" s="8">
        <v>119099.02</v>
      </c>
      <c r="O1104" s="12" t="s">
        <v>2237</v>
      </c>
      <c r="P1104" s="12" t="s">
        <v>2236</v>
      </c>
      <c r="Q1104" s="10" t="s">
        <v>2242</v>
      </c>
      <c r="R1104" s="10" t="s">
        <v>2238</v>
      </c>
      <c r="S1104" s="10" t="s">
        <v>2243</v>
      </c>
      <c r="T1104" s="10" t="s">
        <v>2645</v>
      </c>
      <c r="U110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E530-3010173-D225301</v>
      </c>
      <c r="X110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E530-301017311-D225301</v>
      </c>
      <c r="Y110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E530-30101731160-D225301</v>
      </c>
      <c r="Z11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4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1104" s="10" t="str">
        <f>IF(IFERROR(INDEX(WBS_Dictionary!L$2:L$1212, MATCH(Table2[[#This Row],[WBS_ID]], Table26[WBS CODE],0)), "") = "", "null", IFERROR(INDEX(WBS_Dictionary!L$2:L$1212, MATCH(Table2[[#This Row],[WBS_ID]], Table26[WBS CODE],0)), ""))</f>
        <v>Explosive</v>
      </c>
      <c r="AC1104" s="10" t="str">
        <f>IF(IFERROR(INDEX(WBS_Dictionary!M$2:M$1212, MATCH(Table2[[#This Row],[WBS_ID]], Table26[WBS CODE],0)), "") = "", "null", IFERROR(INDEX(WBS_Dictionary!M$2:M$1212, MATCH(Table2[[#This Row],[WBS_ID]], Table26[WBS CODE],0)), ""))</f>
        <v>Explosive</v>
      </c>
      <c r="AD11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5" spans="1:31" hidden="1" x14ac:dyDescent="0.3">
      <c r="A1105" s="12" t="s">
        <v>3860</v>
      </c>
      <c r="B1105" s="12" t="s">
        <v>21</v>
      </c>
      <c r="C1105" s="12" t="s">
        <v>379</v>
      </c>
      <c r="D1105" s="12" t="s">
        <v>1866</v>
      </c>
      <c r="E1105" s="12" t="s">
        <v>2842</v>
      </c>
      <c r="F1105" s="8">
        <v>1692233.95</v>
      </c>
      <c r="G1105" s="12" t="s">
        <v>2237</v>
      </c>
      <c r="H1105" s="12">
        <v>0</v>
      </c>
      <c r="I1105" s="12" t="s">
        <v>2237</v>
      </c>
      <c r="J1105" s="12">
        <v>0</v>
      </c>
      <c r="K1105" s="12" t="s">
        <v>2237</v>
      </c>
      <c r="L1105" s="12">
        <v>0</v>
      </c>
      <c r="M1105" s="12" t="s">
        <v>2237</v>
      </c>
      <c r="N1105" s="8">
        <v>0</v>
      </c>
      <c r="O1105" s="12" t="s">
        <v>2237</v>
      </c>
      <c r="P1105" s="12" t="s">
        <v>2236</v>
      </c>
      <c r="Q1105" s="10" t="s">
        <v>2242</v>
      </c>
      <c r="R1105" s="10" t="s">
        <v>2238</v>
      </c>
      <c r="S1105" s="10" t="s">
        <v>2243</v>
      </c>
      <c r="T1105" s="10" t="s">
        <v>2642</v>
      </c>
      <c r="U110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E530-3010172-D225301</v>
      </c>
      <c r="X11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5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11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6" spans="1:31" hidden="1" x14ac:dyDescent="0.3">
      <c r="A1106" s="12" t="s">
        <v>3861</v>
      </c>
      <c r="B1106" s="12" t="s">
        <v>26</v>
      </c>
      <c r="C1106" s="12" t="s">
        <v>379</v>
      </c>
      <c r="D1106" s="12" t="s">
        <v>1867</v>
      </c>
      <c r="E1106" s="12" t="s">
        <v>2842</v>
      </c>
      <c r="F1106" s="8">
        <v>1692233.95</v>
      </c>
      <c r="G1106" s="12" t="s">
        <v>2237</v>
      </c>
      <c r="H1106" s="12">
        <v>0</v>
      </c>
      <c r="I1106" s="12" t="s">
        <v>2237</v>
      </c>
      <c r="J1106" s="12">
        <v>0</v>
      </c>
      <c r="K1106" s="12" t="s">
        <v>2237</v>
      </c>
      <c r="L1106" s="12">
        <v>0</v>
      </c>
      <c r="M1106" s="12" t="s">
        <v>2237</v>
      </c>
      <c r="N1106" s="8">
        <v>0</v>
      </c>
      <c r="O1106" s="12" t="s">
        <v>2237</v>
      </c>
      <c r="P1106" s="12" t="s">
        <v>2236</v>
      </c>
      <c r="Q1106" s="10" t="s">
        <v>2242</v>
      </c>
      <c r="R1106" s="10" t="s">
        <v>2238</v>
      </c>
      <c r="S1106" s="10" t="s">
        <v>2243</v>
      </c>
      <c r="T1106" s="10" t="s">
        <v>2642</v>
      </c>
      <c r="U110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E530-3010172-D225301</v>
      </c>
      <c r="X110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E530-301017299-D225301</v>
      </c>
      <c r="Y11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6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1106" s="10" t="str">
        <f>IF(IFERROR(INDEX(WBS_Dictionary!L$2:L$1212, MATCH(Table2[[#This Row],[WBS_ID]], Table26[WBS CODE],0)), "") = "", "null", IFERROR(INDEX(WBS_Dictionary!L$2:L$1212, MATCH(Table2[[#This Row],[WBS_ID]], Table26[WBS CODE],0)), ""))</f>
        <v>LIH</v>
      </c>
      <c r="AC11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7" spans="1:31" hidden="1" x14ac:dyDescent="0.3">
      <c r="A1107" s="12" t="s">
        <v>3862</v>
      </c>
      <c r="B1107" s="12" t="s">
        <v>30</v>
      </c>
      <c r="C1107" s="12" t="s">
        <v>379</v>
      </c>
      <c r="D1107" s="12" t="s">
        <v>1868</v>
      </c>
      <c r="E1107" s="12" t="s">
        <v>2842</v>
      </c>
      <c r="F1107" s="8">
        <v>0</v>
      </c>
      <c r="G1107" s="12" t="s">
        <v>2237</v>
      </c>
      <c r="H1107" s="12">
        <v>0</v>
      </c>
      <c r="I1107" s="12" t="s">
        <v>2237</v>
      </c>
      <c r="J1107" s="12">
        <v>0</v>
      </c>
      <c r="K1107" s="12" t="s">
        <v>2237</v>
      </c>
      <c r="L1107" s="12">
        <v>0</v>
      </c>
      <c r="M1107" s="12" t="s">
        <v>2237</v>
      </c>
      <c r="N1107" s="8">
        <v>0</v>
      </c>
      <c r="O1107" s="12" t="s">
        <v>2237</v>
      </c>
      <c r="P1107" s="12" t="s">
        <v>2236</v>
      </c>
      <c r="Q1107" s="10" t="s">
        <v>2242</v>
      </c>
      <c r="R1107" s="10" t="s">
        <v>2238</v>
      </c>
      <c r="S1107" s="10" t="s">
        <v>2243</v>
      </c>
      <c r="T1107" s="10" t="s">
        <v>2645</v>
      </c>
      <c r="U110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E530-3010172-D225301</v>
      </c>
      <c r="X110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E530-301017299-D225301</v>
      </c>
      <c r="Y110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E530-30101729921-D225301</v>
      </c>
      <c r="Z11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7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1107" s="10" t="str">
        <f>IF(IFERROR(INDEX(WBS_Dictionary!L$2:L$1212, MATCH(Table2[[#This Row],[WBS_ID]], Table26[WBS CODE],0)), "") = "", "null", IFERROR(INDEX(WBS_Dictionary!L$2:L$1212, MATCH(Table2[[#This Row],[WBS_ID]], Table26[WBS CODE],0)), ""))</f>
        <v>LIH</v>
      </c>
      <c r="AC1107" s="10" t="str">
        <f>IF(IFERROR(INDEX(WBS_Dictionary!M$2:M$1212, MATCH(Table2[[#This Row],[WBS_ID]], Table26[WBS CODE],0)), "") = "", "null", IFERROR(INDEX(WBS_Dictionary!M$2:M$1212, MATCH(Table2[[#This Row],[WBS_ID]], Table26[WBS CODE],0)), ""))</f>
        <v>LIH</v>
      </c>
      <c r="AD11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8" spans="1:31" hidden="1" x14ac:dyDescent="0.3">
      <c r="A1108" s="12" t="s">
        <v>3863</v>
      </c>
      <c r="B1108" s="12" t="s">
        <v>21</v>
      </c>
      <c r="C1108" s="12" t="s">
        <v>720</v>
      </c>
      <c r="D1108" s="12" t="s">
        <v>1869</v>
      </c>
      <c r="E1108" s="12" t="s">
        <v>2842</v>
      </c>
      <c r="F1108" s="8">
        <v>259715.36</v>
      </c>
      <c r="G1108" s="12" t="s">
        <v>2237</v>
      </c>
      <c r="H1108" s="12">
        <v>259715.36</v>
      </c>
      <c r="I1108" s="12" t="s">
        <v>2237</v>
      </c>
      <c r="J1108" s="12">
        <v>0</v>
      </c>
      <c r="K1108" s="12" t="s">
        <v>2237</v>
      </c>
      <c r="L1108" s="12">
        <v>0</v>
      </c>
      <c r="M1108" s="12" t="s">
        <v>2237</v>
      </c>
      <c r="N1108" s="8">
        <v>169380.89</v>
      </c>
      <c r="O1108" s="12" t="s">
        <v>2237</v>
      </c>
      <c r="P1108" s="12" t="s">
        <v>2236</v>
      </c>
      <c r="Q1108" s="10" t="s">
        <v>2242</v>
      </c>
      <c r="R1108" s="10" t="s">
        <v>2238</v>
      </c>
      <c r="S1108" s="10" t="s">
        <v>2243</v>
      </c>
      <c r="T1108" s="10" t="s">
        <v>2642</v>
      </c>
      <c r="U110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E530-3010161-D225301</v>
      </c>
      <c r="X11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8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11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09" spans="1:31" hidden="1" x14ac:dyDescent="0.3">
      <c r="A1109" s="12" t="s">
        <v>3864</v>
      </c>
      <c r="B1109" s="12" t="s">
        <v>26</v>
      </c>
      <c r="C1109" s="12" t="s">
        <v>722</v>
      </c>
      <c r="D1109" s="12" t="s">
        <v>1870</v>
      </c>
      <c r="E1109" s="12" t="s">
        <v>2842</v>
      </c>
      <c r="F1109" s="8">
        <v>259715.36</v>
      </c>
      <c r="G1109" s="12" t="s">
        <v>2237</v>
      </c>
      <c r="H1109" s="12">
        <v>259715.36</v>
      </c>
      <c r="I1109" s="12" t="s">
        <v>2237</v>
      </c>
      <c r="J1109" s="12">
        <v>0</v>
      </c>
      <c r="K1109" s="12" t="s">
        <v>2237</v>
      </c>
      <c r="L1109" s="12">
        <v>0</v>
      </c>
      <c r="M1109" s="12" t="s">
        <v>2237</v>
      </c>
      <c r="N1109" s="8">
        <v>169380.89</v>
      </c>
      <c r="O1109" s="12" t="s">
        <v>2237</v>
      </c>
      <c r="P1109" s="12" t="s">
        <v>2236</v>
      </c>
      <c r="Q1109" s="10" t="s">
        <v>2242</v>
      </c>
      <c r="R1109" s="10" t="s">
        <v>2238</v>
      </c>
      <c r="S1109" s="10" t="s">
        <v>2243</v>
      </c>
      <c r="T1109" s="10" t="s">
        <v>2642</v>
      </c>
      <c r="U110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0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0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E530-3010161-D225301</v>
      </c>
      <c r="X110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E530-301016101-D225301</v>
      </c>
      <c r="Y11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09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1109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11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0" spans="1:31" hidden="1" x14ac:dyDescent="0.3">
      <c r="A1110" s="12" t="s">
        <v>3865</v>
      </c>
      <c r="B1110" s="12" t="s">
        <v>30</v>
      </c>
      <c r="C1110" s="12" t="s">
        <v>722</v>
      </c>
      <c r="D1110" s="12" t="s">
        <v>1871</v>
      </c>
      <c r="E1110" s="12" t="s">
        <v>2842</v>
      </c>
      <c r="F1110" s="8">
        <v>0</v>
      </c>
      <c r="G1110" s="12" t="s">
        <v>2237</v>
      </c>
      <c r="H1110" s="12">
        <v>0</v>
      </c>
      <c r="I1110" s="12" t="s">
        <v>2237</v>
      </c>
      <c r="J1110" s="12">
        <v>0</v>
      </c>
      <c r="K1110" s="12" t="s">
        <v>2237</v>
      </c>
      <c r="L1110" s="12">
        <v>0</v>
      </c>
      <c r="M1110" s="12" t="s">
        <v>2237</v>
      </c>
      <c r="N1110" s="8">
        <v>169380.89</v>
      </c>
      <c r="O1110" s="12" t="s">
        <v>2237</v>
      </c>
      <c r="P1110" s="12" t="s">
        <v>2236</v>
      </c>
      <c r="Q1110" s="10" t="s">
        <v>2242</v>
      </c>
      <c r="R1110" s="10" t="s">
        <v>2238</v>
      </c>
      <c r="S1110" s="10" t="s">
        <v>2243</v>
      </c>
      <c r="T1110" s="10" t="s">
        <v>2645</v>
      </c>
      <c r="U111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E530-3010161-D225301</v>
      </c>
      <c r="X111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E530-301016101-D225301</v>
      </c>
      <c r="Y111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E530-30101610123-D225301</v>
      </c>
      <c r="Z11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0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1110" s="10" t="str">
        <f>IF(IFERROR(INDEX(WBS_Dictionary!L$2:L$1212, MATCH(Table2[[#This Row],[WBS_ID]], Table26[WBS CODE],0)), "") = "", "null", IFERROR(INDEX(WBS_Dictionary!L$2:L$1212, MATCH(Table2[[#This Row],[WBS_ID]], Table26[WBS CODE],0)), ""))</f>
        <v>Skid Moving</v>
      </c>
      <c r="AC1110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11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1" spans="1:31" hidden="1" x14ac:dyDescent="0.3">
      <c r="A1111" s="12" t="s">
        <v>3866</v>
      </c>
      <c r="B1111" s="12" t="s">
        <v>21</v>
      </c>
      <c r="C1111" s="12" t="s">
        <v>725</v>
      </c>
      <c r="D1111" s="12" t="s">
        <v>1872</v>
      </c>
      <c r="E1111" s="12" t="s">
        <v>2842</v>
      </c>
      <c r="F1111" s="8">
        <v>2415039.4900000002</v>
      </c>
      <c r="G1111" s="12" t="s">
        <v>2237</v>
      </c>
      <c r="H1111" s="12">
        <v>2415039.4900000002</v>
      </c>
      <c r="I1111" s="12" t="s">
        <v>2237</v>
      </c>
      <c r="J1111" s="12">
        <v>0</v>
      </c>
      <c r="K1111" s="12" t="s">
        <v>2237</v>
      </c>
      <c r="L1111" s="12">
        <v>0</v>
      </c>
      <c r="M1111" s="12" t="s">
        <v>2237</v>
      </c>
      <c r="N1111" s="8">
        <v>1615754.88</v>
      </c>
      <c r="O1111" s="12" t="s">
        <v>2237</v>
      </c>
      <c r="P1111" s="12" t="s">
        <v>2236</v>
      </c>
      <c r="Q1111" s="10" t="s">
        <v>2242</v>
      </c>
      <c r="R1111" s="10" t="s">
        <v>2238</v>
      </c>
      <c r="S1111" s="10" t="s">
        <v>2243</v>
      </c>
      <c r="T1111" s="10" t="s">
        <v>2844</v>
      </c>
      <c r="U111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E530-3010156-D225301</v>
      </c>
      <c r="X11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1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11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2" spans="1:31" hidden="1" x14ac:dyDescent="0.3">
      <c r="A1112" s="12" t="s">
        <v>3867</v>
      </c>
      <c r="B1112" s="12" t="s">
        <v>26</v>
      </c>
      <c r="C1112" s="12" t="s">
        <v>731</v>
      </c>
      <c r="D1112" s="12" t="s">
        <v>1873</v>
      </c>
      <c r="E1112" s="12" t="s">
        <v>2842</v>
      </c>
      <c r="F1112" s="8">
        <v>741679.83</v>
      </c>
      <c r="G1112" s="12" t="s">
        <v>2237</v>
      </c>
      <c r="H1112" s="12">
        <v>741679.83</v>
      </c>
      <c r="I1112" s="12" t="s">
        <v>2237</v>
      </c>
      <c r="J1112" s="12">
        <v>0</v>
      </c>
      <c r="K1112" s="12" t="s">
        <v>2237</v>
      </c>
      <c r="L1112" s="12">
        <v>0</v>
      </c>
      <c r="M1112" s="12" t="s">
        <v>2237</v>
      </c>
      <c r="N1112" s="8">
        <v>226964.09</v>
      </c>
      <c r="O1112" s="12" t="s">
        <v>2237</v>
      </c>
      <c r="P1112" s="12" t="s">
        <v>2236</v>
      </c>
      <c r="Q1112" s="10" t="s">
        <v>2242</v>
      </c>
      <c r="R1112" s="10" t="s">
        <v>2238</v>
      </c>
      <c r="S1112" s="10" t="s">
        <v>2243</v>
      </c>
      <c r="T1112" s="10" t="s">
        <v>2844</v>
      </c>
      <c r="U111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E530-3010156-D225301</v>
      </c>
      <c r="X111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E530-301015603-D225301</v>
      </c>
      <c r="Y11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2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1112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11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3" spans="1:31" hidden="1" x14ac:dyDescent="0.3">
      <c r="A1113" s="12" t="s">
        <v>3868</v>
      </c>
      <c r="B1113" s="12" t="s">
        <v>30</v>
      </c>
      <c r="C1113" s="12" t="s">
        <v>733</v>
      </c>
      <c r="D1113" s="12" t="s">
        <v>1874</v>
      </c>
      <c r="E1113" s="12" t="s">
        <v>2842</v>
      </c>
      <c r="F1113" s="8">
        <v>0</v>
      </c>
      <c r="G1113" s="12" t="s">
        <v>2237</v>
      </c>
      <c r="H1113" s="12">
        <v>0</v>
      </c>
      <c r="I1113" s="12" t="s">
        <v>2237</v>
      </c>
      <c r="J1113" s="12">
        <v>0</v>
      </c>
      <c r="K1113" s="12" t="s">
        <v>2237</v>
      </c>
      <c r="L1113" s="12">
        <v>0</v>
      </c>
      <c r="M1113" s="12" t="s">
        <v>2237</v>
      </c>
      <c r="N1113" s="8">
        <v>226964.09</v>
      </c>
      <c r="O1113" s="12" t="s">
        <v>2237</v>
      </c>
      <c r="P1113" s="12" t="s">
        <v>2236</v>
      </c>
      <c r="Q1113" s="10" t="s">
        <v>2242</v>
      </c>
      <c r="R1113" s="10" t="s">
        <v>2238</v>
      </c>
      <c r="S1113" s="10" t="s">
        <v>2243</v>
      </c>
      <c r="T1113" s="10" t="s">
        <v>2645</v>
      </c>
      <c r="U111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E530-3010156-D225301</v>
      </c>
      <c r="X111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E530-301015603-D225301</v>
      </c>
      <c r="Y111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E530-30101560323-D225301</v>
      </c>
      <c r="Z11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3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1113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1113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11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4" spans="1:31" hidden="1" x14ac:dyDescent="0.3">
      <c r="A1114" s="12" t="s">
        <v>3869</v>
      </c>
      <c r="B1114" s="12" t="s">
        <v>26</v>
      </c>
      <c r="C1114" s="12" t="s">
        <v>735</v>
      </c>
      <c r="D1114" s="12" t="s">
        <v>1875</v>
      </c>
      <c r="E1114" s="12" t="s">
        <v>2842</v>
      </c>
      <c r="F1114" s="8">
        <v>836679.83</v>
      </c>
      <c r="G1114" s="12" t="s">
        <v>2237</v>
      </c>
      <c r="H1114" s="12">
        <v>836679.83</v>
      </c>
      <c r="I1114" s="12" t="s">
        <v>2237</v>
      </c>
      <c r="J1114" s="12">
        <v>0</v>
      </c>
      <c r="K1114" s="12" t="s">
        <v>2237</v>
      </c>
      <c r="L1114" s="12">
        <v>0</v>
      </c>
      <c r="M1114" s="12" t="s">
        <v>2237</v>
      </c>
      <c r="N1114" s="8">
        <v>694133.15</v>
      </c>
      <c r="O1114" s="12" t="s">
        <v>2237</v>
      </c>
      <c r="P1114" s="12" t="s">
        <v>2236</v>
      </c>
      <c r="Q1114" s="10" t="s">
        <v>2242</v>
      </c>
      <c r="R1114" s="10" t="s">
        <v>2238</v>
      </c>
      <c r="S1114" s="10" t="s">
        <v>2243</v>
      </c>
      <c r="T1114" s="10" t="s">
        <v>3351</v>
      </c>
      <c r="U111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E530-3010156-D225301</v>
      </c>
      <c r="X111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E530-301015602-D225301</v>
      </c>
      <c r="Y11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4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1114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11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5" spans="1:31" hidden="1" x14ac:dyDescent="0.3">
      <c r="A1115" s="12" t="s">
        <v>3870</v>
      </c>
      <c r="B1115" s="12" t="s">
        <v>30</v>
      </c>
      <c r="C1115" s="12" t="s">
        <v>737</v>
      </c>
      <c r="D1115" s="12" t="s">
        <v>1876</v>
      </c>
      <c r="E1115" s="12" t="s">
        <v>2842</v>
      </c>
      <c r="F1115" s="8">
        <v>0</v>
      </c>
      <c r="G1115" s="12" t="s">
        <v>2237</v>
      </c>
      <c r="H1115" s="12">
        <v>0</v>
      </c>
      <c r="I1115" s="12" t="s">
        <v>2237</v>
      </c>
      <c r="J1115" s="12">
        <v>0</v>
      </c>
      <c r="K1115" s="12" t="s">
        <v>2237</v>
      </c>
      <c r="L1115" s="12">
        <v>0</v>
      </c>
      <c r="M1115" s="12" t="s">
        <v>2237</v>
      </c>
      <c r="N1115" s="8">
        <v>694133.15</v>
      </c>
      <c r="O1115" s="12" t="s">
        <v>2237</v>
      </c>
      <c r="P1115" s="12" t="s">
        <v>2236</v>
      </c>
      <c r="Q1115" s="10" t="s">
        <v>2242</v>
      </c>
      <c r="R1115" s="10" t="s">
        <v>2238</v>
      </c>
      <c r="S1115" s="10" t="s">
        <v>2243</v>
      </c>
      <c r="T1115" s="10" t="s">
        <v>2645</v>
      </c>
      <c r="U111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E530-3010156-D225301</v>
      </c>
      <c r="X111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E530-301015602-D225301</v>
      </c>
      <c r="Y111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E530-30101560223-D225301</v>
      </c>
      <c r="Z11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5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1115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1115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11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6" spans="1:31" hidden="1" x14ac:dyDescent="0.3">
      <c r="A1116" s="12" t="s">
        <v>3871</v>
      </c>
      <c r="B1116" s="12" t="s">
        <v>26</v>
      </c>
      <c r="C1116" s="12" t="s">
        <v>739</v>
      </c>
      <c r="D1116" s="12" t="s">
        <v>1877</v>
      </c>
      <c r="E1116" s="12" t="s">
        <v>2842</v>
      </c>
      <c r="F1116" s="8">
        <v>836679.83</v>
      </c>
      <c r="G1116" s="12" t="s">
        <v>2237</v>
      </c>
      <c r="H1116" s="12">
        <v>836679.83</v>
      </c>
      <c r="I1116" s="12" t="s">
        <v>2237</v>
      </c>
      <c r="J1116" s="12">
        <v>0</v>
      </c>
      <c r="K1116" s="12" t="s">
        <v>2237</v>
      </c>
      <c r="L1116" s="12">
        <v>0</v>
      </c>
      <c r="M1116" s="12" t="s">
        <v>2237</v>
      </c>
      <c r="N1116" s="8">
        <v>694657.64</v>
      </c>
      <c r="O1116" s="12" t="s">
        <v>2237</v>
      </c>
      <c r="P1116" s="12" t="s">
        <v>2236</v>
      </c>
      <c r="Q1116" s="10" t="s">
        <v>2242</v>
      </c>
      <c r="R1116" s="10" t="s">
        <v>2238</v>
      </c>
      <c r="S1116" s="10" t="s">
        <v>2243</v>
      </c>
      <c r="T1116" s="10" t="s">
        <v>3351</v>
      </c>
      <c r="U111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E530-3010156-D225301</v>
      </c>
      <c r="X111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E530-301015601-D225301</v>
      </c>
      <c r="Y11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6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1116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11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7" spans="1:31" hidden="1" x14ac:dyDescent="0.3">
      <c r="A1117" s="12" t="s">
        <v>3872</v>
      </c>
      <c r="B1117" s="12" t="s">
        <v>30</v>
      </c>
      <c r="C1117" s="12" t="s">
        <v>741</v>
      </c>
      <c r="D1117" s="12" t="s">
        <v>1878</v>
      </c>
      <c r="E1117" s="12" t="s">
        <v>2842</v>
      </c>
      <c r="F1117" s="8">
        <v>0</v>
      </c>
      <c r="G1117" s="12" t="s">
        <v>2237</v>
      </c>
      <c r="H1117" s="12">
        <v>0</v>
      </c>
      <c r="I1117" s="12" t="s">
        <v>2237</v>
      </c>
      <c r="J1117" s="12">
        <v>0</v>
      </c>
      <c r="K1117" s="12" t="s">
        <v>2237</v>
      </c>
      <c r="L1117" s="12">
        <v>0</v>
      </c>
      <c r="M1117" s="12" t="s">
        <v>2237</v>
      </c>
      <c r="N1117" s="8">
        <v>694657.64</v>
      </c>
      <c r="O1117" s="12" t="s">
        <v>2237</v>
      </c>
      <c r="P1117" s="12" t="s">
        <v>2236</v>
      </c>
      <c r="Q1117" s="10" t="s">
        <v>2242</v>
      </c>
      <c r="R1117" s="10" t="s">
        <v>2238</v>
      </c>
      <c r="S1117" s="10" t="s">
        <v>2243</v>
      </c>
      <c r="T1117" s="10" t="s">
        <v>2645</v>
      </c>
      <c r="U11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E530-3010156-D225301</v>
      </c>
      <c r="X111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E530-301015601-D225301</v>
      </c>
      <c r="Y111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E530-30101560123-D225301</v>
      </c>
      <c r="Z11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7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1117" s="10" t="str">
        <f>IF(IFERROR(INDEX(WBS_Dictionary!L$2:L$1212, MATCH(Table2[[#This Row],[WBS_ID]], Table26[WBS CODE],0)), "") = "", "null", IFERROR(INDEX(WBS_Dictionary!L$2:L$1212, MATCH(Table2[[#This Row],[WBS_ID]], Table26[WBS CODE],0)), ""))</f>
        <v>Interpad Move</v>
      </c>
      <c r="AC1117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11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8" spans="1:31" hidden="1" x14ac:dyDescent="0.3">
      <c r="A1118" s="12" t="s">
        <v>3873</v>
      </c>
      <c r="B1118" s="12" t="s">
        <v>21</v>
      </c>
      <c r="C1118" s="12" t="s">
        <v>743</v>
      </c>
      <c r="D1118" s="12" t="s">
        <v>1879</v>
      </c>
      <c r="E1118" s="12" t="s">
        <v>2842</v>
      </c>
      <c r="F1118" s="8">
        <v>2713956.25</v>
      </c>
      <c r="G1118" s="12" t="s">
        <v>2237</v>
      </c>
      <c r="H1118" s="12">
        <v>2713956.25</v>
      </c>
      <c r="I1118" s="12" t="s">
        <v>2237</v>
      </c>
      <c r="J1118" s="12">
        <v>0</v>
      </c>
      <c r="K1118" s="12" t="s">
        <v>2237</v>
      </c>
      <c r="L1118" s="12">
        <v>0</v>
      </c>
      <c r="M1118" s="12" t="s">
        <v>2237</v>
      </c>
      <c r="N1118" s="8">
        <v>2658145.8199999998</v>
      </c>
      <c r="O1118" s="12" t="s">
        <v>2237</v>
      </c>
      <c r="P1118" s="12" t="s">
        <v>2236</v>
      </c>
      <c r="Q1118" s="10" t="s">
        <v>2242</v>
      </c>
      <c r="R1118" s="10" t="s">
        <v>2238</v>
      </c>
      <c r="S1118" s="10" t="s">
        <v>2243</v>
      </c>
      <c r="T1118" s="10" t="s">
        <v>2844</v>
      </c>
      <c r="U11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E530-3010169-D225301</v>
      </c>
      <c r="X11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8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11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19" spans="1:31" hidden="1" x14ac:dyDescent="0.3">
      <c r="A1119" s="12" t="s">
        <v>3874</v>
      </c>
      <c r="B1119" s="12" t="s">
        <v>26</v>
      </c>
      <c r="C1119" s="12" t="s">
        <v>1880</v>
      </c>
      <c r="D1119" s="12" t="s">
        <v>1881</v>
      </c>
      <c r="E1119" s="12" t="s">
        <v>2842</v>
      </c>
      <c r="F1119" s="8">
        <v>2256072.25</v>
      </c>
      <c r="G1119" s="12" t="s">
        <v>2237</v>
      </c>
      <c r="H1119" s="12">
        <v>2256072.25</v>
      </c>
      <c r="I1119" s="12" t="s">
        <v>2237</v>
      </c>
      <c r="J1119" s="12">
        <v>0</v>
      </c>
      <c r="K1119" s="12" t="s">
        <v>2237</v>
      </c>
      <c r="L1119" s="12">
        <v>0</v>
      </c>
      <c r="M1119" s="12" t="s">
        <v>2237</v>
      </c>
      <c r="N1119" s="8">
        <v>2200569.61</v>
      </c>
      <c r="O1119" s="12" t="s">
        <v>2237</v>
      </c>
      <c r="P1119" s="12" t="s">
        <v>2236</v>
      </c>
      <c r="Q1119" s="10" t="s">
        <v>2242</v>
      </c>
      <c r="R1119" s="10" t="s">
        <v>2238</v>
      </c>
      <c r="S1119" s="10" t="s">
        <v>2243</v>
      </c>
      <c r="T1119" s="10" t="s">
        <v>3054</v>
      </c>
      <c r="U11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1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1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E530-3010169-D225301</v>
      </c>
      <c r="X111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E530-301016966-D225301</v>
      </c>
      <c r="Y11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19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1119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11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0" spans="1:31" hidden="1" x14ac:dyDescent="0.3">
      <c r="A1120" s="12" t="s">
        <v>3875</v>
      </c>
      <c r="B1120" s="12" t="s">
        <v>30</v>
      </c>
      <c r="C1120" s="12" t="s">
        <v>1882</v>
      </c>
      <c r="D1120" s="12" t="s">
        <v>1883</v>
      </c>
      <c r="E1120" s="12" t="s">
        <v>2842</v>
      </c>
      <c r="F1120" s="8">
        <v>0</v>
      </c>
      <c r="G1120" s="12" t="s">
        <v>2237</v>
      </c>
      <c r="H1120" s="12">
        <v>0</v>
      </c>
      <c r="I1120" s="12" t="s">
        <v>2237</v>
      </c>
      <c r="J1120" s="12">
        <v>0</v>
      </c>
      <c r="K1120" s="12" t="s">
        <v>2237</v>
      </c>
      <c r="L1120" s="12">
        <v>0</v>
      </c>
      <c r="M1120" s="12" t="s">
        <v>2237</v>
      </c>
      <c r="N1120" s="8">
        <v>2200569.61</v>
      </c>
      <c r="O1120" s="12" t="s">
        <v>2237</v>
      </c>
      <c r="P1120" s="12" t="s">
        <v>2236</v>
      </c>
      <c r="Q1120" s="10" t="s">
        <v>2242</v>
      </c>
      <c r="R1120" s="10" t="s">
        <v>2238</v>
      </c>
      <c r="S1120" s="10" t="s">
        <v>2243</v>
      </c>
      <c r="T1120" s="10" t="s">
        <v>2645</v>
      </c>
      <c r="U11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E530-3010169-D225301</v>
      </c>
      <c r="X112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E530-301016966-D225301</v>
      </c>
      <c r="Y112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E530-30101696623-D225301</v>
      </c>
      <c r="Z11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0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1120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1120" s="10" t="str">
        <f>IF(IFERROR(INDEX(WBS_Dictionary!M$2:M$1212, MATCH(Table2[[#This Row],[WBS_ID]], Table26[WBS CODE],0)), "") = "", "null", IFERROR(INDEX(WBS_Dictionary!M$2:M$1212, MATCH(Table2[[#This Row],[WBS_ID]], Table26[WBS CODE],0)), ""))</f>
        <v>Rig Mobilization</v>
      </c>
      <c r="AD11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1" spans="1:31" hidden="1" x14ac:dyDescent="0.3">
      <c r="A1121" s="12" t="s">
        <v>3876</v>
      </c>
      <c r="B1121" s="12" t="s">
        <v>26</v>
      </c>
      <c r="C1121" s="12" t="s">
        <v>746</v>
      </c>
      <c r="D1121" s="12" t="s">
        <v>1884</v>
      </c>
      <c r="E1121" s="12" t="s">
        <v>2842</v>
      </c>
      <c r="F1121" s="8">
        <v>457884</v>
      </c>
      <c r="G1121" s="12" t="s">
        <v>2237</v>
      </c>
      <c r="H1121" s="12">
        <v>457884</v>
      </c>
      <c r="I1121" s="12" t="s">
        <v>2237</v>
      </c>
      <c r="J1121" s="12">
        <v>0</v>
      </c>
      <c r="K1121" s="12" t="s">
        <v>2237</v>
      </c>
      <c r="L1121" s="12">
        <v>0</v>
      </c>
      <c r="M1121" s="12" t="s">
        <v>2237</v>
      </c>
      <c r="N1121" s="8">
        <v>457576.21</v>
      </c>
      <c r="O1121" s="12" t="s">
        <v>2237</v>
      </c>
      <c r="P1121" s="12" t="s">
        <v>2236</v>
      </c>
      <c r="Q1121" s="10" t="s">
        <v>2242</v>
      </c>
      <c r="R1121" s="10" t="s">
        <v>2238</v>
      </c>
      <c r="S1121" s="10" t="s">
        <v>2243</v>
      </c>
      <c r="T1121" s="10" t="s">
        <v>3054</v>
      </c>
      <c r="U11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E530-3010169-D225301</v>
      </c>
      <c r="X112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E530-301016967-D225301</v>
      </c>
      <c r="Y11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1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1121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11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2" spans="1:31" hidden="1" x14ac:dyDescent="0.3">
      <c r="A1122" s="12" t="s">
        <v>3877</v>
      </c>
      <c r="B1122" s="12" t="s">
        <v>30</v>
      </c>
      <c r="C1122" s="12" t="s">
        <v>746</v>
      </c>
      <c r="D1122" s="12" t="s">
        <v>1885</v>
      </c>
      <c r="E1122" s="12" t="s">
        <v>2842</v>
      </c>
      <c r="F1122" s="8">
        <v>0</v>
      </c>
      <c r="G1122" s="12" t="s">
        <v>2237</v>
      </c>
      <c r="H1122" s="12">
        <v>0</v>
      </c>
      <c r="I1122" s="12" t="s">
        <v>2237</v>
      </c>
      <c r="J1122" s="12">
        <v>0</v>
      </c>
      <c r="K1122" s="12" t="s">
        <v>2237</v>
      </c>
      <c r="L1122" s="12">
        <v>0</v>
      </c>
      <c r="M1122" s="12" t="s">
        <v>2237</v>
      </c>
      <c r="N1122" s="8">
        <v>457576.21</v>
      </c>
      <c r="O1122" s="12" t="s">
        <v>2237</v>
      </c>
      <c r="P1122" s="12" t="s">
        <v>2236</v>
      </c>
      <c r="Q1122" s="10" t="s">
        <v>2242</v>
      </c>
      <c r="R1122" s="10" t="s">
        <v>2238</v>
      </c>
      <c r="S1122" s="10" t="s">
        <v>2243</v>
      </c>
      <c r="T1122" s="10" t="s">
        <v>2645</v>
      </c>
      <c r="U11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E530-3010169-D225301</v>
      </c>
      <c r="X112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E530-301016967-D225301</v>
      </c>
      <c r="Y112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E530-30101696706-D225301</v>
      </c>
      <c r="Z11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2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1122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1122" s="10" t="str">
        <f>IF(IFERROR(INDEX(WBS_Dictionary!M$2:M$1212, MATCH(Table2[[#This Row],[WBS_ID]], Table26[WBS CODE],0)), "") = "", "null", IFERROR(INDEX(WBS_Dictionary!M$2:M$1212, MATCH(Table2[[#This Row],[WBS_ID]], Table26[WBS CODE],0)), ""))</f>
        <v>Rig Mobilization</v>
      </c>
      <c r="AD11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3" spans="1:31" x14ac:dyDescent="0.3">
      <c r="A1123" s="12" t="s">
        <v>3878</v>
      </c>
      <c r="B1123" s="12" t="s">
        <v>21</v>
      </c>
      <c r="C1123" s="12" t="s">
        <v>1886</v>
      </c>
      <c r="D1123" s="12" t="s">
        <v>1887</v>
      </c>
      <c r="E1123" s="12" t="s">
        <v>2842</v>
      </c>
      <c r="F1123" s="8">
        <v>3963909.73</v>
      </c>
      <c r="G1123" s="12" t="s">
        <v>2237</v>
      </c>
      <c r="H1123" s="12">
        <v>3963909.73</v>
      </c>
      <c r="I1123" s="12" t="s">
        <v>2237</v>
      </c>
      <c r="J1123" s="12">
        <v>0</v>
      </c>
      <c r="K1123" s="12" t="s">
        <v>2237</v>
      </c>
      <c r="L1123" s="12">
        <v>6742.78</v>
      </c>
      <c r="M1123" s="12" t="s">
        <v>2237</v>
      </c>
      <c r="N1123" s="8">
        <v>3912215.74</v>
      </c>
      <c r="O1123" s="12" t="s">
        <v>2237</v>
      </c>
      <c r="P1123" s="12" t="s">
        <v>2236</v>
      </c>
      <c r="Q1123" s="10" t="s">
        <v>2242</v>
      </c>
      <c r="R1123" s="10" t="s">
        <v>2238</v>
      </c>
      <c r="S1123" s="10" t="s">
        <v>2243</v>
      </c>
      <c r="T1123" s="10" t="s">
        <v>2844</v>
      </c>
      <c r="U11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23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24" spans="1:31" x14ac:dyDescent="0.3">
      <c r="A1124" s="12" t="s">
        <v>3879</v>
      </c>
      <c r="B1124" s="12" t="s">
        <v>26</v>
      </c>
      <c r="C1124" s="12" t="s">
        <v>1888</v>
      </c>
      <c r="D1124" s="12" t="s">
        <v>1889</v>
      </c>
      <c r="E1124" s="12" t="s">
        <v>2842</v>
      </c>
      <c r="F1124" s="8">
        <v>3413684.76</v>
      </c>
      <c r="G1124" s="12" t="s">
        <v>2237</v>
      </c>
      <c r="H1124" s="12">
        <v>3413684.76</v>
      </c>
      <c r="I1124" s="12" t="s">
        <v>2237</v>
      </c>
      <c r="J1124" s="12">
        <v>0</v>
      </c>
      <c r="K1124" s="12" t="s">
        <v>2237</v>
      </c>
      <c r="L1124" s="12">
        <v>6742.78</v>
      </c>
      <c r="M1124" s="12" t="s">
        <v>2237</v>
      </c>
      <c r="N1124" s="8">
        <v>3360162.26</v>
      </c>
      <c r="O1124" s="12" t="s">
        <v>2237</v>
      </c>
      <c r="P1124" s="12" t="s">
        <v>2236</v>
      </c>
      <c r="Q1124" s="10" t="s">
        <v>2242</v>
      </c>
      <c r="R1124" s="10" t="s">
        <v>2238</v>
      </c>
      <c r="S1124" s="10" t="s">
        <v>2243</v>
      </c>
      <c r="T1124" s="10" t="s">
        <v>3054</v>
      </c>
      <c r="U11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2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2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24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25" spans="1:31" hidden="1" x14ac:dyDescent="0.3">
      <c r="A1125" s="12" t="s">
        <v>3880</v>
      </c>
      <c r="B1125" s="12" t="s">
        <v>30</v>
      </c>
      <c r="C1125" s="12" t="s">
        <v>390</v>
      </c>
      <c r="D1125" s="12" t="s">
        <v>1890</v>
      </c>
      <c r="E1125" s="12" t="s">
        <v>2842</v>
      </c>
      <c r="F1125" s="8">
        <v>0</v>
      </c>
      <c r="G1125" s="12" t="s">
        <v>2237</v>
      </c>
      <c r="H1125" s="12">
        <v>0</v>
      </c>
      <c r="I1125" s="12" t="s">
        <v>2237</v>
      </c>
      <c r="J1125" s="12">
        <v>0</v>
      </c>
      <c r="K1125" s="12" t="s">
        <v>2237</v>
      </c>
      <c r="L1125" s="12">
        <v>6742.78</v>
      </c>
      <c r="M1125" s="12" t="s">
        <v>2237</v>
      </c>
      <c r="N1125" s="8">
        <v>36907.269999999997</v>
      </c>
      <c r="O1125" s="12" t="s">
        <v>2237</v>
      </c>
      <c r="P1125" s="12" t="s">
        <v>2236</v>
      </c>
      <c r="Q1125" s="10" t="s">
        <v>2242</v>
      </c>
      <c r="R1125" s="10" t="s">
        <v>2238</v>
      </c>
      <c r="S1125" s="10" t="s">
        <v>2243</v>
      </c>
      <c r="T1125" s="10" t="s">
        <v>2645</v>
      </c>
      <c r="U11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2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2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E530-30101050224-D225301</v>
      </c>
      <c r="Z11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2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25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11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6" spans="1:31" hidden="1" x14ac:dyDescent="0.3">
      <c r="A1126" s="12" t="s">
        <v>3881</v>
      </c>
      <c r="B1126" s="12" t="s">
        <v>30</v>
      </c>
      <c r="C1126" s="12" t="s">
        <v>1891</v>
      </c>
      <c r="D1126" s="12" t="s">
        <v>1892</v>
      </c>
      <c r="E1126" s="12" t="s">
        <v>2842</v>
      </c>
      <c r="F1126" s="8">
        <v>0</v>
      </c>
      <c r="G1126" s="12" t="s">
        <v>2237</v>
      </c>
      <c r="H1126" s="12">
        <v>0</v>
      </c>
      <c r="I1126" s="12" t="s">
        <v>2237</v>
      </c>
      <c r="J1126" s="12">
        <v>0</v>
      </c>
      <c r="K1126" s="12" t="s">
        <v>2237</v>
      </c>
      <c r="L1126" s="12">
        <v>0</v>
      </c>
      <c r="M1126" s="12" t="s">
        <v>2237</v>
      </c>
      <c r="N1126" s="8">
        <v>53020.160000000003</v>
      </c>
      <c r="O1126" s="12" t="s">
        <v>2237</v>
      </c>
      <c r="P1126" s="12" t="s">
        <v>2236</v>
      </c>
      <c r="Q1126" s="10" t="s">
        <v>2242</v>
      </c>
      <c r="R1126" s="10" t="s">
        <v>2238</v>
      </c>
      <c r="S1126" s="10" t="s">
        <v>2243</v>
      </c>
      <c r="T1126" s="10" t="s">
        <v>2645</v>
      </c>
      <c r="U11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2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2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E530-30101050298-D225301</v>
      </c>
      <c r="Z11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2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26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11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7" spans="1:31" hidden="1" x14ac:dyDescent="0.3">
      <c r="A1127" s="12" t="s">
        <v>3882</v>
      </c>
      <c r="B1127" s="12" t="s">
        <v>30</v>
      </c>
      <c r="C1127" s="12" t="s">
        <v>1893</v>
      </c>
      <c r="D1127" s="12" t="s">
        <v>1894</v>
      </c>
      <c r="E1127" s="12" t="s">
        <v>2842</v>
      </c>
      <c r="F1127" s="8">
        <v>0</v>
      </c>
      <c r="G1127" s="12" t="s">
        <v>2237</v>
      </c>
      <c r="H1127" s="12">
        <v>0</v>
      </c>
      <c r="I1127" s="12" t="s">
        <v>2237</v>
      </c>
      <c r="J1127" s="12">
        <v>0</v>
      </c>
      <c r="K1127" s="12" t="s">
        <v>2237</v>
      </c>
      <c r="L1127" s="12">
        <v>0</v>
      </c>
      <c r="M1127" s="12" t="s">
        <v>2237</v>
      </c>
      <c r="N1127" s="8">
        <v>12413.28</v>
      </c>
      <c r="O1127" s="12" t="s">
        <v>2237</v>
      </c>
      <c r="P1127" s="12" t="s">
        <v>2236</v>
      </c>
      <c r="Q1127" s="10" t="s">
        <v>2242</v>
      </c>
      <c r="R1127" s="10" t="s">
        <v>2238</v>
      </c>
      <c r="S1127" s="10" t="s">
        <v>2243</v>
      </c>
      <c r="T1127" s="10" t="s">
        <v>2645</v>
      </c>
      <c r="U11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2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2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E530-30101050297-D225301</v>
      </c>
      <c r="Z112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2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27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11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8" spans="1:31" hidden="1" x14ac:dyDescent="0.3">
      <c r="A1128" s="12" t="s">
        <v>3883</v>
      </c>
      <c r="B1128" s="12" t="s">
        <v>30</v>
      </c>
      <c r="C1128" s="12" t="s">
        <v>399</v>
      </c>
      <c r="D1128" s="12" t="s">
        <v>1895</v>
      </c>
      <c r="E1128" s="12" t="s">
        <v>2842</v>
      </c>
      <c r="F1128" s="8">
        <v>0</v>
      </c>
      <c r="G1128" s="12" t="s">
        <v>2237</v>
      </c>
      <c r="H1128" s="12">
        <v>0</v>
      </c>
      <c r="I1128" s="12" t="s">
        <v>2237</v>
      </c>
      <c r="J1128" s="12">
        <v>0</v>
      </c>
      <c r="K1128" s="12" t="s">
        <v>2237</v>
      </c>
      <c r="L1128" s="12">
        <v>0</v>
      </c>
      <c r="M1128" s="12" t="s">
        <v>2237</v>
      </c>
      <c r="N1128" s="8">
        <v>173.86</v>
      </c>
      <c r="O1128" s="12" t="s">
        <v>2237</v>
      </c>
      <c r="P1128" s="12" t="s">
        <v>2236</v>
      </c>
      <c r="Q1128" s="10" t="s">
        <v>2242</v>
      </c>
      <c r="R1128" s="10" t="s">
        <v>2238</v>
      </c>
      <c r="S1128" s="10" t="s">
        <v>2243</v>
      </c>
      <c r="T1128" s="10" t="s">
        <v>2645</v>
      </c>
      <c r="U11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2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2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E530-30101050296-D225301</v>
      </c>
      <c r="Z112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2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28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11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29" spans="1:31" hidden="1" x14ac:dyDescent="0.3">
      <c r="A1129" s="12" t="s">
        <v>3884</v>
      </c>
      <c r="B1129" s="12" t="s">
        <v>30</v>
      </c>
      <c r="C1129" s="12" t="s">
        <v>402</v>
      </c>
      <c r="D1129" s="12" t="s">
        <v>1896</v>
      </c>
      <c r="E1129" s="12" t="s">
        <v>2842</v>
      </c>
      <c r="F1129" s="8">
        <v>0</v>
      </c>
      <c r="G1129" s="12" t="s">
        <v>2237</v>
      </c>
      <c r="H1129" s="12">
        <v>0</v>
      </c>
      <c r="I1129" s="12" t="s">
        <v>2237</v>
      </c>
      <c r="J1129" s="12">
        <v>0</v>
      </c>
      <c r="K1129" s="12" t="s">
        <v>2237</v>
      </c>
      <c r="L1129" s="12">
        <v>0</v>
      </c>
      <c r="M1129" s="12" t="s">
        <v>2237</v>
      </c>
      <c r="N1129" s="8">
        <v>0</v>
      </c>
      <c r="O1129" s="12" t="s">
        <v>2237</v>
      </c>
      <c r="P1129" s="12" t="s">
        <v>2236</v>
      </c>
      <c r="Q1129" s="10" t="s">
        <v>2242</v>
      </c>
      <c r="R1129" s="10" t="s">
        <v>2238</v>
      </c>
      <c r="S1129" s="10" t="s">
        <v>2243</v>
      </c>
      <c r="T1129" s="10" t="s">
        <v>2645</v>
      </c>
      <c r="U11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2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2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2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2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E530-30101050295-D225301</v>
      </c>
      <c r="Z112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2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2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29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11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0" spans="1:31" hidden="1" x14ac:dyDescent="0.3">
      <c r="A1130" s="12" t="s">
        <v>3885</v>
      </c>
      <c r="B1130" s="12" t="s">
        <v>30</v>
      </c>
      <c r="C1130" s="12" t="s">
        <v>405</v>
      </c>
      <c r="D1130" s="12" t="s">
        <v>1897</v>
      </c>
      <c r="E1130" s="12" t="s">
        <v>2842</v>
      </c>
      <c r="F1130" s="8">
        <v>0</v>
      </c>
      <c r="G1130" s="12" t="s">
        <v>2237</v>
      </c>
      <c r="H1130" s="12">
        <v>0</v>
      </c>
      <c r="I1130" s="12" t="s">
        <v>2237</v>
      </c>
      <c r="J1130" s="12">
        <v>0</v>
      </c>
      <c r="K1130" s="12" t="s">
        <v>2237</v>
      </c>
      <c r="L1130" s="12">
        <v>0</v>
      </c>
      <c r="M1130" s="12" t="s">
        <v>2237</v>
      </c>
      <c r="N1130" s="8">
        <v>56043.99</v>
      </c>
      <c r="O1130" s="12" t="s">
        <v>2237</v>
      </c>
      <c r="P1130" s="12" t="s">
        <v>2236</v>
      </c>
      <c r="Q1130" s="10" t="s">
        <v>2242</v>
      </c>
      <c r="R1130" s="10" t="s">
        <v>2238</v>
      </c>
      <c r="S1130" s="10" t="s">
        <v>2243</v>
      </c>
      <c r="T1130" s="10" t="s">
        <v>2645</v>
      </c>
      <c r="U11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E530-30101050294-D225301</v>
      </c>
      <c r="Z113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0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11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1" spans="1:31" hidden="1" x14ac:dyDescent="0.3">
      <c r="A1131" s="12" t="s">
        <v>3886</v>
      </c>
      <c r="B1131" s="12" t="s">
        <v>30</v>
      </c>
      <c r="C1131" s="12" t="s">
        <v>1898</v>
      </c>
      <c r="D1131" s="12" t="s">
        <v>1899</v>
      </c>
      <c r="E1131" s="12" t="s">
        <v>2842</v>
      </c>
      <c r="F1131" s="8">
        <v>0</v>
      </c>
      <c r="G1131" s="12" t="s">
        <v>2237</v>
      </c>
      <c r="H1131" s="12">
        <v>0</v>
      </c>
      <c r="I1131" s="12" t="s">
        <v>2237</v>
      </c>
      <c r="J1131" s="12">
        <v>0</v>
      </c>
      <c r="K1131" s="12" t="s">
        <v>2237</v>
      </c>
      <c r="L1131" s="12">
        <v>0</v>
      </c>
      <c r="M1131" s="12" t="s">
        <v>2237</v>
      </c>
      <c r="N1131" s="8">
        <v>13026.14</v>
      </c>
      <c r="O1131" s="12" t="s">
        <v>2237</v>
      </c>
      <c r="P1131" s="12" t="s">
        <v>2236</v>
      </c>
      <c r="Q1131" s="10" t="s">
        <v>2242</v>
      </c>
      <c r="R1131" s="10" t="s">
        <v>2238</v>
      </c>
      <c r="S1131" s="10" t="s">
        <v>2243</v>
      </c>
      <c r="T1131" s="10" t="s">
        <v>2645</v>
      </c>
      <c r="U11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E530-30101050220-D225301</v>
      </c>
      <c r="Z113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11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2" spans="1:31" hidden="1" x14ac:dyDescent="0.3">
      <c r="A1132" s="12" t="s">
        <v>3887</v>
      </c>
      <c r="B1132" s="12" t="s">
        <v>30</v>
      </c>
      <c r="C1132" s="12" t="s">
        <v>411</v>
      </c>
      <c r="D1132" s="12" t="s">
        <v>1900</v>
      </c>
      <c r="E1132" s="12" t="s">
        <v>2842</v>
      </c>
      <c r="F1132" s="8">
        <v>0</v>
      </c>
      <c r="G1132" s="12" t="s">
        <v>2237</v>
      </c>
      <c r="H1132" s="12">
        <v>0</v>
      </c>
      <c r="I1132" s="12" t="s">
        <v>2237</v>
      </c>
      <c r="J1132" s="12">
        <v>0</v>
      </c>
      <c r="K1132" s="12" t="s">
        <v>2237</v>
      </c>
      <c r="L1132" s="12">
        <v>0</v>
      </c>
      <c r="M1132" s="12" t="s">
        <v>2237</v>
      </c>
      <c r="N1132" s="8">
        <v>0</v>
      </c>
      <c r="O1132" s="12" t="s">
        <v>2237</v>
      </c>
      <c r="P1132" s="12" t="s">
        <v>2236</v>
      </c>
      <c r="Q1132" s="10" t="s">
        <v>2242</v>
      </c>
      <c r="R1132" s="10" t="s">
        <v>2238</v>
      </c>
      <c r="S1132" s="10" t="s">
        <v>2243</v>
      </c>
      <c r="T1132" s="10" t="s">
        <v>2645</v>
      </c>
      <c r="U11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E530-30101050217-D225301</v>
      </c>
      <c r="Z113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2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11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3" spans="1:31" hidden="1" x14ac:dyDescent="0.3">
      <c r="A1133" s="12" t="s">
        <v>3888</v>
      </c>
      <c r="B1133" s="12" t="s">
        <v>30</v>
      </c>
      <c r="C1133" s="12" t="s">
        <v>414</v>
      </c>
      <c r="D1133" s="12" t="s">
        <v>1901</v>
      </c>
      <c r="E1133" s="12" t="s">
        <v>2842</v>
      </c>
      <c r="F1133" s="8">
        <v>0</v>
      </c>
      <c r="G1133" s="12" t="s">
        <v>2237</v>
      </c>
      <c r="H1133" s="12">
        <v>0</v>
      </c>
      <c r="I1133" s="12" t="s">
        <v>2237</v>
      </c>
      <c r="J1133" s="12">
        <v>0</v>
      </c>
      <c r="K1133" s="12" t="s">
        <v>2237</v>
      </c>
      <c r="L1133" s="12">
        <v>0</v>
      </c>
      <c r="M1133" s="12" t="s">
        <v>2237</v>
      </c>
      <c r="N1133" s="8">
        <v>78091.960000000006</v>
      </c>
      <c r="O1133" s="12" t="s">
        <v>2237</v>
      </c>
      <c r="P1133" s="12" t="s">
        <v>2236</v>
      </c>
      <c r="Q1133" s="10" t="s">
        <v>2242</v>
      </c>
      <c r="R1133" s="10" t="s">
        <v>2238</v>
      </c>
      <c r="S1133" s="10" t="s">
        <v>2243</v>
      </c>
      <c r="T1133" s="10" t="s">
        <v>2645</v>
      </c>
      <c r="U11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E530-30101050216-D225301</v>
      </c>
      <c r="Z113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3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11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4" spans="1:31" hidden="1" x14ac:dyDescent="0.3">
      <c r="A1134" s="12" t="s">
        <v>3889</v>
      </c>
      <c r="B1134" s="12" t="s">
        <v>30</v>
      </c>
      <c r="C1134" s="12" t="s">
        <v>417</v>
      </c>
      <c r="D1134" s="12" t="s">
        <v>1902</v>
      </c>
      <c r="E1134" s="12" t="s">
        <v>2842</v>
      </c>
      <c r="F1134" s="8">
        <v>0</v>
      </c>
      <c r="G1134" s="12" t="s">
        <v>2237</v>
      </c>
      <c r="H1134" s="12">
        <v>0</v>
      </c>
      <c r="I1134" s="12" t="s">
        <v>2237</v>
      </c>
      <c r="J1134" s="12">
        <v>0</v>
      </c>
      <c r="K1134" s="12" t="s">
        <v>2237</v>
      </c>
      <c r="L1134" s="12">
        <v>0</v>
      </c>
      <c r="M1134" s="12" t="s">
        <v>2237</v>
      </c>
      <c r="N1134" s="8">
        <v>90519.15</v>
      </c>
      <c r="O1134" s="12" t="s">
        <v>2237</v>
      </c>
      <c r="P1134" s="12" t="s">
        <v>2236</v>
      </c>
      <c r="Q1134" s="10" t="s">
        <v>2242</v>
      </c>
      <c r="R1134" s="10" t="s">
        <v>2238</v>
      </c>
      <c r="S1134" s="10" t="s">
        <v>2243</v>
      </c>
      <c r="T1134" s="10" t="s">
        <v>2645</v>
      </c>
      <c r="U11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E530-30101050215-D225301</v>
      </c>
      <c r="Z113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4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11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5" spans="1:31" hidden="1" x14ac:dyDescent="0.3">
      <c r="A1135" s="12" t="s">
        <v>3890</v>
      </c>
      <c r="B1135" s="12" t="s">
        <v>30</v>
      </c>
      <c r="C1135" s="12" t="s">
        <v>1903</v>
      </c>
      <c r="D1135" s="12" t="s">
        <v>1904</v>
      </c>
      <c r="E1135" s="12" t="s">
        <v>2842</v>
      </c>
      <c r="F1135" s="8">
        <v>0</v>
      </c>
      <c r="G1135" s="12" t="s">
        <v>2237</v>
      </c>
      <c r="H1135" s="12">
        <v>0</v>
      </c>
      <c r="I1135" s="12" t="s">
        <v>2237</v>
      </c>
      <c r="J1135" s="12">
        <v>0</v>
      </c>
      <c r="K1135" s="12" t="s">
        <v>2237</v>
      </c>
      <c r="L1135" s="12">
        <v>0</v>
      </c>
      <c r="M1135" s="12" t="s">
        <v>2237</v>
      </c>
      <c r="N1135" s="8">
        <v>127992</v>
      </c>
      <c r="O1135" s="12" t="s">
        <v>2237</v>
      </c>
      <c r="P1135" s="12" t="s">
        <v>2236</v>
      </c>
      <c r="Q1135" s="10" t="s">
        <v>2242</v>
      </c>
      <c r="R1135" s="10" t="s">
        <v>2238</v>
      </c>
      <c r="S1135" s="10" t="s">
        <v>2243</v>
      </c>
      <c r="T1135" s="10" t="s">
        <v>2645</v>
      </c>
      <c r="U11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E530-30101050214-D225301</v>
      </c>
      <c r="Z113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5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11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6" spans="1:31" hidden="1" x14ac:dyDescent="0.3">
      <c r="A1136" s="12" t="s">
        <v>3891</v>
      </c>
      <c r="B1136" s="12" t="s">
        <v>30</v>
      </c>
      <c r="C1136" s="12" t="s">
        <v>423</v>
      </c>
      <c r="D1136" s="12" t="s">
        <v>1905</v>
      </c>
      <c r="E1136" s="12" t="s">
        <v>2842</v>
      </c>
      <c r="F1136" s="8">
        <v>0</v>
      </c>
      <c r="G1136" s="12" t="s">
        <v>2237</v>
      </c>
      <c r="H1136" s="12">
        <v>0</v>
      </c>
      <c r="I1136" s="12" t="s">
        <v>2237</v>
      </c>
      <c r="J1136" s="12">
        <v>0</v>
      </c>
      <c r="K1136" s="12" t="s">
        <v>2237</v>
      </c>
      <c r="L1136" s="12">
        <v>0</v>
      </c>
      <c r="M1136" s="12" t="s">
        <v>2237</v>
      </c>
      <c r="N1136" s="8">
        <v>30000</v>
      </c>
      <c r="O1136" s="12" t="s">
        <v>2237</v>
      </c>
      <c r="P1136" s="12" t="s">
        <v>2236</v>
      </c>
      <c r="Q1136" s="10" t="s">
        <v>2242</v>
      </c>
      <c r="R1136" s="10" t="s">
        <v>2238</v>
      </c>
      <c r="S1136" s="10" t="s">
        <v>2243</v>
      </c>
      <c r="T1136" s="10" t="s">
        <v>2645</v>
      </c>
      <c r="U11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E530-30101050213-D225301</v>
      </c>
      <c r="Z113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6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11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7" spans="1:31" hidden="1" x14ac:dyDescent="0.3">
      <c r="A1137" s="12" t="s">
        <v>3892</v>
      </c>
      <c r="B1137" s="12" t="s">
        <v>30</v>
      </c>
      <c r="C1137" s="12" t="s">
        <v>426</v>
      </c>
      <c r="D1137" s="12" t="s">
        <v>1906</v>
      </c>
      <c r="E1137" s="12" t="s">
        <v>2842</v>
      </c>
      <c r="F1137" s="8">
        <v>0</v>
      </c>
      <c r="G1137" s="12" t="s">
        <v>2237</v>
      </c>
      <c r="H1137" s="12">
        <v>0</v>
      </c>
      <c r="I1137" s="12" t="s">
        <v>2237</v>
      </c>
      <c r="J1137" s="12">
        <v>0</v>
      </c>
      <c r="K1137" s="12" t="s">
        <v>2237</v>
      </c>
      <c r="L1137" s="12">
        <v>0</v>
      </c>
      <c r="M1137" s="12" t="s">
        <v>2237</v>
      </c>
      <c r="N1137" s="8">
        <v>0</v>
      </c>
      <c r="O1137" s="12" t="s">
        <v>2237</v>
      </c>
      <c r="P1137" s="12" t="s">
        <v>2236</v>
      </c>
      <c r="Q1137" s="10" t="s">
        <v>2242</v>
      </c>
      <c r="R1137" s="10" t="s">
        <v>2238</v>
      </c>
      <c r="S1137" s="10" t="s">
        <v>2243</v>
      </c>
      <c r="T1137" s="10" t="s">
        <v>2645</v>
      </c>
      <c r="U11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E530-30101050247-D225301</v>
      </c>
      <c r="Z113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7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11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8" spans="1:31" hidden="1" x14ac:dyDescent="0.3">
      <c r="A1138" s="12" t="s">
        <v>3893</v>
      </c>
      <c r="B1138" s="12" t="s">
        <v>30</v>
      </c>
      <c r="C1138" s="12" t="s">
        <v>429</v>
      </c>
      <c r="D1138" s="12" t="s">
        <v>1907</v>
      </c>
      <c r="E1138" s="12" t="s">
        <v>2842</v>
      </c>
      <c r="F1138" s="8">
        <v>0</v>
      </c>
      <c r="G1138" s="12" t="s">
        <v>2237</v>
      </c>
      <c r="H1138" s="12">
        <v>0</v>
      </c>
      <c r="I1138" s="12" t="s">
        <v>2237</v>
      </c>
      <c r="J1138" s="12">
        <v>0</v>
      </c>
      <c r="K1138" s="12" t="s">
        <v>2237</v>
      </c>
      <c r="L1138" s="12">
        <v>0</v>
      </c>
      <c r="M1138" s="12" t="s">
        <v>2237</v>
      </c>
      <c r="N1138" s="8">
        <v>431610.05</v>
      </c>
      <c r="O1138" s="12" t="s">
        <v>2237</v>
      </c>
      <c r="P1138" s="12" t="s">
        <v>2236</v>
      </c>
      <c r="Q1138" s="10" t="s">
        <v>2242</v>
      </c>
      <c r="R1138" s="10" t="s">
        <v>2238</v>
      </c>
      <c r="S1138" s="10" t="s">
        <v>2243</v>
      </c>
      <c r="T1138" s="10" t="s">
        <v>2645</v>
      </c>
      <c r="U11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E530-30101050212-D225301</v>
      </c>
      <c r="Z113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8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11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39" spans="1:31" hidden="1" x14ac:dyDescent="0.3">
      <c r="A1139" s="12" t="s">
        <v>3894</v>
      </c>
      <c r="B1139" s="12" t="s">
        <v>30</v>
      </c>
      <c r="C1139" s="12" t="s">
        <v>432</v>
      </c>
      <c r="D1139" s="12" t="s">
        <v>1908</v>
      </c>
      <c r="E1139" s="12" t="s">
        <v>2842</v>
      </c>
      <c r="F1139" s="8">
        <v>0</v>
      </c>
      <c r="G1139" s="12" t="s">
        <v>2237</v>
      </c>
      <c r="H1139" s="12">
        <v>0</v>
      </c>
      <c r="I1139" s="12" t="s">
        <v>2237</v>
      </c>
      <c r="J1139" s="12">
        <v>0</v>
      </c>
      <c r="K1139" s="12" t="s">
        <v>2237</v>
      </c>
      <c r="L1139" s="12">
        <v>0</v>
      </c>
      <c r="M1139" s="12" t="s">
        <v>2237</v>
      </c>
      <c r="N1139" s="8">
        <v>34670.49</v>
      </c>
      <c r="O1139" s="12" t="s">
        <v>2237</v>
      </c>
      <c r="P1139" s="12" t="s">
        <v>2236</v>
      </c>
      <c r="Q1139" s="10" t="s">
        <v>2242</v>
      </c>
      <c r="R1139" s="10" t="s">
        <v>2238</v>
      </c>
      <c r="S1139" s="10" t="s">
        <v>2243</v>
      </c>
      <c r="T1139" s="10" t="s">
        <v>2645</v>
      </c>
      <c r="U113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3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3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3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3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E530-30101050211-D225301</v>
      </c>
      <c r="Z113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3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3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39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11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0" spans="1:31" hidden="1" x14ac:dyDescent="0.3">
      <c r="A1140" s="12" t="s">
        <v>3895</v>
      </c>
      <c r="B1140" s="12" t="s">
        <v>30</v>
      </c>
      <c r="C1140" s="12" t="s">
        <v>435</v>
      </c>
      <c r="D1140" s="12" t="s">
        <v>1909</v>
      </c>
      <c r="E1140" s="12" t="s">
        <v>2842</v>
      </c>
      <c r="F1140" s="8">
        <v>0</v>
      </c>
      <c r="G1140" s="12" t="s">
        <v>2237</v>
      </c>
      <c r="H1140" s="12">
        <v>0</v>
      </c>
      <c r="I1140" s="12" t="s">
        <v>2237</v>
      </c>
      <c r="J1140" s="12">
        <v>0</v>
      </c>
      <c r="K1140" s="12" t="s">
        <v>2237</v>
      </c>
      <c r="L1140" s="12">
        <v>0</v>
      </c>
      <c r="M1140" s="12" t="s">
        <v>2237</v>
      </c>
      <c r="N1140" s="8">
        <v>348618.99</v>
      </c>
      <c r="O1140" s="12" t="s">
        <v>2237</v>
      </c>
      <c r="P1140" s="12" t="s">
        <v>2236</v>
      </c>
      <c r="Q1140" s="10" t="s">
        <v>2242</v>
      </c>
      <c r="R1140" s="10" t="s">
        <v>2238</v>
      </c>
      <c r="S1140" s="10" t="s">
        <v>2243</v>
      </c>
      <c r="T1140" s="10" t="s">
        <v>2645</v>
      </c>
      <c r="U114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4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E530-30101050210-D225301</v>
      </c>
      <c r="Z114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40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11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1" spans="1:31" hidden="1" x14ac:dyDescent="0.3">
      <c r="A1141" s="12" t="s">
        <v>3896</v>
      </c>
      <c r="B1141" s="12" t="s">
        <v>30</v>
      </c>
      <c r="C1141" s="12" t="s">
        <v>438</v>
      </c>
      <c r="D1141" s="12" t="s">
        <v>1910</v>
      </c>
      <c r="E1141" s="12" t="s">
        <v>2842</v>
      </c>
      <c r="F1141" s="8">
        <v>0</v>
      </c>
      <c r="G1141" s="12" t="s">
        <v>2237</v>
      </c>
      <c r="H1141" s="12">
        <v>0</v>
      </c>
      <c r="I1141" s="12" t="s">
        <v>2237</v>
      </c>
      <c r="J1141" s="12">
        <v>0</v>
      </c>
      <c r="K1141" s="12" t="s">
        <v>2237</v>
      </c>
      <c r="L1141" s="12">
        <v>0</v>
      </c>
      <c r="M1141" s="12" t="s">
        <v>2237</v>
      </c>
      <c r="N1141" s="8">
        <v>798979.46</v>
      </c>
      <c r="O1141" s="12" t="s">
        <v>2237</v>
      </c>
      <c r="P1141" s="12" t="s">
        <v>2236</v>
      </c>
      <c r="Q1141" s="10" t="s">
        <v>2242</v>
      </c>
      <c r="R1141" s="10" t="s">
        <v>2238</v>
      </c>
      <c r="S1141" s="10" t="s">
        <v>2243</v>
      </c>
      <c r="T1141" s="10" t="s">
        <v>2645</v>
      </c>
      <c r="U114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4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E530-30101050209-D225301</v>
      </c>
      <c r="Z114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41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11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2" spans="1:31" hidden="1" x14ac:dyDescent="0.3">
      <c r="A1142" s="12" t="s">
        <v>3897</v>
      </c>
      <c r="B1142" s="12" t="s">
        <v>30</v>
      </c>
      <c r="C1142" s="12" t="s">
        <v>441</v>
      </c>
      <c r="D1142" s="12" t="s">
        <v>1911</v>
      </c>
      <c r="E1142" s="12" t="s">
        <v>2842</v>
      </c>
      <c r="F1142" s="8">
        <v>0</v>
      </c>
      <c r="G1142" s="12" t="s">
        <v>2237</v>
      </c>
      <c r="H1142" s="12">
        <v>0</v>
      </c>
      <c r="I1142" s="12" t="s">
        <v>2237</v>
      </c>
      <c r="J1142" s="12">
        <v>0</v>
      </c>
      <c r="K1142" s="12" t="s">
        <v>2237</v>
      </c>
      <c r="L1142" s="12">
        <v>0</v>
      </c>
      <c r="M1142" s="12" t="s">
        <v>2237</v>
      </c>
      <c r="N1142" s="8">
        <v>60128</v>
      </c>
      <c r="O1142" s="12" t="s">
        <v>2237</v>
      </c>
      <c r="P1142" s="12" t="s">
        <v>2236</v>
      </c>
      <c r="Q1142" s="10" t="s">
        <v>2242</v>
      </c>
      <c r="R1142" s="10" t="s">
        <v>2238</v>
      </c>
      <c r="S1142" s="10" t="s">
        <v>2243</v>
      </c>
      <c r="T1142" s="10" t="s">
        <v>2645</v>
      </c>
      <c r="U114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4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E530-30101050208-D225301</v>
      </c>
      <c r="Z114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42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11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3" spans="1:31" hidden="1" x14ac:dyDescent="0.3">
      <c r="A1143" s="12" t="s">
        <v>3898</v>
      </c>
      <c r="B1143" s="12" t="s">
        <v>30</v>
      </c>
      <c r="C1143" s="12" t="s">
        <v>1912</v>
      </c>
      <c r="D1143" s="12" t="s">
        <v>1913</v>
      </c>
      <c r="E1143" s="12" t="s">
        <v>2842</v>
      </c>
      <c r="F1143" s="8">
        <v>0</v>
      </c>
      <c r="G1143" s="12" t="s">
        <v>2237</v>
      </c>
      <c r="H1143" s="12">
        <v>0</v>
      </c>
      <c r="I1143" s="12" t="s">
        <v>2237</v>
      </c>
      <c r="J1143" s="12">
        <v>0</v>
      </c>
      <c r="K1143" s="12" t="s">
        <v>2237</v>
      </c>
      <c r="L1143" s="12">
        <v>0</v>
      </c>
      <c r="M1143" s="12" t="s">
        <v>2237</v>
      </c>
      <c r="N1143" s="8">
        <v>319451.08</v>
      </c>
      <c r="O1143" s="12" t="s">
        <v>2237</v>
      </c>
      <c r="P1143" s="12" t="s">
        <v>2236</v>
      </c>
      <c r="Q1143" s="10" t="s">
        <v>2242</v>
      </c>
      <c r="R1143" s="10" t="s">
        <v>2238</v>
      </c>
      <c r="S1143" s="10" t="s">
        <v>2243</v>
      </c>
      <c r="T1143" s="10" t="s">
        <v>2645</v>
      </c>
      <c r="U114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4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E530-30101050207-D225301</v>
      </c>
      <c r="Z114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43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11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4" spans="1:31" hidden="1" x14ac:dyDescent="0.3">
      <c r="A1144" s="12" t="s">
        <v>3899</v>
      </c>
      <c r="B1144" s="12" t="s">
        <v>30</v>
      </c>
      <c r="C1144" s="12" t="s">
        <v>447</v>
      </c>
      <c r="D1144" s="12" t="s">
        <v>1914</v>
      </c>
      <c r="E1144" s="12" t="s">
        <v>2842</v>
      </c>
      <c r="F1144" s="8">
        <v>0</v>
      </c>
      <c r="G1144" s="12" t="s">
        <v>2237</v>
      </c>
      <c r="H1144" s="12">
        <v>0</v>
      </c>
      <c r="I1144" s="12" t="s">
        <v>2237</v>
      </c>
      <c r="J1144" s="12">
        <v>0</v>
      </c>
      <c r="K1144" s="12" t="s">
        <v>2237</v>
      </c>
      <c r="L1144" s="12">
        <v>0</v>
      </c>
      <c r="M1144" s="12" t="s">
        <v>2237</v>
      </c>
      <c r="N1144" s="8">
        <v>867517.38</v>
      </c>
      <c r="O1144" s="12" t="s">
        <v>2237</v>
      </c>
      <c r="P1144" s="12" t="s">
        <v>2236</v>
      </c>
      <c r="Q1144" s="10" t="s">
        <v>2242</v>
      </c>
      <c r="R1144" s="10" t="s">
        <v>2238</v>
      </c>
      <c r="S1144" s="10" t="s">
        <v>2243</v>
      </c>
      <c r="T1144" s="10" t="s">
        <v>2645</v>
      </c>
      <c r="U114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4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E530-30101050205-D225301</v>
      </c>
      <c r="Z114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44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11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5" spans="1:31" hidden="1" x14ac:dyDescent="0.3">
      <c r="A1145" s="12" t="s">
        <v>3900</v>
      </c>
      <c r="B1145" s="12" t="s">
        <v>30</v>
      </c>
      <c r="C1145" s="12" t="s">
        <v>1915</v>
      </c>
      <c r="D1145" s="12" t="s">
        <v>1916</v>
      </c>
      <c r="E1145" s="12" t="s">
        <v>2842</v>
      </c>
      <c r="F1145" s="8">
        <v>0</v>
      </c>
      <c r="G1145" s="12" t="s">
        <v>2237</v>
      </c>
      <c r="H1145" s="12">
        <v>0</v>
      </c>
      <c r="I1145" s="12" t="s">
        <v>2237</v>
      </c>
      <c r="J1145" s="12">
        <v>0</v>
      </c>
      <c r="K1145" s="12" t="s">
        <v>2237</v>
      </c>
      <c r="L1145" s="12">
        <v>0</v>
      </c>
      <c r="M1145" s="12" t="s">
        <v>2237</v>
      </c>
      <c r="N1145" s="8">
        <v>999</v>
      </c>
      <c r="O1145" s="12" t="s">
        <v>2237</v>
      </c>
      <c r="P1145" s="12" t="s">
        <v>2236</v>
      </c>
      <c r="Q1145" s="10" t="s">
        <v>2242</v>
      </c>
      <c r="R1145" s="10" t="s">
        <v>2238</v>
      </c>
      <c r="S1145" s="10" t="s">
        <v>2243</v>
      </c>
      <c r="T1145" s="10" t="s">
        <v>2645</v>
      </c>
      <c r="U114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E530-301010502-D225301</v>
      </c>
      <c r="Y114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E530-30101050204-D225301</v>
      </c>
      <c r="Z114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45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11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46" spans="1:31" x14ac:dyDescent="0.3">
      <c r="A1146" s="12" t="s">
        <v>3901</v>
      </c>
      <c r="B1146" s="12" t="s">
        <v>26</v>
      </c>
      <c r="C1146" s="12" t="s">
        <v>1917</v>
      </c>
      <c r="D1146" s="12" t="s">
        <v>1918</v>
      </c>
      <c r="E1146" s="12" t="s">
        <v>2842</v>
      </c>
      <c r="F1146" s="8">
        <v>10000</v>
      </c>
      <c r="G1146" s="12" t="s">
        <v>2237</v>
      </c>
      <c r="H1146" s="12">
        <v>10000</v>
      </c>
      <c r="I1146" s="12" t="s">
        <v>2237</v>
      </c>
      <c r="J1146" s="12">
        <v>0</v>
      </c>
      <c r="K1146" s="12" t="s">
        <v>2237</v>
      </c>
      <c r="L1146" s="12">
        <v>0</v>
      </c>
      <c r="M1146" s="12" t="s">
        <v>2237</v>
      </c>
      <c r="N1146" s="8">
        <v>7653.56</v>
      </c>
      <c r="O1146" s="12" t="s">
        <v>2237</v>
      </c>
      <c r="P1146" s="12" t="s">
        <v>2236</v>
      </c>
      <c r="Q1146" s="10" t="s">
        <v>2242</v>
      </c>
      <c r="R1146" s="10" t="s">
        <v>2238</v>
      </c>
      <c r="S1146" s="10" t="s">
        <v>2243</v>
      </c>
      <c r="T1146" s="10" t="s">
        <v>2844</v>
      </c>
      <c r="U11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E530-301010501-D225301</v>
      </c>
      <c r="Y11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4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1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46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47" spans="1:31" x14ac:dyDescent="0.3">
      <c r="A1147" s="12" t="s">
        <v>3902</v>
      </c>
      <c r="B1147" s="12" t="s">
        <v>30</v>
      </c>
      <c r="C1147" s="12" t="s">
        <v>1919</v>
      </c>
      <c r="D1147" s="12" t="s">
        <v>1920</v>
      </c>
      <c r="E1147" s="12" t="s">
        <v>2842</v>
      </c>
      <c r="F1147" s="8">
        <v>0</v>
      </c>
      <c r="G1147" s="12" t="s">
        <v>2237</v>
      </c>
      <c r="H1147" s="12">
        <v>0</v>
      </c>
      <c r="I1147" s="12" t="s">
        <v>2237</v>
      </c>
      <c r="J1147" s="12">
        <v>0</v>
      </c>
      <c r="K1147" s="12" t="s">
        <v>2237</v>
      </c>
      <c r="L1147" s="12">
        <v>0</v>
      </c>
      <c r="M1147" s="12" t="s">
        <v>2237</v>
      </c>
      <c r="N1147" s="8">
        <v>7653.56</v>
      </c>
      <c r="O1147" s="12" t="s">
        <v>2237</v>
      </c>
      <c r="P1147" s="12" t="s">
        <v>2236</v>
      </c>
      <c r="Q1147" s="10" t="s">
        <v>2242</v>
      </c>
      <c r="R1147" s="10" t="s">
        <v>2238</v>
      </c>
      <c r="S1147" s="10" t="s">
        <v>2243</v>
      </c>
      <c r="T1147" s="10" t="s">
        <v>2645</v>
      </c>
      <c r="U11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E530-301010501-D225301</v>
      </c>
      <c r="Y114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E530-30101050160-D225301</v>
      </c>
      <c r="Z114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147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1147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48" spans="1:31" x14ac:dyDescent="0.3">
      <c r="A1148" s="12" t="s">
        <v>3903</v>
      </c>
      <c r="B1148" s="12" t="s">
        <v>26</v>
      </c>
      <c r="C1148" s="12" t="s">
        <v>1921</v>
      </c>
      <c r="D1148" s="12" t="s">
        <v>1922</v>
      </c>
      <c r="E1148" s="12" t="s">
        <v>2842</v>
      </c>
      <c r="F1148" s="8">
        <v>540224.97</v>
      </c>
      <c r="G1148" s="12" t="s">
        <v>2237</v>
      </c>
      <c r="H1148" s="12">
        <v>540224.97</v>
      </c>
      <c r="I1148" s="12" t="s">
        <v>2237</v>
      </c>
      <c r="J1148" s="12">
        <v>0</v>
      </c>
      <c r="K1148" s="12" t="s">
        <v>2237</v>
      </c>
      <c r="L1148" s="12">
        <v>0</v>
      </c>
      <c r="M1148" s="12" t="s">
        <v>2237</v>
      </c>
      <c r="N1148" s="8">
        <v>544399.92000000004</v>
      </c>
      <c r="O1148" s="12" t="s">
        <v>2237</v>
      </c>
      <c r="P1148" s="12" t="s">
        <v>2236</v>
      </c>
      <c r="Q1148" s="10" t="s">
        <v>2242</v>
      </c>
      <c r="R1148" s="10" t="s">
        <v>2238</v>
      </c>
      <c r="S1148" s="10" t="s">
        <v>2243</v>
      </c>
      <c r="T1148" s="10" t="s">
        <v>3054</v>
      </c>
      <c r="U11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E530-301010561-D225301</v>
      </c>
      <c r="Y11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4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48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49" spans="1:31" x14ac:dyDescent="0.3">
      <c r="A1149" s="12" t="s">
        <v>3904</v>
      </c>
      <c r="B1149" s="12" t="s">
        <v>30</v>
      </c>
      <c r="C1149" s="12" t="s">
        <v>1923</v>
      </c>
      <c r="D1149" s="12" t="s">
        <v>1924</v>
      </c>
      <c r="E1149" s="12" t="s">
        <v>2842</v>
      </c>
      <c r="F1149" s="8">
        <v>0</v>
      </c>
      <c r="G1149" s="12" t="s">
        <v>2237</v>
      </c>
      <c r="H1149" s="12">
        <v>0</v>
      </c>
      <c r="I1149" s="12" t="s">
        <v>2237</v>
      </c>
      <c r="J1149" s="12">
        <v>0</v>
      </c>
      <c r="K1149" s="12" t="s">
        <v>2237</v>
      </c>
      <c r="L1149" s="12">
        <v>0</v>
      </c>
      <c r="M1149" s="12" t="s">
        <v>2237</v>
      </c>
      <c r="N1149" s="8">
        <v>13514.56</v>
      </c>
      <c r="O1149" s="12" t="s">
        <v>2237</v>
      </c>
      <c r="P1149" s="12" t="s">
        <v>2236</v>
      </c>
      <c r="Q1149" s="10" t="s">
        <v>2242</v>
      </c>
      <c r="R1149" s="10" t="s">
        <v>2238</v>
      </c>
      <c r="S1149" s="10" t="s">
        <v>2243</v>
      </c>
      <c r="T1149" s="10" t="s">
        <v>2645</v>
      </c>
      <c r="U11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4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4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4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E530-301010561-D225301</v>
      </c>
      <c r="Y114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E530-30101056193-D225301</v>
      </c>
      <c r="Z114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4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4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49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1149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50" spans="1:31" x14ac:dyDescent="0.3">
      <c r="A1150" s="12" t="s">
        <v>3905</v>
      </c>
      <c r="B1150" s="12" t="s">
        <v>30</v>
      </c>
      <c r="C1150" s="12" t="s">
        <v>1925</v>
      </c>
      <c r="D1150" s="12" t="s">
        <v>1926</v>
      </c>
      <c r="E1150" s="12" t="s">
        <v>2842</v>
      </c>
      <c r="F1150" s="8">
        <v>0</v>
      </c>
      <c r="G1150" s="12" t="s">
        <v>2237</v>
      </c>
      <c r="H1150" s="12">
        <v>0</v>
      </c>
      <c r="I1150" s="12" t="s">
        <v>2237</v>
      </c>
      <c r="J1150" s="12">
        <v>0</v>
      </c>
      <c r="K1150" s="12" t="s">
        <v>2237</v>
      </c>
      <c r="L1150" s="12">
        <v>0</v>
      </c>
      <c r="M1150" s="12" t="s">
        <v>2237</v>
      </c>
      <c r="N1150" s="8">
        <v>332119.15000000002</v>
      </c>
      <c r="O1150" s="12" t="s">
        <v>2237</v>
      </c>
      <c r="P1150" s="12" t="s">
        <v>2236</v>
      </c>
      <c r="Q1150" s="10" t="s">
        <v>2242</v>
      </c>
      <c r="R1150" s="10" t="s">
        <v>2238</v>
      </c>
      <c r="S1150" s="10" t="s">
        <v>2243</v>
      </c>
      <c r="T1150" s="10" t="s">
        <v>2645</v>
      </c>
      <c r="U11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5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E530-301010561-D225301</v>
      </c>
      <c r="Y115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E530-30101056118-D225301</v>
      </c>
      <c r="Z115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50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1150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51" spans="1:31" x14ac:dyDescent="0.3">
      <c r="A1151" s="12" t="s">
        <v>3906</v>
      </c>
      <c r="B1151" s="12" t="s">
        <v>30</v>
      </c>
      <c r="C1151" s="12" t="s">
        <v>1927</v>
      </c>
      <c r="D1151" s="12" t="s">
        <v>1928</v>
      </c>
      <c r="E1151" s="12" t="s">
        <v>2842</v>
      </c>
      <c r="F1151" s="8">
        <v>0</v>
      </c>
      <c r="G1151" s="12" t="s">
        <v>2237</v>
      </c>
      <c r="H1151" s="12">
        <v>0</v>
      </c>
      <c r="I1151" s="12" t="s">
        <v>2237</v>
      </c>
      <c r="J1151" s="12">
        <v>0</v>
      </c>
      <c r="K1151" s="12" t="s">
        <v>2237</v>
      </c>
      <c r="L1151" s="12">
        <v>0</v>
      </c>
      <c r="M1151" s="12" t="s">
        <v>2237</v>
      </c>
      <c r="N1151" s="8">
        <v>678.26</v>
      </c>
      <c r="O1151" s="12" t="s">
        <v>2237</v>
      </c>
      <c r="P1151" s="12" t="s">
        <v>2236</v>
      </c>
      <c r="Q1151" s="10" t="s">
        <v>2242</v>
      </c>
      <c r="R1151" s="10" t="s">
        <v>2238</v>
      </c>
      <c r="S1151" s="10" t="s">
        <v>2243</v>
      </c>
      <c r="T1151" s="10" t="s">
        <v>2645</v>
      </c>
      <c r="U11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5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E530-301010561-D225301</v>
      </c>
      <c r="Y115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E530-30101056102-D225301</v>
      </c>
      <c r="Z115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51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1151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52" spans="1:31" x14ac:dyDescent="0.3">
      <c r="A1152" s="12" t="s">
        <v>3907</v>
      </c>
      <c r="B1152" s="12" t="s">
        <v>30</v>
      </c>
      <c r="C1152" s="12" t="s">
        <v>1929</v>
      </c>
      <c r="D1152" s="12" t="s">
        <v>1930</v>
      </c>
      <c r="E1152" s="12" t="s">
        <v>2842</v>
      </c>
      <c r="F1152" s="8">
        <v>0</v>
      </c>
      <c r="G1152" s="12" t="s">
        <v>2237</v>
      </c>
      <c r="H1152" s="12">
        <v>0</v>
      </c>
      <c r="I1152" s="12" t="s">
        <v>2237</v>
      </c>
      <c r="J1152" s="12">
        <v>0</v>
      </c>
      <c r="K1152" s="12" t="s">
        <v>2237</v>
      </c>
      <c r="L1152" s="12">
        <v>0</v>
      </c>
      <c r="M1152" s="12" t="s">
        <v>2237</v>
      </c>
      <c r="N1152" s="8">
        <v>198087.95</v>
      </c>
      <c r="O1152" s="12" t="s">
        <v>2237</v>
      </c>
      <c r="P1152" s="12" t="s">
        <v>2236</v>
      </c>
      <c r="Q1152" s="10" t="s">
        <v>2242</v>
      </c>
      <c r="R1152" s="10" t="s">
        <v>2238</v>
      </c>
      <c r="S1152" s="10" t="s">
        <v>2243</v>
      </c>
      <c r="T1152" s="10" t="s">
        <v>2645</v>
      </c>
      <c r="U11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E530-3010105-D225301</v>
      </c>
      <c r="X115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E530-301010561-D225301</v>
      </c>
      <c r="Y115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E530-30101056101-D225301</v>
      </c>
      <c r="Z115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52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1152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1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53" spans="1:31" x14ac:dyDescent="0.3">
      <c r="A1153" s="12" t="s">
        <v>3908</v>
      </c>
      <c r="B1153" s="12" t="s">
        <v>21</v>
      </c>
      <c r="C1153" s="12" t="s">
        <v>1931</v>
      </c>
      <c r="D1153" s="12" t="s">
        <v>1932</v>
      </c>
      <c r="E1153" s="12" t="s">
        <v>2842</v>
      </c>
      <c r="F1153" s="8">
        <v>4812317.91</v>
      </c>
      <c r="G1153" s="12" t="s">
        <v>2237</v>
      </c>
      <c r="H1153" s="12">
        <v>4812317.91</v>
      </c>
      <c r="I1153" s="12" t="s">
        <v>2237</v>
      </c>
      <c r="J1153" s="12">
        <v>0</v>
      </c>
      <c r="K1153" s="12" t="s">
        <v>2237</v>
      </c>
      <c r="L1153" s="12">
        <v>6742.78</v>
      </c>
      <c r="M1153" s="12" t="s">
        <v>2237</v>
      </c>
      <c r="N1153" s="8">
        <v>4782876.2</v>
      </c>
      <c r="O1153" s="12" t="s">
        <v>2237</v>
      </c>
      <c r="P1153" s="12" t="s">
        <v>2236</v>
      </c>
      <c r="Q1153" s="10" t="s">
        <v>2242</v>
      </c>
      <c r="R1153" s="10" t="s">
        <v>2238</v>
      </c>
      <c r="S1153" s="10" t="s">
        <v>2243</v>
      </c>
      <c r="T1153" s="10" t="s">
        <v>2844</v>
      </c>
      <c r="U11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5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53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54" spans="1:31" x14ac:dyDescent="0.3">
      <c r="A1154" s="12" t="s">
        <v>3909</v>
      </c>
      <c r="B1154" s="12" t="s">
        <v>26</v>
      </c>
      <c r="C1154" s="12" t="s">
        <v>1933</v>
      </c>
      <c r="D1154" s="12" t="s">
        <v>1934</v>
      </c>
      <c r="E1154" s="12" t="s">
        <v>2842</v>
      </c>
      <c r="F1154" s="8">
        <v>3778409.33</v>
      </c>
      <c r="G1154" s="12" t="s">
        <v>2237</v>
      </c>
      <c r="H1154" s="12">
        <v>3778409.33</v>
      </c>
      <c r="I1154" s="12" t="s">
        <v>2237</v>
      </c>
      <c r="J1154" s="12">
        <v>0</v>
      </c>
      <c r="K1154" s="12" t="s">
        <v>2237</v>
      </c>
      <c r="L1154" s="12">
        <v>6742.78</v>
      </c>
      <c r="M1154" s="12" t="s">
        <v>2237</v>
      </c>
      <c r="N1154" s="8">
        <v>3783745.38</v>
      </c>
      <c r="O1154" s="12" t="s">
        <v>2237</v>
      </c>
      <c r="P1154" s="12" t="s">
        <v>2236</v>
      </c>
      <c r="Q1154" s="10" t="s">
        <v>2242</v>
      </c>
      <c r="R1154" s="10" t="s">
        <v>2238</v>
      </c>
      <c r="S1154" s="10" t="s">
        <v>2243</v>
      </c>
      <c r="T1154" s="10" t="s">
        <v>3054</v>
      </c>
      <c r="U11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5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5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54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55" spans="1:31" hidden="1" x14ac:dyDescent="0.3">
      <c r="A1155" s="12" t="s">
        <v>3910</v>
      </c>
      <c r="B1155" s="12" t="s">
        <v>30</v>
      </c>
      <c r="C1155" s="12" t="s">
        <v>390</v>
      </c>
      <c r="D1155" s="12" t="s">
        <v>1935</v>
      </c>
      <c r="E1155" s="12" t="s">
        <v>2842</v>
      </c>
      <c r="F1155" s="8">
        <v>0</v>
      </c>
      <c r="G1155" s="12" t="s">
        <v>2237</v>
      </c>
      <c r="H1155" s="12">
        <v>0</v>
      </c>
      <c r="I1155" s="12" t="s">
        <v>2237</v>
      </c>
      <c r="J1155" s="12">
        <v>0</v>
      </c>
      <c r="K1155" s="12" t="s">
        <v>2237</v>
      </c>
      <c r="L1155" s="12">
        <v>6742.78</v>
      </c>
      <c r="M1155" s="12" t="s">
        <v>2237</v>
      </c>
      <c r="N1155" s="8">
        <v>40807.21</v>
      </c>
      <c r="O1155" s="12" t="s">
        <v>2237</v>
      </c>
      <c r="P1155" s="12" t="s">
        <v>2236</v>
      </c>
      <c r="Q1155" s="10" t="s">
        <v>2242</v>
      </c>
      <c r="R1155" s="10" t="s">
        <v>2238</v>
      </c>
      <c r="S1155" s="10" t="s">
        <v>2243</v>
      </c>
      <c r="T1155" s="10" t="s">
        <v>2645</v>
      </c>
      <c r="U11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5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5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E530-30101040224-D225301</v>
      </c>
      <c r="Z115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55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11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56" spans="1:31" hidden="1" x14ac:dyDescent="0.3">
      <c r="A1156" s="12" t="s">
        <v>3911</v>
      </c>
      <c r="B1156" s="12" t="s">
        <v>30</v>
      </c>
      <c r="C1156" s="12" t="s">
        <v>1891</v>
      </c>
      <c r="D1156" s="12" t="s">
        <v>1936</v>
      </c>
      <c r="E1156" s="12" t="s">
        <v>2842</v>
      </c>
      <c r="F1156" s="8">
        <v>0</v>
      </c>
      <c r="G1156" s="12" t="s">
        <v>2237</v>
      </c>
      <c r="H1156" s="12">
        <v>0</v>
      </c>
      <c r="I1156" s="12" t="s">
        <v>2237</v>
      </c>
      <c r="J1156" s="12">
        <v>0</v>
      </c>
      <c r="K1156" s="12" t="s">
        <v>2237</v>
      </c>
      <c r="L1156" s="12">
        <v>0</v>
      </c>
      <c r="M1156" s="12" t="s">
        <v>2237</v>
      </c>
      <c r="N1156" s="8">
        <v>88305.13</v>
      </c>
      <c r="O1156" s="12" t="s">
        <v>2237</v>
      </c>
      <c r="P1156" s="12" t="s">
        <v>2236</v>
      </c>
      <c r="Q1156" s="10" t="s">
        <v>2242</v>
      </c>
      <c r="R1156" s="10" t="s">
        <v>2238</v>
      </c>
      <c r="S1156" s="10" t="s">
        <v>2243</v>
      </c>
      <c r="T1156" s="10" t="s">
        <v>2645</v>
      </c>
      <c r="U115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5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5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E530-30101040298-D225301</v>
      </c>
      <c r="Z115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56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11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57" spans="1:31" hidden="1" x14ac:dyDescent="0.3">
      <c r="A1157" s="12" t="s">
        <v>3912</v>
      </c>
      <c r="B1157" s="12" t="s">
        <v>30</v>
      </c>
      <c r="C1157" s="12" t="s">
        <v>1893</v>
      </c>
      <c r="D1157" s="12" t="s">
        <v>1937</v>
      </c>
      <c r="E1157" s="12" t="s">
        <v>2842</v>
      </c>
      <c r="F1157" s="8">
        <v>0</v>
      </c>
      <c r="G1157" s="12" t="s">
        <v>2237</v>
      </c>
      <c r="H1157" s="12">
        <v>0</v>
      </c>
      <c r="I1157" s="12" t="s">
        <v>2237</v>
      </c>
      <c r="J1157" s="12">
        <v>0</v>
      </c>
      <c r="K1157" s="12" t="s">
        <v>2237</v>
      </c>
      <c r="L1157" s="12">
        <v>0</v>
      </c>
      <c r="M1157" s="12" t="s">
        <v>2237</v>
      </c>
      <c r="N1157" s="8">
        <v>16005.34</v>
      </c>
      <c r="O1157" s="12" t="s">
        <v>2237</v>
      </c>
      <c r="P1157" s="12" t="s">
        <v>2236</v>
      </c>
      <c r="Q1157" s="10" t="s">
        <v>2242</v>
      </c>
      <c r="R1157" s="10" t="s">
        <v>2238</v>
      </c>
      <c r="S1157" s="10" t="s">
        <v>2243</v>
      </c>
      <c r="T1157" s="10" t="s">
        <v>2645</v>
      </c>
      <c r="U11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5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5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E530-30101040297-D225301</v>
      </c>
      <c r="Z115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57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11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58" spans="1:31" hidden="1" x14ac:dyDescent="0.3">
      <c r="A1158" s="12" t="s">
        <v>3913</v>
      </c>
      <c r="B1158" s="12" t="s">
        <v>30</v>
      </c>
      <c r="C1158" s="12" t="s">
        <v>399</v>
      </c>
      <c r="D1158" s="12" t="s">
        <v>1938</v>
      </c>
      <c r="E1158" s="12" t="s">
        <v>2842</v>
      </c>
      <c r="F1158" s="8">
        <v>0</v>
      </c>
      <c r="G1158" s="12" t="s">
        <v>2237</v>
      </c>
      <c r="H1158" s="12">
        <v>0</v>
      </c>
      <c r="I1158" s="12" t="s">
        <v>2237</v>
      </c>
      <c r="J1158" s="12">
        <v>0</v>
      </c>
      <c r="K1158" s="12" t="s">
        <v>2237</v>
      </c>
      <c r="L1158" s="12">
        <v>0</v>
      </c>
      <c r="M1158" s="12" t="s">
        <v>2237</v>
      </c>
      <c r="N1158" s="8">
        <v>0</v>
      </c>
      <c r="O1158" s="12" t="s">
        <v>2237</v>
      </c>
      <c r="P1158" s="12" t="s">
        <v>2236</v>
      </c>
      <c r="Q1158" s="10" t="s">
        <v>2242</v>
      </c>
      <c r="R1158" s="10" t="s">
        <v>2238</v>
      </c>
      <c r="S1158" s="10" t="s">
        <v>2243</v>
      </c>
      <c r="T1158" s="10" t="s">
        <v>2645</v>
      </c>
      <c r="U11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5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5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E530-30101040296-D225301</v>
      </c>
      <c r="Z115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58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11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59" spans="1:31" hidden="1" x14ac:dyDescent="0.3">
      <c r="A1159" s="12" t="s">
        <v>3914</v>
      </c>
      <c r="B1159" s="12" t="s">
        <v>30</v>
      </c>
      <c r="C1159" s="12" t="s">
        <v>402</v>
      </c>
      <c r="D1159" s="12" t="s">
        <v>1939</v>
      </c>
      <c r="E1159" s="12" t="s">
        <v>2842</v>
      </c>
      <c r="F1159" s="8">
        <v>0</v>
      </c>
      <c r="G1159" s="12" t="s">
        <v>2237</v>
      </c>
      <c r="H1159" s="12">
        <v>0</v>
      </c>
      <c r="I1159" s="12" t="s">
        <v>2237</v>
      </c>
      <c r="J1159" s="12">
        <v>0</v>
      </c>
      <c r="K1159" s="12" t="s">
        <v>2237</v>
      </c>
      <c r="L1159" s="12">
        <v>0</v>
      </c>
      <c r="M1159" s="12" t="s">
        <v>2237</v>
      </c>
      <c r="N1159" s="8">
        <v>0</v>
      </c>
      <c r="O1159" s="12" t="s">
        <v>2237</v>
      </c>
      <c r="P1159" s="12" t="s">
        <v>2236</v>
      </c>
      <c r="Q1159" s="10" t="s">
        <v>2242</v>
      </c>
      <c r="R1159" s="10" t="s">
        <v>2238</v>
      </c>
      <c r="S1159" s="10" t="s">
        <v>2243</v>
      </c>
      <c r="T1159" s="10" t="s">
        <v>2645</v>
      </c>
      <c r="U115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5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5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5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5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E530-30101040295-D225301</v>
      </c>
      <c r="Z115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5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5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59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11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0" spans="1:31" hidden="1" x14ac:dyDescent="0.3">
      <c r="A1160" s="12" t="s">
        <v>3915</v>
      </c>
      <c r="B1160" s="12" t="s">
        <v>30</v>
      </c>
      <c r="C1160" s="12" t="s">
        <v>405</v>
      </c>
      <c r="D1160" s="12" t="s">
        <v>1940</v>
      </c>
      <c r="E1160" s="12" t="s">
        <v>2842</v>
      </c>
      <c r="F1160" s="8">
        <v>0</v>
      </c>
      <c r="G1160" s="12" t="s">
        <v>2237</v>
      </c>
      <c r="H1160" s="12">
        <v>0</v>
      </c>
      <c r="I1160" s="12" t="s">
        <v>2237</v>
      </c>
      <c r="J1160" s="12">
        <v>0</v>
      </c>
      <c r="K1160" s="12" t="s">
        <v>2237</v>
      </c>
      <c r="L1160" s="12">
        <v>0</v>
      </c>
      <c r="M1160" s="12" t="s">
        <v>2237</v>
      </c>
      <c r="N1160" s="8">
        <v>33042.43</v>
      </c>
      <c r="O1160" s="12" t="s">
        <v>2237</v>
      </c>
      <c r="P1160" s="12" t="s">
        <v>2236</v>
      </c>
      <c r="Q1160" s="10" t="s">
        <v>2242</v>
      </c>
      <c r="R1160" s="10" t="s">
        <v>2238</v>
      </c>
      <c r="S1160" s="10" t="s">
        <v>2243</v>
      </c>
      <c r="T1160" s="10" t="s">
        <v>2645</v>
      </c>
      <c r="U116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E530-30101040294-D225301</v>
      </c>
      <c r="Z116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0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11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1" spans="1:31" hidden="1" x14ac:dyDescent="0.3">
      <c r="A1161" s="12" t="s">
        <v>3916</v>
      </c>
      <c r="B1161" s="12" t="s">
        <v>30</v>
      </c>
      <c r="C1161" s="12" t="s">
        <v>1898</v>
      </c>
      <c r="D1161" s="12" t="s">
        <v>1941</v>
      </c>
      <c r="E1161" s="12" t="s">
        <v>2842</v>
      </c>
      <c r="F1161" s="8">
        <v>0</v>
      </c>
      <c r="G1161" s="12" t="s">
        <v>2237</v>
      </c>
      <c r="H1161" s="12">
        <v>0</v>
      </c>
      <c r="I1161" s="12" t="s">
        <v>2237</v>
      </c>
      <c r="J1161" s="12">
        <v>0</v>
      </c>
      <c r="K1161" s="12" t="s">
        <v>2237</v>
      </c>
      <c r="L1161" s="12">
        <v>0</v>
      </c>
      <c r="M1161" s="12" t="s">
        <v>2237</v>
      </c>
      <c r="N1161" s="8">
        <v>15440.29</v>
      </c>
      <c r="O1161" s="12" t="s">
        <v>2237</v>
      </c>
      <c r="P1161" s="12" t="s">
        <v>2236</v>
      </c>
      <c r="Q1161" s="10" t="s">
        <v>2242</v>
      </c>
      <c r="R1161" s="10" t="s">
        <v>2238</v>
      </c>
      <c r="S1161" s="10" t="s">
        <v>2243</v>
      </c>
      <c r="T1161" s="10" t="s">
        <v>2645</v>
      </c>
      <c r="U116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E530-30101040220-D225301</v>
      </c>
      <c r="Z116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11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2" spans="1:31" hidden="1" x14ac:dyDescent="0.3">
      <c r="A1162" s="12" t="s">
        <v>3917</v>
      </c>
      <c r="B1162" s="12" t="s">
        <v>30</v>
      </c>
      <c r="C1162" s="12" t="s">
        <v>411</v>
      </c>
      <c r="D1162" s="12" t="s">
        <v>1942</v>
      </c>
      <c r="E1162" s="12" t="s">
        <v>2842</v>
      </c>
      <c r="F1162" s="8">
        <v>0</v>
      </c>
      <c r="G1162" s="12" t="s">
        <v>2237</v>
      </c>
      <c r="H1162" s="12">
        <v>0</v>
      </c>
      <c r="I1162" s="12" t="s">
        <v>2237</v>
      </c>
      <c r="J1162" s="12">
        <v>0</v>
      </c>
      <c r="K1162" s="12" t="s">
        <v>2237</v>
      </c>
      <c r="L1162" s="12">
        <v>0</v>
      </c>
      <c r="M1162" s="12" t="s">
        <v>2237</v>
      </c>
      <c r="N1162" s="8">
        <v>12170.25</v>
      </c>
      <c r="O1162" s="12" t="s">
        <v>2237</v>
      </c>
      <c r="P1162" s="12" t="s">
        <v>2236</v>
      </c>
      <c r="Q1162" s="10" t="s">
        <v>2242</v>
      </c>
      <c r="R1162" s="10" t="s">
        <v>2238</v>
      </c>
      <c r="S1162" s="10" t="s">
        <v>2243</v>
      </c>
      <c r="T1162" s="10" t="s">
        <v>2645</v>
      </c>
      <c r="U116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E530-30101040217-D225301</v>
      </c>
      <c r="Z116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2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11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3" spans="1:31" hidden="1" x14ac:dyDescent="0.3">
      <c r="A1163" s="12" t="s">
        <v>3918</v>
      </c>
      <c r="B1163" s="12" t="s">
        <v>30</v>
      </c>
      <c r="C1163" s="12" t="s">
        <v>414</v>
      </c>
      <c r="D1163" s="12" t="s">
        <v>1943</v>
      </c>
      <c r="E1163" s="12" t="s">
        <v>2842</v>
      </c>
      <c r="F1163" s="8">
        <v>0</v>
      </c>
      <c r="G1163" s="12" t="s">
        <v>2237</v>
      </c>
      <c r="H1163" s="12">
        <v>0</v>
      </c>
      <c r="I1163" s="12" t="s">
        <v>2237</v>
      </c>
      <c r="J1163" s="12">
        <v>0</v>
      </c>
      <c r="K1163" s="12" t="s">
        <v>2237</v>
      </c>
      <c r="L1163" s="12">
        <v>0</v>
      </c>
      <c r="M1163" s="12" t="s">
        <v>2237</v>
      </c>
      <c r="N1163" s="8">
        <v>89256.93</v>
      </c>
      <c r="O1163" s="12" t="s">
        <v>2237</v>
      </c>
      <c r="P1163" s="12" t="s">
        <v>2236</v>
      </c>
      <c r="Q1163" s="10" t="s">
        <v>2242</v>
      </c>
      <c r="R1163" s="10" t="s">
        <v>2238</v>
      </c>
      <c r="S1163" s="10" t="s">
        <v>2243</v>
      </c>
      <c r="T1163" s="10" t="s">
        <v>2645</v>
      </c>
      <c r="U116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E530-30101040216-D225301</v>
      </c>
      <c r="Z116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3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11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4" spans="1:31" hidden="1" x14ac:dyDescent="0.3">
      <c r="A1164" s="12" t="s">
        <v>3919</v>
      </c>
      <c r="B1164" s="12" t="s">
        <v>30</v>
      </c>
      <c r="C1164" s="12" t="s">
        <v>417</v>
      </c>
      <c r="D1164" s="12" t="s">
        <v>1944</v>
      </c>
      <c r="E1164" s="12" t="s">
        <v>2842</v>
      </c>
      <c r="F1164" s="8">
        <v>0</v>
      </c>
      <c r="G1164" s="12" t="s">
        <v>2237</v>
      </c>
      <c r="H1164" s="12">
        <v>0</v>
      </c>
      <c r="I1164" s="12" t="s">
        <v>2237</v>
      </c>
      <c r="J1164" s="12">
        <v>0</v>
      </c>
      <c r="K1164" s="12" t="s">
        <v>2237</v>
      </c>
      <c r="L1164" s="12">
        <v>0</v>
      </c>
      <c r="M1164" s="12" t="s">
        <v>2237</v>
      </c>
      <c r="N1164" s="8">
        <v>92633.31</v>
      </c>
      <c r="O1164" s="12" t="s">
        <v>2237</v>
      </c>
      <c r="P1164" s="12" t="s">
        <v>2236</v>
      </c>
      <c r="Q1164" s="10" t="s">
        <v>2242</v>
      </c>
      <c r="R1164" s="10" t="s">
        <v>2238</v>
      </c>
      <c r="S1164" s="10" t="s">
        <v>2243</v>
      </c>
      <c r="T1164" s="10" t="s">
        <v>2645</v>
      </c>
      <c r="U116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E530-30101040215-D225301</v>
      </c>
      <c r="Z116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4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11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5" spans="1:31" hidden="1" x14ac:dyDescent="0.3">
      <c r="A1165" s="12" t="s">
        <v>3920</v>
      </c>
      <c r="B1165" s="12" t="s">
        <v>30</v>
      </c>
      <c r="C1165" s="12" t="s">
        <v>1903</v>
      </c>
      <c r="D1165" s="12" t="s">
        <v>1945</v>
      </c>
      <c r="E1165" s="12" t="s">
        <v>2842</v>
      </c>
      <c r="F1165" s="8">
        <v>0</v>
      </c>
      <c r="G1165" s="12" t="s">
        <v>2237</v>
      </c>
      <c r="H1165" s="12">
        <v>0</v>
      </c>
      <c r="I1165" s="12" t="s">
        <v>2237</v>
      </c>
      <c r="J1165" s="12">
        <v>0</v>
      </c>
      <c r="K1165" s="12" t="s">
        <v>2237</v>
      </c>
      <c r="L1165" s="12">
        <v>0</v>
      </c>
      <c r="M1165" s="12" t="s">
        <v>2237</v>
      </c>
      <c r="N1165" s="8">
        <v>0</v>
      </c>
      <c r="O1165" s="12" t="s">
        <v>2237</v>
      </c>
      <c r="P1165" s="12" t="s">
        <v>2236</v>
      </c>
      <c r="Q1165" s="10" t="s">
        <v>2242</v>
      </c>
      <c r="R1165" s="10" t="s">
        <v>2238</v>
      </c>
      <c r="S1165" s="10" t="s">
        <v>2243</v>
      </c>
      <c r="T1165" s="10" t="s">
        <v>2645</v>
      </c>
      <c r="U116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E530-30101040214-D225301</v>
      </c>
      <c r="Z116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5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11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6" spans="1:31" hidden="1" x14ac:dyDescent="0.3">
      <c r="A1166" s="12" t="s">
        <v>3921</v>
      </c>
      <c r="B1166" s="12" t="s">
        <v>30</v>
      </c>
      <c r="C1166" s="12" t="s">
        <v>423</v>
      </c>
      <c r="D1166" s="12" t="s">
        <v>1946</v>
      </c>
      <c r="E1166" s="12" t="s">
        <v>2842</v>
      </c>
      <c r="F1166" s="8">
        <v>0</v>
      </c>
      <c r="G1166" s="12" t="s">
        <v>2237</v>
      </c>
      <c r="H1166" s="12">
        <v>0</v>
      </c>
      <c r="I1166" s="12" t="s">
        <v>2237</v>
      </c>
      <c r="J1166" s="12">
        <v>0</v>
      </c>
      <c r="K1166" s="12" t="s">
        <v>2237</v>
      </c>
      <c r="L1166" s="12">
        <v>0</v>
      </c>
      <c r="M1166" s="12" t="s">
        <v>2237</v>
      </c>
      <c r="N1166" s="8">
        <v>34905</v>
      </c>
      <c r="O1166" s="12" t="s">
        <v>2237</v>
      </c>
      <c r="P1166" s="12" t="s">
        <v>2236</v>
      </c>
      <c r="Q1166" s="10" t="s">
        <v>2242</v>
      </c>
      <c r="R1166" s="10" t="s">
        <v>2238</v>
      </c>
      <c r="S1166" s="10" t="s">
        <v>2243</v>
      </c>
      <c r="T1166" s="10" t="s">
        <v>2645</v>
      </c>
      <c r="U116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E530-30101040213-D225301</v>
      </c>
      <c r="Z116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6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11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7" spans="1:31" hidden="1" x14ac:dyDescent="0.3">
      <c r="A1167" s="12" t="s">
        <v>3922</v>
      </c>
      <c r="B1167" s="12" t="s">
        <v>30</v>
      </c>
      <c r="C1167" s="12" t="s">
        <v>426</v>
      </c>
      <c r="D1167" s="12" t="s">
        <v>1947</v>
      </c>
      <c r="E1167" s="12" t="s">
        <v>2842</v>
      </c>
      <c r="F1167" s="8">
        <v>0</v>
      </c>
      <c r="G1167" s="12" t="s">
        <v>2237</v>
      </c>
      <c r="H1167" s="12">
        <v>0</v>
      </c>
      <c r="I1167" s="12" t="s">
        <v>2237</v>
      </c>
      <c r="J1167" s="12">
        <v>0</v>
      </c>
      <c r="K1167" s="12" t="s">
        <v>2237</v>
      </c>
      <c r="L1167" s="12">
        <v>0</v>
      </c>
      <c r="M1167" s="12" t="s">
        <v>2237</v>
      </c>
      <c r="N1167" s="8">
        <v>0</v>
      </c>
      <c r="O1167" s="12" t="s">
        <v>2237</v>
      </c>
      <c r="P1167" s="12" t="s">
        <v>2236</v>
      </c>
      <c r="Q1167" s="10" t="s">
        <v>2242</v>
      </c>
      <c r="R1167" s="10" t="s">
        <v>2238</v>
      </c>
      <c r="S1167" s="10" t="s">
        <v>2243</v>
      </c>
      <c r="T1167" s="10" t="s">
        <v>2645</v>
      </c>
      <c r="U116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E530-30101040247-D225301</v>
      </c>
      <c r="Z116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7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11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8" spans="1:31" hidden="1" x14ac:dyDescent="0.3">
      <c r="A1168" s="12" t="s">
        <v>3923</v>
      </c>
      <c r="B1168" s="12" t="s">
        <v>30</v>
      </c>
      <c r="C1168" s="12" t="s">
        <v>429</v>
      </c>
      <c r="D1168" s="12" t="s">
        <v>1948</v>
      </c>
      <c r="E1168" s="12" t="s">
        <v>2842</v>
      </c>
      <c r="F1168" s="8">
        <v>0</v>
      </c>
      <c r="G1168" s="12" t="s">
        <v>2237</v>
      </c>
      <c r="H1168" s="12">
        <v>0</v>
      </c>
      <c r="I1168" s="12" t="s">
        <v>2237</v>
      </c>
      <c r="J1168" s="12">
        <v>0</v>
      </c>
      <c r="K1168" s="12" t="s">
        <v>2237</v>
      </c>
      <c r="L1168" s="12">
        <v>0</v>
      </c>
      <c r="M1168" s="12" t="s">
        <v>2237</v>
      </c>
      <c r="N1168" s="8">
        <v>728386.4</v>
      </c>
      <c r="O1168" s="12" t="s">
        <v>2237</v>
      </c>
      <c r="P1168" s="12" t="s">
        <v>2236</v>
      </c>
      <c r="Q1168" s="10" t="s">
        <v>2242</v>
      </c>
      <c r="R1168" s="10" t="s">
        <v>2238</v>
      </c>
      <c r="S1168" s="10" t="s">
        <v>2243</v>
      </c>
      <c r="T1168" s="10" t="s">
        <v>2645</v>
      </c>
      <c r="U116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E530-30101040212-D225301</v>
      </c>
      <c r="Z116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8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11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69" spans="1:31" hidden="1" x14ac:dyDescent="0.3">
      <c r="A1169" s="12" t="s">
        <v>3924</v>
      </c>
      <c r="B1169" s="12" t="s">
        <v>30</v>
      </c>
      <c r="C1169" s="12" t="s">
        <v>432</v>
      </c>
      <c r="D1169" s="12" t="s">
        <v>1949</v>
      </c>
      <c r="E1169" s="12" t="s">
        <v>2842</v>
      </c>
      <c r="F1169" s="8">
        <v>0</v>
      </c>
      <c r="G1169" s="12" t="s">
        <v>2237</v>
      </c>
      <c r="H1169" s="12">
        <v>0</v>
      </c>
      <c r="I1169" s="12" t="s">
        <v>2237</v>
      </c>
      <c r="J1169" s="12">
        <v>0</v>
      </c>
      <c r="K1169" s="12" t="s">
        <v>2237</v>
      </c>
      <c r="L1169" s="12">
        <v>0</v>
      </c>
      <c r="M1169" s="12" t="s">
        <v>2237</v>
      </c>
      <c r="N1169" s="8">
        <v>66375.81</v>
      </c>
      <c r="O1169" s="12" t="s">
        <v>2237</v>
      </c>
      <c r="P1169" s="12" t="s">
        <v>2236</v>
      </c>
      <c r="Q1169" s="10" t="s">
        <v>2242</v>
      </c>
      <c r="R1169" s="10" t="s">
        <v>2238</v>
      </c>
      <c r="S1169" s="10" t="s">
        <v>2243</v>
      </c>
      <c r="T1169" s="10" t="s">
        <v>2645</v>
      </c>
      <c r="U116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6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6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6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6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E530-30101040211-D225301</v>
      </c>
      <c r="Z116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6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6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69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11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0" spans="1:31" hidden="1" x14ac:dyDescent="0.3">
      <c r="A1170" s="12" t="s">
        <v>3925</v>
      </c>
      <c r="B1170" s="12" t="s">
        <v>30</v>
      </c>
      <c r="C1170" s="12" t="s">
        <v>435</v>
      </c>
      <c r="D1170" s="12" t="s">
        <v>1950</v>
      </c>
      <c r="E1170" s="12" t="s">
        <v>2842</v>
      </c>
      <c r="F1170" s="8">
        <v>0</v>
      </c>
      <c r="G1170" s="12" t="s">
        <v>2237</v>
      </c>
      <c r="H1170" s="12">
        <v>0</v>
      </c>
      <c r="I1170" s="12" t="s">
        <v>2237</v>
      </c>
      <c r="J1170" s="12">
        <v>0</v>
      </c>
      <c r="K1170" s="12" t="s">
        <v>2237</v>
      </c>
      <c r="L1170" s="12">
        <v>0</v>
      </c>
      <c r="M1170" s="12" t="s">
        <v>2237</v>
      </c>
      <c r="N1170" s="8">
        <v>426500.84</v>
      </c>
      <c r="O1170" s="12" t="s">
        <v>2237</v>
      </c>
      <c r="P1170" s="12" t="s">
        <v>2236</v>
      </c>
      <c r="Q1170" s="10" t="s">
        <v>2242</v>
      </c>
      <c r="R1170" s="10" t="s">
        <v>2238</v>
      </c>
      <c r="S1170" s="10" t="s">
        <v>2243</v>
      </c>
      <c r="T1170" s="10" t="s">
        <v>2645</v>
      </c>
      <c r="U117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7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E530-30101040210-D225301</v>
      </c>
      <c r="Z117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70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11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1" spans="1:31" hidden="1" x14ac:dyDescent="0.3">
      <c r="A1171" s="12" t="s">
        <v>3926</v>
      </c>
      <c r="B1171" s="12" t="s">
        <v>30</v>
      </c>
      <c r="C1171" s="12" t="s">
        <v>438</v>
      </c>
      <c r="D1171" s="12" t="s">
        <v>1951</v>
      </c>
      <c r="E1171" s="12" t="s">
        <v>2842</v>
      </c>
      <c r="F1171" s="8">
        <v>0</v>
      </c>
      <c r="G1171" s="12" t="s">
        <v>2237</v>
      </c>
      <c r="H1171" s="12">
        <v>0</v>
      </c>
      <c r="I1171" s="12" t="s">
        <v>2237</v>
      </c>
      <c r="J1171" s="12">
        <v>0</v>
      </c>
      <c r="K1171" s="12" t="s">
        <v>2237</v>
      </c>
      <c r="L1171" s="12">
        <v>0</v>
      </c>
      <c r="M1171" s="12" t="s">
        <v>2237</v>
      </c>
      <c r="N1171" s="8">
        <v>430103.37</v>
      </c>
      <c r="O1171" s="12" t="s">
        <v>2237</v>
      </c>
      <c r="P1171" s="12" t="s">
        <v>2236</v>
      </c>
      <c r="Q1171" s="10" t="s">
        <v>2242</v>
      </c>
      <c r="R1171" s="10" t="s">
        <v>2238</v>
      </c>
      <c r="S1171" s="10" t="s">
        <v>2243</v>
      </c>
      <c r="T1171" s="10" t="s">
        <v>2645</v>
      </c>
      <c r="U117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7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E530-30101040209-D225301</v>
      </c>
      <c r="Z117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71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11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2" spans="1:31" hidden="1" x14ac:dyDescent="0.3">
      <c r="A1172" s="12" t="s">
        <v>3927</v>
      </c>
      <c r="B1172" s="12" t="s">
        <v>30</v>
      </c>
      <c r="C1172" s="12" t="s">
        <v>441</v>
      </c>
      <c r="D1172" s="12" t="s">
        <v>1952</v>
      </c>
      <c r="E1172" s="12" t="s">
        <v>2842</v>
      </c>
      <c r="F1172" s="8">
        <v>0</v>
      </c>
      <c r="G1172" s="12" t="s">
        <v>2237</v>
      </c>
      <c r="H1172" s="12">
        <v>0</v>
      </c>
      <c r="I1172" s="12" t="s">
        <v>2237</v>
      </c>
      <c r="J1172" s="12">
        <v>0</v>
      </c>
      <c r="K1172" s="12" t="s">
        <v>2237</v>
      </c>
      <c r="L1172" s="12">
        <v>0</v>
      </c>
      <c r="M1172" s="12" t="s">
        <v>2237</v>
      </c>
      <c r="N1172" s="8">
        <v>231601</v>
      </c>
      <c r="O1172" s="12" t="s">
        <v>2237</v>
      </c>
      <c r="P1172" s="12" t="s">
        <v>2236</v>
      </c>
      <c r="Q1172" s="10" t="s">
        <v>2242</v>
      </c>
      <c r="R1172" s="10" t="s">
        <v>2238</v>
      </c>
      <c r="S1172" s="10" t="s">
        <v>2243</v>
      </c>
      <c r="T1172" s="10" t="s">
        <v>2645</v>
      </c>
      <c r="U117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7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E530-30101040208-D225301</v>
      </c>
      <c r="Z117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72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11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3" spans="1:31" hidden="1" x14ac:dyDescent="0.3">
      <c r="A1173" s="12" t="s">
        <v>3928</v>
      </c>
      <c r="B1173" s="12" t="s">
        <v>30</v>
      </c>
      <c r="C1173" s="12" t="s">
        <v>1912</v>
      </c>
      <c r="D1173" s="12" t="s">
        <v>1953</v>
      </c>
      <c r="E1173" s="12" t="s">
        <v>2842</v>
      </c>
      <c r="F1173" s="8">
        <v>0</v>
      </c>
      <c r="G1173" s="12" t="s">
        <v>2237</v>
      </c>
      <c r="H1173" s="12">
        <v>0</v>
      </c>
      <c r="I1173" s="12" t="s">
        <v>2237</v>
      </c>
      <c r="J1173" s="12">
        <v>0</v>
      </c>
      <c r="K1173" s="12" t="s">
        <v>2237</v>
      </c>
      <c r="L1173" s="12">
        <v>0</v>
      </c>
      <c r="M1173" s="12" t="s">
        <v>2237</v>
      </c>
      <c r="N1173" s="8">
        <v>443856.33</v>
      </c>
      <c r="O1173" s="12" t="s">
        <v>2237</v>
      </c>
      <c r="P1173" s="12" t="s">
        <v>2236</v>
      </c>
      <c r="Q1173" s="10" t="s">
        <v>2242</v>
      </c>
      <c r="R1173" s="10" t="s">
        <v>2238</v>
      </c>
      <c r="S1173" s="10" t="s">
        <v>2243</v>
      </c>
      <c r="T1173" s="10" t="s">
        <v>2645</v>
      </c>
      <c r="U117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7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E530-30101040207-D225301</v>
      </c>
      <c r="Z117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73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11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4" spans="1:31" hidden="1" x14ac:dyDescent="0.3">
      <c r="A1174" s="12" t="s">
        <v>3929</v>
      </c>
      <c r="B1174" s="12" t="s">
        <v>30</v>
      </c>
      <c r="C1174" s="12" t="s">
        <v>447</v>
      </c>
      <c r="D1174" s="12" t="s">
        <v>1954</v>
      </c>
      <c r="E1174" s="12" t="s">
        <v>2842</v>
      </c>
      <c r="F1174" s="8">
        <v>0</v>
      </c>
      <c r="G1174" s="12" t="s">
        <v>2237</v>
      </c>
      <c r="H1174" s="12">
        <v>0</v>
      </c>
      <c r="I1174" s="12" t="s">
        <v>2237</v>
      </c>
      <c r="J1174" s="12">
        <v>0</v>
      </c>
      <c r="K1174" s="12" t="s">
        <v>2237</v>
      </c>
      <c r="L1174" s="12">
        <v>0</v>
      </c>
      <c r="M1174" s="12" t="s">
        <v>2237</v>
      </c>
      <c r="N1174" s="8">
        <v>1033044.74</v>
      </c>
      <c r="O1174" s="12" t="s">
        <v>2237</v>
      </c>
      <c r="P1174" s="12" t="s">
        <v>2236</v>
      </c>
      <c r="Q1174" s="10" t="s">
        <v>2242</v>
      </c>
      <c r="R1174" s="10" t="s">
        <v>2238</v>
      </c>
      <c r="S1174" s="10" t="s">
        <v>2243</v>
      </c>
      <c r="T1174" s="10" t="s">
        <v>2645</v>
      </c>
      <c r="U117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7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E530-30101040205-D225301</v>
      </c>
      <c r="Z117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74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11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5" spans="1:31" hidden="1" x14ac:dyDescent="0.3">
      <c r="A1175" s="12" t="s">
        <v>3930</v>
      </c>
      <c r="B1175" s="12" t="s">
        <v>30</v>
      </c>
      <c r="C1175" s="12" t="s">
        <v>1915</v>
      </c>
      <c r="D1175" s="12" t="s">
        <v>1955</v>
      </c>
      <c r="E1175" s="12" t="s">
        <v>2842</v>
      </c>
      <c r="F1175" s="8">
        <v>0</v>
      </c>
      <c r="G1175" s="12" t="s">
        <v>2237</v>
      </c>
      <c r="H1175" s="12">
        <v>0</v>
      </c>
      <c r="I1175" s="12" t="s">
        <v>2237</v>
      </c>
      <c r="J1175" s="12">
        <v>0</v>
      </c>
      <c r="K1175" s="12" t="s">
        <v>2237</v>
      </c>
      <c r="L1175" s="12">
        <v>0</v>
      </c>
      <c r="M1175" s="12" t="s">
        <v>2237</v>
      </c>
      <c r="N1175" s="8">
        <v>1311</v>
      </c>
      <c r="O1175" s="12" t="s">
        <v>2237</v>
      </c>
      <c r="P1175" s="12" t="s">
        <v>2236</v>
      </c>
      <c r="Q1175" s="10" t="s">
        <v>2242</v>
      </c>
      <c r="R1175" s="10" t="s">
        <v>2238</v>
      </c>
      <c r="S1175" s="10" t="s">
        <v>2243</v>
      </c>
      <c r="T1175" s="10" t="s">
        <v>2645</v>
      </c>
      <c r="U117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E530-301010402-D225301</v>
      </c>
      <c r="Y117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E530-30101040204-D225301</v>
      </c>
      <c r="Z117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75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11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76" spans="1:31" x14ac:dyDescent="0.3">
      <c r="A1176" s="12" t="s">
        <v>3931</v>
      </c>
      <c r="B1176" s="12" t="s">
        <v>26</v>
      </c>
      <c r="C1176" s="12" t="s">
        <v>1956</v>
      </c>
      <c r="D1176" s="12" t="s">
        <v>1957</v>
      </c>
      <c r="E1176" s="12" t="s">
        <v>2842</v>
      </c>
      <c r="F1176" s="8">
        <v>30000</v>
      </c>
      <c r="G1176" s="12" t="s">
        <v>2237</v>
      </c>
      <c r="H1176" s="12">
        <v>30000</v>
      </c>
      <c r="I1176" s="12" t="s">
        <v>2237</v>
      </c>
      <c r="J1176" s="12">
        <v>0</v>
      </c>
      <c r="K1176" s="12" t="s">
        <v>2237</v>
      </c>
      <c r="L1176" s="12">
        <v>0</v>
      </c>
      <c r="M1176" s="12" t="s">
        <v>2237</v>
      </c>
      <c r="N1176" s="8">
        <v>26370.44</v>
      </c>
      <c r="O1176" s="12" t="s">
        <v>2237</v>
      </c>
      <c r="P1176" s="12" t="s">
        <v>2236</v>
      </c>
      <c r="Q1176" s="10" t="s">
        <v>2242</v>
      </c>
      <c r="R1176" s="10" t="s">
        <v>2238</v>
      </c>
      <c r="S1176" s="10" t="s">
        <v>2243</v>
      </c>
      <c r="T1176" s="10" t="s">
        <v>3351</v>
      </c>
      <c r="U117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E530-301010401-D225301</v>
      </c>
      <c r="Y11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7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1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76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77" spans="1:31" x14ac:dyDescent="0.3">
      <c r="A1177" s="12" t="s">
        <v>3932</v>
      </c>
      <c r="B1177" s="12" t="s">
        <v>30</v>
      </c>
      <c r="C1177" s="12" t="s">
        <v>1958</v>
      </c>
      <c r="D1177" s="12" t="s">
        <v>1959</v>
      </c>
      <c r="E1177" s="12" t="s">
        <v>2842</v>
      </c>
      <c r="F1177" s="8">
        <v>0</v>
      </c>
      <c r="G1177" s="12" t="s">
        <v>2237</v>
      </c>
      <c r="H1177" s="12">
        <v>0</v>
      </c>
      <c r="I1177" s="12" t="s">
        <v>2237</v>
      </c>
      <c r="J1177" s="12">
        <v>0</v>
      </c>
      <c r="K1177" s="12" t="s">
        <v>2237</v>
      </c>
      <c r="L1177" s="12">
        <v>0</v>
      </c>
      <c r="M1177" s="12" t="s">
        <v>2237</v>
      </c>
      <c r="N1177" s="8">
        <v>26370.44</v>
      </c>
      <c r="O1177" s="12" t="s">
        <v>2237</v>
      </c>
      <c r="P1177" s="12" t="s">
        <v>2236</v>
      </c>
      <c r="Q1177" s="10" t="s">
        <v>2242</v>
      </c>
      <c r="R1177" s="10" t="s">
        <v>2238</v>
      </c>
      <c r="S1177" s="10" t="s">
        <v>2243</v>
      </c>
      <c r="T1177" s="10" t="s">
        <v>2645</v>
      </c>
      <c r="U117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E530-301010401-D225301</v>
      </c>
      <c r="Y117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E530-30101040160-D225301</v>
      </c>
      <c r="Z117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177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1177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78" spans="1:31" x14ac:dyDescent="0.3">
      <c r="A1178" s="12" t="s">
        <v>3933</v>
      </c>
      <c r="B1178" s="12" t="s">
        <v>26</v>
      </c>
      <c r="C1178" s="12" t="s">
        <v>1960</v>
      </c>
      <c r="D1178" s="12" t="s">
        <v>1961</v>
      </c>
      <c r="E1178" s="12" t="s">
        <v>2842</v>
      </c>
      <c r="F1178" s="8">
        <v>1003908.58</v>
      </c>
      <c r="G1178" s="12" t="s">
        <v>2237</v>
      </c>
      <c r="H1178" s="12">
        <v>1003908.58</v>
      </c>
      <c r="I1178" s="12" t="s">
        <v>2237</v>
      </c>
      <c r="J1178" s="12">
        <v>0</v>
      </c>
      <c r="K1178" s="12" t="s">
        <v>2237</v>
      </c>
      <c r="L1178" s="12">
        <v>0</v>
      </c>
      <c r="M1178" s="12" t="s">
        <v>2237</v>
      </c>
      <c r="N1178" s="8">
        <v>972760.38</v>
      </c>
      <c r="O1178" s="12" t="s">
        <v>2237</v>
      </c>
      <c r="P1178" s="12" t="s">
        <v>2236</v>
      </c>
      <c r="Q1178" s="10" t="s">
        <v>2242</v>
      </c>
      <c r="R1178" s="10" t="s">
        <v>2238</v>
      </c>
      <c r="S1178" s="10" t="s">
        <v>2243</v>
      </c>
      <c r="T1178" s="10" t="s">
        <v>3054</v>
      </c>
      <c r="U117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E530-301010461-D225301</v>
      </c>
      <c r="Y11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7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78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79" spans="1:31" x14ac:dyDescent="0.3">
      <c r="A1179" s="12" t="s">
        <v>3934</v>
      </c>
      <c r="B1179" s="12" t="s">
        <v>30</v>
      </c>
      <c r="C1179" s="12" t="s">
        <v>1962</v>
      </c>
      <c r="D1179" s="12" t="s">
        <v>1963</v>
      </c>
      <c r="E1179" s="12" t="s">
        <v>2842</v>
      </c>
      <c r="F1179" s="8">
        <v>0</v>
      </c>
      <c r="G1179" s="12" t="s">
        <v>2237</v>
      </c>
      <c r="H1179" s="12">
        <v>0</v>
      </c>
      <c r="I1179" s="12" t="s">
        <v>2237</v>
      </c>
      <c r="J1179" s="12">
        <v>0</v>
      </c>
      <c r="K1179" s="12" t="s">
        <v>2237</v>
      </c>
      <c r="L1179" s="12">
        <v>0</v>
      </c>
      <c r="M1179" s="12" t="s">
        <v>2237</v>
      </c>
      <c r="N1179" s="8">
        <v>31535.17</v>
      </c>
      <c r="O1179" s="12" t="s">
        <v>2237</v>
      </c>
      <c r="P1179" s="12" t="s">
        <v>2236</v>
      </c>
      <c r="Q1179" s="10" t="s">
        <v>2242</v>
      </c>
      <c r="R1179" s="10" t="s">
        <v>2238</v>
      </c>
      <c r="S1179" s="10" t="s">
        <v>2243</v>
      </c>
      <c r="T1179" s="10" t="s">
        <v>2645</v>
      </c>
      <c r="U117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7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7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7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E530-301010461-D225301</v>
      </c>
      <c r="Y117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E530-30101046193-D225301</v>
      </c>
      <c r="Z117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7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7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79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1179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7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80" spans="1:31" x14ac:dyDescent="0.3">
      <c r="A1180" s="12" t="s">
        <v>3935</v>
      </c>
      <c r="B1180" s="12" t="s">
        <v>30</v>
      </c>
      <c r="C1180" s="12" t="s">
        <v>1964</v>
      </c>
      <c r="D1180" s="12" t="s">
        <v>1965</v>
      </c>
      <c r="E1180" s="12" t="s">
        <v>2842</v>
      </c>
      <c r="F1180" s="8">
        <v>0</v>
      </c>
      <c r="G1180" s="12" t="s">
        <v>2237</v>
      </c>
      <c r="H1180" s="12">
        <v>0</v>
      </c>
      <c r="I1180" s="12" t="s">
        <v>2237</v>
      </c>
      <c r="J1180" s="12">
        <v>0</v>
      </c>
      <c r="K1180" s="12" t="s">
        <v>2237</v>
      </c>
      <c r="L1180" s="12">
        <v>0</v>
      </c>
      <c r="M1180" s="12" t="s">
        <v>2237</v>
      </c>
      <c r="N1180" s="8">
        <v>473986.83</v>
      </c>
      <c r="O1180" s="12" t="s">
        <v>2237</v>
      </c>
      <c r="P1180" s="12" t="s">
        <v>2236</v>
      </c>
      <c r="Q1180" s="10" t="s">
        <v>2242</v>
      </c>
      <c r="R1180" s="10" t="s">
        <v>2238</v>
      </c>
      <c r="S1180" s="10" t="s">
        <v>2243</v>
      </c>
      <c r="T1180" s="10" t="s">
        <v>2645</v>
      </c>
      <c r="U118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8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E530-301010461-D225301</v>
      </c>
      <c r="Y118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E530-30101046118-D225301</v>
      </c>
      <c r="Z118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80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1180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8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81" spans="1:31" x14ac:dyDescent="0.3">
      <c r="A1181" s="12" t="s">
        <v>3936</v>
      </c>
      <c r="B1181" s="12" t="s">
        <v>30</v>
      </c>
      <c r="C1181" s="12" t="s">
        <v>1966</v>
      </c>
      <c r="D1181" s="12" t="s">
        <v>1967</v>
      </c>
      <c r="E1181" s="12" t="s">
        <v>2842</v>
      </c>
      <c r="F1181" s="8">
        <v>0</v>
      </c>
      <c r="G1181" s="12" t="s">
        <v>2237</v>
      </c>
      <c r="H1181" s="12">
        <v>0</v>
      </c>
      <c r="I1181" s="12" t="s">
        <v>2237</v>
      </c>
      <c r="J1181" s="12">
        <v>0</v>
      </c>
      <c r="K1181" s="12" t="s">
        <v>2237</v>
      </c>
      <c r="L1181" s="12">
        <v>0</v>
      </c>
      <c r="M1181" s="12" t="s">
        <v>2237</v>
      </c>
      <c r="N1181" s="8">
        <v>52635.16</v>
      </c>
      <c r="O1181" s="12" t="s">
        <v>2237</v>
      </c>
      <c r="P1181" s="12" t="s">
        <v>2236</v>
      </c>
      <c r="Q1181" s="10" t="s">
        <v>2242</v>
      </c>
      <c r="R1181" s="10" t="s">
        <v>2238</v>
      </c>
      <c r="S1181" s="10" t="s">
        <v>2243</v>
      </c>
      <c r="T1181" s="10" t="s">
        <v>2645</v>
      </c>
      <c r="U118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8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E530-301010461-D225301</v>
      </c>
      <c r="Y118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E530-30101046102-D225301</v>
      </c>
      <c r="Z118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81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1181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8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82" spans="1:31" x14ac:dyDescent="0.3">
      <c r="A1182" s="12" t="s">
        <v>3937</v>
      </c>
      <c r="B1182" s="12" t="s">
        <v>30</v>
      </c>
      <c r="C1182" s="12" t="s">
        <v>1968</v>
      </c>
      <c r="D1182" s="12" t="s">
        <v>1969</v>
      </c>
      <c r="E1182" s="12" t="s">
        <v>2842</v>
      </c>
      <c r="F1182" s="8">
        <v>0</v>
      </c>
      <c r="G1182" s="12" t="s">
        <v>2237</v>
      </c>
      <c r="H1182" s="12">
        <v>0</v>
      </c>
      <c r="I1182" s="12" t="s">
        <v>2237</v>
      </c>
      <c r="J1182" s="12">
        <v>0</v>
      </c>
      <c r="K1182" s="12" t="s">
        <v>2237</v>
      </c>
      <c r="L1182" s="12">
        <v>0</v>
      </c>
      <c r="M1182" s="12" t="s">
        <v>2237</v>
      </c>
      <c r="N1182" s="8">
        <v>414603.22</v>
      </c>
      <c r="O1182" s="12" t="s">
        <v>2237</v>
      </c>
      <c r="P1182" s="12" t="s">
        <v>2236</v>
      </c>
      <c r="Q1182" s="10" t="s">
        <v>2242</v>
      </c>
      <c r="R1182" s="10" t="s">
        <v>2238</v>
      </c>
      <c r="S1182" s="10" t="s">
        <v>2243</v>
      </c>
      <c r="T1182" s="10" t="s">
        <v>2645</v>
      </c>
      <c r="U118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E530-3010104-D225301</v>
      </c>
      <c r="X118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E530-301010461-D225301</v>
      </c>
      <c r="Y118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E530-30101046101-D225301</v>
      </c>
      <c r="Z118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182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1182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1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83" spans="1:31" x14ac:dyDescent="0.3">
      <c r="A1183" s="12" t="s">
        <v>3938</v>
      </c>
      <c r="B1183" s="12" t="s">
        <v>21</v>
      </c>
      <c r="C1183" s="12" t="s">
        <v>1970</v>
      </c>
      <c r="D1183" s="12" t="s">
        <v>1971</v>
      </c>
      <c r="E1183" s="12" t="s">
        <v>2842</v>
      </c>
      <c r="F1183" s="8">
        <v>4189509.27</v>
      </c>
      <c r="G1183" s="12" t="s">
        <v>2237</v>
      </c>
      <c r="H1183" s="12">
        <v>4189509.27</v>
      </c>
      <c r="I1183" s="12" t="s">
        <v>2237</v>
      </c>
      <c r="J1183" s="12">
        <v>0</v>
      </c>
      <c r="K1183" s="12" t="s">
        <v>2237</v>
      </c>
      <c r="L1183" s="12">
        <v>6742.79</v>
      </c>
      <c r="M1183" s="12" t="s">
        <v>2237</v>
      </c>
      <c r="N1183" s="8">
        <v>4066803.2</v>
      </c>
      <c r="O1183" s="12" t="s">
        <v>2237</v>
      </c>
      <c r="P1183" s="12" t="s">
        <v>2236</v>
      </c>
      <c r="Q1183" s="10" t="s">
        <v>2242</v>
      </c>
      <c r="R1183" s="10" t="s">
        <v>2238</v>
      </c>
      <c r="S1183" s="10" t="s">
        <v>2243</v>
      </c>
      <c r="T1183" s="10" t="s">
        <v>2844</v>
      </c>
      <c r="U11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1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8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1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83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1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84" spans="1:31" x14ac:dyDescent="0.3">
      <c r="A1184" s="12" t="s">
        <v>3939</v>
      </c>
      <c r="B1184" s="12" t="s">
        <v>26</v>
      </c>
      <c r="C1184" s="12" t="s">
        <v>1972</v>
      </c>
      <c r="D1184" s="12" t="s">
        <v>1973</v>
      </c>
      <c r="E1184" s="12" t="s">
        <v>2842</v>
      </c>
      <c r="F1184" s="8">
        <v>3221841.26</v>
      </c>
      <c r="G1184" s="12" t="s">
        <v>2237</v>
      </c>
      <c r="H1184" s="12">
        <v>3221841.26</v>
      </c>
      <c r="I1184" s="12" t="s">
        <v>2237</v>
      </c>
      <c r="J1184" s="12">
        <v>0</v>
      </c>
      <c r="K1184" s="12" t="s">
        <v>2237</v>
      </c>
      <c r="L1184" s="12">
        <v>6742.79</v>
      </c>
      <c r="M1184" s="12" t="s">
        <v>2237</v>
      </c>
      <c r="N1184" s="8">
        <v>3096897.32</v>
      </c>
      <c r="O1184" s="12" t="s">
        <v>2237</v>
      </c>
      <c r="P1184" s="12" t="s">
        <v>2236</v>
      </c>
      <c r="Q1184" s="10" t="s">
        <v>2242</v>
      </c>
      <c r="R1184" s="10" t="s">
        <v>2238</v>
      </c>
      <c r="S1184" s="10" t="s">
        <v>2243</v>
      </c>
      <c r="T1184" s="10" t="s">
        <v>3054</v>
      </c>
      <c r="U118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8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18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184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1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185" spans="1:31" hidden="1" x14ac:dyDescent="0.3">
      <c r="A1185" s="12" t="s">
        <v>3940</v>
      </c>
      <c r="B1185" s="12" t="s">
        <v>30</v>
      </c>
      <c r="C1185" s="12" t="s">
        <v>390</v>
      </c>
      <c r="D1185" s="12" t="s">
        <v>1974</v>
      </c>
      <c r="E1185" s="12" t="s">
        <v>2842</v>
      </c>
      <c r="F1185" s="8">
        <v>0</v>
      </c>
      <c r="G1185" s="12" t="s">
        <v>2237</v>
      </c>
      <c r="H1185" s="12">
        <v>0</v>
      </c>
      <c r="I1185" s="12" t="s">
        <v>2237</v>
      </c>
      <c r="J1185" s="12">
        <v>0</v>
      </c>
      <c r="K1185" s="12" t="s">
        <v>2237</v>
      </c>
      <c r="L1185" s="12">
        <v>6742.78</v>
      </c>
      <c r="M1185" s="12" t="s">
        <v>2237</v>
      </c>
      <c r="N1185" s="8">
        <v>41017.019999999997</v>
      </c>
      <c r="O1185" s="12" t="s">
        <v>2237</v>
      </c>
      <c r="P1185" s="12" t="s">
        <v>2236</v>
      </c>
      <c r="Q1185" s="10" t="s">
        <v>2242</v>
      </c>
      <c r="R1185" s="10" t="s">
        <v>2238</v>
      </c>
      <c r="S1185" s="10" t="s">
        <v>2243</v>
      </c>
      <c r="T1185" s="10" t="s">
        <v>2645</v>
      </c>
      <c r="U118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8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8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E530-30101030224-D225301</v>
      </c>
      <c r="Z118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85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11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86" spans="1:31" hidden="1" x14ac:dyDescent="0.3">
      <c r="A1186" s="12" t="s">
        <v>3941</v>
      </c>
      <c r="B1186" s="12" t="s">
        <v>30</v>
      </c>
      <c r="C1186" s="12" t="s">
        <v>1891</v>
      </c>
      <c r="D1186" s="12" t="s">
        <v>1975</v>
      </c>
      <c r="E1186" s="12" t="s">
        <v>2842</v>
      </c>
      <c r="F1186" s="8">
        <v>0</v>
      </c>
      <c r="G1186" s="12" t="s">
        <v>2237</v>
      </c>
      <c r="H1186" s="12">
        <v>0</v>
      </c>
      <c r="I1186" s="12" t="s">
        <v>2237</v>
      </c>
      <c r="J1186" s="12">
        <v>0</v>
      </c>
      <c r="K1186" s="12" t="s">
        <v>2237</v>
      </c>
      <c r="L1186" s="12">
        <v>0</v>
      </c>
      <c r="M1186" s="12" t="s">
        <v>2237</v>
      </c>
      <c r="N1186" s="8">
        <v>78769.119999999995</v>
      </c>
      <c r="O1186" s="12" t="s">
        <v>2237</v>
      </c>
      <c r="P1186" s="12" t="s">
        <v>2236</v>
      </c>
      <c r="Q1186" s="10" t="s">
        <v>2242</v>
      </c>
      <c r="R1186" s="10" t="s">
        <v>2238</v>
      </c>
      <c r="S1186" s="10" t="s">
        <v>2243</v>
      </c>
      <c r="T1186" s="10" t="s">
        <v>2645</v>
      </c>
      <c r="U118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8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8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E530-30101030298-D225301</v>
      </c>
      <c r="Z118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86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11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87" spans="1:31" hidden="1" x14ac:dyDescent="0.3">
      <c r="A1187" s="12" t="s">
        <v>3942</v>
      </c>
      <c r="B1187" s="12" t="s">
        <v>30</v>
      </c>
      <c r="C1187" s="12" t="s">
        <v>1893</v>
      </c>
      <c r="D1187" s="12" t="s">
        <v>1976</v>
      </c>
      <c r="E1187" s="12" t="s">
        <v>2842</v>
      </c>
      <c r="F1187" s="8">
        <v>0</v>
      </c>
      <c r="G1187" s="12" t="s">
        <v>2237</v>
      </c>
      <c r="H1187" s="12">
        <v>0</v>
      </c>
      <c r="I1187" s="12" t="s">
        <v>2237</v>
      </c>
      <c r="J1187" s="12">
        <v>0</v>
      </c>
      <c r="K1187" s="12" t="s">
        <v>2237</v>
      </c>
      <c r="L1187" s="12">
        <v>0</v>
      </c>
      <c r="M1187" s="12" t="s">
        <v>2237</v>
      </c>
      <c r="N1187" s="8">
        <v>10851.89</v>
      </c>
      <c r="O1187" s="12" t="s">
        <v>2237</v>
      </c>
      <c r="P1187" s="12" t="s">
        <v>2236</v>
      </c>
      <c r="Q1187" s="10" t="s">
        <v>2242</v>
      </c>
      <c r="R1187" s="10" t="s">
        <v>2238</v>
      </c>
      <c r="S1187" s="10" t="s">
        <v>2243</v>
      </c>
      <c r="T1187" s="10" t="s">
        <v>2645</v>
      </c>
      <c r="U118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8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8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E530-30101030297-D225301</v>
      </c>
      <c r="Z118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87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11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88" spans="1:31" hidden="1" x14ac:dyDescent="0.3">
      <c r="A1188" s="12" t="s">
        <v>3943</v>
      </c>
      <c r="B1188" s="12" t="s">
        <v>30</v>
      </c>
      <c r="C1188" s="12" t="s">
        <v>399</v>
      </c>
      <c r="D1188" s="12" t="s">
        <v>1977</v>
      </c>
      <c r="E1188" s="12" t="s">
        <v>2842</v>
      </c>
      <c r="F1188" s="8">
        <v>0</v>
      </c>
      <c r="G1188" s="12" t="s">
        <v>2237</v>
      </c>
      <c r="H1188" s="12">
        <v>0</v>
      </c>
      <c r="I1188" s="12" t="s">
        <v>2237</v>
      </c>
      <c r="J1188" s="12">
        <v>0</v>
      </c>
      <c r="K1188" s="12" t="s">
        <v>2237</v>
      </c>
      <c r="L1188" s="12">
        <v>0</v>
      </c>
      <c r="M1188" s="12" t="s">
        <v>2237</v>
      </c>
      <c r="N1188" s="8">
        <v>0</v>
      </c>
      <c r="O1188" s="12" t="s">
        <v>2237</v>
      </c>
      <c r="P1188" s="12" t="s">
        <v>2236</v>
      </c>
      <c r="Q1188" s="10" t="s">
        <v>2242</v>
      </c>
      <c r="R1188" s="10" t="s">
        <v>2238</v>
      </c>
      <c r="S1188" s="10" t="s">
        <v>2243</v>
      </c>
      <c r="T1188" s="10" t="s">
        <v>2645</v>
      </c>
      <c r="U118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8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8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E530-30101030296-D225301</v>
      </c>
      <c r="Z118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88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11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89" spans="1:31" hidden="1" x14ac:dyDescent="0.3">
      <c r="A1189" s="12" t="s">
        <v>3944</v>
      </c>
      <c r="B1189" s="12" t="s">
        <v>30</v>
      </c>
      <c r="C1189" s="12" t="s">
        <v>402</v>
      </c>
      <c r="D1189" s="12" t="s">
        <v>1978</v>
      </c>
      <c r="E1189" s="12" t="s">
        <v>2842</v>
      </c>
      <c r="F1189" s="8">
        <v>0</v>
      </c>
      <c r="G1189" s="12" t="s">
        <v>2237</v>
      </c>
      <c r="H1189" s="12">
        <v>0</v>
      </c>
      <c r="I1189" s="12" t="s">
        <v>2237</v>
      </c>
      <c r="J1189" s="12">
        <v>0</v>
      </c>
      <c r="K1189" s="12" t="s">
        <v>2237</v>
      </c>
      <c r="L1189" s="12">
        <v>0</v>
      </c>
      <c r="M1189" s="12" t="s">
        <v>2237</v>
      </c>
      <c r="N1189" s="8">
        <v>0</v>
      </c>
      <c r="O1189" s="12" t="s">
        <v>2237</v>
      </c>
      <c r="P1189" s="12" t="s">
        <v>2236</v>
      </c>
      <c r="Q1189" s="10" t="s">
        <v>2242</v>
      </c>
      <c r="R1189" s="10" t="s">
        <v>2238</v>
      </c>
      <c r="S1189" s="10" t="s">
        <v>2243</v>
      </c>
      <c r="T1189" s="10" t="s">
        <v>2645</v>
      </c>
      <c r="U118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8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8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8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8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E530-30101030295-D225301</v>
      </c>
      <c r="Z118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8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8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89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11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0" spans="1:31" hidden="1" x14ac:dyDescent="0.3">
      <c r="A1190" s="12" t="s">
        <v>3945</v>
      </c>
      <c r="B1190" s="12" t="s">
        <v>30</v>
      </c>
      <c r="C1190" s="12" t="s">
        <v>405</v>
      </c>
      <c r="D1190" s="12" t="s">
        <v>1979</v>
      </c>
      <c r="E1190" s="12" t="s">
        <v>2842</v>
      </c>
      <c r="F1190" s="8">
        <v>0</v>
      </c>
      <c r="G1190" s="12" t="s">
        <v>2237</v>
      </c>
      <c r="H1190" s="12">
        <v>0</v>
      </c>
      <c r="I1190" s="12" t="s">
        <v>2237</v>
      </c>
      <c r="J1190" s="12">
        <v>0</v>
      </c>
      <c r="K1190" s="12" t="s">
        <v>2237</v>
      </c>
      <c r="L1190" s="12">
        <v>0</v>
      </c>
      <c r="M1190" s="12" t="s">
        <v>2237</v>
      </c>
      <c r="N1190" s="8">
        <v>62912.89</v>
      </c>
      <c r="O1190" s="12" t="s">
        <v>2237</v>
      </c>
      <c r="P1190" s="12" t="s">
        <v>2236</v>
      </c>
      <c r="Q1190" s="10" t="s">
        <v>2242</v>
      </c>
      <c r="R1190" s="10" t="s">
        <v>2238</v>
      </c>
      <c r="S1190" s="10" t="s">
        <v>2243</v>
      </c>
      <c r="T1190" s="10" t="s">
        <v>2645</v>
      </c>
      <c r="U119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E530-30101030294-D225301</v>
      </c>
      <c r="Z119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0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11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1" spans="1:31" hidden="1" x14ac:dyDescent="0.3">
      <c r="A1191" s="12" t="s">
        <v>3946</v>
      </c>
      <c r="B1191" s="12" t="s">
        <v>30</v>
      </c>
      <c r="C1191" s="12" t="s">
        <v>1898</v>
      </c>
      <c r="D1191" s="12" t="s">
        <v>1980</v>
      </c>
      <c r="E1191" s="12" t="s">
        <v>2842</v>
      </c>
      <c r="F1191" s="8">
        <v>0</v>
      </c>
      <c r="G1191" s="12" t="s">
        <v>2237</v>
      </c>
      <c r="H1191" s="12">
        <v>0</v>
      </c>
      <c r="I1191" s="12" t="s">
        <v>2237</v>
      </c>
      <c r="J1191" s="12">
        <v>0</v>
      </c>
      <c r="K1191" s="12" t="s">
        <v>2237</v>
      </c>
      <c r="L1191" s="12">
        <v>0</v>
      </c>
      <c r="M1191" s="12" t="s">
        <v>2237</v>
      </c>
      <c r="N1191" s="8">
        <v>12880.89</v>
      </c>
      <c r="O1191" s="12" t="s">
        <v>2237</v>
      </c>
      <c r="P1191" s="12" t="s">
        <v>2236</v>
      </c>
      <c r="Q1191" s="10" t="s">
        <v>2242</v>
      </c>
      <c r="R1191" s="10" t="s">
        <v>2238</v>
      </c>
      <c r="S1191" s="10" t="s">
        <v>2243</v>
      </c>
      <c r="T1191" s="10" t="s">
        <v>2645</v>
      </c>
      <c r="U119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E530-30101030220-D225301</v>
      </c>
      <c r="Z119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11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2" spans="1:31" hidden="1" x14ac:dyDescent="0.3">
      <c r="A1192" s="12" t="s">
        <v>3947</v>
      </c>
      <c r="B1192" s="12" t="s">
        <v>30</v>
      </c>
      <c r="C1192" s="12" t="s">
        <v>411</v>
      </c>
      <c r="D1192" s="12" t="s">
        <v>1981</v>
      </c>
      <c r="E1192" s="12" t="s">
        <v>2842</v>
      </c>
      <c r="F1192" s="8">
        <v>0</v>
      </c>
      <c r="G1192" s="12" t="s">
        <v>2237</v>
      </c>
      <c r="H1192" s="12">
        <v>0</v>
      </c>
      <c r="I1192" s="12" t="s">
        <v>2237</v>
      </c>
      <c r="J1192" s="12">
        <v>0</v>
      </c>
      <c r="K1192" s="12" t="s">
        <v>2237</v>
      </c>
      <c r="L1192" s="12">
        <v>0</v>
      </c>
      <c r="M1192" s="12" t="s">
        <v>2237</v>
      </c>
      <c r="N1192" s="8">
        <v>16468.12</v>
      </c>
      <c r="O1192" s="12" t="s">
        <v>2237</v>
      </c>
      <c r="P1192" s="12" t="s">
        <v>2236</v>
      </c>
      <c r="Q1192" s="10" t="s">
        <v>2242</v>
      </c>
      <c r="R1192" s="10" t="s">
        <v>2238</v>
      </c>
      <c r="S1192" s="10" t="s">
        <v>2243</v>
      </c>
      <c r="T1192" s="10" t="s">
        <v>2645</v>
      </c>
      <c r="U119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E530-30101030217-D225301</v>
      </c>
      <c r="Z119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2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11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3" spans="1:31" hidden="1" x14ac:dyDescent="0.3">
      <c r="A1193" s="12" t="s">
        <v>3948</v>
      </c>
      <c r="B1193" s="12" t="s">
        <v>30</v>
      </c>
      <c r="C1193" s="12" t="s">
        <v>414</v>
      </c>
      <c r="D1193" s="12" t="s">
        <v>1982</v>
      </c>
      <c r="E1193" s="12" t="s">
        <v>2842</v>
      </c>
      <c r="F1193" s="8">
        <v>0</v>
      </c>
      <c r="G1193" s="12" t="s">
        <v>2237</v>
      </c>
      <c r="H1193" s="12">
        <v>0</v>
      </c>
      <c r="I1193" s="12" t="s">
        <v>2237</v>
      </c>
      <c r="J1193" s="12">
        <v>0</v>
      </c>
      <c r="K1193" s="12" t="s">
        <v>2237</v>
      </c>
      <c r="L1193" s="12">
        <v>0</v>
      </c>
      <c r="M1193" s="12" t="s">
        <v>2237</v>
      </c>
      <c r="N1193" s="8">
        <v>66927.070000000007</v>
      </c>
      <c r="O1193" s="12" t="s">
        <v>2237</v>
      </c>
      <c r="P1193" s="12" t="s">
        <v>2236</v>
      </c>
      <c r="Q1193" s="10" t="s">
        <v>2242</v>
      </c>
      <c r="R1193" s="10" t="s">
        <v>2238</v>
      </c>
      <c r="S1193" s="10" t="s">
        <v>2243</v>
      </c>
      <c r="T1193" s="10" t="s">
        <v>2645</v>
      </c>
      <c r="U119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E530-30101030216-D225301</v>
      </c>
      <c r="Z119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3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11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4" spans="1:31" hidden="1" x14ac:dyDescent="0.3">
      <c r="A1194" s="12" t="s">
        <v>3949</v>
      </c>
      <c r="B1194" s="12" t="s">
        <v>30</v>
      </c>
      <c r="C1194" s="12" t="s">
        <v>417</v>
      </c>
      <c r="D1194" s="12" t="s">
        <v>1983</v>
      </c>
      <c r="E1194" s="12" t="s">
        <v>2842</v>
      </c>
      <c r="F1194" s="8">
        <v>0</v>
      </c>
      <c r="G1194" s="12" t="s">
        <v>2237</v>
      </c>
      <c r="H1194" s="12">
        <v>0</v>
      </c>
      <c r="I1194" s="12" t="s">
        <v>2237</v>
      </c>
      <c r="J1194" s="12">
        <v>0</v>
      </c>
      <c r="K1194" s="12" t="s">
        <v>2237</v>
      </c>
      <c r="L1194" s="12">
        <v>0</v>
      </c>
      <c r="M1194" s="12" t="s">
        <v>2237</v>
      </c>
      <c r="N1194" s="8">
        <v>85446.68</v>
      </c>
      <c r="O1194" s="12" t="s">
        <v>2237</v>
      </c>
      <c r="P1194" s="12" t="s">
        <v>2236</v>
      </c>
      <c r="Q1194" s="10" t="s">
        <v>2242</v>
      </c>
      <c r="R1194" s="10" t="s">
        <v>2238</v>
      </c>
      <c r="S1194" s="10" t="s">
        <v>2243</v>
      </c>
      <c r="T1194" s="10" t="s">
        <v>2645</v>
      </c>
      <c r="U119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E530-30101030215-D225301</v>
      </c>
      <c r="Z119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4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11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5" spans="1:31" hidden="1" x14ac:dyDescent="0.3">
      <c r="A1195" s="12" t="s">
        <v>3950</v>
      </c>
      <c r="B1195" s="12" t="s">
        <v>30</v>
      </c>
      <c r="C1195" s="12" t="s">
        <v>1903</v>
      </c>
      <c r="D1195" s="12" t="s">
        <v>1984</v>
      </c>
      <c r="E1195" s="12" t="s">
        <v>2842</v>
      </c>
      <c r="F1195" s="8">
        <v>0</v>
      </c>
      <c r="G1195" s="12" t="s">
        <v>2237</v>
      </c>
      <c r="H1195" s="12">
        <v>0</v>
      </c>
      <c r="I1195" s="12" t="s">
        <v>2237</v>
      </c>
      <c r="J1195" s="12">
        <v>0</v>
      </c>
      <c r="K1195" s="12" t="s">
        <v>2237</v>
      </c>
      <c r="L1195" s="12">
        <v>0</v>
      </c>
      <c r="M1195" s="12" t="s">
        <v>2237</v>
      </c>
      <c r="N1195" s="8">
        <v>35818.980000000003</v>
      </c>
      <c r="O1195" s="12" t="s">
        <v>2237</v>
      </c>
      <c r="P1195" s="12" t="s">
        <v>2236</v>
      </c>
      <c r="Q1195" s="10" t="s">
        <v>2242</v>
      </c>
      <c r="R1195" s="10" t="s">
        <v>2238</v>
      </c>
      <c r="S1195" s="10" t="s">
        <v>2243</v>
      </c>
      <c r="T1195" s="10" t="s">
        <v>2645</v>
      </c>
      <c r="U119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E530-30101030214-D225301</v>
      </c>
      <c r="Z119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5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11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6" spans="1:31" hidden="1" x14ac:dyDescent="0.3">
      <c r="A1196" s="12" t="s">
        <v>3951</v>
      </c>
      <c r="B1196" s="12" t="s">
        <v>30</v>
      </c>
      <c r="C1196" s="12" t="s">
        <v>423</v>
      </c>
      <c r="D1196" s="12" t="s">
        <v>1985</v>
      </c>
      <c r="E1196" s="12" t="s">
        <v>2842</v>
      </c>
      <c r="F1196" s="8">
        <v>0</v>
      </c>
      <c r="G1196" s="12" t="s">
        <v>2237</v>
      </c>
      <c r="H1196" s="12">
        <v>0</v>
      </c>
      <c r="I1196" s="12" t="s">
        <v>2237</v>
      </c>
      <c r="J1196" s="12">
        <v>0</v>
      </c>
      <c r="K1196" s="12" t="s">
        <v>2237</v>
      </c>
      <c r="L1196" s="12">
        <v>0</v>
      </c>
      <c r="M1196" s="12" t="s">
        <v>2237</v>
      </c>
      <c r="N1196" s="8">
        <v>29229</v>
      </c>
      <c r="O1196" s="12" t="s">
        <v>2237</v>
      </c>
      <c r="P1196" s="12" t="s">
        <v>2236</v>
      </c>
      <c r="Q1196" s="10" t="s">
        <v>2242</v>
      </c>
      <c r="R1196" s="10" t="s">
        <v>2238</v>
      </c>
      <c r="S1196" s="10" t="s">
        <v>2243</v>
      </c>
      <c r="T1196" s="10" t="s">
        <v>2645</v>
      </c>
      <c r="U119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E530-30101030213-D225301</v>
      </c>
      <c r="Z119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6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11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7" spans="1:31" hidden="1" x14ac:dyDescent="0.3">
      <c r="A1197" s="12" t="s">
        <v>3952</v>
      </c>
      <c r="B1197" s="12" t="s">
        <v>30</v>
      </c>
      <c r="C1197" s="12" t="s">
        <v>426</v>
      </c>
      <c r="D1197" s="12" t="s">
        <v>1986</v>
      </c>
      <c r="E1197" s="12" t="s">
        <v>2842</v>
      </c>
      <c r="F1197" s="8">
        <v>0</v>
      </c>
      <c r="G1197" s="12" t="s">
        <v>2237</v>
      </c>
      <c r="H1197" s="12">
        <v>0</v>
      </c>
      <c r="I1197" s="12" t="s">
        <v>2237</v>
      </c>
      <c r="J1197" s="12">
        <v>0</v>
      </c>
      <c r="K1197" s="12" t="s">
        <v>2237</v>
      </c>
      <c r="L1197" s="12">
        <v>0</v>
      </c>
      <c r="M1197" s="12" t="s">
        <v>2237</v>
      </c>
      <c r="N1197" s="8">
        <v>0</v>
      </c>
      <c r="O1197" s="12" t="s">
        <v>2237</v>
      </c>
      <c r="P1197" s="12" t="s">
        <v>2236</v>
      </c>
      <c r="Q1197" s="10" t="s">
        <v>2242</v>
      </c>
      <c r="R1197" s="10" t="s">
        <v>2238</v>
      </c>
      <c r="S1197" s="10" t="s">
        <v>2243</v>
      </c>
      <c r="T1197" s="10" t="s">
        <v>2645</v>
      </c>
      <c r="U119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E530-30101030247-D225301</v>
      </c>
      <c r="Z119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7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11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8" spans="1:31" hidden="1" x14ac:dyDescent="0.3">
      <c r="A1198" s="12" t="s">
        <v>3953</v>
      </c>
      <c r="B1198" s="12" t="s">
        <v>30</v>
      </c>
      <c r="C1198" s="12" t="s">
        <v>429</v>
      </c>
      <c r="D1198" s="12" t="s">
        <v>1987</v>
      </c>
      <c r="E1198" s="12" t="s">
        <v>2842</v>
      </c>
      <c r="F1198" s="8">
        <v>0</v>
      </c>
      <c r="G1198" s="12" t="s">
        <v>2237</v>
      </c>
      <c r="H1198" s="12">
        <v>0</v>
      </c>
      <c r="I1198" s="12" t="s">
        <v>2237</v>
      </c>
      <c r="J1198" s="12">
        <v>0</v>
      </c>
      <c r="K1198" s="12" t="s">
        <v>2237</v>
      </c>
      <c r="L1198" s="12">
        <v>0</v>
      </c>
      <c r="M1198" s="12" t="s">
        <v>2237</v>
      </c>
      <c r="N1198" s="8">
        <v>415221.41</v>
      </c>
      <c r="O1198" s="12" t="s">
        <v>2237</v>
      </c>
      <c r="P1198" s="12" t="s">
        <v>2236</v>
      </c>
      <c r="Q1198" s="10" t="s">
        <v>2242</v>
      </c>
      <c r="R1198" s="10" t="s">
        <v>2238</v>
      </c>
      <c r="S1198" s="10" t="s">
        <v>2243</v>
      </c>
      <c r="T1198" s="10" t="s">
        <v>2645</v>
      </c>
      <c r="U119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E530-30101030212-D225301</v>
      </c>
      <c r="Z119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8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11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199" spans="1:31" hidden="1" x14ac:dyDescent="0.3">
      <c r="A1199" s="12" t="s">
        <v>3954</v>
      </c>
      <c r="B1199" s="12" t="s">
        <v>30</v>
      </c>
      <c r="C1199" s="12" t="s">
        <v>432</v>
      </c>
      <c r="D1199" s="12" t="s">
        <v>1988</v>
      </c>
      <c r="E1199" s="12" t="s">
        <v>2842</v>
      </c>
      <c r="F1199" s="8">
        <v>0</v>
      </c>
      <c r="G1199" s="12" t="s">
        <v>2237</v>
      </c>
      <c r="H1199" s="12">
        <v>0</v>
      </c>
      <c r="I1199" s="12" t="s">
        <v>2237</v>
      </c>
      <c r="J1199" s="12">
        <v>0</v>
      </c>
      <c r="K1199" s="12" t="s">
        <v>2237</v>
      </c>
      <c r="L1199" s="12">
        <v>0</v>
      </c>
      <c r="M1199" s="12" t="s">
        <v>2237</v>
      </c>
      <c r="N1199" s="8">
        <v>53644.74</v>
      </c>
      <c r="O1199" s="12" t="s">
        <v>2237</v>
      </c>
      <c r="P1199" s="12" t="s">
        <v>2236</v>
      </c>
      <c r="Q1199" s="10" t="s">
        <v>2242</v>
      </c>
      <c r="R1199" s="10" t="s">
        <v>2238</v>
      </c>
      <c r="S1199" s="10" t="s">
        <v>2243</v>
      </c>
      <c r="T1199" s="10" t="s">
        <v>2645</v>
      </c>
      <c r="U119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19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19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19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19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E530-30101030211-D225301</v>
      </c>
      <c r="Z119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19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19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199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11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1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0" spans="1:31" hidden="1" x14ac:dyDescent="0.3">
      <c r="A1200" s="12" t="s">
        <v>3955</v>
      </c>
      <c r="B1200" s="12" t="s">
        <v>30</v>
      </c>
      <c r="C1200" s="12" t="s">
        <v>435</v>
      </c>
      <c r="D1200" s="12" t="s">
        <v>1989</v>
      </c>
      <c r="E1200" s="12" t="s">
        <v>2842</v>
      </c>
      <c r="F1200" s="8">
        <v>0</v>
      </c>
      <c r="G1200" s="12" t="s">
        <v>2237</v>
      </c>
      <c r="H1200" s="12">
        <v>0</v>
      </c>
      <c r="I1200" s="12" t="s">
        <v>2237</v>
      </c>
      <c r="J1200" s="12">
        <v>0</v>
      </c>
      <c r="K1200" s="12" t="s">
        <v>2237</v>
      </c>
      <c r="L1200" s="12">
        <v>0</v>
      </c>
      <c r="M1200" s="12" t="s">
        <v>2237</v>
      </c>
      <c r="N1200" s="8">
        <v>415437.95</v>
      </c>
      <c r="O1200" s="12" t="s">
        <v>2237</v>
      </c>
      <c r="P1200" s="12" t="s">
        <v>2236</v>
      </c>
      <c r="Q1200" s="10" t="s">
        <v>2242</v>
      </c>
      <c r="R1200" s="10" t="s">
        <v>2238</v>
      </c>
      <c r="S1200" s="10" t="s">
        <v>2243</v>
      </c>
      <c r="T1200" s="10" t="s">
        <v>2645</v>
      </c>
      <c r="U120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20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E530-30101030210-D225301</v>
      </c>
      <c r="Z120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00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12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1" spans="1:31" hidden="1" x14ac:dyDescent="0.3">
      <c r="A1201" s="12" t="s">
        <v>3956</v>
      </c>
      <c r="B1201" s="12" t="s">
        <v>30</v>
      </c>
      <c r="C1201" s="12" t="s">
        <v>438</v>
      </c>
      <c r="D1201" s="12" t="s">
        <v>1990</v>
      </c>
      <c r="E1201" s="12" t="s">
        <v>2842</v>
      </c>
      <c r="F1201" s="8">
        <v>0</v>
      </c>
      <c r="G1201" s="12" t="s">
        <v>2237</v>
      </c>
      <c r="H1201" s="12">
        <v>0</v>
      </c>
      <c r="I1201" s="12" t="s">
        <v>2237</v>
      </c>
      <c r="J1201" s="12">
        <v>0</v>
      </c>
      <c r="K1201" s="12" t="s">
        <v>2237</v>
      </c>
      <c r="L1201" s="12">
        <v>0</v>
      </c>
      <c r="M1201" s="12" t="s">
        <v>2237</v>
      </c>
      <c r="N1201" s="8">
        <v>475803.33</v>
      </c>
      <c r="O1201" s="12" t="s">
        <v>2237</v>
      </c>
      <c r="P1201" s="12" t="s">
        <v>2236</v>
      </c>
      <c r="Q1201" s="10" t="s">
        <v>2242</v>
      </c>
      <c r="R1201" s="10" t="s">
        <v>2238</v>
      </c>
      <c r="S1201" s="10" t="s">
        <v>2243</v>
      </c>
      <c r="T1201" s="10" t="s">
        <v>2645</v>
      </c>
      <c r="U120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20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E530-30101030209-D225301</v>
      </c>
      <c r="Z12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01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12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2" spans="1:31" hidden="1" x14ac:dyDescent="0.3">
      <c r="A1202" s="12" t="s">
        <v>3957</v>
      </c>
      <c r="B1202" s="12" t="s">
        <v>30</v>
      </c>
      <c r="C1202" s="12" t="s">
        <v>441</v>
      </c>
      <c r="D1202" s="12" t="s">
        <v>1991</v>
      </c>
      <c r="E1202" s="12" t="s">
        <v>2842</v>
      </c>
      <c r="F1202" s="8">
        <v>0</v>
      </c>
      <c r="G1202" s="12" t="s">
        <v>2237</v>
      </c>
      <c r="H1202" s="12">
        <v>0</v>
      </c>
      <c r="I1202" s="12" t="s">
        <v>2237</v>
      </c>
      <c r="J1202" s="12">
        <v>0</v>
      </c>
      <c r="K1202" s="12" t="s">
        <v>2237</v>
      </c>
      <c r="L1202" s="12">
        <v>0</v>
      </c>
      <c r="M1202" s="12" t="s">
        <v>2237</v>
      </c>
      <c r="N1202" s="8">
        <v>151482.5</v>
      </c>
      <c r="O1202" s="12" t="s">
        <v>2237</v>
      </c>
      <c r="P1202" s="12" t="s">
        <v>2236</v>
      </c>
      <c r="Q1202" s="10" t="s">
        <v>2242</v>
      </c>
      <c r="R1202" s="10" t="s">
        <v>2238</v>
      </c>
      <c r="S1202" s="10" t="s">
        <v>2243</v>
      </c>
      <c r="T1202" s="10" t="s">
        <v>2645</v>
      </c>
      <c r="U120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20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E530-30101030208-D225301</v>
      </c>
      <c r="Z12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02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12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3" spans="1:31" hidden="1" x14ac:dyDescent="0.3">
      <c r="A1203" s="12" t="s">
        <v>3958</v>
      </c>
      <c r="B1203" s="12" t="s">
        <v>30</v>
      </c>
      <c r="C1203" s="12" t="s">
        <v>1912</v>
      </c>
      <c r="D1203" s="12" t="s">
        <v>1992</v>
      </c>
      <c r="E1203" s="12" t="s">
        <v>2842</v>
      </c>
      <c r="F1203" s="8">
        <v>0</v>
      </c>
      <c r="G1203" s="12" t="s">
        <v>2237</v>
      </c>
      <c r="H1203" s="12">
        <v>0</v>
      </c>
      <c r="I1203" s="12" t="s">
        <v>2237</v>
      </c>
      <c r="J1203" s="12">
        <v>0</v>
      </c>
      <c r="K1203" s="12" t="s">
        <v>2237</v>
      </c>
      <c r="L1203" s="12">
        <v>0.01</v>
      </c>
      <c r="M1203" s="12" t="s">
        <v>2237</v>
      </c>
      <c r="N1203" s="8">
        <v>305156.59000000003</v>
      </c>
      <c r="O1203" s="12" t="s">
        <v>2237</v>
      </c>
      <c r="P1203" s="12" t="s">
        <v>2236</v>
      </c>
      <c r="Q1203" s="10" t="s">
        <v>2242</v>
      </c>
      <c r="R1203" s="10" t="s">
        <v>2238</v>
      </c>
      <c r="S1203" s="10" t="s">
        <v>2243</v>
      </c>
      <c r="T1203" s="10" t="s">
        <v>2645</v>
      </c>
      <c r="U120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20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E530-30101030207-D225301</v>
      </c>
      <c r="Z12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03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12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4" spans="1:31" hidden="1" x14ac:dyDescent="0.3">
      <c r="A1204" s="12" t="s">
        <v>3959</v>
      </c>
      <c r="B1204" s="12" t="s">
        <v>30</v>
      </c>
      <c r="C1204" s="12" t="s">
        <v>447</v>
      </c>
      <c r="D1204" s="12" t="s">
        <v>1993</v>
      </c>
      <c r="E1204" s="12" t="s">
        <v>2842</v>
      </c>
      <c r="F1204" s="8">
        <v>0</v>
      </c>
      <c r="G1204" s="12" t="s">
        <v>2237</v>
      </c>
      <c r="H1204" s="12">
        <v>0</v>
      </c>
      <c r="I1204" s="12" t="s">
        <v>2237</v>
      </c>
      <c r="J1204" s="12">
        <v>0</v>
      </c>
      <c r="K1204" s="12" t="s">
        <v>2237</v>
      </c>
      <c r="L1204" s="12">
        <v>0</v>
      </c>
      <c r="M1204" s="12" t="s">
        <v>2237</v>
      </c>
      <c r="N1204" s="8">
        <v>838855.14</v>
      </c>
      <c r="O1204" s="12" t="s">
        <v>2237</v>
      </c>
      <c r="P1204" s="12" t="s">
        <v>2236</v>
      </c>
      <c r="Q1204" s="10" t="s">
        <v>2242</v>
      </c>
      <c r="R1204" s="10" t="s">
        <v>2238</v>
      </c>
      <c r="S1204" s="10" t="s">
        <v>2243</v>
      </c>
      <c r="T1204" s="10" t="s">
        <v>2645</v>
      </c>
      <c r="U120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20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E530-30101030205-D225301</v>
      </c>
      <c r="Z12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04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12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5" spans="1:31" hidden="1" x14ac:dyDescent="0.3">
      <c r="A1205" s="12" t="s">
        <v>3960</v>
      </c>
      <c r="B1205" s="12" t="s">
        <v>30</v>
      </c>
      <c r="C1205" s="12" t="s">
        <v>1915</v>
      </c>
      <c r="D1205" s="12" t="s">
        <v>1994</v>
      </c>
      <c r="E1205" s="12" t="s">
        <v>2842</v>
      </c>
      <c r="F1205" s="8">
        <v>0</v>
      </c>
      <c r="G1205" s="12" t="s">
        <v>2237</v>
      </c>
      <c r="H1205" s="12">
        <v>0</v>
      </c>
      <c r="I1205" s="12" t="s">
        <v>2237</v>
      </c>
      <c r="J1205" s="12">
        <v>0</v>
      </c>
      <c r="K1205" s="12" t="s">
        <v>2237</v>
      </c>
      <c r="L1205" s="12">
        <v>0</v>
      </c>
      <c r="M1205" s="12" t="s">
        <v>2237</v>
      </c>
      <c r="N1205" s="8">
        <v>974</v>
      </c>
      <c r="O1205" s="12" t="s">
        <v>2237</v>
      </c>
      <c r="P1205" s="12" t="s">
        <v>2236</v>
      </c>
      <c r="Q1205" s="10" t="s">
        <v>2242</v>
      </c>
      <c r="R1205" s="10" t="s">
        <v>2238</v>
      </c>
      <c r="S1205" s="10" t="s">
        <v>2243</v>
      </c>
      <c r="T1205" s="10" t="s">
        <v>2645</v>
      </c>
      <c r="U120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E530-301010302-D225301</v>
      </c>
      <c r="Y120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E530-30101030204-D225301</v>
      </c>
      <c r="Z12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05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12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06" spans="1:31" x14ac:dyDescent="0.3">
      <c r="A1206" s="12" t="s">
        <v>3961</v>
      </c>
      <c r="B1206" s="12" t="s">
        <v>26</v>
      </c>
      <c r="C1206" s="12" t="s">
        <v>1995</v>
      </c>
      <c r="D1206" s="12" t="s">
        <v>1996</v>
      </c>
      <c r="E1206" s="12" t="s">
        <v>2842</v>
      </c>
      <c r="F1206" s="8">
        <v>30000</v>
      </c>
      <c r="G1206" s="12" t="s">
        <v>2237</v>
      </c>
      <c r="H1206" s="12">
        <v>30000</v>
      </c>
      <c r="I1206" s="12" t="s">
        <v>2237</v>
      </c>
      <c r="J1206" s="12">
        <v>0</v>
      </c>
      <c r="K1206" s="12" t="s">
        <v>2237</v>
      </c>
      <c r="L1206" s="12">
        <v>0</v>
      </c>
      <c r="M1206" s="12" t="s">
        <v>2237</v>
      </c>
      <c r="N1206" s="8">
        <v>26370.44</v>
      </c>
      <c r="O1206" s="12" t="s">
        <v>2237</v>
      </c>
      <c r="P1206" s="12" t="s">
        <v>2236</v>
      </c>
      <c r="Q1206" s="10" t="s">
        <v>2242</v>
      </c>
      <c r="R1206" s="10" t="s">
        <v>2238</v>
      </c>
      <c r="S1206" s="10" t="s">
        <v>2243</v>
      </c>
      <c r="T1206" s="10" t="s">
        <v>3351</v>
      </c>
      <c r="U120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E530-301010301-D225301</v>
      </c>
      <c r="Y12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2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06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0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07" spans="1:31" x14ac:dyDescent="0.3">
      <c r="A1207" s="12" t="s">
        <v>3962</v>
      </c>
      <c r="B1207" s="12" t="s">
        <v>30</v>
      </c>
      <c r="C1207" s="12" t="s">
        <v>1997</v>
      </c>
      <c r="D1207" s="12" t="s">
        <v>1998</v>
      </c>
      <c r="E1207" s="12" t="s">
        <v>2842</v>
      </c>
      <c r="F1207" s="8">
        <v>0</v>
      </c>
      <c r="G1207" s="12" t="s">
        <v>2237</v>
      </c>
      <c r="H1207" s="12">
        <v>0</v>
      </c>
      <c r="I1207" s="12" t="s">
        <v>2237</v>
      </c>
      <c r="J1207" s="12">
        <v>0</v>
      </c>
      <c r="K1207" s="12" t="s">
        <v>2237</v>
      </c>
      <c r="L1207" s="12">
        <v>0</v>
      </c>
      <c r="M1207" s="12" t="s">
        <v>2237</v>
      </c>
      <c r="N1207" s="8">
        <v>26370.44</v>
      </c>
      <c r="O1207" s="12" t="s">
        <v>2237</v>
      </c>
      <c r="P1207" s="12" t="s">
        <v>2236</v>
      </c>
      <c r="Q1207" s="10" t="s">
        <v>2242</v>
      </c>
      <c r="R1207" s="10" t="s">
        <v>2238</v>
      </c>
      <c r="S1207" s="10" t="s">
        <v>2243</v>
      </c>
      <c r="T1207" s="10" t="s">
        <v>2645</v>
      </c>
      <c r="U120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E530-301010301-D225301</v>
      </c>
      <c r="Y120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E530-30101030160-D225301</v>
      </c>
      <c r="Z12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207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1207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08" spans="1:31" x14ac:dyDescent="0.3">
      <c r="A1208" s="12" t="s">
        <v>3963</v>
      </c>
      <c r="B1208" s="12" t="s">
        <v>26</v>
      </c>
      <c r="C1208" s="12" t="s">
        <v>1999</v>
      </c>
      <c r="D1208" s="12" t="s">
        <v>2000</v>
      </c>
      <c r="E1208" s="12" t="s">
        <v>2842</v>
      </c>
      <c r="F1208" s="8">
        <v>937668.01</v>
      </c>
      <c r="G1208" s="12" t="s">
        <v>2237</v>
      </c>
      <c r="H1208" s="12">
        <v>937668.01</v>
      </c>
      <c r="I1208" s="12" t="s">
        <v>2237</v>
      </c>
      <c r="J1208" s="12">
        <v>0</v>
      </c>
      <c r="K1208" s="12" t="s">
        <v>2237</v>
      </c>
      <c r="L1208" s="12">
        <v>0</v>
      </c>
      <c r="M1208" s="12" t="s">
        <v>2237</v>
      </c>
      <c r="N1208" s="8">
        <v>943535.44</v>
      </c>
      <c r="O1208" s="12" t="s">
        <v>2237</v>
      </c>
      <c r="P1208" s="12" t="s">
        <v>2236</v>
      </c>
      <c r="Q1208" s="10" t="s">
        <v>2242</v>
      </c>
      <c r="R1208" s="10" t="s">
        <v>2238</v>
      </c>
      <c r="S1208" s="10" t="s">
        <v>2243</v>
      </c>
      <c r="T1208" s="10" t="s">
        <v>3351</v>
      </c>
      <c r="U120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E530-301010361-D225301</v>
      </c>
      <c r="Y12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08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09" spans="1:31" x14ac:dyDescent="0.3">
      <c r="A1209" s="12" t="s">
        <v>3964</v>
      </c>
      <c r="B1209" s="12" t="s">
        <v>30</v>
      </c>
      <c r="C1209" s="12" t="s">
        <v>2001</v>
      </c>
      <c r="D1209" s="12" t="s">
        <v>2002</v>
      </c>
      <c r="E1209" s="12" t="s">
        <v>2842</v>
      </c>
      <c r="F1209" s="8">
        <v>0</v>
      </c>
      <c r="G1209" s="12" t="s">
        <v>2237</v>
      </c>
      <c r="H1209" s="12">
        <v>0</v>
      </c>
      <c r="I1209" s="12" t="s">
        <v>2237</v>
      </c>
      <c r="J1209" s="12">
        <v>0</v>
      </c>
      <c r="K1209" s="12" t="s">
        <v>2237</v>
      </c>
      <c r="L1209" s="12">
        <v>0</v>
      </c>
      <c r="M1209" s="12" t="s">
        <v>2237</v>
      </c>
      <c r="N1209" s="8">
        <v>22400.720000000001</v>
      </c>
      <c r="O1209" s="12" t="s">
        <v>2237</v>
      </c>
      <c r="P1209" s="12" t="s">
        <v>2236</v>
      </c>
      <c r="Q1209" s="10" t="s">
        <v>2242</v>
      </c>
      <c r="R1209" s="10" t="s">
        <v>2238</v>
      </c>
      <c r="S1209" s="10" t="s">
        <v>2243</v>
      </c>
      <c r="T1209" s="10" t="s">
        <v>2645</v>
      </c>
      <c r="U120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0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0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0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E530-301010361-D225301</v>
      </c>
      <c r="Y120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E530-30101036193-D225301</v>
      </c>
      <c r="Z12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0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0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09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1209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0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10" spans="1:31" x14ac:dyDescent="0.3">
      <c r="A1210" s="12" t="s">
        <v>3965</v>
      </c>
      <c r="B1210" s="12" t="s">
        <v>30</v>
      </c>
      <c r="C1210" s="12" t="s">
        <v>2003</v>
      </c>
      <c r="D1210" s="12" t="s">
        <v>2004</v>
      </c>
      <c r="E1210" s="12" t="s">
        <v>2842</v>
      </c>
      <c r="F1210" s="8">
        <v>0</v>
      </c>
      <c r="G1210" s="12" t="s">
        <v>2237</v>
      </c>
      <c r="H1210" s="12">
        <v>0</v>
      </c>
      <c r="I1210" s="12" t="s">
        <v>2237</v>
      </c>
      <c r="J1210" s="12">
        <v>0</v>
      </c>
      <c r="K1210" s="12" t="s">
        <v>2237</v>
      </c>
      <c r="L1210" s="12">
        <v>0</v>
      </c>
      <c r="M1210" s="12" t="s">
        <v>2237</v>
      </c>
      <c r="N1210" s="8">
        <v>433704.53</v>
      </c>
      <c r="O1210" s="12" t="s">
        <v>2237</v>
      </c>
      <c r="P1210" s="12" t="s">
        <v>2236</v>
      </c>
      <c r="Q1210" s="10" t="s">
        <v>2242</v>
      </c>
      <c r="R1210" s="10" t="s">
        <v>2238</v>
      </c>
      <c r="S1210" s="10" t="s">
        <v>2243</v>
      </c>
      <c r="T1210" s="10" t="s">
        <v>2645</v>
      </c>
      <c r="U121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1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E530-301010361-D225301</v>
      </c>
      <c r="Y121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E530-30101036118-D225301</v>
      </c>
      <c r="Z12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10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1210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1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11" spans="1:31" x14ac:dyDescent="0.3">
      <c r="A1211" s="12" t="s">
        <v>3966</v>
      </c>
      <c r="B1211" s="12" t="s">
        <v>30</v>
      </c>
      <c r="C1211" s="12" t="s">
        <v>2005</v>
      </c>
      <c r="D1211" s="12" t="s">
        <v>2006</v>
      </c>
      <c r="E1211" s="12" t="s">
        <v>2842</v>
      </c>
      <c r="F1211" s="8">
        <v>0</v>
      </c>
      <c r="G1211" s="12" t="s">
        <v>2237</v>
      </c>
      <c r="H1211" s="12">
        <v>0</v>
      </c>
      <c r="I1211" s="12" t="s">
        <v>2237</v>
      </c>
      <c r="J1211" s="12">
        <v>0</v>
      </c>
      <c r="K1211" s="12" t="s">
        <v>2237</v>
      </c>
      <c r="L1211" s="12">
        <v>0</v>
      </c>
      <c r="M1211" s="12" t="s">
        <v>2237</v>
      </c>
      <c r="N1211" s="8">
        <v>67957.22</v>
      </c>
      <c r="O1211" s="12" t="s">
        <v>2237</v>
      </c>
      <c r="P1211" s="12" t="s">
        <v>2236</v>
      </c>
      <c r="Q1211" s="10" t="s">
        <v>2242</v>
      </c>
      <c r="R1211" s="10" t="s">
        <v>2238</v>
      </c>
      <c r="S1211" s="10" t="s">
        <v>2243</v>
      </c>
      <c r="T1211" s="10" t="s">
        <v>2645</v>
      </c>
      <c r="U121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1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E530-301010361-D225301</v>
      </c>
      <c r="Y121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E530-30101036102-D225301</v>
      </c>
      <c r="Z12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11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1211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1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12" spans="1:31" x14ac:dyDescent="0.3">
      <c r="A1212" s="12" t="s">
        <v>3967</v>
      </c>
      <c r="B1212" s="12" t="s">
        <v>30</v>
      </c>
      <c r="C1212" s="12" t="s">
        <v>2007</v>
      </c>
      <c r="D1212" s="12" t="s">
        <v>2008</v>
      </c>
      <c r="E1212" s="12" t="s">
        <v>2842</v>
      </c>
      <c r="F1212" s="8">
        <v>0</v>
      </c>
      <c r="G1212" s="12" t="s">
        <v>2237</v>
      </c>
      <c r="H1212" s="12">
        <v>0</v>
      </c>
      <c r="I1212" s="12" t="s">
        <v>2237</v>
      </c>
      <c r="J1212" s="12">
        <v>0</v>
      </c>
      <c r="K1212" s="12" t="s">
        <v>2237</v>
      </c>
      <c r="L1212" s="12">
        <v>0</v>
      </c>
      <c r="M1212" s="12" t="s">
        <v>2237</v>
      </c>
      <c r="N1212" s="8">
        <v>419472.97</v>
      </c>
      <c r="O1212" s="12" t="s">
        <v>2237</v>
      </c>
      <c r="P1212" s="12" t="s">
        <v>2236</v>
      </c>
      <c r="Q1212" s="10" t="s">
        <v>2242</v>
      </c>
      <c r="R1212" s="10" t="s">
        <v>2238</v>
      </c>
      <c r="S1212" s="10" t="s">
        <v>2243</v>
      </c>
      <c r="T1212" s="10" t="s">
        <v>2645</v>
      </c>
      <c r="U121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E530-3010103-D225301</v>
      </c>
      <c r="X121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E530-301010361-D225301</v>
      </c>
      <c r="Y121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E530-30101036101-D225301</v>
      </c>
      <c r="Z12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12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1212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1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13" spans="1:31" x14ac:dyDescent="0.3">
      <c r="A1213" s="12" t="s">
        <v>3968</v>
      </c>
      <c r="B1213" s="12" t="s">
        <v>21</v>
      </c>
      <c r="C1213" s="12" t="s">
        <v>2009</v>
      </c>
      <c r="D1213" s="12" t="s">
        <v>2010</v>
      </c>
      <c r="E1213" s="12" t="s">
        <v>2842</v>
      </c>
      <c r="F1213" s="8">
        <v>4189509.27</v>
      </c>
      <c r="G1213" s="12" t="s">
        <v>2237</v>
      </c>
      <c r="H1213" s="12">
        <v>4189509.27</v>
      </c>
      <c r="I1213" s="12" t="s">
        <v>2237</v>
      </c>
      <c r="J1213" s="12">
        <v>0</v>
      </c>
      <c r="K1213" s="12" t="s">
        <v>2237</v>
      </c>
      <c r="L1213" s="12">
        <v>6742.78</v>
      </c>
      <c r="M1213" s="12" t="s">
        <v>2237</v>
      </c>
      <c r="N1213" s="8">
        <v>3507245.67</v>
      </c>
      <c r="O1213" s="12" t="s">
        <v>2237</v>
      </c>
      <c r="P1213" s="12" t="s">
        <v>2236</v>
      </c>
      <c r="Q1213" s="10" t="s">
        <v>2242</v>
      </c>
      <c r="R1213" s="10" t="s">
        <v>2238</v>
      </c>
      <c r="S1213" s="10" t="s">
        <v>2243</v>
      </c>
      <c r="T1213" s="10" t="s">
        <v>2844</v>
      </c>
      <c r="U121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13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1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14" spans="1:31" x14ac:dyDescent="0.3">
      <c r="A1214" s="12" t="s">
        <v>3969</v>
      </c>
      <c r="B1214" s="12" t="s">
        <v>26</v>
      </c>
      <c r="C1214" s="12" t="s">
        <v>2011</v>
      </c>
      <c r="D1214" s="12" t="s">
        <v>2012</v>
      </c>
      <c r="E1214" s="12" t="s">
        <v>2842</v>
      </c>
      <c r="F1214" s="8">
        <v>3221841.26</v>
      </c>
      <c r="G1214" s="12" t="s">
        <v>2237</v>
      </c>
      <c r="H1214" s="12">
        <v>3221841.26</v>
      </c>
      <c r="I1214" s="12" t="s">
        <v>2237</v>
      </c>
      <c r="J1214" s="12">
        <v>0</v>
      </c>
      <c r="K1214" s="12" t="s">
        <v>2237</v>
      </c>
      <c r="L1214" s="12">
        <v>6742.78</v>
      </c>
      <c r="M1214" s="12" t="s">
        <v>2237</v>
      </c>
      <c r="N1214" s="8">
        <v>2497078.92</v>
      </c>
      <c r="O1214" s="12" t="s">
        <v>2237</v>
      </c>
      <c r="P1214" s="12" t="s">
        <v>2236</v>
      </c>
      <c r="Q1214" s="10" t="s">
        <v>2242</v>
      </c>
      <c r="R1214" s="10" t="s">
        <v>2238</v>
      </c>
      <c r="S1214" s="10" t="s">
        <v>2243</v>
      </c>
      <c r="T1214" s="10" t="s">
        <v>2844</v>
      </c>
      <c r="U121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1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14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15" spans="1:31" hidden="1" x14ac:dyDescent="0.3">
      <c r="A1215" s="12" t="s">
        <v>3970</v>
      </c>
      <c r="B1215" s="12" t="s">
        <v>30</v>
      </c>
      <c r="C1215" s="12" t="s">
        <v>390</v>
      </c>
      <c r="D1215" s="12" t="s">
        <v>2013</v>
      </c>
      <c r="E1215" s="12" t="s">
        <v>2842</v>
      </c>
      <c r="F1215" s="8">
        <v>0</v>
      </c>
      <c r="G1215" s="12" t="s">
        <v>2237</v>
      </c>
      <c r="H1215" s="12">
        <v>0</v>
      </c>
      <c r="I1215" s="12" t="s">
        <v>2237</v>
      </c>
      <c r="J1215" s="12">
        <v>0</v>
      </c>
      <c r="K1215" s="12" t="s">
        <v>2237</v>
      </c>
      <c r="L1215" s="12">
        <v>6742.78</v>
      </c>
      <c r="M1215" s="12" t="s">
        <v>2237</v>
      </c>
      <c r="N1215" s="8">
        <v>51925.49</v>
      </c>
      <c r="O1215" s="12" t="s">
        <v>2237</v>
      </c>
      <c r="P1215" s="12" t="s">
        <v>2236</v>
      </c>
      <c r="Q1215" s="10" t="s">
        <v>2242</v>
      </c>
      <c r="R1215" s="10" t="s">
        <v>2238</v>
      </c>
      <c r="S1215" s="10" t="s">
        <v>2243</v>
      </c>
      <c r="T1215" s="10" t="s">
        <v>2645</v>
      </c>
      <c r="U121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1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1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E530-30101020224-D225301</v>
      </c>
      <c r="Z12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15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12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16" spans="1:31" hidden="1" x14ac:dyDescent="0.3">
      <c r="A1216" s="12" t="s">
        <v>3971</v>
      </c>
      <c r="B1216" s="12" t="s">
        <v>30</v>
      </c>
      <c r="C1216" s="12" t="s">
        <v>1891</v>
      </c>
      <c r="D1216" s="12" t="s">
        <v>2014</v>
      </c>
      <c r="E1216" s="12" t="s">
        <v>2842</v>
      </c>
      <c r="F1216" s="8">
        <v>0</v>
      </c>
      <c r="G1216" s="12" t="s">
        <v>2237</v>
      </c>
      <c r="H1216" s="12">
        <v>0</v>
      </c>
      <c r="I1216" s="12" t="s">
        <v>2237</v>
      </c>
      <c r="J1216" s="12">
        <v>0</v>
      </c>
      <c r="K1216" s="12" t="s">
        <v>2237</v>
      </c>
      <c r="L1216" s="12">
        <v>0</v>
      </c>
      <c r="M1216" s="12" t="s">
        <v>2237</v>
      </c>
      <c r="N1216" s="8">
        <v>55784.639999999999</v>
      </c>
      <c r="O1216" s="12" t="s">
        <v>2237</v>
      </c>
      <c r="P1216" s="12" t="s">
        <v>2236</v>
      </c>
      <c r="Q1216" s="10" t="s">
        <v>2242</v>
      </c>
      <c r="R1216" s="10" t="s">
        <v>2238</v>
      </c>
      <c r="S1216" s="10" t="s">
        <v>2243</v>
      </c>
      <c r="T1216" s="10" t="s">
        <v>2645</v>
      </c>
      <c r="U121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1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1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E530-30101020298-D225301</v>
      </c>
      <c r="Z12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16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12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17" spans="1:31" hidden="1" x14ac:dyDescent="0.3">
      <c r="A1217" s="12" t="s">
        <v>3972</v>
      </c>
      <c r="B1217" s="12" t="s">
        <v>30</v>
      </c>
      <c r="C1217" s="12" t="s">
        <v>1893</v>
      </c>
      <c r="D1217" s="12" t="s">
        <v>2015</v>
      </c>
      <c r="E1217" s="12" t="s">
        <v>2842</v>
      </c>
      <c r="F1217" s="8">
        <v>0</v>
      </c>
      <c r="G1217" s="12" t="s">
        <v>2237</v>
      </c>
      <c r="H1217" s="12">
        <v>0</v>
      </c>
      <c r="I1217" s="12" t="s">
        <v>2237</v>
      </c>
      <c r="J1217" s="12">
        <v>0</v>
      </c>
      <c r="K1217" s="12" t="s">
        <v>2237</v>
      </c>
      <c r="L1217" s="12">
        <v>0</v>
      </c>
      <c r="M1217" s="12" t="s">
        <v>2237</v>
      </c>
      <c r="N1217" s="8">
        <v>7619.82</v>
      </c>
      <c r="O1217" s="12" t="s">
        <v>2237</v>
      </c>
      <c r="P1217" s="12" t="s">
        <v>2236</v>
      </c>
      <c r="Q1217" s="10" t="s">
        <v>2242</v>
      </c>
      <c r="R1217" s="10" t="s">
        <v>2238</v>
      </c>
      <c r="S1217" s="10" t="s">
        <v>2243</v>
      </c>
      <c r="T1217" s="10" t="s">
        <v>2645</v>
      </c>
      <c r="U12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1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1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E530-30101020297-D225301</v>
      </c>
      <c r="Z12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17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12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18" spans="1:31" hidden="1" x14ac:dyDescent="0.3">
      <c r="A1218" s="12" t="s">
        <v>3973</v>
      </c>
      <c r="B1218" s="12" t="s">
        <v>30</v>
      </c>
      <c r="C1218" s="12" t="s">
        <v>399</v>
      </c>
      <c r="D1218" s="12" t="s">
        <v>2016</v>
      </c>
      <c r="E1218" s="12" t="s">
        <v>2842</v>
      </c>
      <c r="F1218" s="8">
        <v>0</v>
      </c>
      <c r="G1218" s="12" t="s">
        <v>2237</v>
      </c>
      <c r="H1218" s="12">
        <v>0</v>
      </c>
      <c r="I1218" s="12" t="s">
        <v>2237</v>
      </c>
      <c r="J1218" s="12">
        <v>0</v>
      </c>
      <c r="K1218" s="12" t="s">
        <v>2237</v>
      </c>
      <c r="L1218" s="12">
        <v>0</v>
      </c>
      <c r="M1218" s="12" t="s">
        <v>2237</v>
      </c>
      <c r="N1218" s="8">
        <v>0</v>
      </c>
      <c r="O1218" s="12" t="s">
        <v>2237</v>
      </c>
      <c r="P1218" s="12" t="s">
        <v>2236</v>
      </c>
      <c r="Q1218" s="10" t="s">
        <v>2242</v>
      </c>
      <c r="R1218" s="10" t="s">
        <v>2238</v>
      </c>
      <c r="S1218" s="10" t="s">
        <v>2243</v>
      </c>
      <c r="T1218" s="10" t="s">
        <v>2645</v>
      </c>
      <c r="U12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1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1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E530-30101020296-D225301</v>
      </c>
      <c r="Z12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18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12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19" spans="1:31" hidden="1" x14ac:dyDescent="0.3">
      <c r="A1219" s="12" t="s">
        <v>3974</v>
      </c>
      <c r="B1219" s="12" t="s">
        <v>30</v>
      </c>
      <c r="C1219" s="12" t="s">
        <v>402</v>
      </c>
      <c r="D1219" s="12" t="s">
        <v>2017</v>
      </c>
      <c r="E1219" s="12" t="s">
        <v>2842</v>
      </c>
      <c r="F1219" s="8">
        <v>0</v>
      </c>
      <c r="G1219" s="12" t="s">
        <v>2237</v>
      </c>
      <c r="H1219" s="12">
        <v>0</v>
      </c>
      <c r="I1219" s="12" t="s">
        <v>2237</v>
      </c>
      <c r="J1219" s="12">
        <v>0</v>
      </c>
      <c r="K1219" s="12" t="s">
        <v>2237</v>
      </c>
      <c r="L1219" s="12">
        <v>0</v>
      </c>
      <c r="M1219" s="12" t="s">
        <v>2237</v>
      </c>
      <c r="N1219" s="8">
        <v>0</v>
      </c>
      <c r="O1219" s="12" t="s">
        <v>2237</v>
      </c>
      <c r="P1219" s="12" t="s">
        <v>2236</v>
      </c>
      <c r="Q1219" s="10" t="s">
        <v>2242</v>
      </c>
      <c r="R1219" s="10" t="s">
        <v>2238</v>
      </c>
      <c r="S1219" s="10" t="s">
        <v>2243</v>
      </c>
      <c r="T1219" s="10" t="s">
        <v>2645</v>
      </c>
      <c r="U12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1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1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1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1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E530-30101020295-D225301</v>
      </c>
      <c r="Z12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1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1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19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12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0" spans="1:31" hidden="1" x14ac:dyDescent="0.3">
      <c r="A1220" s="12" t="s">
        <v>3975</v>
      </c>
      <c r="B1220" s="12" t="s">
        <v>30</v>
      </c>
      <c r="C1220" s="12" t="s">
        <v>405</v>
      </c>
      <c r="D1220" s="12" t="s">
        <v>2018</v>
      </c>
      <c r="E1220" s="12" t="s">
        <v>2842</v>
      </c>
      <c r="F1220" s="8">
        <v>0</v>
      </c>
      <c r="G1220" s="12" t="s">
        <v>2237</v>
      </c>
      <c r="H1220" s="12">
        <v>0</v>
      </c>
      <c r="I1220" s="12" t="s">
        <v>2237</v>
      </c>
      <c r="J1220" s="12">
        <v>0</v>
      </c>
      <c r="K1220" s="12" t="s">
        <v>2237</v>
      </c>
      <c r="L1220" s="12">
        <v>0</v>
      </c>
      <c r="M1220" s="12" t="s">
        <v>2237</v>
      </c>
      <c r="N1220" s="8">
        <v>32029.56</v>
      </c>
      <c r="O1220" s="12" t="s">
        <v>2237</v>
      </c>
      <c r="P1220" s="12" t="s">
        <v>2236</v>
      </c>
      <c r="Q1220" s="10" t="s">
        <v>2242</v>
      </c>
      <c r="R1220" s="10" t="s">
        <v>2238</v>
      </c>
      <c r="S1220" s="10" t="s">
        <v>2243</v>
      </c>
      <c r="T1220" s="10" t="s">
        <v>2645</v>
      </c>
      <c r="U12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E530-30101020294-D225301</v>
      </c>
      <c r="Z12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0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12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1" spans="1:31" hidden="1" x14ac:dyDescent="0.3">
      <c r="A1221" s="12" t="s">
        <v>3976</v>
      </c>
      <c r="B1221" s="12" t="s">
        <v>30</v>
      </c>
      <c r="C1221" s="12" t="s">
        <v>1898</v>
      </c>
      <c r="D1221" s="12" t="s">
        <v>2019</v>
      </c>
      <c r="E1221" s="12" t="s">
        <v>2842</v>
      </c>
      <c r="F1221" s="8">
        <v>0</v>
      </c>
      <c r="G1221" s="12" t="s">
        <v>2237</v>
      </c>
      <c r="H1221" s="12">
        <v>0</v>
      </c>
      <c r="I1221" s="12" t="s">
        <v>2237</v>
      </c>
      <c r="J1221" s="12">
        <v>0</v>
      </c>
      <c r="K1221" s="12" t="s">
        <v>2237</v>
      </c>
      <c r="L1221" s="12">
        <v>0</v>
      </c>
      <c r="M1221" s="12" t="s">
        <v>2237</v>
      </c>
      <c r="N1221" s="8">
        <v>8354.0499999999993</v>
      </c>
      <c r="O1221" s="12" t="s">
        <v>2237</v>
      </c>
      <c r="P1221" s="12" t="s">
        <v>2236</v>
      </c>
      <c r="Q1221" s="10" t="s">
        <v>2242</v>
      </c>
      <c r="R1221" s="10" t="s">
        <v>2238</v>
      </c>
      <c r="S1221" s="10" t="s">
        <v>2243</v>
      </c>
      <c r="T1221" s="10" t="s">
        <v>2645</v>
      </c>
      <c r="U12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E530-30101020220-D225301</v>
      </c>
      <c r="Z12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12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2" spans="1:31" hidden="1" x14ac:dyDescent="0.3">
      <c r="A1222" s="12" t="s">
        <v>3977</v>
      </c>
      <c r="B1222" s="12" t="s">
        <v>30</v>
      </c>
      <c r="C1222" s="12" t="s">
        <v>411</v>
      </c>
      <c r="D1222" s="12" t="s">
        <v>2020</v>
      </c>
      <c r="E1222" s="12" t="s">
        <v>2842</v>
      </c>
      <c r="F1222" s="8">
        <v>0</v>
      </c>
      <c r="G1222" s="12" t="s">
        <v>2237</v>
      </c>
      <c r="H1222" s="12">
        <v>0</v>
      </c>
      <c r="I1222" s="12" t="s">
        <v>2237</v>
      </c>
      <c r="J1222" s="12">
        <v>0</v>
      </c>
      <c r="K1222" s="12" t="s">
        <v>2237</v>
      </c>
      <c r="L1222" s="12">
        <v>0</v>
      </c>
      <c r="M1222" s="12" t="s">
        <v>2237</v>
      </c>
      <c r="N1222" s="8">
        <v>16329.48</v>
      </c>
      <c r="O1222" s="12" t="s">
        <v>2237</v>
      </c>
      <c r="P1222" s="12" t="s">
        <v>2236</v>
      </c>
      <c r="Q1222" s="10" t="s">
        <v>2242</v>
      </c>
      <c r="R1222" s="10" t="s">
        <v>2238</v>
      </c>
      <c r="S1222" s="10" t="s">
        <v>2243</v>
      </c>
      <c r="T1222" s="10" t="s">
        <v>2645</v>
      </c>
      <c r="U12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E530-30101020217-D225301</v>
      </c>
      <c r="Z12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2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12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3" spans="1:31" hidden="1" x14ac:dyDescent="0.3">
      <c r="A1223" s="12" t="s">
        <v>3978</v>
      </c>
      <c r="B1223" s="12" t="s">
        <v>30</v>
      </c>
      <c r="C1223" s="12" t="s">
        <v>414</v>
      </c>
      <c r="D1223" s="12" t="s">
        <v>2021</v>
      </c>
      <c r="E1223" s="12" t="s">
        <v>2842</v>
      </c>
      <c r="F1223" s="8">
        <v>0</v>
      </c>
      <c r="G1223" s="12" t="s">
        <v>2237</v>
      </c>
      <c r="H1223" s="12">
        <v>0</v>
      </c>
      <c r="I1223" s="12" t="s">
        <v>2237</v>
      </c>
      <c r="J1223" s="12">
        <v>0</v>
      </c>
      <c r="K1223" s="12" t="s">
        <v>2237</v>
      </c>
      <c r="L1223" s="12">
        <v>0</v>
      </c>
      <c r="M1223" s="12" t="s">
        <v>2237</v>
      </c>
      <c r="N1223" s="8">
        <v>80498.53</v>
      </c>
      <c r="O1223" s="12" t="s">
        <v>2237</v>
      </c>
      <c r="P1223" s="12" t="s">
        <v>2236</v>
      </c>
      <c r="Q1223" s="10" t="s">
        <v>2242</v>
      </c>
      <c r="R1223" s="10" t="s">
        <v>2238</v>
      </c>
      <c r="S1223" s="10" t="s">
        <v>2243</v>
      </c>
      <c r="T1223" s="10" t="s">
        <v>2645</v>
      </c>
      <c r="U12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E530-30101020216-D225301</v>
      </c>
      <c r="Z12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3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12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4" spans="1:31" hidden="1" x14ac:dyDescent="0.3">
      <c r="A1224" s="12" t="s">
        <v>3979</v>
      </c>
      <c r="B1224" s="12" t="s">
        <v>30</v>
      </c>
      <c r="C1224" s="12" t="s">
        <v>417</v>
      </c>
      <c r="D1224" s="12" t="s">
        <v>2022</v>
      </c>
      <c r="E1224" s="12" t="s">
        <v>2842</v>
      </c>
      <c r="F1224" s="8">
        <v>0</v>
      </c>
      <c r="G1224" s="12" t="s">
        <v>2237</v>
      </c>
      <c r="H1224" s="12">
        <v>0</v>
      </c>
      <c r="I1224" s="12" t="s">
        <v>2237</v>
      </c>
      <c r="J1224" s="12">
        <v>0</v>
      </c>
      <c r="K1224" s="12" t="s">
        <v>2237</v>
      </c>
      <c r="L1224" s="12">
        <v>0</v>
      </c>
      <c r="M1224" s="12" t="s">
        <v>2237</v>
      </c>
      <c r="N1224" s="8">
        <v>60329.68</v>
      </c>
      <c r="O1224" s="12" t="s">
        <v>2237</v>
      </c>
      <c r="P1224" s="12" t="s">
        <v>2236</v>
      </c>
      <c r="Q1224" s="10" t="s">
        <v>2242</v>
      </c>
      <c r="R1224" s="10" t="s">
        <v>2238</v>
      </c>
      <c r="S1224" s="10" t="s">
        <v>2243</v>
      </c>
      <c r="T1224" s="10" t="s">
        <v>2645</v>
      </c>
      <c r="U12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E530-30101020215-D225301</v>
      </c>
      <c r="Z12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4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12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5" spans="1:31" hidden="1" x14ac:dyDescent="0.3">
      <c r="A1225" s="12" t="s">
        <v>3980</v>
      </c>
      <c r="B1225" s="12" t="s">
        <v>30</v>
      </c>
      <c r="C1225" s="12" t="s">
        <v>1903</v>
      </c>
      <c r="D1225" s="12" t="s">
        <v>2023</v>
      </c>
      <c r="E1225" s="12" t="s">
        <v>2842</v>
      </c>
      <c r="F1225" s="8">
        <v>0</v>
      </c>
      <c r="G1225" s="12" t="s">
        <v>2237</v>
      </c>
      <c r="H1225" s="12">
        <v>0</v>
      </c>
      <c r="I1225" s="12" t="s">
        <v>2237</v>
      </c>
      <c r="J1225" s="12">
        <v>0</v>
      </c>
      <c r="K1225" s="12" t="s">
        <v>2237</v>
      </c>
      <c r="L1225" s="12">
        <v>0</v>
      </c>
      <c r="M1225" s="12" t="s">
        <v>2237</v>
      </c>
      <c r="N1225" s="8">
        <v>0</v>
      </c>
      <c r="O1225" s="12" t="s">
        <v>2237</v>
      </c>
      <c r="P1225" s="12" t="s">
        <v>2236</v>
      </c>
      <c r="Q1225" s="10" t="s">
        <v>2242</v>
      </c>
      <c r="R1225" s="10" t="s">
        <v>2238</v>
      </c>
      <c r="S1225" s="10" t="s">
        <v>2243</v>
      </c>
      <c r="T1225" s="10" t="s">
        <v>2645</v>
      </c>
      <c r="U12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E530-30101020214-D225301</v>
      </c>
      <c r="Z12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5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12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6" spans="1:31" hidden="1" x14ac:dyDescent="0.3">
      <c r="A1226" s="12" t="s">
        <v>3981</v>
      </c>
      <c r="B1226" s="12" t="s">
        <v>30</v>
      </c>
      <c r="C1226" s="12" t="s">
        <v>423</v>
      </c>
      <c r="D1226" s="12" t="s">
        <v>2024</v>
      </c>
      <c r="E1226" s="12" t="s">
        <v>2842</v>
      </c>
      <c r="F1226" s="8">
        <v>0</v>
      </c>
      <c r="G1226" s="12" t="s">
        <v>2237</v>
      </c>
      <c r="H1226" s="12">
        <v>0</v>
      </c>
      <c r="I1226" s="12" t="s">
        <v>2237</v>
      </c>
      <c r="J1226" s="12">
        <v>0</v>
      </c>
      <c r="K1226" s="12" t="s">
        <v>2237</v>
      </c>
      <c r="L1226" s="12">
        <v>0</v>
      </c>
      <c r="M1226" s="12" t="s">
        <v>2237</v>
      </c>
      <c r="N1226" s="8">
        <v>67575</v>
      </c>
      <c r="O1226" s="12" t="s">
        <v>2237</v>
      </c>
      <c r="P1226" s="12" t="s">
        <v>2236</v>
      </c>
      <c r="Q1226" s="10" t="s">
        <v>2242</v>
      </c>
      <c r="R1226" s="10" t="s">
        <v>2238</v>
      </c>
      <c r="S1226" s="10" t="s">
        <v>2243</v>
      </c>
      <c r="T1226" s="10" t="s">
        <v>2645</v>
      </c>
      <c r="U12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E530-30101020213-D225301</v>
      </c>
      <c r="Z12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6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12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7" spans="1:31" hidden="1" x14ac:dyDescent="0.3">
      <c r="A1227" s="12" t="s">
        <v>3982</v>
      </c>
      <c r="B1227" s="12" t="s">
        <v>30</v>
      </c>
      <c r="C1227" s="12" t="s">
        <v>426</v>
      </c>
      <c r="D1227" s="12" t="s">
        <v>2025</v>
      </c>
      <c r="E1227" s="12" t="s">
        <v>2842</v>
      </c>
      <c r="F1227" s="8">
        <v>0</v>
      </c>
      <c r="G1227" s="12" t="s">
        <v>2237</v>
      </c>
      <c r="H1227" s="12">
        <v>0</v>
      </c>
      <c r="I1227" s="12" t="s">
        <v>2237</v>
      </c>
      <c r="J1227" s="12">
        <v>0</v>
      </c>
      <c r="K1227" s="12" t="s">
        <v>2237</v>
      </c>
      <c r="L1227" s="12">
        <v>0</v>
      </c>
      <c r="M1227" s="12" t="s">
        <v>2237</v>
      </c>
      <c r="N1227" s="8">
        <v>0</v>
      </c>
      <c r="O1227" s="12" t="s">
        <v>2237</v>
      </c>
      <c r="P1227" s="12" t="s">
        <v>2236</v>
      </c>
      <c r="Q1227" s="10" t="s">
        <v>2242</v>
      </c>
      <c r="R1227" s="10" t="s">
        <v>2238</v>
      </c>
      <c r="S1227" s="10" t="s">
        <v>2243</v>
      </c>
      <c r="T1227" s="10" t="s">
        <v>2645</v>
      </c>
      <c r="U12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E530-30101020247-D225301</v>
      </c>
      <c r="Z122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7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12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8" spans="1:31" hidden="1" x14ac:dyDescent="0.3">
      <c r="A1228" s="12" t="s">
        <v>3983</v>
      </c>
      <c r="B1228" s="12" t="s">
        <v>30</v>
      </c>
      <c r="C1228" s="12" t="s">
        <v>429</v>
      </c>
      <c r="D1228" s="12" t="s">
        <v>2026</v>
      </c>
      <c r="E1228" s="12" t="s">
        <v>2842</v>
      </c>
      <c r="F1228" s="8">
        <v>0</v>
      </c>
      <c r="G1228" s="12" t="s">
        <v>2237</v>
      </c>
      <c r="H1228" s="12">
        <v>0</v>
      </c>
      <c r="I1228" s="12" t="s">
        <v>2237</v>
      </c>
      <c r="J1228" s="12">
        <v>0</v>
      </c>
      <c r="K1228" s="12" t="s">
        <v>2237</v>
      </c>
      <c r="L1228" s="12">
        <v>0</v>
      </c>
      <c r="M1228" s="12" t="s">
        <v>2237</v>
      </c>
      <c r="N1228" s="8">
        <v>476892.74</v>
      </c>
      <c r="O1228" s="12" t="s">
        <v>2237</v>
      </c>
      <c r="P1228" s="12" t="s">
        <v>2236</v>
      </c>
      <c r="Q1228" s="10" t="s">
        <v>2242</v>
      </c>
      <c r="R1228" s="10" t="s">
        <v>2238</v>
      </c>
      <c r="S1228" s="10" t="s">
        <v>2243</v>
      </c>
      <c r="T1228" s="10" t="s">
        <v>2645</v>
      </c>
      <c r="U12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E530-30101020212-D225301</v>
      </c>
      <c r="Z122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8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12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29" spans="1:31" hidden="1" x14ac:dyDescent="0.3">
      <c r="A1229" s="12" t="s">
        <v>3984</v>
      </c>
      <c r="B1229" s="12" t="s">
        <v>30</v>
      </c>
      <c r="C1229" s="12" t="s">
        <v>432</v>
      </c>
      <c r="D1229" s="12" t="s">
        <v>2027</v>
      </c>
      <c r="E1229" s="12" t="s">
        <v>2842</v>
      </c>
      <c r="F1229" s="8">
        <v>0</v>
      </c>
      <c r="G1229" s="12" t="s">
        <v>2237</v>
      </c>
      <c r="H1229" s="12">
        <v>0</v>
      </c>
      <c r="I1229" s="12" t="s">
        <v>2237</v>
      </c>
      <c r="J1229" s="12">
        <v>0</v>
      </c>
      <c r="K1229" s="12" t="s">
        <v>2237</v>
      </c>
      <c r="L1229" s="12">
        <v>0</v>
      </c>
      <c r="M1229" s="12" t="s">
        <v>2237</v>
      </c>
      <c r="N1229" s="8">
        <v>67979.199999999997</v>
      </c>
      <c r="O1229" s="12" t="s">
        <v>2237</v>
      </c>
      <c r="P1229" s="12" t="s">
        <v>2236</v>
      </c>
      <c r="Q1229" s="10" t="s">
        <v>2242</v>
      </c>
      <c r="R1229" s="10" t="s">
        <v>2238</v>
      </c>
      <c r="S1229" s="10" t="s">
        <v>2243</v>
      </c>
      <c r="T1229" s="10" t="s">
        <v>2645</v>
      </c>
      <c r="U12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2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2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2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2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E530-30101020211-D225301</v>
      </c>
      <c r="Z122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2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2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29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12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0" spans="1:31" hidden="1" x14ac:dyDescent="0.3">
      <c r="A1230" s="12" t="s">
        <v>3985</v>
      </c>
      <c r="B1230" s="12" t="s">
        <v>30</v>
      </c>
      <c r="C1230" s="12" t="s">
        <v>435</v>
      </c>
      <c r="D1230" s="12" t="s">
        <v>2028</v>
      </c>
      <c r="E1230" s="12" t="s">
        <v>2842</v>
      </c>
      <c r="F1230" s="8">
        <v>0</v>
      </c>
      <c r="G1230" s="12" t="s">
        <v>2237</v>
      </c>
      <c r="H1230" s="12">
        <v>0</v>
      </c>
      <c r="I1230" s="12" t="s">
        <v>2237</v>
      </c>
      <c r="J1230" s="12">
        <v>0</v>
      </c>
      <c r="K1230" s="12" t="s">
        <v>2237</v>
      </c>
      <c r="L1230" s="12">
        <v>0</v>
      </c>
      <c r="M1230" s="12" t="s">
        <v>2237</v>
      </c>
      <c r="N1230" s="8">
        <v>271966.42</v>
      </c>
      <c r="O1230" s="12" t="s">
        <v>2237</v>
      </c>
      <c r="P1230" s="12" t="s">
        <v>2236</v>
      </c>
      <c r="Q1230" s="10" t="s">
        <v>2242</v>
      </c>
      <c r="R1230" s="10" t="s">
        <v>2238</v>
      </c>
      <c r="S1230" s="10" t="s">
        <v>2243</v>
      </c>
      <c r="T1230" s="10" t="s">
        <v>2645</v>
      </c>
      <c r="U12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3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E530-30101020210-D225301</v>
      </c>
      <c r="Z123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30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12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1" spans="1:31" hidden="1" x14ac:dyDescent="0.3">
      <c r="A1231" s="12" t="s">
        <v>3986</v>
      </c>
      <c r="B1231" s="12" t="s">
        <v>30</v>
      </c>
      <c r="C1231" s="12" t="s">
        <v>438</v>
      </c>
      <c r="D1231" s="12" t="s">
        <v>2029</v>
      </c>
      <c r="E1231" s="12" t="s">
        <v>2842</v>
      </c>
      <c r="F1231" s="8">
        <v>0</v>
      </c>
      <c r="G1231" s="12" t="s">
        <v>2237</v>
      </c>
      <c r="H1231" s="12">
        <v>0</v>
      </c>
      <c r="I1231" s="12" t="s">
        <v>2237</v>
      </c>
      <c r="J1231" s="12">
        <v>0</v>
      </c>
      <c r="K1231" s="12" t="s">
        <v>2237</v>
      </c>
      <c r="L1231" s="12">
        <v>0</v>
      </c>
      <c r="M1231" s="12" t="s">
        <v>2237</v>
      </c>
      <c r="N1231" s="8">
        <v>269816.43</v>
      </c>
      <c r="O1231" s="12" t="s">
        <v>2237</v>
      </c>
      <c r="P1231" s="12" t="s">
        <v>2236</v>
      </c>
      <c r="Q1231" s="10" t="s">
        <v>2242</v>
      </c>
      <c r="R1231" s="10" t="s">
        <v>2238</v>
      </c>
      <c r="S1231" s="10" t="s">
        <v>2243</v>
      </c>
      <c r="T1231" s="10" t="s">
        <v>2645</v>
      </c>
      <c r="U12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3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E530-30101020209-D225301</v>
      </c>
      <c r="Z123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31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12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2" spans="1:31" hidden="1" x14ac:dyDescent="0.3">
      <c r="A1232" s="12" t="s">
        <v>3987</v>
      </c>
      <c r="B1232" s="12" t="s">
        <v>30</v>
      </c>
      <c r="C1232" s="12" t="s">
        <v>441</v>
      </c>
      <c r="D1232" s="12" t="s">
        <v>2030</v>
      </c>
      <c r="E1232" s="12" t="s">
        <v>2842</v>
      </c>
      <c r="F1232" s="8">
        <v>0</v>
      </c>
      <c r="G1232" s="12" t="s">
        <v>2237</v>
      </c>
      <c r="H1232" s="12">
        <v>0</v>
      </c>
      <c r="I1232" s="12" t="s">
        <v>2237</v>
      </c>
      <c r="J1232" s="12">
        <v>0</v>
      </c>
      <c r="K1232" s="12" t="s">
        <v>2237</v>
      </c>
      <c r="L1232" s="12">
        <v>0</v>
      </c>
      <c r="M1232" s="12" t="s">
        <v>2237</v>
      </c>
      <c r="N1232" s="8">
        <v>105762.5</v>
      </c>
      <c r="O1232" s="12" t="s">
        <v>2237</v>
      </c>
      <c r="P1232" s="12" t="s">
        <v>2236</v>
      </c>
      <c r="Q1232" s="10" t="s">
        <v>2242</v>
      </c>
      <c r="R1232" s="10" t="s">
        <v>2238</v>
      </c>
      <c r="S1232" s="10" t="s">
        <v>2243</v>
      </c>
      <c r="T1232" s="10" t="s">
        <v>2645</v>
      </c>
      <c r="U12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3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E530-30101020208-D225301</v>
      </c>
      <c r="Z123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32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12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3" spans="1:31" hidden="1" x14ac:dyDescent="0.3">
      <c r="A1233" s="12" t="s">
        <v>3988</v>
      </c>
      <c r="B1233" s="12" t="s">
        <v>30</v>
      </c>
      <c r="C1233" s="12" t="s">
        <v>1912</v>
      </c>
      <c r="D1233" s="12" t="s">
        <v>2031</v>
      </c>
      <c r="E1233" s="12" t="s">
        <v>2842</v>
      </c>
      <c r="F1233" s="8">
        <v>0</v>
      </c>
      <c r="G1233" s="12" t="s">
        <v>2237</v>
      </c>
      <c r="H1233" s="12">
        <v>0</v>
      </c>
      <c r="I1233" s="12" t="s">
        <v>2237</v>
      </c>
      <c r="J1233" s="12">
        <v>0</v>
      </c>
      <c r="K1233" s="12" t="s">
        <v>2237</v>
      </c>
      <c r="L1233" s="12">
        <v>0</v>
      </c>
      <c r="M1233" s="12" t="s">
        <v>2237</v>
      </c>
      <c r="N1233" s="8">
        <v>345656.38</v>
      </c>
      <c r="O1233" s="12" t="s">
        <v>2237</v>
      </c>
      <c r="P1233" s="12" t="s">
        <v>2236</v>
      </c>
      <c r="Q1233" s="10" t="s">
        <v>2242</v>
      </c>
      <c r="R1233" s="10" t="s">
        <v>2238</v>
      </c>
      <c r="S1233" s="10" t="s">
        <v>2243</v>
      </c>
      <c r="T1233" s="10" t="s">
        <v>2645</v>
      </c>
      <c r="U12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3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E530-30101020207-D225301</v>
      </c>
      <c r="Z123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33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12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4" spans="1:31" hidden="1" x14ac:dyDescent="0.3">
      <c r="A1234" s="12" t="s">
        <v>3989</v>
      </c>
      <c r="B1234" s="12" t="s">
        <v>30</v>
      </c>
      <c r="C1234" s="12" t="s">
        <v>447</v>
      </c>
      <c r="D1234" s="12" t="s">
        <v>2032</v>
      </c>
      <c r="E1234" s="12" t="s">
        <v>2842</v>
      </c>
      <c r="F1234" s="8">
        <v>0</v>
      </c>
      <c r="G1234" s="12" t="s">
        <v>2237</v>
      </c>
      <c r="H1234" s="12">
        <v>0</v>
      </c>
      <c r="I1234" s="12" t="s">
        <v>2237</v>
      </c>
      <c r="J1234" s="12">
        <v>0</v>
      </c>
      <c r="K1234" s="12" t="s">
        <v>2237</v>
      </c>
      <c r="L1234" s="12">
        <v>0</v>
      </c>
      <c r="M1234" s="12" t="s">
        <v>2237</v>
      </c>
      <c r="N1234" s="8">
        <v>577880</v>
      </c>
      <c r="O1234" s="12" t="s">
        <v>2237</v>
      </c>
      <c r="P1234" s="12" t="s">
        <v>2236</v>
      </c>
      <c r="Q1234" s="10" t="s">
        <v>2242</v>
      </c>
      <c r="R1234" s="10" t="s">
        <v>2238</v>
      </c>
      <c r="S1234" s="10" t="s">
        <v>2243</v>
      </c>
      <c r="T1234" s="10" t="s">
        <v>2645</v>
      </c>
      <c r="U12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3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E530-30101020205-D225301</v>
      </c>
      <c r="Z123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34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12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5" spans="1:31" hidden="1" x14ac:dyDescent="0.3">
      <c r="A1235" s="12" t="s">
        <v>3990</v>
      </c>
      <c r="B1235" s="12" t="s">
        <v>30</v>
      </c>
      <c r="C1235" s="12" t="s">
        <v>1915</v>
      </c>
      <c r="D1235" s="12" t="s">
        <v>2033</v>
      </c>
      <c r="E1235" s="12" t="s">
        <v>2842</v>
      </c>
      <c r="F1235" s="8">
        <v>0</v>
      </c>
      <c r="G1235" s="12" t="s">
        <v>2237</v>
      </c>
      <c r="H1235" s="12">
        <v>0</v>
      </c>
      <c r="I1235" s="12" t="s">
        <v>2237</v>
      </c>
      <c r="J1235" s="12">
        <v>0</v>
      </c>
      <c r="K1235" s="12" t="s">
        <v>2237</v>
      </c>
      <c r="L1235" s="12">
        <v>0</v>
      </c>
      <c r="M1235" s="12" t="s">
        <v>2237</v>
      </c>
      <c r="N1235" s="8">
        <v>679</v>
      </c>
      <c r="O1235" s="12" t="s">
        <v>2237</v>
      </c>
      <c r="P1235" s="12" t="s">
        <v>2236</v>
      </c>
      <c r="Q1235" s="10" t="s">
        <v>2242</v>
      </c>
      <c r="R1235" s="10" t="s">
        <v>2238</v>
      </c>
      <c r="S1235" s="10" t="s">
        <v>2243</v>
      </c>
      <c r="T1235" s="10" t="s">
        <v>2645</v>
      </c>
      <c r="U12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E530-301010202-D225301</v>
      </c>
      <c r="Y123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E530-30101020204-D225301</v>
      </c>
      <c r="Z123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35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12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36" spans="1:31" x14ac:dyDescent="0.3">
      <c r="A1236" s="12" t="s">
        <v>3991</v>
      </c>
      <c r="B1236" s="12" t="s">
        <v>26</v>
      </c>
      <c r="C1236" s="12" t="s">
        <v>2034</v>
      </c>
      <c r="D1236" s="12" t="s">
        <v>2035</v>
      </c>
      <c r="E1236" s="12" t="s">
        <v>2842</v>
      </c>
      <c r="F1236" s="8">
        <v>30000</v>
      </c>
      <c r="G1236" s="12" t="s">
        <v>2237</v>
      </c>
      <c r="H1236" s="12">
        <v>30000</v>
      </c>
      <c r="I1236" s="12" t="s">
        <v>2237</v>
      </c>
      <c r="J1236" s="12">
        <v>0</v>
      </c>
      <c r="K1236" s="12" t="s">
        <v>2237</v>
      </c>
      <c r="L1236" s="12">
        <v>0</v>
      </c>
      <c r="M1236" s="12" t="s">
        <v>2237</v>
      </c>
      <c r="N1236" s="8">
        <v>26370.44</v>
      </c>
      <c r="O1236" s="12" t="s">
        <v>2237</v>
      </c>
      <c r="P1236" s="12" t="s">
        <v>2236</v>
      </c>
      <c r="Q1236" s="10" t="s">
        <v>2242</v>
      </c>
      <c r="R1236" s="10" t="s">
        <v>2238</v>
      </c>
      <c r="S1236" s="10" t="s">
        <v>2243</v>
      </c>
      <c r="T1236" s="10" t="s">
        <v>3351</v>
      </c>
      <c r="U12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E530-301010201-D225301</v>
      </c>
      <c r="Y12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3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2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36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3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37" spans="1:31" x14ac:dyDescent="0.3">
      <c r="A1237" s="12" t="s">
        <v>3992</v>
      </c>
      <c r="B1237" s="12" t="s">
        <v>30</v>
      </c>
      <c r="C1237" s="12" t="s">
        <v>2036</v>
      </c>
      <c r="D1237" s="12" t="s">
        <v>2037</v>
      </c>
      <c r="E1237" s="12" t="s">
        <v>2842</v>
      </c>
      <c r="F1237" s="8">
        <v>0</v>
      </c>
      <c r="G1237" s="12" t="s">
        <v>2237</v>
      </c>
      <c r="H1237" s="12">
        <v>0</v>
      </c>
      <c r="I1237" s="12" t="s">
        <v>2237</v>
      </c>
      <c r="J1237" s="12">
        <v>0</v>
      </c>
      <c r="K1237" s="12" t="s">
        <v>2237</v>
      </c>
      <c r="L1237" s="12">
        <v>0</v>
      </c>
      <c r="M1237" s="12" t="s">
        <v>2237</v>
      </c>
      <c r="N1237" s="8">
        <v>26370.44</v>
      </c>
      <c r="O1237" s="12" t="s">
        <v>2237</v>
      </c>
      <c r="P1237" s="12" t="s">
        <v>2236</v>
      </c>
      <c r="Q1237" s="10" t="s">
        <v>2242</v>
      </c>
      <c r="R1237" s="10" t="s">
        <v>2238</v>
      </c>
      <c r="S1237" s="10" t="s">
        <v>2243</v>
      </c>
      <c r="T1237" s="10" t="s">
        <v>2645</v>
      </c>
      <c r="U12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E530-301010201-D225301</v>
      </c>
      <c r="Y123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E530-30101020160-D225301</v>
      </c>
      <c r="Z123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237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1237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38" spans="1:31" x14ac:dyDescent="0.3">
      <c r="A1238" s="12" t="s">
        <v>3993</v>
      </c>
      <c r="B1238" s="12" t="s">
        <v>26</v>
      </c>
      <c r="C1238" s="12" t="s">
        <v>2038</v>
      </c>
      <c r="D1238" s="12" t="s">
        <v>2039</v>
      </c>
      <c r="E1238" s="12" t="s">
        <v>2842</v>
      </c>
      <c r="F1238" s="8">
        <v>937668.01</v>
      </c>
      <c r="G1238" s="12" t="s">
        <v>2237</v>
      </c>
      <c r="H1238" s="12">
        <v>937668.01</v>
      </c>
      <c r="I1238" s="12" t="s">
        <v>2237</v>
      </c>
      <c r="J1238" s="12">
        <v>0</v>
      </c>
      <c r="K1238" s="12" t="s">
        <v>2237</v>
      </c>
      <c r="L1238" s="12">
        <v>0</v>
      </c>
      <c r="M1238" s="12" t="s">
        <v>2237</v>
      </c>
      <c r="N1238" s="8">
        <v>983796.31</v>
      </c>
      <c r="O1238" s="12" t="s">
        <v>2237</v>
      </c>
      <c r="P1238" s="12" t="s">
        <v>2236</v>
      </c>
      <c r="Q1238" s="10" t="s">
        <v>2242</v>
      </c>
      <c r="R1238" s="10" t="s">
        <v>2238</v>
      </c>
      <c r="S1238" s="10" t="s">
        <v>2243</v>
      </c>
      <c r="T1238" s="10" t="s">
        <v>3351</v>
      </c>
      <c r="U12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E530-301010261-D225301</v>
      </c>
      <c r="Y12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3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38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39" spans="1:31" x14ac:dyDescent="0.3">
      <c r="A1239" s="12" t="s">
        <v>3994</v>
      </c>
      <c r="B1239" s="12" t="s">
        <v>30</v>
      </c>
      <c r="C1239" s="12" t="s">
        <v>2040</v>
      </c>
      <c r="D1239" s="12" t="s">
        <v>2041</v>
      </c>
      <c r="E1239" s="12" t="s">
        <v>2842</v>
      </c>
      <c r="F1239" s="8">
        <v>0</v>
      </c>
      <c r="G1239" s="12" t="s">
        <v>2237</v>
      </c>
      <c r="H1239" s="12">
        <v>0</v>
      </c>
      <c r="I1239" s="12" t="s">
        <v>2237</v>
      </c>
      <c r="J1239" s="12">
        <v>0</v>
      </c>
      <c r="K1239" s="12" t="s">
        <v>2237</v>
      </c>
      <c r="L1239" s="12">
        <v>0</v>
      </c>
      <c r="M1239" s="12" t="s">
        <v>2237</v>
      </c>
      <c r="N1239" s="8">
        <v>21580.53</v>
      </c>
      <c r="O1239" s="12" t="s">
        <v>2237</v>
      </c>
      <c r="P1239" s="12" t="s">
        <v>2236</v>
      </c>
      <c r="Q1239" s="10" t="s">
        <v>2242</v>
      </c>
      <c r="R1239" s="10" t="s">
        <v>2238</v>
      </c>
      <c r="S1239" s="10" t="s">
        <v>2243</v>
      </c>
      <c r="T1239" s="10" t="s">
        <v>2645</v>
      </c>
      <c r="U123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3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3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3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E530-301010261-D225301</v>
      </c>
      <c r="Y123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E530-30101026193-D225301</v>
      </c>
      <c r="Z123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3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3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39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1239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40" spans="1:31" x14ac:dyDescent="0.3">
      <c r="A1240" s="12" t="s">
        <v>3995</v>
      </c>
      <c r="B1240" s="12" t="s">
        <v>30</v>
      </c>
      <c r="C1240" s="12" t="s">
        <v>2042</v>
      </c>
      <c r="D1240" s="12" t="s">
        <v>2043</v>
      </c>
      <c r="E1240" s="12" t="s">
        <v>2842</v>
      </c>
      <c r="F1240" s="8">
        <v>0</v>
      </c>
      <c r="G1240" s="12" t="s">
        <v>2237</v>
      </c>
      <c r="H1240" s="12">
        <v>0</v>
      </c>
      <c r="I1240" s="12" t="s">
        <v>2237</v>
      </c>
      <c r="J1240" s="12">
        <v>0</v>
      </c>
      <c r="K1240" s="12" t="s">
        <v>2237</v>
      </c>
      <c r="L1240" s="12">
        <v>0</v>
      </c>
      <c r="M1240" s="12" t="s">
        <v>2237</v>
      </c>
      <c r="N1240" s="8">
        <v>587193.81000000006</v>
      </c>
      <c r="O1240" s="12" t="s">
        <v>2237</v>
      </c>
      <c r="P1240" s="12" t="s">
        <v>2236</v>
      </c>
      <c r="Q1240" s="10" t="s">
        <v>2242</v>
      </c>
      <c r="R1240" s="10" t="s">
        <v>2238</v>
      </c>
      <c r="S1240" s="10" t="s">
        <v>2243</v>
      </c>
      <c r="T1240" s="10" t="s">
        <v>2645</v>
      </c>
      <c r="U124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4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E530-301010261-D225301</v>
      </c>
      <c r="Y124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E530-30101026118-D225301</v>
      </c>
      <c r="Z124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40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1240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41" spans="1:31" x14ac:dyDescent="0.3">
      <c r="A1241" s="12" t="s">
        <v>3996</v>
      </c>
      <c r="B1241" s="12" t="s">
        <v>30</v>
      </c>
      <c r="C1241" s="12" t="s">
        <v>2044</v>
      </c>
      <c r="D1241" s="12" t="s">
        <v>2045</v>
      </c>
      <c r="E1241" s="12" t="s">
        <v>2842</v>
      </c>
      <c r="F1241" s="8">
        <v>0</v>
      </c>
      <c r="G1241" s="12" t="s">
        <v>2237</v>
      </c>
      <c r="H1241" s="12">
        <v>0</v>
      </c>
      <c r="I1241" s="12" t="s">
        <v>2237</v>
      </c>
      <c r="J1241" s="12">
        <v>0</v>
      </c>
      <c r="K1241" s="12" t="s">
        <v>2237</v>
      </c>
      <c r="L1241" s="12">
        <v>0</v>
      </c>
      <c r="M1241" s="12" t="s">
        <v>2237</v>
      </c>
      <c r="N1241" s="8">
        <v>55296.04</v>
      </c>
      <c r="O1241" s="12" t="s">
        <v>2237</v>
      </c>
      <c r="P1241" s="12" t="s">
        <v>2236</v>
      </c>
      <c r="Q1241" s="10" t="s">
        <v>2242</v>
      </c>
      <c r="R1241" s="10" t="s">
        <v>2238</v>
      </c>
      <c r="S1241" s="10" t="s">
        <v>2243</v>
      </c>
      <c r="T1241" s="10" t="s">
        <v>2645</v>
      </c>
      <c r="U124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4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E530-301010261-D225301</v>
      </c>
      <c r="Y124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E530-30101026102-D225301</v>
      </c>
      <c r="Z124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41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1241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42" spans="1:31" x14ac:dyDescent="0.3">
      <c r="A1242" s="12" t="s">
        <v>3997</v>
      </c>
      <c r="B1242" s="12" t="s">
        <v>30</v>
      </c>
      <c r="C1242" s="12" t="s">
        <v>2046</v>
      </c>
      <c r="D1242" s="12" t="s">
        <v>2047</v>
      </c>
      <c r="E1242" s="12" t="s">
        <v>2842</v>
      </c>
      <c r="F1242" s="8">
        <v>0</v>
      </c>
      <c r="G1242" s="12" t="s">
        <v>2237</v>
      </c>
      <c r="H1242" s="12">
        <v>0</v>
      </c>
      <c r="I1242" s="12" t="s">
        <v>2237</v>
      </c>
      <c r="J1242" s="12">
        <v>0</v>
      </c>
      <c r="K1242" s="12" t="s">
        <v>2237</v>
      </c>
      <c r="L1242" s="12">
        <v>0</v>
      </c>
      <c r="M1242" s="12" t="s">
        <v>2237</v>
      </c>
      <c r="N1242" s="8">
        <v>319725.93</v>
      </c>
      <c r="O1242" s="12" t="s">
        <v>2237</v>
      </c>
      <c r="P1242" s="12" t="s">
        <v>2236</v>
      </c>
      <c r="Q1242" s="10" t="s">
        <v>2242</v>
      </c>
      <c r="R1242" s="10" t="s">
        <v>2238</v>
      </c>
      <c r="S1242" s="10" t="s">
        <v>2243</v>
      </c>
      <c r="T1242" s="10" t="s">
        <v>2645</v>
      </c>
      <c r="U124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E530-3010102-D225301</v>
      </c>
      <c r="X124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E530-301010261-D225301</v>
      </c>
      <c r="Y124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E530-30101026101-D225301</v>
      </c>
      <c r="Z124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42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1242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43" spans="1:31" x14ac:dyDescent="0.3">
      <c r="A1243" s="12" t="s">
        <v>3998</v>
      </c>
      <c r="B1243" s="12" t="s">
        <v>21</v>
      </c>
      <c r="C1243" s="12" t="s">
        <v>2048</v>
      </c>
      <c r="D1243" s="12" t="s">
        <v>2049</v>
      </c>
      <c r="E1243" s="12" t="s">
        <v>2842</v>
      </c>
      <c r="F1243" s="8">
        <v>4224509.2699999996</v>
      </c>
      <c r="G1243" s="12" t="s">
        <v>2237</v>
      </c>
      <c r="H1243" s="12">
        <v>4224509.2699999996</v>
      </c>
      <c r="I1243" s="12" t="s">
        <v>2237</v>
      </c>
      <c r="J1243" s="12">
        <v>0</v>
      </c>
      <c r="K1243" s="12" t="s">
        <v>2237</v>
      </c>
      <c r="L1243" s="12">
        <v>7201.74</v>
      </c>
      <c r="M1243" s="12" t="s">
        <v>2237</v>
      </c>
      <c r="N1243" s="8">
        <v>4198483.24</v>
      </c>
      <c r="O1243" s="12" t="s">
        <v>2237</v>
      </c>
      <c r="P1243" s="12" t="s">
        <v>2236</v>
      </c>
      <c r="Q1243" s="10" t="s">
        <v>2242</v>
      </c>
      <c r="R1243" s="10" t="s">
        <v>2238</v>
      </c>
      <c r="S1243" s="10" t="s">
        <v>2243</v>
      </c>
      <c r="T1243" s="10" t="s">
        <v>2844</v>
      </c>
      <c r="U124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4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43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44" spans="1:31" x14ac:dyDescent="0.3">
      <c r="A1244" s="12" t="s">
        <v>3999</v>
      </c>
      <c r="B1244" s="12" t="s">
        <v>26</v>
      </c>
      <c r="C1244" s="12" t="s">
        <v>2050</v>
      </c>
      <c r="D1244" s="12" t="s">
        <v>2051</v>
      </c>
      <c r="E1244" s="12" t="s">
        <v>2842</v>
      </c>
      <c r="F1244" s="8">
        <v>3256841.26</v>
      </c>
      <c r="G1244" s="12" t="s">
        <v>2237</v>
      </c>
      <c r="H1244" s="12">
        <v>3256841.26</v>
      </c>
      <c r="I1244" s="12" t="s">
        <v>2237</v>
      </c>
      <c r="J1244" s="12">
        <v>0</v>
      </c>
      <c r="K1244" s="12" t="s">
        <v>2237</v>
      </c>
      <c r="L1244" s="12">
        <v>7201.74</v>
      </c>
      <c r="M1244" s="12" t="s">
        <v>2237</v>
      </c>
      <c r="N1244" s="8">
        <v>3230602.89</v>
      </c>
      <c r="O1244" s="12" t="s">
        <v>2237</v>
      </c>
      <c r="P1244" s="12" t="s">
        <v>2236</v>
      </c>
      <c r="Q1244" s="10" t="s">
        <v>2242</v>
      </c>
      <c r="R1244" s="10" t="s">
        <v>2238</v>
      </c>
      <c r="S1244" s="10" t="s">
        <v>2243</v>
      </c>
      <c r="T1244" s="10" t="s">
        <v>3054</v>
      </c>
      <c r="U124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4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4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44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45" spans="1:31" hidden="1" x14ac:dyDescent="0.3">
      <c r="A1245" s="12" t="s">
        <v>4000</v>
      </c>
      <c r="B1245" s="12" t="s">
        <v>30</v>
      </c>
      <c r="C1245" s="12" t="s">
        <v>390</v>
      </c>
      <c r="D1245" s="12" t="s">
        <v>2052</v>
      </c>
      <c r="E1245" s="12" t="s">
        <v>2842</v>
      </c>
      <c r="F1245" s="8">
        <v>0</v>
      </c>
      <c r="G1245" s="12" t="s">
        <v>2237</v>
      </c>
      <c r="H1245" s="12">
        <v>0</v>
      </c>
      <c r="I1245" s="12" t="s">
        <v>2237</v>
      </c>
      <c r="J1245" s="12">
        <v>0</v>
      </c>
      <c r="K1245" s="12" t="s">
        <v>2237</v>
      </c>
      <c r="L1245" s="12">
        <v>6742.78</v>
      </c>
      <c r="M1245" s="12" t="s">
        <v>2237</v>
      </c>
      <c r="N1245" s="8">
        <v>40772.11</v>
      </c>
      <c r="O1245" s="12" t="s">
        <v>2237</v>
      </c>
      <c r="P1245" s="12" t="s">
        <v>2236</v>
      </c>
      <c r="Q1245" s="10" t="s">
        <v>2242</v>
      </c>
      <c r="R1245" s="10" t="s">
        <v>2238</v>
      </c>
      <c r="S1245" s="10" t="s">
        <v>2243</v>
      </c>
      <c r="T1245" s="10" t="s">
        <v>2645</v>
      </c>
      <c r="U124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4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4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E530-30101010224-D225301</v>
      </c>
      <c r="Z124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45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12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46" spans="1:31" hidden="1" x14ac:dyDescent="0.3">
      <c r="A1246" s="12" t="s">
        <v>4001</v>
      </c>
      <c r="B1246" s="12" t="s">
        <v>30</v>
      </c>
      <c r="C1246" s="12" t="s">
        <v>1891</v>
      </c>
      <c r="D1246" s="12" t="s">
        <v>2053</v>
      </c>
      <c r="E1246" s="12" t="s">
        <v>2842</v>
      </c>
      <c r="F1246" s="8">
        <v>0</v>
      </c>
      <c r="G1246" s="12" t="s">
        <v>2237</v>
      </c>
      <c r="H1246" s="12">
        <v>0</v>
      </c>
      <c r="I1246" s="12" t="s">
        <v>2237</v>
      </c>
      <c r="J1246" s="12">
        <v>0</v>
      </c>
      <c r="K1246" s="12" t="s">
        <v>2237</v>
      </c>
      <c r="L1246" s="12">
        <v>0</v>
      </c>
      <c r="M1246" s="12" t="s">
        <v>2237</v>
      </c>
      <c r="N1246" s="8">
        <v>54349.72</v>
      </c>
      <c r="O1246" s="12" t="s">
        <v>2237</v>
      </c>
      <c r="P1246" s="12" t="s">
        <v>2236</v>
      </c>
      <c r="Q1246" s="10" t="s">
        <v>2242</v>
      </c>
      <c r="R1246" s="10" t="s">
        <v>2238</v>
      </c>
      <c r="S1246" s="10" t="s">
        <v>2243</v>
      </c>
      <c r="T1246" s="10" t="s">
        <v>2645</v>
      </c>
      <c r="U12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4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4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E530-30101010298-D225301</v>
      </c>
      <c r="Z124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46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12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47" spans="1:31" hidden="1" x14ac:dyDescent="0.3">
      <c r="A1247" s="12" t="s">
        <v>4002</v>
      </c>
      <c r="B1247" s="12" t="s">
        <v>30</v>
      </c>
      <c r="C1247" s="12" t="s">
        <v>1893</v>
      </c>
      <c r="D1247" s="12" t="s">
        <v>2054</v>
      </c>
      <c r="E1247" s="12" t="s">
        <v>2842</v>
      </c>
      <c r="F1247" s="8">
        <v>0</v>
      </c>
      <c r="G1247" s="12" t="s">
        <v>2237</v>
      </c>
      <c r="H1247" s="12">
        <v>0</v>
      </c>
      <c r="I1247" s="12" t="s">
        <v>2237</v>
      </c>
      <c r="J1247" s="12">
        <v>0</v>
      </c>
      <c r="K1247" s="12" t="s">
        <v>2237</v>
      </c>
      <c r="L1247" s="12">
        <v>0</v>
      </c>
      <c r="M1247" s="12" t="s">
        <v>2237</v>
      </c>
      <c r="N1247" s="8">
        <v>7705.26</v>
      </c>
      <c r="O1247" s="12" t="s">
        <v>2237</v>
      </c>
      <c r="P1247" s="12" t="s">
        <v>2236</v>
      </c>
      <c r="Q1247" s="10" t="s">
        <v>2242</v>
      </c>
      <c r="R1247" s="10" t="s">
        <v>2238</v>
      </c>
      <c r="S1247" s="10" t="s">
        <v>2243</v>
      </c>
      <c r="T1247" s="10" t="s">
        <v>2645</v>
      </c>
      <c r="U12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4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4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E530-30101010297-D225301</v>
      </c>
      <c r="Z124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47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12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48" spans="1:31" hidden="1" x14ac:dyDescent="0.3">
      <c r="A1248" s="12" t="s">
        <v>4003</v>
      </c>
      <c r="B1248" s="12" t="s">
        <v>30</v>
      </c>
      <c r="C1248" s="12" t="s">
        <v>399</v>
      </c>
      <c r="D1248" s="12" t="s">
        <v>2055</v>
      </c>
      <c r="E1248" s="12" t="s">
        <v>2842</v>
      </c>
      <c r="F1248" s="8">
        <v>0</v>
      </c>
      <c r="G1248" s="12" t="s">
        <v>2237</v>
      </c>
      <c r="H1248" s="12">
        <v>0</v>
      </c>
      <c r="I1248" s="12" t="s">
        <v>2237</v>
      </c>
      <c r="J1248" s="12">
        <v>0</v>
      </c>
      <c r="K1248" s="12" t="s">
        <v>2237</v>
      </c>
      <c r="L1248" s="12">
        <v>0</v>
      </c>
      <c r="M1248" s="12" t="s">
        <v>2237</v>
      </c>
      <c r="N1248" s="8">
        <v>0</v>
      </c>
      <c r="O1248" s="12" t="s">
        <v>2237</v>
      </c>
      <c r="P1248" s="12" t="s">
        <v>2236</v>
      </c>
      <c r="Q1248" s="10" t="s">
        <v>2242</v>
      </c>
      <c r="R1248" s="10" t="s">
        <v>2238</v>
      </c>
      <c r="S1248" s="10" t="s">
        <v>2243</v>
      </c>
      <c r="T1248" s="10" t="s">
        <v>2645</v>
      </c>
      <c r="U12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4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4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E530-30101010296-D225301</v>
      </c>
      <c r="Z124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48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12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49" spans="1:31" hidden="1" x14ac:dyDescent="0.3">
      <c r="A1249" s="12" t="s">
        <v>4004</v>
      </c>
      <c r="B1249" s="12" t="s">
        <v>30</v>
      </c>
      <c r="C1249" s="12" t="s">
        <v>402</v>
      </c>
      <c r="D1249" s="12" t="s">
        <v>2056</v>
      </c>
      <c r="E1249" s="12" t="s">
        <v>2842</v>
      </c>
      <c r="F1249" s="8">
        <v>0</v>
      </c>
      <c r="G1249" s="12" t="s">
        <v>2237</v>
      </c>
      <c r="H1249" s="12">
        <v>0</v>
      </c>
      <c r="I1249" s="12" t="s">
        <v>2237</v>
      </c>
      <c r="J1249" s="12">
        <v>0</v>
      </c>
      <c r="K1249" s="12" t="s">
        <v>2237</v>
      </c>
      <c r="L1249" s="12">
        <v>0</v>
      </c>
      <c r="M1249" s="12" t="s">
        <v>2237</v>
      </c>
      <c r="N1249" s="8">
        <v>0</v>
      </c>
      <c r="O1249" s="12" t="s">
        <v>2237</v>
      </c>
      <c r="P1249" s="12" t="s">
        <v>2236</v>
      </c>
      <c r="Q1249" s="10" t="s">
        <v>2242</v>
      </c>
      <c r="R1249" s="10" t="s">
        <v>2238</v>
      </c>
      <c r="S1249" s="10" t="s">
        <v>2243</v>
      </c>
      <c r="T1249" s="10" t="s">
        <v>2645</v>
      </c>
      <c r="U12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4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4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4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4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E530-30101010295-D225301</v>
      </c>
      <c r="Z124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4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4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49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12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0" spans="1:31" hidden="1" x14ac:dyDescent="0.3">
      <c r="A1250" s="12" t="s">
        <v>4005</v>
      </c>
      <c r="B1250" s="12" t="s">
        <v>30</v>
      </c>
      <c r="C1250" s="12" t="s">
        <v>405</v>
      </c>
      <c r="D1250" s="12" t="s">
        <v>2057</v>
      </c>
      <c r="E1250" s="12" t="s">
        <v>2842</v>
      </c>
      <c r="F1250" s="8">
        <v>0</v>
      </c>
      <c r="G1250" s="12" t="s">
        <v>2237</v>
      </c>
      <c r="H1250" s="12">
        <v>0</v>
      </c>
      <c r="I1250" s="12" t="s">
        <v>2237</v>
      </c>
      <c r="J1250" s="12">
        <v>0</v>
      </c>
      <c r="K1250" s="12" t="s">
        <v>2237</v>
      </c>
      <c r="L1250" s="12">
        <v>0</v>
      </c>
      <c r="M1250" s="12" t="s">
        <v>2237</v>
      </c>
      <c r="N1250" s="8">
        <v>14136.94</v>
      </c>
      <c r="O1250" s="12" t="s">
        <v>2237</v>
      </c>
      <c r="P1250" s="12" t="s">
        <v>2236</v>
      </c>
      <c r="Q1250" s="10" t="s">
        <v>2242</v>
      </c>
      <c r="R1250" s="10" t="s">
        <v>2238</v>
      </c>
      <c r="S1250" s="10" t="s">
        <v>2243</v>
      </c>
      <c r="T1250" s="10" t="s">
        <v>2645</v>
      </c>
      <c r="U12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E530-30101010294-D225301</v>
      </c>
      <c r="Z125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0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12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1" spans="1:31" hidden="1" x14ac:dyDescent="0.3">
      <c r="A1251" s="12" t="s">
        <v>4006</v>
      </c>
      <c r="B1251" s="12" t="s">
        <v>30</v>
      </c>
      <c r="C1251" s="12" t="s">
        <v>1898</v>
      </c>
      <c r="D1251" s="12" t="s">
        <v>2058</v>
      </c>
      <c r="E1251" s="12" t="s">
        <v>2842</v>
      </c>
      <c r="F1251" s="8">
        <v>0</v>
      </c>
      <c r="G1251" s="12" t="s">
        <v>2237</v>
      </c>
      <c r="H1251" s="12">
        <v>0</v>
      </c>
      <c r="I1251" s="12" t="s">
        <v>2237</v>
      </c>
      <c r="J1251" s="12">
        <v>0</v>
      </c>
      <c r="K1251" s="12" t="s">
        <v>2237</v>
      </c>
      <c r="L1251" s="12">
        <v>0</v>
      </c>
      <c r="M1251" s="12" t="s">
        <v>2237</v>
      </c>
      <c r="N1251" s="8">
        <v>0</v>
      </c>
      <c r="O1251" s="12" t="s">
        <v>2237</v>
      </c>
      <c r="P1251" s="12" t="s">
        <v>2236</v>
      </c>
      <c r="Q1251" s="10" t="s">
        <v>2242</v>
      </c>
      <c r="R1251" s="10" t="s">
        <v>2238</v>
      </c>
      <c r="S1251" s="10" t="s">
        <v>2243</v>
      </c>
      <c r="T1251" s="10" t="s">
        <v>2645</v>
      </c>
      <c r="U12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E530-30101010220-D225301</v>
      </c>
      <c r="Z125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1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12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2" spans="1:31" hidden="1" x14ac:dyDescent="0.3">
      <c r="A1252" s="12" t="s">
        <v>4007</v>
      </c>
      <c r="B1252" s="12" t="s">
        <v>30</v>
      </c>
      <c r="C1252" s="12" t="s">
        <v>411</v>
      </c>
      <c r="D1252" s="12" t="s">
        <v>2059</v>
      </c>
      <c r="E1252" s="12" t="s">
        <v>2842</v>
      </c>
      <c r="F1252" s="8">
        <v>0</v>
      </c>
      <c r="G1252" s="12" t="s">
        <v>2237</v>
      </c>
      <c r="H1252" s="12">
        <v>0</v>
      </c>
      <c r="I1252" s="12" t="s">
        <v>2237</v>
      </c>
      <c r="J1252" s="12">
        <v>0</v>
      </c>
      <c r="K1252" s="12" t="s">
        <v>2237</v>
      </c>
      <c r="L1252" s="12">
        <v>458.96</v>
      </c>
      <c r="M1252" s="12" t="s">
        <v>2237</v>
      </c>
      <c r="N1252" s="8">
        <v>20360.22</v>
      </c>
      <c r="O1252" s="12" t="s">
        <v>2237</v>
      </c>
      <c r="P1252" s="12" t="s">
        <v>2236</v>
      </c>
      <c r="Q1252" s="10" t="s">
        <v>2242</v>
      </c>
      <c r="R1252" s="10" t="s">
        <v>2238</v>
      </c>
      <c r="S1252" s="10" t="s">
        <v>2243</v>
      </c>
      <c r="T1252" s="10" t="s">
        <v>2645</v>
      </c>
      <c r="U12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E530-30101010217-D225301</v>
      </c>
      <c r="Z125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2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12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3" spans="1:31" hidden="1" x14ac:dyDescent="0.3">
      <c r="A1253" s="12" t="s">
        <v>4008</v>
      </c>
      <c r="B1253" s="12" t="s">
        <v>30</v>
      </c>
      <c r="C1253" s="12" t="s">
        <v>414</v>
      </c>
      <c r="D1253" s="12" t="s">
        <v>2060</v>
      </c>
      <c r="E1253" s="12" t="s">
        <v>2842</v>
      </c>
      <c r="F1253" s="8">
        <v>0</v>
      </c>
      <c r="G1253" s="12" t="s">
        <v>2237</v>
      </c>
      <c r="H1253" s="12">
        <v>0</v>
      </c>
      <c r="I1253" s="12" t="s">
        <v>2237</v>
      </c>
      <c r="J1253" s="12">
        <v>0</v>
      </c>
      <c r="K1253" s="12" t="s">
        <v>2237</v>
      </c>
      <c r="L1253" s="12">
        <v>0</v>
      </c>
      <c r="M1253" s="12" t="s">
        <v>2237</v>
      </c>
      <c r="N1253" s="8">
        <v>74087.429999999993</v>
      </c>
      <c r="O1253" s="12" t="s">
        <v>2237</v>
      </c>
      <c r="P1253" s="12" t="s">
        <v>2236</v>
      </c>
      <c r="Q1253" s="10" t="s">
        <v>2242</v>
      </c>
      <c r="R1253" s="10" t="s">
        <v>2238</v>
      </c>
      <c r="S1253" s="10" t="s">
        <v>2243</v>
      </c>
      <c r="T1253" s="10" t="s">
        <v>2645</v>
      </c>
      <c r="U12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E530-30101010216-D225301</v>
      </c>
      <c r="Z125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3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12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4" spans="1:31" hidden="1" x14ac:dyDescent="0.3">
      <c r="A1254" s="12" t="s">
        <v>4009</v>
      </c>
      <c r="B1254" s="12" t="s">
        <v>30</v>
      </c>
      <c r="C1254" s="12" t="s">
        <v>417</v>
      </c>
      <c r="D1254" s="12" t="s">
        <v>2061</v>
      </c>
      <c r="E1254" s="12" t="s">
        <v>2842</v>
      </c>
      <c r="F1254" s="8">
        <v>0</v>
      </c>
      <c r="G1254" s="12" t="s">
        <v>2237</v>
      </c>
      <c r="H1254" s="12">
        <v>0</v>
      </c>
      <c r="I1254" s="12" t="s">
        <v>2237</v>
      </c>
      <c r="J1254" s="12">
        <v>0</v>
      </c>
      <c r="K1254" s="12" t="s">
        <v>2237</v>
      </c>
      <c r="L1254" s="12">
        <v>0</v>
      </c>
      <c r="M1254" s="12" t="s">
        <v>2237</v>
      </c>
      <c r="N1254" s="8">
        <v>86100.33</v>
      </c>
      <c r="O1254" s="12" t="s">
        <v>2237</v>
      </c>
      <c r="P1254" s="12" t="s">
        <v>2236</v>
      </c>
      <c r="Q1254" s="10" t="s">
        <v>2242</v>
      </c>
      <c r="R1254" s="10" t="s">
        <v>2238</v>
      </c>
      <c r="S1254" s="10" t="s">
        <v>2243</v>
      </c>
      <c r="T1254" s="10" t="s">
        <v>2645</v>
      </c>
      <c r="U12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E530-30101010215-D225301</v>
      </c>
      <c r="Z125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4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12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5" spans="1:31" hidden="1" x14ac:dyDescent="0.3">
      <c r="A1255" s="12" t="s">
        <v>4010</v>
      </c>
      <c r="B1255" s="12" t="s">
        <v>30</v>
      </c>
      <c r="C1255" s="12" t="s">
        <v>1903</v>
      </c>
      <c r="D1255" s="12" t="s">
        <v>2062</v>
      </c>
      <c r="E1255" s="12" t="s">
        <v>2842</v>
      </c>
      <c r="F1255" s="8">
        <v>0</v>
      </c>
      <c r="G1255" s="12" t="s">
        <v>2237</v>
      </c>
      <c r="H1255" s="12">
        <v>0</v>
      </c>
      <c r="I1255" s="12" t="s">
        <v>2237</v>
      </c>
      <c r="J1255" s="12">
        <v>0</v>
      </c>
      <c r="K1255" s="12" t="s">
        <v>2237</v>
      </c>
      <c r="L1255" s="12">
        <v>0</v>
      </c>
      <c r="M1255" s="12" t="s">
        <v>2237</v>
      </c>
      <c r="N1255" s="8">
        <v>64482.04</v>
      </c>
      <c r="O1255" s="12" t="s">
        <v>2237</v>
      </c>
      <c r="P1255" s="12" t="s">
        <v>2236</v>
      </c>
      <c r="Q1255" s="10" t="s">
        <v>2242</v>
      </c>
      <c r="R1255" s="10" t="s">
        <v>2238</v>
      </c>
      <c r="S1255" s="10" t="s">
        <v>2243</v>
      </c>
      <c r="T1255" s="10" t="s">
        <v>2645</v>
      </c>
      <c r="U12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E530-30101010214-D225301</v>
      </c>
      <c r="Z125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5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12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6" spans="1:31" hidden="1" x14ac:dyDescent="0.3">
      <c r="A1256" s="12" t="s">
        <v>4011</v>
      </c>
      <c r="B1256" s="12" t="s">
        <v>30</v>
      </c>
      <c r="C1256" s="12" t="s">
        <v>423</v>
      </c>
      <c r="D1256" s="12" t="s">
        <v>2063</v>
      </c>
      <c r="E1256" s="12" t="s">
        <v>2842</v>
      </c>
      <c r="F1256" s="8">
        <v>0</v>
      </c>
      <c r="G1256" s="12" t="s">
        <v>2237</v>
      </c>
      <c r="H1256" s="12">
        <v>0</v>
      </c>
      <c r="I1256" s="12" t="s">
        <v>2237</v>
      </c>
      <c r="J1256" s="12">
        <v>0</v>
      </c>
      <c r="K1256" s="12" t="s">
        <v>2237</v>
      </c>
      <c r="L1256" s="12">
        <v>0</v>
      </c>
      <c r="M1256" s="12" t="s">
        <v>2237</v>
      </c>
      <c r="N1256" s="8">
        <v>29312</v>
      </c>
      <c r="O1256" s="12" t="s">
        <v>2237</v>
      </c>
      <c r="P1256" s="12" t="s">
        <v>2236</v>
      </c>
      <c r="Q1256" s="10" t="s">
        <v>2242</v>
      </c>
      <c r="R1256" s="10" t="s">
        <v>2238</v>
      </c>
      <c r="S1256" s="10" t="s">
        <v>2243</v>
      </c>
      <c r="T1256" s="10" t="s">
        <v>2645</v>
      </c>
      <c r="U125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E530-30101010213-D225301</v>
      </c>
      <c r="Z125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6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12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7" spans="1:31" hidden="1" x14ac:dyDescent="0.3">
      <c r="A1257" s="12" t="s">
        <v>4012</v>
      </c>
      <c r="B1257" s="12" t="s">
        <v>30</v>
      </c>
      <c r="C1257" s="12" t="s">
        <v>426</v>
      </c>
      <c r="D1257" s="12" t="s">
        <v>2064</v>
      </c>
      <c r="E1257" s="12" t="s">
        <v>2842</v>
      </c>
      <c r="F1257" s="8">
        <v>0</v>
      </c>
      <c r="G1257" s="12" t="s">
        <v>2237</v>
      </c>
      <c r="H1257" s="12">
        <v>0</v>
      </c>
      <c r="I1257" s="12" t="s">
        <v>2237</v>
      </c>
      <c r="J1257" s="12">
        <v>0</v>
      </c>
      <c r="K1257" s="12" t="s">
        <v>2237</v>
      </c>
      <c r="L1257" s="12">
        <v>0</v>
      </c>
      <c r="M1257" s="12" t="s">
        <v>2237</v>
      </c>
      <c r="N1257" s="8">
        <v>0</v>
      </c>
      <c r="O1257" s="12" t="s">
        <v>2237</v>
      </c>
      <c r="P1257" s="12" t="s">
        <v>2236</v>
      </c>
      <c r="Q1257" s="10" t="s">
        <v>2242</v>
      </c>
      <c r="R1257" s="10" t="s">
        <v>2238</v>
      </c>
      <c r="S1257" s="10" t="s">
        <v>2243</v>
      </c>
      <c r="T1257" s="10" t="s">
        <v>2645</v>
      </c>
      <c r="U12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E530-30101010247-D225301</v>
      </c>
      <c r="Z125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7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12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8" spans="1:31" hidden="1" x14ac:dyDescent="0.3">
      <c r="A1258" s="12" t="s">
        <v>4013</v>
      </c>
      <c r="B1258" s="12" t="s">
        <v>30</v>
      </c>
      <c r="C1258" s="12" t="s">
        <v>429</v>
      </c>
      <c r="D1258" s="12" t="s">
        <v>2065</v>
      </c>
      <c r="E1258" s="12" t="s">
        <v>2842</v>
      </c>
      <c r="F1258" s="8">
        <v>0</v>
      </c>
      <c r="G1258" s="12" t="s">
        <v>2237</v>
      </c>
      <c r="H1258" s="12">
        <v>0</v>
      </c>
      <c r="I1258" s="12" t="s">
        <v>2237</v>
      </c>
      <c r="J1258" s="12">
        <v>0</v>
      </c>
      <c r="K1258" s="12" t="s">
        <v>2237</v>
      </c>
      <c r="L1258" s="12">
        <v>0</v>
      </c>
      <c r="M1258" s="12" t="s">
        <v>2237</v>
      </c>
      <c r="N1258" s="8">
        <v>634852.06000000006</v>
      </c>
      <c r="O1258" s="12" t="s">
        <v>2237</v>
      </c>
      <c r="P1258" s="12" t="s">
        <v>2236</v>
      </c>
      <c r="Q1258" s="10" t="s">
        <v>2242</v>
      </c>
      <c r="R1258" s="10" t="s">
        <v>2238</v>
      </c>
      <c r="S1258" s="10" t="s">
        <v>2243</v>
      </c>
      <c r="T1258" s="10" t="s">
        <v>2645</v>
      </c>
      <c r="U12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E530-30101010212-D225301</v>
      </c>
      <c r="Z125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8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12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59" spans="1:31" hidden="1" x14ac:dyDescent="0.3">
      <c r="A1259" s="12" t="s">
        <v>4014</v>
      </c>
      <c r="B1259" s="12" t="s">
        <v>30</v>
      </c>
      <c r="C1259" s="12" t="s">
        <v>432</v>
      </c>
      <c r="D1259" s="12" t="s">
        <v>2066</v>
      </c>
      <c r="E1259" s="12" t="s">
        <v>2842</v>
      </c>
      <c r="F1259" s="8">
        <v>0</v>
      </c>
      <c r="G1259" s="12" t="s">
        <v>2237</v>
      </c>
      <c r="H1259" s="12">
        <v>0</v>
      </c>
      <c r="I1259" s="12" t="s">
        <v>2237</v>
      </c>
      <c r="J1259" s="12">
        <v>0</v>
      </c>
      <c r="K1259" s="12" t="s">
        <v>2237</v>
      </c>
      <c r="L1259" s="12">
        <v>0</v>
      </c>
      <c r="M1259" s="12" t="s">
        <v>2237</v>
      </c>
      <c r="N1259" s="8">
        <v>51885.17</v>
      </c>
      <c r="O1259" s="12" t="s">
        <v>2237</v>
      </c>
      <c r="P1259" s="12" t="s">
        <v>2236</v>
      </c>
      <c r="Q1259" s="10" t="s">
        <v>2242</v>
      </c>
      <c r="R1259" s="10" t="s">
        <v>2238</v>
      </c>
      <c r="S1259" s="10" t="s">
        <v>2243</v>
      </c>
      <c r="T1259" s="10" t="s">
        <v>2645</v>
      </c>
      <c r="U125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5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5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5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5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E530-30101010211-D225301</v>
      </c>
      <c r="Z125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5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5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59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12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0" spans="1:31" hidden="1" x14ac:dyDescent="0.3">
      <c r="A1260" s="12" t="s">
        <v>4015</v>
      </c>
      <c r="B1260" s="12" t="s">
        <v>30</v>
      </c>
      <c r="C1260" s="12" t="s">
        <v>435</v>
      </c>
      <c r="D1260" s="12" t="s">
        <v>2067</v>
      </c>
      <c r="E1260" s="12" t="s">
        <v>2842</v>
      </c>
      <c r="F1260" s="8">
        <v>0</v>
      </c>
      <c r="G1260" s="12" t="s">
        <v>2237</v>
      </c>
      <c r="H1260" s="12">
        <v>0</v>
      </c>
      <c r="I1260" s="12" t="s">
        <v>2237</v>
      </c>
      <c r="J1260" s="12">
        <v>0</v>
      </c>
      <c r="K1260" s="12" t="s">
        <v>2237</v>
      </c>
      <c r="L1260" s="12">
        <v>0</v>
      </c>
      <c r="M1260" s="12" t="s">
        <v>2237</v>
      </c>
      <c r="N1260" s="8">
        <v>401366.06</v>
      </c>
      <c r="O1260" s="12" t="s">
        <v>2237</v>
      </c>
      <c r="P1260" s="12" t="s">
        <v>2236</v>
      </c>
      <c r="Q1260" s="10" t="s">
        <v>2242</v>
      </c>
      <c r="R1260" s="10" t="s">
        <v>2238</v>
      </c>
      <c r="S1260" s="10" t="s">
        <v>2243</v>
      </c>
      <c r="T1260" s="10" t="s">
        <v>2645</v>
      </c>
      <c r="U126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6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E530-30101010210-D225301</v>
      </c>
      <c r="Z126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60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12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1" spans="1:31" hidden="1" x14ac:dyDescent="0.3">
      <c r="A1261" s="12" t="s">
        <v>4016</v>
      </c>
      <c r="B1261" s="12" t="s">
        <v>30</v>
      </c>
      <c r="C1261" s="12" t="s">
        <v>438</v>
      </c>
      <c r="D1261" s="12" t="s">
        <v>2068</v>
      </c>
      <c r="E1261" s="12" t="s">
        <v>2842</v>
      </c>
      <c r="F1261" s="8">
        <v>0</v>
      </c>
      <c r="G1261" s="12" t="s">
        <v>2237</v>
      </c>
      <c r="H1261" s="12">
        <v>0</v>
      </c>
      <c r="I1261" s="12" t="s">
        <v>2237</v>
      </c>
      <c r="J1261" s="12">
        <v>0</v>
      </c>
      <c r="K1261" s="12" t="s">
        <v>2237</v>
      </c>
      <c r="L1261" s="12">
        <v>0</v>
      </c>
      <c r="M1261" s="12" t="s">
        <v>2237</v>
      </c>
      <c r="N1261" s="8">
        <v>438722.44</v>
      </c>
      <c r="O1261" s="12" t="s">
        <v>2237</v>
      </c>
      <c r="P1261" s="12" t="s">
        <v>2236</v>
      </c>
      <c r="Q1261" s="10" t="s">
        <v>2242</v>
      </c>
      <c r="R1261" s="10" t="s">
        <v>2238</v>
      </c>
      <c r="S1261" s="10" t="s">
        <v>2243</v>
      </c>
      <c r="T1261" s="10" t="s">
        <v>2645</v>
      </c>
      <c r="U126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6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E530-30101010209-D225301</v>
      </c>
      <c r="Z126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61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12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2" spans="1:31" hidden="1" x14ac:dyDescent="0.3">
      <c r="A1262" s="12" t="s">
        <v>4017</v>
      </c>
      <c r="B1262" s="12" t="s">
        <v>30</v>
      </c>
      <c r="C1262" s="12" t="s">
        <v>441</v>
      </c>
      <c r="D1262" s="12" t="s">
        <v>2069</v>
      </c>
      <c r="E1262" s="12" t="s">
        <v>2842</v>
      </c>
      <c r="F1262" s="8">
        <v>0</v>
      </c>
      <c r="G1262" s="12" t="s">
        <v>2237</v>
      </c>
      <c r="H1262" s="12">
        <v>0</v>
      </c>
      <c r="I1262" s="12" t="s">
        <v>2237</v>
      </c>
      <c r="J1262" s="12">
        <v>0</v>
      </c>
      <c r="K1262" s="12" t="s">
        <v>2237</v>
      </c>
      <c r="L1262" s="12">
        <v>0</v>
      </c>
      <c r="M1262" s="12" t="s">
        <v>2237</v>
      </c>
      <c r="N1262" s="8">
        <v>120098.5</v>
      </c>
      <c r="O1262" s="12" t="s">
        <v>2237</v>
      </c>
      <c r="P1262" s="12" t="s">
        <v>2236</v>
      </c>
      <c r="Q1262" s="10" t="s">
        <v>2242</v>
      </c>
      <c r="R1262" s="10" t="s">
        <v>2238</v>
      </c>
      <c r="S1262" s="10" t="s">
        <v>2243</v>
      </c>
      <c r="T1262" s="10" t="s">
        <v>2645</v>
      </c>
      <c r="U126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6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E530-30101010208-D225301</v>
      </c>
      <c r="Z126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62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12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3" spans="1:31" hidden="1" x14ac:dyDescent="0.3">
      <c r="A1263" s="12" t="s">
        <v>4018</v>
      </c>
      <c r="B1263" s="12" t="s">
        <v>30</v>
      </c>
      <c r="C1263" s="12" t="s">
        <v>1912</v>
      </c>
      <c r="D1263" s="12" t="s">
        <v>2070</v>
      </c>
      <c r="E1263" s="12" t="s">
        <v>2842</v>
      </c>
      <c r="F1263" s="8">
        <v>0</v>
      </c>
      <c r="G1263" s="12" t="s">
        <v>2237</v>
      </c>
      <c r="H1263" s="12">
        <v>0</v>
      </c>
      <c r="I1263" s="12" t="s">
        <v>2237</v>
      </c>
      <c r="J1263" s="12">
        <v>0</v>
      </c>
      <c r="K1263" s="12" t="s">
        <v>2237</v>
      </c>
      <c r="L1263" s="12">
        <v>0</v>
      </c>
      <c r="M1263" s="12" t="s">
        <v>2237</v>
      </c>
      <c r="N1263" s="8">
        <v>369513.61</v>
      </c>
      <c r="O1263" s="12" t="s">
        <v>2237</v>
      </c>
      <c r="P1263" s="12" t="s">
        <v>2236</v>
      </c>
      <c r="Q1263" s="10" t="s">
        <v>2242</v>
      </c>
      <c r="R1263" s="10" t="s">
        <v>2238</v>
      </c>
      <c r="S1263" s="10" t="s">
        <v>2243</v>
      </c>
      <c r="T1263" s="10" t="s">
        <v>2645</v>
      </c>
      <c r="U126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6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E530-30101010207-D225301</v>
      </c>
      <c r="Z126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63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12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4" spans="1:31" hidden="1" x14ac:dyDescent="0.3">
      <c r="A1264" s="12" t="s">
        <v>4019</v>
      </c>
      <c r="B1264" s="12" t="s">
        <v>30</v>
      </c>
      <c r="C1264" s="12" t="s">
        <v>447</v>
      </c>
      <c r="D1264" s="12" t="s">
        <v>2071</v>
      </c>
      <c r="E1264" s="12" t="s">
        <v>2842</v>
      </c>
      <c r="F1264" s="8">
        <v>0</v>
      </c>
      <c r="G1264" s="12" t="s">
        <v>2237</v>
      </c>
      <c r="H1264" s="12">
        <v>0</v>
      </c>
      <c r="I1264" s="12" t="s">
        <v>2237</v>
      </c>
      <c r="J1264" s="12">
        <v>0</v>
      </c>
      <c r="K1264" s="12" t="s">
        <v>2237</v>
      </c>
      <c r="L1264" s="12">
        <v>0</v>
      </c>
      <c r="M1264" s="12" t="s">
        <v>2237</v>
      </c>
      <c r="N1264" s="8">
        <v>821879</v>
      </c>
      <c r="O1264" s="12" t="s">
        <v>2237</v>
      </c>
      <c r="P1264" s="12" t="s">
        <v>2236</v>
      </c>
      <c r="Q1264" s="10" t="s">
        <v>2242</v>
      </c>
      <c r="R1264" s="10" t="s">
        <v>2238</v>
      </c>
      <c r="S1264" s="10" t="s">
        <v>2243</v>
      </c>
      <c r="T1264" s="10" t="s">
        <v>2645</v>
      </c>
      <c r="U126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6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E530-30101010205-D225301</v>
      </c>
      <c r="Z126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64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12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5" spans="1:31" hidden="1" x14ac:dyDescent="0.3">
      <c r="A1265" s="12" t="s">
        <v>4020</v>
      </c>
      <c r="B1265" s="12" t="s">
        <v>30</v>
      </c>
      <c r="C1265" s="12" t="s">
        <v>1915</v>
      </c>
      <c r="D1265" s="12" t="s">
        <v>2072</v>
      </c>
      <c r="E1265" s="12" t="s">
        <v>2842</v>
      </c>
      <c r="F1265" s="8">
        <v>0</v>
      </c>
      <c r="G1265" s="12" t="s">
        <v>2237</v>
      </c>
      <c r="H1265" s="12">
        <v>0</v>
      </c>
      <c r="I1265" s="12" t="s">
        <v>2237</v>
      </c>
      <c r="J1265" s="12">
        <v>0</v>
      </c>
      <c r="K1265" s="12" t="s">
        <v>2237</v>
      </c>
      <c r="L1265" s="12">
        <v>0</v>
      </c>
      <c r="M1265" s="12" t="s">
        <v>2237</v>
      </c>
      <c r="N1265" s="8">
        <v>980</v>
      </c>
      <c r="O1265" s="12" t="s">
        <v>2237</v>
      </c>
      <c r="P1265" s="12" t="s">
        <v>2236</v>
      </c>
      <c r="Q1265" s="10" t="s">
        <v>2242</v>
      </c>
      <c r="R1265" s="10" t="s">
        <v>2238</v>
      </c>
      <c r="S1265" s="10" t="s">
        <v>2243</v>
      </c>
      <c r="T1265" s="10" t="s">
        <v>2645</v>
      </c>
      <c r="U126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E530-301010102-D225301</v>
      </c>
      <c r="Y126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E530-30101010204-D225301</v>
      </c>
      <c r="Z126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265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12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66" spans="1:31" x14ac:dyDescent="0.3">
      <c r="A1266" s="12" t="s">
        <v>4021</v>
      </c>
      <c r="B1266" s="12" t="s">
        <v>26</v>
      </c>
      <c r="C1266" s="12" t="s">
        <v>2073</v>
      </c>
      <c r="D1266" s="12" t="s">
        <v>2074</v>
      </c>
      <c r="E1266" s="12" t="s">
        <v>2842</v>
      </c>
      <c r="F1266" s="8">
        <v>30000</v>
      </c>
      <c r="G1266" s="12" t="s">
        <v>2237</v>
      </c>
      <c r="H1266" s="12">
        <v>30000</v>
      </c>
      <c r="I1266" s="12" t="s">
        <v>2237</v>
      </c>
      <c r="J1266" s="12">
        <v>0</v>
      </c>
      <c r="K1266" s="12" t="s">
        <v>2237</v>
      </c>
      <c r="L1266" s="12">
        <v>0</v>
      </c>
      <c r="M1266" s="12" t="s">
        <v>2237</v>
      </c>
      <c r="N1266" s="8">
        <v>26370.44</v>
      </c>
      <c r="O1266" s="12" t="s">
        <v>2237</v>
      </c>
      <c r="P1266" s="12" t="s">
        <v>2236</v>
      </c>
      <c r="Q1266" s="10" t="s">
        <v>2242</v>
      </c>
      <c r="R1266" s="10" t="s">
        <v>2238</v>
      </c>
      <c r="S1266" s="10" t="s">
        <v>2243</v>
      </c>
      <c r="T1266" s="10" t="s">
        <v>3351</v>
      </c>
      <c r="U126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E530-301010101-D225301</v>
      </c>
      <c r="Y12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6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2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66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67" spans="1:31" x14ac:dyDescent="0.3">
      <c r="A1267" s="12" t="s">
        <v>4022</v>
      </c>
      <c r="B1267" s="12" t="s">
        <v>30</v>
      </c>
      <c r="C1267" s="12" t="s">
        <v>2075</v>
      </c>
      <c r="D1267" s="12" t="s">
        <v>2076</v>
      </c>
      <c r="E1267" s="12" t="s">
        <v>2842</v>
      </c>
      <c r="F1267" s="8">
        <v>0</v>
      </c>
      <c r="G1267" s="12" t="s">
        <v>2237</v>
      </c>
      <c r="H1267" s="12">
        <v>0</v>
      </c>
      <c r="I1267" s="12" t="s">
        <v>2237</v>
      </c>
      <c r="J1267" s="12">
        <v>0</v>
      </c>
      <c r="K1267" s="12" t="s">
        <v>2237</v>
      </c>
      <c r="L1267" s="12">
        <v>0</v>
      </c>
      <c r="M1267" s="12" t="s">
        <v>2237</v>
      </c>
      <c r="N1267" s="8">
        <v>26370.44</v>
      </c>
      <c r="O1267" s="12" t="s">
        <v>2237</v>
      </c>
      <c r="P1267" s="12" t="s">
        <v>2236</v>
      </c>
      <c r="Q1267" s="10" t="s">
        <v>2242</v>
      </c>
      <c r="R1267" s="10" t="s">
        <v>2238</v>
      </c>
      <c r="S1267" s="10" t="s">
        <v>2243</v>
      </c>
      <c r="T1267" s="10" t="s">
        <v>2645</v>
      </c>
      <c r="U126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E530-301010101-D225301</v>
      </c>
      <c r="Y126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E530-30101010160-D225301</v>
      </c>
      <c r="Z126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1267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1267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6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68" spans="1:31" x14ac:dyDescent="0.3">
      <c r="A1268" s="12" t="s">
        <v>4023</v>
      </c>
      <c r="B1268" s="12" t="s">
        <v>26</v>
      </c>
      <c r="C1268" s="12" t="s">
        <v>2077</v>
      </c>
      <c r="D1268" s="12" t="s">
        <v>2078</v>
      </c>
      <c r="E1268" s="12" t="s">
        <v>2842</v>
      </c>
      <c r="F1268" s="8">
        <v>937668.01</v>
      </c>
      <c r="G1268" s="12" t="s">
        <v>2237</v>
      </c>
      <c r="H1268" s="12">
        <v>937668.01</v>
      </c>
      <c r="I1268" s="12" t="s">
        <v>2237</v>
      </c>
      <c r="J1268" s="12">
        <v>0</v>
      </c>
      <c r="K1268" s="12" t="s">
        <v>2237</v>
      </c>
      <c r="L1268" s="12">
        <v>0</v>
      </c>
      <c r="M1268" s="12" t="s">
        <v>2237</v>
      </c>
      <c r="N1268" s="8">
        <v>941509.91</v>
      </c>
      <c r="O1268" s="12" t="s">
        <v>2237</v>
      </c>
      <c r="P1268" s="12" t="s">
        <v>2236</v>
      </c>
      <c r="Q1268" s="10" t="s">
        <v>2242</v>
      </c>
      <c r="R1268" s="10" t="s">
        <v>2238</v>
      </c>
      <c r="S1268" s="10" t="s">
        <v>2243</v>
      </c>
      <c r="T1268" s="10" t="s">
        <v>3351</v>
      </c>
      <c r="U126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E530-301010161-D225301</v>
      </c>
      <c r="Y12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6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68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6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69" spans="1:31" x14ac:dyDescent="0.3">
      <c r="A1269" s="12" t="s">
        <v>4024</v>
      </c>
      <c r="B1269" s="12" t="s">
        <v>30</v>
      </c>
      <c r="C1269" s="12" t="s">
        <v>2079</v>
      </c>
      <c r="D1269" s="12" t="s">
        <v>2080</v>
      </c>
      <c r="E1269" s="12" t="s">
        <v>2842</v>
      </c>
      <c r="F1269" s="8">
        <v>0</v>
      </c>
      <c r="G1269" s="12" t="s">
        <v>2237</v>
      </c>
      <c r="H1269" s="12">
        <v>0</v>
      </c>
      <c r="I1269" s="12" t="s">
        <v>2237</v>
      </c>
      <c r="J1269" s="12">
        <v>0</v>
      </c>
      <c r="K1269" s="12" t="s">
        <v>2237</v>
      </c>
      <c r="L1269" s="12">
        <v>0</v>
      </c>
      <c r="M1269" s="12" t="s">
        <v>2237</v>
      </c>
      <c r="N1269" s="8">
        <v>19432.990000000002</v>
      </c>
      <c r="O1269" s="12" t="s">
        <v>2237</v>
      </c>
      <c r="P1269" s="12" t="s">
        <v>2236</v>
      </c>
      <c r="Q1269" s="10" t="s">
        <v>2242</v>
      </c>
      <c r="R1269" s="10" t="s">
        <v>2238</v>
      </c>
      <c r="S1269" s="10" t="s">
        <v>2243</v>
      </c>
      <c r="T1269" s="10" t="s">
        <v>2645</v>
      </c>
      <c r="U126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6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6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6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E530-301010161-D225301</v>
      </c>
      <c r="Y126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E530-30101016193-D225301</v>
      </c>
      <c r="Z126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6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6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69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1269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6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70" spans="1:31" x14ac:dyDescent="0.3">
      <c r="A1270" s="12" t="s">
        <v>4025</v>
      </c>
      <c r="B1270" s="12" t="s">
        <v>30</v>
      </c>
      <c r="C1270" s="12" t="s">
        <v>2081</v>
      </c>
      <c r="D1270" s="12" t="s">
        <v>2082</v>
      </c>
      <c r="E1270" s="12" t="s">
        <v>2842</v>
      </c>
      <c r="F1270" s="8">
        <v>0</v>
      </c>
      <c r="G1270" s="12" t="s">
        <v>2237</v>
      </c>
      <c r="H1270" s="12">
        <v>0</v>
      </c>
      <c r="I1270" s="12" t="s">
        <v>2237</v>
      </c>
      <c r="J1270" s="12">
        <v>0</v>
      </c>
      <c r="K1270" s="12" t="s">
        <v>2237</v>
      </c>
      <c r="L1270" s="12">
        <v>0</v>
      </c>
      <c r="M1270" s="12" t="s">
        <v>2237</v>
      </c>
      <c r="N1270" s="8">
        <v>337680.73</v>
      </c>
      <c r="O1270" s="12" t="s">
        <v>2237</v>
      </c>
      <c r="P1270" s="12" t="s">
        <v>2236</v>
      </c>
      <c r="Q1270" s="10" t="s">
        <v>2242</v>
      </c>
      <c r="R1270" s="10" t="s">
        <v>2238</v>
      </c>
      <c r="S1270" s="10" t="s">
        <v>2243</v>
      </c>
      <c r="T1270" s="10" t="s">
        <v>2645</v>
      </c>
      <c r="U127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7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7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E530-301010161-D225301</v>
      </c>
      <c r="Y127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E530-30101016118-D225301</v>
      </c>
      <c r="Z127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7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7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70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1270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7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71" spans="1:31" x14ac:dyDescent="0.3">
      <c r="A1271" s="12" t="s">
        <v>4026</v>
      </c>
      <c r="B1271" s="12" t="s">
        <v>30</v>
      </c>
      <c r="C1271" s="12" t="s">
        <v>2083</v>
      </c>
      <c r="D1271" s="12" t="s">
        <v>2084</v>
      </c>
      <c r="E1271" s="12" t="s">
        <v>2842</v>
      </c>
      <c r="F1271" s="8">
        <v>0</v>
      </c>
      <c r="G1271" s="12" t="s">
        <v>2237</v>
      </c>
      <c r="H1271" s="12">
        <v>0</v>
      </c>
      <c r="I1271" s="12" t="s">
        <v>2237</v>
      </c>
      <c r="J1271" s="12">
        <v>0</v>
      </c>
      <c r="K1271" s="12" t="s">
        <v>2237</v>
      </c>
      <c r="L1271" s="12">
        <v>0</v>
      </c>
      <c r="M1271" s="12" t="s">
        <v>2237</v>
      </c>
      <c r="N1271" s="8">
        <v>51443.06</v>
      </c>
      <c r="O1271" s="12" t="s">
        <v>2237</v>
      </c>
      <c r="P1271" s="12" t="s">
        <v>2236</v>
      </c>
      <c r="Q1271" s="10" t="s">
        <v>2242</v>
      </c>
      <c r="R1271" s="10" t="s">
        <v>2238</v>
      </c>
      <c r="S1271" s="10" t="s">
        <v>2243</v>
      </c>
      <c r="T1271" s="10" t="s">
        <v>2645</v>
      </c>
      <c r="U127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7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7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E530-301010161-D225301</v>
      </c>
      <c r="Y127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E530-30101016102-D225301</v>
      </c>
      <c r="Z127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7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7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71" s="10" t="str">
        <f>IF(IFERROR(INDEX(WBS_Dictionary!M$2:M$1212, MATCH(Table2[[#This Row],[WBS_ID]], Table26[WBS CODE],0)), "") = "", "null", IFERROR(INDEX(WBS_Dictionary!M$2:M$1212, MATCH(Table2[[#This Row],[WBS_ID]], Table26[WBS CODE],0)), ""))</f>
        <v>Well Equipment Surface</v>
      </c>
      <c r="AD1271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7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72" spans="1:31" x14ac:dyDescent="0.3">
      <c r="A1272" s="12" t="s">
        <v>4027</v>
      </c>
      <c r="B1272" s="12" t="s">
        <v>30</v>
      </c>
      <c r="C1272" s="12" t="s">
        <v>2085</v>
      </c>
      <c r="D1272" s="12" t="s">
        <v>2086</v>
      </c>
      <c r="E1272" s="12" t="s">
        <v>2842</v>
      </c>
      <c r="F1272" s="8">
        <v>0</v>
      </c>
      <c r="G1272" s="12" t="s">
        <v>2237</v>
      </c>
      <c r="H1272" s="12">
        <v>0</v>
      </c>
      <c r="I1272" s="12" t="s">
        <v>2237</v>
      </c>
      <c r="J1272" s="12">
        <v>0</v>
      </c>
      <c r="K1272" s="12" t="s">
        <v>2237</v>
      </c>
      <c r="L1272" s="12">
        <v>0</v>
      </c>
      <c r="M1272" s="12" t="s">
        <v>2237</v>
      </c>
      <c r="N1272" s="8">
        <v>532953.13</v>
      </c>
      <c r="O1272" s="12" t="s">
        <v>2237</v>
      </c>
      <c r="P1272" s="12" t="s">
        <v>2236</v>
      </c>
      <c r="Q1272" s="10" t="s">
        <v>2242</v>
      </c>
      <c r="R1272" s="10" t="s">
        <v>2238</v>
      </c>
      <c r="S1272" s="10" t="s">
        <v>2243</v>
      </c>
      <c r="T1272" s="10" t="s">
        <v>2645</v>
      </c>
      <c r="U127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E530-30101-D225301</v>
      </c>
      <c r="W127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E530-3010101-D225301</v>
      </c>
      <c r="X127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E530-301010161-D225301</v>
      </c>
      <c r="Y127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E530-30101016101-D225301</v>
      </c>
      <c r="Z127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127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127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1272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1272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7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73" spans="1:31" hidden="1" x14ac:dyDescent="0.3">
      <c r="A1273" s="12" t="s">
        <v>4028</v>
      </c>
      <c r="B1273" s="12" t="s">
        <v>18</v>
      </c>
      <c r="C1273" s="13" t="s">
        <v>19</v>
      </c>
      <c r="D1273" s="12" t="s">
        <v>2087</v>
      </c>
      <c r="E1273" s="12" t="s">
        <v>2842</v>
      </c>
      <c r="F1273" s="8">
        <v>4313451.42</v>
      </c>
      <c r="G1273" s="12" t="s">
        <v>2237</v>
      </c>
      <c r="H1273" s="12">
        <v>4313451.42</v>
      </c>
      <c r="I1273" s="12" t="s">
        <v>2237</v>
      </c>
      <c r="J1273" s="12">
        <v>0</v>
      </c>
      <c r="K1273" s="12" t="s">
        <v>2237</v>
      </c>
      <c r="L1273" s="12">
        <v>0</v>
      </c>
      <c r="M1273" s="12" t="s">
        <v>2237</v>
      </c>
      <c r="N1273" s="8">
        <v>3693853.63</v>
      </c>
      <c r="O1273" s="12" t="s">
        <v>2237</v>
      </c>
      <c r="P1273" s="12" t="s">
        <v>2242</v>
      </c>
      <c r="Q1273" s="10" t="s">
        <v>2236</v>
      </c>
      <c r="R1273" s="10" t="s">
        <v>4029</v>
      </c>
      <c r="S1273" s="10" t="s">
        <v>2243</v>
      </c>
      <c r="T1273" s="10" t="s">
        <v>2642</v>
      </c>
      <c r="U127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2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7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2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2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274" spans="1:31" hidden="1" x14ac:dyDescent="0.3">
      <c r="A1274" s="12" t="s">
        <v>4030</v>
      </c>
      <c r="B1274" s="12" t="s">
        <v>21</v>
      </c>
      <c r="C1274" s="12" t="s">
        <v>2088</v>
      </c>
      <c r="D1274" s="12" t="s">
        <v>2089</v>
      </c>
      <c r="E1274" s="12" t="s">
        <v>2842</v>
      </c>
      <c r="F1274" s="8">
        <v>605319.09</v>
      </c>
      <c r="G1274" s="12" t="s">
        <v>2237</v>
      </c>
      <c r="H1274" s="12">
        <v>605319.09</v>
      </c>
      <c r="I1274" s="12" t="s">
        <v>2237</v>
      </c>
      <c r="J1274" s="12">
        <v>0</v>
      </c>
      <c r="K1274" s="12" t="s">
        <v>2237</v>
      </c>
      <c r="L1274" s="12">
        <v>0</v>
      </c>
      <c r="M1274" s="12" t="s">
        <v>2237</v>
      </c>
      <c r="N1274" s="8">
        <v>518541.59</v>
      </c>
      <c r="O1274" s="12" t="s">
        <v>2237</v>
      </c>
      <c r="P1274" s="12" t="s">
        <v>2242</v>
      </c>
      <c r="Q1274" s="10" t="s">
        <v>2236</v>
      </c>
      <c r="R1274" s="10" t="s">
        <v>2238</v>
      </c>
      <c r="S1274" s="10" t="s">
        <v>2243</v>
      </c>
      <c r="T1274" s="10" t="s">
        <v>2642</v>
      </c>
      <c r="U127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7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7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7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74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27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75" spans="1:31" hidden="1" x14ac:dyDescent="0.3">
      <c r="A1275" s="12" t="s">
        <v>4031</v>
      </c>
      <c r="B1275" s="12" t="s">
        <v>26</v>
      </c>
      <c r="C1275" s="12" t="s">
        <v>2091</v>
      </c>
      <c r="D1275" s="12" t="s">
        <v>2092</v>
      </c>
      <c r="E1275" s="12" t="s">
        <v>2842</v>
      </c>
      <c r="F1275" s="8">
        <v>340752.84</v>
      </c>
      <c r="G1275" s="12" t="s">
        <v>2237</v>
      </c>
      <c r="H1275" s="12">
        <v>340752.84</v>
      </c>
      <c r="I1275" s="12" t="s">
        <v>2237</v>
      </c>
      <c r="J1275" s="12">
        <v>0</v>
      </c>
      <c r="K1275" s="12" t="s">
        <v>2237</v>
      </c>
      <c r="L1275" s="12">
        <v>0</v>
      </c>
      <c r="M1275" s="12" t="s">
        <v>2237</v>
      </c>
      <c r="N1275" s="8">
        <v>265722.03999999998</v>
      </c>
      <c r="O1275" s="12" t="s">
        <v>2237</v>
      </c>
      <c r="P1275" s="12" t="s">
        <v>2242</v>
      </c>
      <c r="Q1275" s="10" t="s">
        <v>2236</v>
      </c>
      <c r="R1275" s="10" t="s">
        <v>2238</v>
      </c>
      <c r="S1275" s="10" t="s">
        <v>2243</v>
      </c>
      <c r="T1275" s="10" t="s">
        <v>4032</v>
      </c>
      <c r="U127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7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7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E530-302038909-D225301</v>
      </c>
      <c r="Y12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7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7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75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75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27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76" spans="1:31" x14ac:dyDescent="0.3">
      <c r="A1276" s="12" t="s">
        <v>4033</v>
      </c>
      <c r="B1276" s="12" t="s">
        <v>30</v>
      </c>
      <c r="C1276" s="12" t="s">
        <v>2093</v>
      </c>
      <c r="D1276" s="12" t="s">
        <v>2094</v>
      </c>
      <c r="E1276" s="12" t="s">
        <v>2842</v>
      </c>
      <c r="F1276" s="8">
        <v>0</v>
      </c>
      <c r="G1276" s="12" t="s">
        <v>2237</v>
      </c>
      <c r="H1276" s="12">
        <v>0</v>
      </c>
      <c r="I1276" s="12" t="s">
        <v>2237</v>
      </c>
      <c r="J1276" s="12">
        <v>0</v>
      </c>
      <c r="K1276" s="12" t="s">
        <v>2237</v>
      </c>
      <c r="L1276" s="12">
        <v>0</v>
      </c>
      <c r="M1276" s="12" t="s">
        <v>2237</v>
      </c>
      <c r="N1276" s="8">
        <v>56369.5</v>
      </c>
      <c r="O1276" s="12" t="s">
        <v>2237</v>
      </c>
      <c r="P1276" s="12" t="s">
        <v>2242</v>
      </c>
      <c r="Q1276" s="10" t="s">
        <v>2236</v>
      </c>
      <c r="R1276" s="10" t="s">
        <v>2238</v>
      </c>
      <c r="S1276" s="10" t="s">
        <v>2243</v>
      </c>
      <c r="T1276" s="10" t="s">
        <v>4034</v>
      </c>
      <c r="U127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7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7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E530-302038909-D225301</v>
      </c>
      <c r="Y1276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E530-30203890905-D225301</v>
      </c>
      <c r="Z127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7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76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76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276" s="10" t="str">
        <f>IF(IFERROR(INDEX(WBS_Dictionary!N$2:N$1212, MATCH(Table2[[#This Row],[WBS_ID]], Table26[WBS CODE],0)), "") = "", "null", IFERROR(INDEX(WBS_Dictionary!N$2:N$1212, MATCH(Table2[[#This Row],[WBS_ID]], Table26[WBS CODE],0)), ""))</f>
        <v>SF-ML</v>
      </c>
      <c r="AE12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77" spans="1:31" x14ac:dyDescent="0.3">
      <c r="A1277" s="12" t="s">
        <v>4035</v>
      </c>
      <c r="B1277" s="12" t="s">
        <v>30</v>
      </c>
      <c r="C1277" s="12" t="s">
        <v>2095</v>
      </c>
      <c r="D1277" s="12" t="s">
        <v>2096</v>
      </c>
      <c r="E1277" s="12" t="s">
        <v>2842</v>
      </c>
      <c r="F1277" s="8">
        <v>0</v>
      </c>
      <c r="G1277" s="12" t="s">
        <v>2237</v>
      </c>
      <c r="H1277" s="12">
        <v>0</v>
      </c>
      <c r="I1277" s="12" t="s">
        <v>2237</v>
      </c>
      <c r="J1277" s="12">
        <v>0</v>
      </c>
      <c r="K1277" s="12" t="s">
        <v>2237</v>
      </c>
      <c r="L1277" s="12">
        <v>0</v>
      </c>
      <c r="M1277" s="12" t="s">
        <v>2237</v>
      </c>
      <c r="N1277" s="8">
        <v>209352.54</v>
      </c>
      <c r="O1277" s="12" t="s">
        <v>2237</v>
      </c>
      <c r="P1277" s="12" t="s">
        <v>2242</v>
      </c>
      <c r="Q1277" s="10" t="s">
        <v>2236</v>
      </c>
      <c r="R1277" s="10" t="s">
        <v>2238</v>
      </c>
      <c r="S1277" s="10" t="s">
        <v>2243</v>
      </c>
      <c r="T1277" s="10" t="s">
        <v>4034</v>
      </c>
      <c r="U127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7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7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E530-302038909-D225301</v>
      </c>
      <c r="Y127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E530-30203890904-D225301</v>
      </c>
      <c r="Z127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7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77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77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277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2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78" spans="1:31" hidden="1" x14ac:dyDescent="0.3">
      <c r="A1278" s="12" t="s">
        <v>4036</v>
      </c>
      <c r="B1278" s="12" t="s">
        <v>26</v>
      </c>
      <c r="C1278" s="12" t="s">
        <v>2097</v>
      </c>
      <c r="D1278" s="12" t="s">
        <v>2098</v>
      </c>
      <c r="E1278" s="12" t="s">
        <v>2842</v>
      </c>
      <c r="F1278" s="8">
        <v>243727.86</v>
      </c>
      <c r="G1278" s="12" t="s">
        <v>2237</v>
      </c>
      <c r="H1278" s="12">
        <v>243727.86</v>
      </c>
      <c r="I1278" s="12" t="s">
        <v>2237</v>
      </c>
      <c r="J1278" s="12">
        <v>0</v>
      </c>
      <c r="K1278" s="12" t="s">
        <v>2237</v>
      </c>
      <c r="L1278" s="12">
        <v>0</v>
      </c>
      <c r="M1278" s="12" t="s">
        <v>2237</v>
      </c>
      <c r="N1278" s="8">
        <v>243401.46</v>
      </c>
      <c r="O1278" s="12" t="s">
        <v>2237</v>
      </c>
      <c r="P1278" s="12" t="s">
        <v>2242</v>
      </c>
      <c r="Q1278" s="10" t="s">
        <v>2236</v>
      </c>
      <c r="R1278" s="10" t="s">
        <v>2238</v>
      </c>
      <c r="S1278" s="10" t="s">
        <v>2243</v>
      </c>
      <c r="T1278" s="10" t="s">
        <v>4037</v>
      </c>
      <c r="U127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7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7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E530-302038908-D225301</v>
      </c>
      <c r="Y12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7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7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78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78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27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79" spans="1:31" hidden="1" x14ac:dyDescent="0.3">
      <c r="A1279" s="12" t="s">
        <v>4038</v>
      </c>
      <c r="B1279" s="12" t="s">
        <v>30</v>
      </c>
      <c r="C1279" s="12" t="s">
        <v>2099</v>
      </c>
      <c r="D1279" s="12" t="s">
        <v>2100</v>
      </c>
      <c r="E1279" s="12" t="s">
        <v>2842</v>
      </c>
      <c r="F1279" s="8">
        <v>0</v>
      </c>
      <c r="G1279" s="12" t="s">
        <v>2237</v>
      </c>
      <c r="H1279" s="12">
        <v>0</v>
      </c>
      <c r="I1279" s="12" t="s">
        <v>2237</v>
      </c>
      <c r="J1279" s="12">
        <v>0</v>
      </c>
      <c r="K1279" s="12" t="s">
        <v>2237</v>
      </c>
      <c r="L1279" s="12">
        <v>0</v>
      </c>
      <c r="M1279" s="12" t="s">
        <v>2237</v>
      </c>
      <c r="N1279" s="8">
        <v>235311.07</v>
      </c>
      <c r="O1279" s="12" t="s">
        <v>2237</v>
      </c>
      <c r="P1279" s="12" t="s">
        <v>2242</v>
      </c>
      <c r="Q1279" s="10" t="s">
        <v>2236</v>
      </c>
      <c r="R1279" s="10" t="s">
        <v>2238</v>
      </c>
      <c r="S1279" s="10" t="s">
        <v>2243</v>
      </c>
      <c r="T1279" s="10" t="s">
        <v>4034</v>
      </c>
      <c r="U127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7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7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7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E530-302038908-D225301</v>
      </c>
      <c r="Y127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E530-30203890821-D225301</v>
      </c>
      <c r="Z127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7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79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79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279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27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0" spans="1:31" hidden="1" x14ac:dyDescent="0.3">
      <c r="A1280" s="12" t="s">
        <v>4039</v>
      </c>
      <c r="B1280" s="12" t="s">
        <v>30</v>
      </c>
      <c r="C1280" s="12" t="s">
        <v>2101</v>
      </c>
      <c r="D1280" s="12" t="s">
        <v>2102</v>
      </c>
      <c r="E1280" s="12" t="s">
        <v>2842</v>
      </c>
      <c r="F1280" s="8">
        <v>0</v>
      </c>
      <c r="G1280" s="12" t="s">
        <v>2237</v>
      </c>
      <c r="H1280" s="12">
        <v>0</v>
      </c>
      <c r="I1280" s="12" t="s">
        <v>2237</v>
      </c>
      <c r="J1280" s="12">
        <v>0</v>
      </c>
      <c r="K1280" s="12" t="s">
        <v>2237</v>
      </c>
      <c r="L1280" s="12">
        <v>0</v>
      </c>
      <c r="M1280" s="12" t="s">
        <v>2237</v>
      </c>
      <c r="N1280" s="8">
        <v>8090.39</v>
      </c>
      <c r="O1280" s="12" t="s">
        <v>2237</v>
      </c>
      <c r="P1280" s="12" t="s">
        <v>2242</v>
      </c>
      <c r="Q1280" s="10" t="s">
        <v>2236</v>
      </c>
      <c r="R1280" s="10" t="s">
        <v>2238</v>
      </c>
      <c r="S1280" s="10" t="s">
        <v>2243</v>
      </c>
      <c r="T1280" s="10" t="s">
        <v>4034</v>
      </c>
      <c r="U128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8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E530-302038908-D225301</v>
      </c>
      <c r="Y128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E530-30203890860-D225301</v>
      </c>
      <c r="Z128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0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80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280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28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1" spans="1:31" hidden="1" x14ac:dyDescent="0.3">
      <c r="A1281" s="12" t="s">
        <v>4040</v>
      </c>
      <c r="B1281" s="12" t="s">
        <v>26</v>
      </c>
      <c r="C1281" s="12" t="s">
        <v>2103</v>
      </c>
      <c r="D1281" s="12" t="s">
        <v>2104</v>
      </c>
      <c r="E1281" s="12" t="s">
        <v>2842</v>
      </c>
      <c r="F1281" s="8">
        <v>20838.39</v>
      </c>
      <c r="G1281" s="12" t="s">
        <v>2237</v>
      </c>
      <c r="H1281" s="12">
        <v>20838.39</v>
      </c>
      <c r="I1281" s="12" t="s">
        <v>2237</v>
      </c>
      <c r="J1281" s="12">
        <v>0</v>
      </c>
      <c r="K1281" s="12" t="s">
        <v>2237</v>
      </c>
      <c r="L1281" s="12">
        <v>0</v>
      </c>
      <c r="M1281" s="12" t="s">
        <v>2237</v>
      </c>
      <c r="N1281" s="8">
        <v>9418.09</v>
      </c>
      <c r="O1281" s="12" t="s">
        <v>2237</v>
      </c>
      <c r="P1281" s="12" t="s">
        <v>2242</v>
      </c>
      <c r="Q1281" s="10" t="s">
        <v>2236</v>
      </c>
      <c r="R1281" s="10" t="s">
        <v>2238</v>
      </c>
      <c r="S1281" s="10" t="s">
        <v>2243</v>
      </c>
      <c r="T1281" s="10" t="s">
        <v>4032</v>
      </c>
      <c r="U128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8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E530-302038907-D225301</v>
      </c>
      <c r="Y12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8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1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2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81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28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2" spans="1:31" hidden="1" x14ac:dyDescent="0.3">
      <c r="A1282" s="12" t="s">
        <v>4041</v>
      </c>
      <c r="B1282" s="12" t="s">
        <v>30</v>
      </c>
      <c r="C1282" s="12" t="s">
        <v>2103</v>
      </c>
      <c r="D1282" s="12" t="s">
        <v>2105</v>
      </c>
      <c r="E1282" s="12" t="s">
        <v>2842</v>
      </c>
      <c r="F1282" s="8">
        <v>0</v>
      </c>
      <c r="G1282" s="12" t="s">
        <v>2237</v>
      </c>
      <c r="H1282" s="12">
        <v>0</v>
      </c>
      <c r="I1282" s="12" t="s">
        <v>2237</v>
      </c>
      <c r="J1282" s="12">
        <v>0</v>
      </c>
      <c r="K1282" s="12" t="s">
        <v>2237</v>
      </c>
      <c r="L1282" s="12">
        <v>0</v>
      </c>
      <c r="M1282" s="12" t="s">
        <v>2237</v>
      </c>
      <c r="N1282" s="8">
        <v>9418.09</v>
      </c>
      <c r="O1282" s="12" t="s">
        <v>2237</v>
      </c>
      <c r="P1282" s="12" t="s">
        <v>2242</v>
      </c>
      <c r="Q1282" s="10" t="s">
        <v>2236</v>
      </c>
      <c r="R1282" s="10" t="s">
        <v>2238</v>
      </c>
      <c r="S1282" s="10" t="s">
        <v>2243</v>
      </c>
      <c r="T1282" s="10" t="s">
        <v>4034</v>
      </c>
      <c r="U128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E530-3020389-D225301</v>
      </c>
      <c r="X128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E530-302038907-D225301</v>
      </c>
      <c r="Y128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E530-30203890759-D225301</v>
      </c>
      <c r="Z128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2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282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282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28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3" spans="1:31" hidden="1" x14ac:dyDescent="0.3">
      <c r="A1283" s="12" t="s">
        <v>4042</v>
      </c>
      <c r="B1283" s="12" t="s">
        <v>21</v>
      </c>
      <c r="C1283" s="12" t="s">
        <v>22</v>
      </c>
      <c r="D1283" s="12" t="s">
        <v>2106</v>
      </c>
      <c r="E1283" s="12" t="s">
        <v>2842</v>
      </c>
      <c r="F1283" s="8">
        <v>357590</v>
      </c>
      <c r="G1283" s="12" t="s">
        <v>2237</v>
      </c>
      <c r="H1283" s="12">
        <v>357590</v>
      </c>
      <c r="I1283" s="12" t="s">
        <v>2237</v>
      </c>
      <c r="J1283" s="12">
        <v>0</v>
      </c>
      <c r="K1283" s="12" t="s">
        <v>2237</v>
      </c>
      <c r="L1283" s="12">
        <v>0</v>
      </c>
      <c r="M1283" s="12" t="s">
        <v>2237</v>
      </c>
      <c r="N1283" s="8">
        <v>336668.27</v>
      </c>
      <c r="O1283" s="12" t="s">
        <v>2237</v>
      </c>
      <c r="P1283" s="12" t="s">
        <v>2242</v>
      </c>
      <c r="Q1283" s="10" t="s">
        <v>2236</v>
      </c>
      <c r="R1283" s="10" t="s">
        <v>2238</v>
      </c>
      <c r="S1283" s="10" t="s">
        <v>2243</v>
      </c>
      <c r="T1283" s="10" t="s">
        <v>4032</v>
      </c>
      <c r="U12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8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83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28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4" spans="1:31" hidden="1" x14ac:dyDescent="0.3">
      <c r="A1284" s="12" t="s">
        <v>4043</v>
      </c>
      <c r="B1284" s="12" t="s">
        <v>26</v>
      </c>
      <c r="C1284" s="12" t="s">
        <v>2107</v>
      </c>
      <c r="D1284" s="12" t="s">
        <v>2108</v>
      </c>
      <c r="E1284" s="12" t="s">
        <v>2842</v>
      </c>
      <c r="F1284" s="8">
        <v>197849.14</v>
      </c>
      <c r="G1284" s="12" t="s">
        <v>2237</v>
      </c>
      <c r="H1284" s="12">
        <v>197849.14</v>
      </c>
      <c r="I1284" s="12" t="s">
        <v>2237</v>
      </c>
      <c r="J1284" s="12">
        <v>0</v>
      </c>
      <c r="K1284" s="12" t="s">
        <v>2237</v>
      </c>
      <c r="L1284" s="12">
        <v>0</v>
      </c>
      <c r="M1284" s="12" t="s">
        <v>2237</v>
      </c>
      <c r="N1284" s="8">
        <v>184687.03</v>
      </c>
      <c r="O1284" s="12" t="s">
        <v>2237</v>
      </c>
      <c r="P1284" s="12" t="s">
        <v>2242</v>
      </c>
      <c r="Q1284" s="10" t="s">
        <v>2236</v>
      </c>
      <c r="R1284" s="10" t="s">
        <v>2238</v>
      </c>
      <c r="S1284" s="10" t="s">
        <v>2243</v>
      </c>
      <c r="T1284" s="10" t="s">
        <v>4037</v>
      </c>
      <c r="U128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8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E530-302038809-D225301</v>
      </c>
      <c r="Y12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8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84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28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5" spans="1:31" x14ac:dyDescent="0.3">
      <c r="A1285" s="12" t="s">
        <v>4044</v>
      </c>
      <c r="B1285" s="12" t="s">
        <v>30</v>
      </c>
      <c r="C1285" s="12" t="s">
        <v>2109</v>
      </c>
      <c r="D1285" s="12" t="s">
        <v>2110</v>
      </c>
      <c r="E1285" s="12" t="s">
        <v>2842</v>
      </c>
      <c r="F1285" s="8">
        <v>0</v>
      </c>
      <c r="G1285" s="12" t="s">
        <v>2237</v>
      </c>
      <c r="H1285" s="12">
        <v>0</v>
      </c>
      <c r="I1285" s="12" t="s">
        <v>2237</v>
      </c>
      <c r="J1285" s="12">
        <v>0</v>
      </c>
      <c r="K1285" s="12" t="s">
        <v>2237</v>
      </c>
      <c r="L1285" s="12">
        <v>0</v>
      </c>
      <c r="M1285" s="12" t="s">
        <v>2237</v>
      </c>
      <c r="N1285" s="8">
        <v>184687.03</v>
      </c>
      <c r="O1285" s="12" t="s">
        <v>2237</v>
      </c>
      <c r="P1285" s="12" t="s">
        <v>2242</v>
      </c>
      <c r="Q1285" s="10" t="s">
        <v>2236</v>
      </c>
      <c r="R1285" s="10" t="s">
        <v>2238</v>
      </c>
      <c r="S1285" s="10" t="s">
        <v>2243</v>
      </c>
      <c r="T1285" s="10" t="s">
        <v>4034</v>
      </c>
      <c r="U128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8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E530-302038809-D225301</v>
      </c>
      <c r="Y128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E530-30203880903-D225301</v>
      </c>
      <c r="Z128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5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85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285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28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86" spans="1:31" hidden="1" x14ac:dyDescent="0.3">
      <c r="A1286" s="12" t="s">
        <v>4045</v>
      </c>
      <c r="B1286" s="12" t="s">
        <v>26</v>
      </c>
      <c r="C1286" s="12" t="s">
        <v>2111</v>
      </c>
      <c r="D1286" s="12" t="s">
        <v>2112</v>
      </c>
      <c r="E1286" s="12" t="s">
        <v>2842</v>
      </c>
      <c r="F1286" s="8">
        <v>145097.54999999999</v>
      </c>
      <c r="G1286" s="12" t="s">
        <v>2237</v>
      </c>
      <c r="H1286" s="12">
        <v>145097.54999999999</v>
      </c>
      <c r="I1286" s="12" t="s">
        <v>2237</v>
      </c>
      <c r="J1286" s="12">
        <v>0</v>
      </c>
      <c r="K1286" s="12" t="s">
        <v>2237</v>
      </c>
      <c r="L1286" s="12">
        <v>0</v>
      </c>
      <c r="M1286" s="12" t="s">
        <v>2237</v>
      </c>
      <c r="N1286" s="8">
        <v>145036.41</v>
      </c>
      <c r="O1286" s="12" t="s">
        <v>2237</v>
      </c>
      <c r="P1286" s="12" t="s">
        <v>2242</v>
      </c>
      <c r="Q1286" s="10" t="s">
        <v>2236</v>
      </c>
      <c r="R1286" s="10" t="s">
        <v>2238</v>
      </c>
      <c r="S1286" s="10" t="s">
        <v>2243</v>
      </c>
      <c r="T1286" s="10" t="s">
        <v>4037</v>
      </c>
      <c r="U128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8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E530-302038808-D225301</v>
      </c>
      <c r="Y12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8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6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86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28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7" spans="1:31" hidden="1" x14ac:dyDescent="0.3">
      <c r="A1287" s="12" t="s">
        <v>4046</v>
      </c>
      <c r="B1287" s="12" t="s">
        <v>30</v>
      </c>
      <c r="C1287" s="12" t="s">
        <v>2113</v>
      </c>
      <c r="D1287" s="12" t="s">
        <v>2114</v>
      </c>
      <c r="E1287" s="12" t="s">
        <v>2842</v>
      </c>
      <c r="F1287" s="8">
        <v>0</v>
      </c>
      <c r="G1287" s="12" t="s">
        <v>2237</v>
      </c>
      <c r="H1287" s="12">
        <v>0</v>
      </c>
      <c r="I1287" s="12" t="s">
        <v>2237</v>
      </c>
      <c r="J1287" s="12">
        <v>0</v>
      </c>
      <c r="K1287" s="12" t="s">
        <v>2237</v>
      </c>
      <c r="L1287" s="12">
        <v>0</v>
      </c>
      <c r="M1287" s="12" t="s">
        <v>2237</v>
      </c>
      <c r="N1287" s="8">
        <v>145036.41</v>
      </c>
      <c r="O1287" s="12" t="s">
        <v>2237</v>
      </c>
      <c r="P1287" s="12" t="s">
        <v>2242</v>
      </c>
      <c r="Q1287" s="10" t="s">
        <v>2236</v>
      </c>
      <c r="R1287" s="10" t="s">
        <v>2238</v>
      </c>
      <c r="S1287" s="10" t="s">
        <v>2243</v>
      </c>
      <c r="T1287" s="10" t="s">
        <v>4034</v>
      </c>
      <c r="U128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8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E530-302038808-D225301</v>
      </c>
      <c r="Y128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E530-30203880821-D225301</v>
      </c>
      <c r="Z128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87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287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28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8" spans="1:31" hidden="1" x14ac:dyDescent="0.3">
      <c r="A1288" s="12" t="s">
        <v>4047</v>
      </c>
      <c r="B1288" s="12" t="s">
        <v>30</v>
      </c>
      <c r="C1288" s="12" t="s">
        <v>2115</v>
      </c>
      <c r="D1288" s="12" t="s">
        <v>2116</v>
      </c>
      <c r="E1288" s="12" t="s">
        <v>2842</v>
      </c>
      <c r="F1288" s="8">
        <v>0</v>
      </c>
      <c r="G1288" s="12" t="s">
        <v>2237</v>
      </c>
      <c r="H1288" s="12">
        <v>0</v>
      </c>
      <c r="I1288" s="12" t="s">
        <v>2237</v>
      </c>
      <c r="J1288" s="12">
        <v>0</v>
      </c>
      <c r="K1288" s="12" t="s">
        <v>2237</v>
      </c>
      <c r="L1288" s="12">
        <v>0</v>
      </c>
      <c r="M1288" s="12" t="s">
        <v>2237</v>
      </c>
      <c r="N1288" s="8">
        <v>0</v>
      </c>
      <c r="O1288" s="12" t="s">
        <v>2237</v>
      </c>
      <c r="P1288" s="12" t="s">
        <v>2242</v>
      </c>
      <c r="Q1288" s="10" t="s">
        <v>2236</v>
      </c>
      <c r="R1288" s="10" t="s">
        <v>2238</v>
      </c>
      <c r="S1288" s="10" t="s">
        <v>2243</v>
      </c>
      <c r="T1288" s="10" t="s">
        <v>4048</v>
      </c>
      <c r="U128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8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E530-302038808-D225301</v>
      </c>
      <c r="Y128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E530-30203880860-D225301</v>
      </c>
      <c r="Z128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8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88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288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28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89" spans="1:31" hidden="1" x14ac:dyDescent="0.3">
      <c r="A1289" s="12" t="s">
        <v>4049</v>
      </c>
      <c r="B1289" s="12" t="s">
        <v>26</v>
      </c>
      <c r="C1289" s="12" t="s">
        <v>2117</v>
      </c>
      <c r="D1289" s="12" t="s">
        <v>2118</v>
      </c>
      <c r="E1289" s="12" t="s">
        <v>2842</v>
      </c>
      <c r="F1289" s="8">
        <v>14643.31</v>
      </c>
      <c r="G1289" s="12" t="s">
        <v>2237</v>
      </c>
      <c r="H1289" s="12">
        <v>14643.31</v>
      </c>
      <c r="I1289" s="12" t="s">
        <v>2237</v>
      </c>
      <c r="J1289" s="12">
        <v>0</v>
      </c>
      <c r="K1289" s="12" t="s">
        <v>2237</v>
      </c>
      <c r="L1289" s="12">
        <v>0</v>
      </c>
      <c r="M1289" s="12" t="s">
        <v>2237</v>
      </c>
      <c r="N1289" s="8">
        <v>6944.83</v>
      </c>
      <c r="O1289" s="12" t="s">
        <v>2237</v>
      </c>
      <c r="P1289" s="12" t="s">
        <v>2242</v>
      </c>
      <c r="Q1289" s="10" t="s">
        <v>2236</v>
      </c>
      <c r="R1289" s="10" t="s">
        <v>2238</v>
      </c>
      <c r="S1289" s="10" t="s">
        <v>2243</v>
      </c>
      <c r="T1289" s="10" t="s">
        <v>4032</v>
      </c>
      <c r="U128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8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8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8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E530-302038807-D225301</v>
      </c>
      <c r="Y12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8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8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89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2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89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28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0" spans="1:31" hidden="1" x14ac:dyDescent="0.3">
      <c r="A1290" s="12" t="s">
        <v>4050</v>
      </c>
      <c r="B1290" s="12" t="s">
        <v>30</v>
      </c>
      <c r="C1290" s="12" t="s">
        <v>2117</v>
      </c>
      <c r="D1290" s="12" t="s">
        <v>2119</v>
      </c>
      <c r="E1290" s="12" t="s">
        <v>2842</v>
      </c>
      <c r="F1290" s="8">
        <v>0</v>
      </c>
      <c r="G1290" s="12" t="s">
        <v>2237</v>
      </c>
      <c r="H1290" s="12">
        <v>0</v>
      </c>
      <c r="I1290" s="12" t="s">
        <v>2237</v>
      </c>
      <c r="J1290" s="12">
        <v>0</v>
      </c>
      <c r="K1290" s="12" t="s">
        <v>2237</v>
      </c>
      <c r="L1290" s="12">
        <v>0</v>
      </c>
      <c r="M1290" s="12" t="s">
        <v>2237</v>
      </c>
      <c r="N1290" s="8">
        <v>6944.83</v>
      </c>
      <c r="O1290" s="12" t="s">
        <v>2237</v>
      </c>
      <c r="P1290" s="12" t="s">
        <v>2242</v>
      </c>
      <c r="Q1290" s="10" t="s">
        <v>2236</v>
      </c>
      <c r="R1290" s="10" t="s">
        <v>2238</v>
      </c>
      <c r="S1290" s="10" t="s">
        <v>2243</v>
      </c>
      <c r="T1290" s="10" t="s">
        <v>4034</v>
      </c>
      <c r="U129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E530-3020388-D225301</v>
      </c>
      <c r="X129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E530-302038807-D225301</v>
      </c>
      <c r="Y129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E530-30203880759-D225301</v>
      </c>
      <c r="Z129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0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290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290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29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1" spans="1:31" hidden="1" x14ac:dyDescent="0.3">
      <c r="A1291" s="12" t="s">
        <v>4051</v>
      </c>
      <c r="B1291" s="12" t="s">
        <v>21</v>
      </c>
      <c r="C1291" s="12" t="s">
        <v>48</v>
      </c>
      <c r="D1291" s="12" t="s">
        <v>2120</v>
      </c>
      <c r="E1291" s="12" t="s">
        <v>2842</v>
      </c>
      <c r="F1291" s="8">
        <v>715179.84</v>
      </c>
      <c r="G1291" s="12" t="s">
        <v>2237</v>
      </c>
      <c r="H1291" s="12">
        <v>715179.84</v>
      </c>
      <c r="I1291" s="12" t="s">
        <v>2237</v>
      </c>
      <c r="J1291" s="12">
        <v>0</v>
      </c>
      <c r="K1291" s="12" t="s">
        <v>2237</v>
      </c>
      <c r="L1291" s="12">
        <v>0</v>
      </c>
      <c r="M1291" s="12" t="s">
        <v>2237</v>
      </c>
      <c r="N1291" s="8">
        <v>681773.88</v>
      </c>
      <c r="O1291" s="12" t="s">
        <v>2237</v>
      </c>
      <c r="P1291" s="12" t="s">
        <v>2242</v>
      </c>
      <c r="Q1291" s="10" t="s">
        <v>2236</v>
      </c>
      <c r="R1291" s="10" t="s">
        <v>2238</v>
      </c>
      <c r="S1291" s="10" t="s">
        <v>2243</v>
      </c>
      <c r="T1291" s="10" t="s">
        <v>2642</v>
      </c>
      <c r="U129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2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9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2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91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29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2" spans="1:31" hidden="1" x14ac:dyDescent="0.3">
      <c r="A1292" s="12" t="s">
        <v>4052</v>
      </c>
      <c r="B1292" s="12" t="s">
        <v>26</v>
      </c>
      <c r="C1292" s="12" t="s">
        <v>2121</v>
      </c>
      <c r="D1292" s="12" t="s">
        <v>2122</v>
      </c>
      <c r="E1292" s="12" t="s">
        <v>2842</v>
      </c>
      <c r="F1292" s="8">
        <v>371815.27</v>
      </c>
      <c r="G1292" s="12" t="s">
        <v>2237</v>
      </c>
      <c r="H1292" s="12">
        <v>371815.27</v>
      </c>
      <c r="I1292" s="12" t="s">
        <v>2237</v>
      </c>
      <c r="J1292" s="12">
        <v>0</v>
      </c>
      <c r="K1292" s="12" t="s">
        <v>2237</v>
      </c>
      <c r="L1292" s="12">
        <v>0</v>
      </c>
      <c r="M1292" s="12" t="s">
        <v>2237</v>
      </c>
      <c r="N1292" s="8">
        <v>351070.74</v>
      </c>
      <c r="O1292" s="12" t="s">
        <v>2237</v>
      </c>
      <c r="P1292" s="12" t="s">
        <v>2242</v>
      </c>
      <c r="Q1292" s="10" t="s">
        <v>2236</v>
      </c>
      <c r="R1292" s="10" t="s">
        <v>2238</v>
      </c>
      <c r="S1292" s="10" t="s">
        <v>2243</v>
      </c>
      <c r="T1292" s="10" t="s">
        <v>3351</v>
      </c>
      <c r="U129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E530-302038709-D225301</v>
      </c>
      <c r="Y12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9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2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92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29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3" spans="1:31" x14ac:dyDescent="0.3">
      <c r="A1293" s="12" t="s">
        <v>4053</v>
      </c>
      <c r="B1293" s="12" t="s">
        <v>30</v>
      </c>
      <c r="C1293" s="12" t="s">
        <v>2123</v>
      </c>
      <c r="D1293" s="12" t="s">
        <v>2124</v>
      </c>
      <c r="E1293" s="12" t="s">
        <v>2842</v>
      </c>
      <c r="F1293" s="8">
        <v>0</v>
      </c>
      <c r="G1293" s="12" t="s">
        <v>2237</v>
      </c>
      <c r="H1293" s="12">
        <v>0</v>
      </c>
      <c r="I1293" s="12" t="s">
        <v>2237</v>
      </c>
      <c r="J1293" s="12">
        <v>0</v>
      </c>
      <c r="K1293" s="12" t="s">
        <v>2237</v>
      </c>
      <c r="L1293" s="12">
        <v>0</v>
      </c>
      <c r="M1293" s="12" t="s">
        <v>2237</v>
      </c>
      <c r="N1293" s="8">
        <v>167698.65</v>
      </c>
      <c r="O1293" s="12" t="s">
        <v>2237</v>
      </c>
      <c r="P1293" s="12" t="s">
        <v>2242</v>
      </c>
      <c r="Q1293" s="10" t="s">
        <v>2236</v>
      </c>
      <c r="R1293" s="10" t="s">
        <v>2238</v>
      </c>
      <c r="S1293" s="10" t="s">
        <v>2243</v>
      </c>
      <c r="T1293" s="10" t="s">
        <v>4054</v>
      </c>
      <c r="U129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E530-302038709-D225301</v>
      </c>
      <c r="Y129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E530-30203870902-D225301</v>
      </c>
      <c r="Z129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3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93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293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29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94" spans="1:31" x14ac:dyDescent="0.3">
      <c r="A1294" s="12" t="s">
        <v>4055</v>
      </c>
      <c r="B1294" s="12" t="s">
        <v>30</v>
      </c>
      <c r="C1294" s="12" t="s">
        <v>2125</v>
      </c>
      <c r="D1294" s="12" t="s">
        <v>2126</v>
      </c>
      <c r="E1294" s="12" t="s">
        <v>2842</v>
      </c>
      <c r="F1294" s="8">
        <v>0</v>
      </c>
      <c r="G1294" s="12" t="s">
        <v>2237</v>
      </c>
      <c r="H1294" s="12">
        <v>0</v>
      </c>
      <c r="I1294" s="12" t="s">
        <v>2237</v>
      </c>
      <c r="J1294" s="12">
        <v>0</v>
      </c>
      <c r="K1294" s="12" t="s">
        <v>2237</v>
      </c>
      <c r="L1294" s="12">
        <v>0</v>
      </c>
      <c r="M1294" s="12" t="s">
        <v>2237</v>
      </c>
      <c r="N1294" s="8">
        <v>183372.09</v>
      </c>
      <c r="O1294" s="12" t="s">
        <v>2237</v>
      </c>
      <c r="P1294" s="12" t="s">
        <v>2242</v>
      </c>
      <c r="Q1294" s="10" t="s">
        <v>2236</v>
      </c>
      <c r="R1294" s="10" t="s">
        <v>2238</v>
      </c>
      <c r="S1294" s="10" t="s">
        <v>2243</v>
      </c>
      <c r="T1294" s="10" t="s">
        <v>4054</v>
      </c>
      <c r="U129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E530-302038709-D225301</v>
      </c>
      <c r="Y129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E530-30203870901-D225301</v>
      </c>
      <c r="Z129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294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294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29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295" spans="1:31" hidden="1" x14ac:dyDescent="0.3">
      <c r="A1295" s="12" t="s">
        <v>4056</v>
      </c>
      <c r="B1295" s="12" t="s">
        <v>26</v>
      </c>
      <c r="C1295" s="12" t="s">
        <v>2127</v>
      </c>
      <c r="D1295" s="12" t="s">
        <v>2128</v>
      </c>
      <c r="E1295" s="12" t="s">
        <v>2842</v>
      </c>
      <c r="F1295" s="8">
        <v>314077.95</v>
      </c>
      <c r="G1295" s="12" t="s">
        <v>2237</v>
      </c>
      <c r="H1295" s="12">
        <v>314077.95</v>
      </c>
      <c r="I1295" s="12" t="s">
        <v>2237</v>
      </c>
      <c r="J1295" s="12">
        <v>0</v>
      </c>
      <c r="K1295" s="12" t="s">
        <v>2237</v>
      </c>
      <c r="L1295" s="12">
        <v>0</v>
      </c>
      <c r="M1295" s="12" t="s">
        <v>2237</v>
      </c>
      <c r="N1295" s="8">
        <v>314061.96000000002</v>
      </c>
      <c r="O1295" s="12" t="s">
        <v>2237</v>
      </c>
      <c r="P1295" s="12" t="s">
        <v>2242</v>
      </c>
      <c r="Q1295" s="10" t="s">
        <v>2236</v>
      </c>
      <c r="R1295" s="10" t="s">
        <v>2238</v>
      </c>
      <c r="S1295" s="10" t="s">
        <v>2243</v>
      </c>
      <c r="T1295" s="10" t="s">
        <v>3351</v>
      </c>
      <c r="U129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E530-302038708-D225301</v>
      </c>
      <c r="Y12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9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95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29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6" spans="1:31" hidden="1" x14ac:dyDescent="0.3">
      <c r="A1296" s="12" t="s">
        <v>4057</v>
      </c>
      <c r="B1296" s="12" t="s">
        <v>30</v>
      </c>
      <c r="C1296" s="12" t="s">
        <v>2129</v>
      </c>
      <c r="D1296" s="12" t="s">
        <v>2130</v>
      </c>
      <c r="E1296" s="12" t="s">
        <v>2842</v>
      </c>
      <c r="F1296" s="8">
        <v>0</v>
      </c>
      <c r="G1296" s="12" t="s">
        <v>2237</v>
      </c>
      <c r="H1296" s="12">
        <v>0</v>
      </c>
      <c r="I1296" s="12" t="s">
        <v>2237</v>
      </c>
      <c r="J1296" s="12">
        <v>0</v>
      </c>
      <c r="K1296" s="12" t="s">
        <v>2237</v>
      </c>
      <c r="L1296" s="12">
        <v>0</v>
      </c>
      <c r="M1296" s="12" t="s">
        <v>2237</v>
      </c>
      <c r="N1296" s="8">
        <v>303251.53000000003</v>
      </c>
      <c r="O1296" s="12" t="s">
        <v>2237</v>
      </c>
      <c r="P1296" s="12" t="s">
        <v>2242</v>
      </c>
      <c r="Q1296" s="10" t="s">
        <v>2236</v>
      </c>
      <c r="R1296" s="10" t="s">
        <v>2238</v>
      </c>
      <c r="S1296" s="10" t="s">
        <v>2243</v>
      </c>
      <c r="T1296" s="10" t="s">
        <v>4054</v>
      </c>
      <c r="U129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E530-302038708-D225301</v>
      </c>
      <c r="Y1296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E530-30203870821-D225301</v>
      </c>
      <c r="Z129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6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96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296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29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7" spans="1:31" hidden="1" x14ac:dyDescent="0.3">
      <c r="A1297" s="12" t="s">
        <v>4058</v>
      </c>
      <c r="B1297" s="12" t="s">
        <v>30</v>
      </c>
      <c r="C1297" s="12" t="s">
        <v>2131</v>
      </c>
      <c r="D1297" s="12" t="s">
        <v>2132</v>
      </c>
      <c r="E1297" s="12" t="s">
        <v>2842</v>
      </c>
      <c r="F1297" s="8">
        <v>0</v>
      </c>
      <c r="G1297" s="12" t="s">
        <v>2237</v>
      </c>
      <c r="H1297" s="12">
        <v>0</v>
      </c>
      <c r="I1297" s="12" t="s">
        <v>2237</v>
      </c>
      <c r="J1297" s="12">
        <v>0</v>
      </c>
      <c r="K1297" s="12" t="s">
        <v>2237</v>
      </c>
      <c r="L1297" s="12">
        <v>0</v>
      </c>
      <c r="M1297" s="12" t="s">
        <v>2237</v>
      </c>
      <c r="N1297" s="8">
        <v>10810.43</v>
      </c>
      <c r="O1297" s="12" t="s">
        <v>2237</v>
      </c>
      <c r="P1297" s="12" t="s">
        <v>2242</v>
      </c>
      <c r="Q1297" s="10" t="s">
        <v>2236</v>
      </c>
      <c r="R1297" s="10" t="s">
        <v>2238</v>
      </c>
      <c r="S1297" s="10" t="s">
        <v>2243</v>
      </c>
      <c r="T1297" s="10" t="s">
        <v>4054</v>
      </c>
      <c r="U129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E530-302038708-D225301</v>
      </c>
      <c r="Y129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E530-30203870860-D225301</v>
      </c>
      <c r="Z129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297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297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29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8" spans="1:31" hidden="1" x14ac:dyDescent="0.3">
      <c r="A1298" s="12" t="s">
        <v>4059</v>
      </c>
      <c r="B1298" s="12" t="s">
        <v>26</v>
      </c>
      <c r="C1298" s="12" t="s">
        <v>2133</v>
      </c>
      <c r="D1298" s="12" t="s">
        <v>2134</v>
      </c>
      <c r="E1298" s="12" t="s">
        <v>2842</v>
      </c>
      <c r="F1298" s="8">
        <v>29286.62</v>
      </c>
      <c r="G1298" s="12" t="s">
        <v>2237</v>
      </c>
      <c r="H1298" s="12">
        <v>29286.62</v>
      </c>
      <c r="I1298" s="12" t="s">
        <v>2237</v>
      </c>
      <c r="J1298" s="12">
        <v>0</v>
      </c>
      <c r="K1298" s="12" t="s">
        <v>2237</v>
      </c>
      <c r="L1298" s="12">
        <v>0</v>
      </c>
      <c r="M1298" s="12" t="s">
        <v>2237</v>
      </c>
      <c r="N1298" s="8">
        <v>16641.18</v>
      </c>
      <c r="O1298" s="12" t="s">
        <v>2237</v>
      </c>
      <c r="P1298" s="12" t="s">
        <v>2242</v>
      </c>
      <c r="Q1298" s="10" t="s">
        <v>2236</v>
      </c>
      <c r="R1298" s="10" t="s">
        <v>2238</v>
      </c>
      <c r="S1298" s="10" t="s">
        <v>2243</v>
      </c>
      <c r="T1298" s="10" t="s">
        <v>2642</v>
      </c>
      <c r="U129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E530-302038707-D225301</v>
      </c>
      <c r="Y12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29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8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2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298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29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299" spans="1:31" hidden="1" x14ac:dyDescent="0.3">
      <c r="A1299" s="12" t="s">
        <v>4060</v>
      </c>
      <c r="B1299" s="12" t="s">
        <v>30</v>
      </c>
      <c r="C1299" s="12" t="s">
        <v>2133</v>
      </c>
      <c r="D1299" s="12" t="s">
        <v>2135</v>
      </c>
      <c r="E1299" s="12" t="s">
        <v>2842</v>
      </c>
      <c r="F1299" s="8">
        <v>0</v>
      </c>
      <c r="G1299" s="12" t="s">
        <v>2237</v>
      </c>
      <c r="H1299" s="12">
        <v>0</v>
      </c>
      <c r="I1299" s="12" t="s">
        <v>2237</v>
      </c>
      <c r="J1299" s="12">
        <v>0</v>
      </c>
      <c r="K1299" s="12" t="s">
        <v>2237</v>
      </c>
      <c r="L1299" s="12">
        <v>0</v>
      </c>
      <c r="M1299" s="12" t="s">
        <v>2237</v>
      </c>
      <c r="N1299" s="8">
        <v>16641.18</v>
      </c>
      <c r="O1299" s="12" t="s">
        <v>2237</v>
      </c>
      <c r="P1299" s="12" t="s">
        <v>2242</v>
      </c>
      <c r="Q1299" s="10" t="s">
        <v>2236</v>
      </c>
      <c r="R1299" s="10" t="s">
        <v>2238</v>
      </c>
      <c r="S1299" s="10" t="s">
        <v>2243</v>
      </c>
      <c r="T1299" s="10" t="s">
        <v>4054</v>
      </c>
      <c r="U129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29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29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E530-3020387-D225301</v>
      </c>
      <c r="X129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E530-302038707-D225301</v>
      </c>
      <c r="Y129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E530-30203870759-D225301</v>
      </c>
      <c r="Z129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29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299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299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299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29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0" spans="1:31" hidden="1" x14ac:dyDescent="0.3">
      <c r="A1300" s="12" t="s">
        <v>4061</v>
      </c>
      <c r="B1300" s="12" t="s">
        <v>21</v>
      </c>
      <c r="C1300" s="12" t="s">
        <v>4062</v>
      </c>
      <c r="D1300" s="12" t="s">
        <v>2137</v>
      </c>
      <c r="E1300" s="12" t="s">
        <v>2842</v>
      </c>
      <c r="F1300" s="8">
        <v>375019</v>
      </c>
      <c r="G1300" s="12" t="s">
        <v>2237</v>
      </c>
      <c r="H1300" s="12">
        <v>375019</v>
      </c>
      <c r="I1300" s="12" t="s">
        <v>2237</v>
      </c>
      <c r="J1300" s="12">
        <v>0</v>
      </c>
      <c r="K1300" s="12" t="s">
        <v>2237</v>
      </c>
      <c r="L1300" s="12">
        <v>0</v>
      </c>
      <c r="M1300" s="12" t="s">
        <v>2237</v>
      </c>
      <c r="N1300" s="8">
        <v>327174.01</v>
      </c>
      <c r="O1300" s="12" t="s">
        <v>2237</v>
      </c>
      <c r="P1300" s="12" t="s">
        <v>2242</v>
      </c>
      <c r="Q1300" s="10" t="s">
        <v>2236</v>
      </c>
      <c r="R1300" s="10" t="s">
        <v>2238</v>
      </c>
      <c r="S1300" s="10" t="s">
        <v>2243</v>
      </c>
      <c r="T1300" s="10" t="s">
        <v>2642</v>
      </c>
      <c r="U130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0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0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00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1" spans="1:31" hidden="1" x14ac:dyDescent="0.3">
      <c r="A1301" s="12" t="s">
        <v>4063</v>
      </c>
      <c r="B1301" s="12" t="s">
        <v>26</v>
      </c>
      <c r="C1301" s="12" t="s">
        <v>4064</v>
      </c>
      <c r="D1301" s="12" t="s">
        <v>2139</v>
      </c>
      <c r="E1301" s="12" t="s">
        <v>2842</v>
      </c>
      <c r="F1301" s="8">
        <v>250567</v>
      </c>
      <c r="G1301" s="12" t="s">
        <v>2237</v>
      </c>
      <c r="H1301" s="12">
        <v>250567</v>
      </c>
      <c r="I1301" s="12" t="s">
        <v>2237</v>
      </c>
      <c r="J1301" s="12">
        <v>0</v>
      </c>
      <c r="K1301" s="12" t="s">
        <v>2237</v>
      </c>
      <c r="L1301" s="12">
        <v>0</v>
      </c>
      <c r="M1301" s="12" t="s">
        <v>2237</v>
      </c>
      <c r="N1301" s="8">
        <v>217964.53</v>
      </c>
      <c r="O1301" s="12" t="s">
        <v>2237</v>
      </c>
      <c r="P1301" s="12" t="s">
        <v>2242</v>
      </c>
      <c r="Q1301" s="10" t="s">
        <v>2236</v>
      </c>
      <c r="R1301" s="10" t="s">
        <v>2238</v>
      </c>
      <c r="S1301" s="10" t="s">
        <v>2243</v>
      </c>
      <c r="T1301" s="10" t="s">
        <v>3351</v>
      </c>
      <c r="U130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E530-302038609-D225301</v>
      </c>
      <c r="Y13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0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1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1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01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2" spans="1:31" hidden="1" x14ac:dyDescent="0.3">
      <c r="A1302" s="12" t="s">
        <v>4065</v>
      </c>
      <c r="B1302" s="12" t="s">
        <v>30</v>
      </c>
      <c r="C1302" s="12" t="s">
        <v>4064</v>
      </c>
      <c r="D1302" s="12" t="s">
        <v>2140</v>
      </c>
      <c r="E1302" s="12" t="s">
        <v>2842</v>
      </c>
      <c r="F1302" s="8">
        <v>0</v>
      </c>
      <c r="G1302" s="12" t="s">
        <v>2237</v>
      </c>
      <c r="H1302" s="12">
        <v>0</v>
      </c>
      <c r="I1302" s="12" t="s">
        <v>2237</v>
      </c>
      <c r="J1302" s="12">
        <v>0</v>
      </c>
      <c r="K1302" s="12" t="s">
        <v>2237</v>
      </c>
      <c r="L1302" s="12">
        <v>0</v>
      </c>
      <c r="M1302" s="12" t="s">
        <v>2237</v>
      </c>
      <c r="N1302" s="8">
        <v>217964.53</v>
      </c>
      <c r="O1302" s="12" t="s">
        <v>2237</v>
      </c>
      <c r="P1302" s="12" t="s">
        <v>2242</v>
      </c>
      <c r="Q1302" s="10" t="s">
        <v>2236</v>
      </c>
      <c r="R1302" s="10" t="s">
        <v>2238</v>
      </c>
      <c r="S1302" s="10" t="s">
        <v>2243</v>
      </c>
      <c r="T1302" s="10" t="s">
        <v>4054</v>
      </c>
      <c r="U130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E530-302038609-D225301</v>
      </c>
      <c r="Y130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E530-30203860962-D225301</v>
      </c>
      <c r="Z130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2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2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02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302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3" spans="1:31" hidden="1" x14ac:dyDescent="0.3">
      <c r="A1303" s="12" t="s">
        <v>4066</v>
      </c>
      <c r="B1303" s="12" t="s">
        <v>26</v>
      </c>
      <c r="C1303" s="12" t="s">
        <v>4067</v>
      </c>
      <c r="D1303" s="12" t="s">
        <v>2142</v>
      </c>
      <c r="E1303" s="12" t="s">
        <v>2842</v>
      </c>
      <c r="F1303" s="8">
        <v>109219</v>
      </c>
      <c r="G1303" s="12" t="s">
        <v>2237</v>
      </c>
      <c r="H1303" s="12">
        <v>109219</v>
      </c>
      <c r="I1303" s="12" t="s">
        <v>2237</v>
      </c>
      <c r="J1303" s="12">
        <v>0</v>
      </c>
      <c r="K1303" s="12" t="s">
        <v>2237</v>
      </c>
      <c r="L1303" s="12">
        <v>0</v>
      </c>
      <c r="M1303" s="12" t="s">
        <v>2237</v>
      </c>
      <c r="N1303" s="8">
        <v>109209.48</v>
      </c>
      <c r="O1303" s="12" t="s">
        <v>2237</v>
      </c>
      <c r="P1303" s="12" t="s">
        <v>2242</v>
      </c>
      <c r="Q1303" s="10" t="s">
        <v>2236</v>
      </c>
      <c r="R1303" s="10" t="s">
        <v>2238</v>
      </c>
      <c r="S1303" s="10" t="s">
        <v>2243</v>
      </c>
      <c r="T1303" s="10" t="s">
        <v>3351</v>
      </c>
      <c r="U130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E530-302038608-D225301</v>
      </c>
      <c r="Y13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0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3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03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4" spans="1:31" hidden="1" x14ac:dyDescent="0.3">
      <c r="A1304" s="12" t="s">
        <v>4068</v>
      </c>
      <c r="B1304" s="12" t="s">
        <v>30</v>
      </c>
      <c r="C1304" s="12" t="s">
        <v>4069</v>
      </c>
      <c r="D1304" s="12" t="s">
        <v>2144</v>
      </c>
      <c r="E1304" s="12" t="s">
        <v>2842</v>
      </c>
      <c r="F1304" s="8">
        <v>0</v>
      </c>
      <c r="G1304" s="12" t="s">
        <v>2237</v>
      </c>
      <c r="H1304" s="12">
        <v>0</v>
      </c>
      <c r="I1304" s="12" t="s">
        <v>2237</v>
      </c>
      <c r="J1304" s="12">
        <v>0</v>
      </c>
      <c r="K1304" s="12" t="s">
        <v>2237</v>
      </c>
      <c r="L1304" s="12">
        <v>0</v>
      </c>
      <c r="M1304" s="12" t="s">
        <v>2237</v>
      </c>
      <c r="N1304" s="8">
        <v>49110.91</v>
      </c>
      <c r="O1304" s="12" t="s">
        <v>2237</v>
      </c>
      <c r="P1304" s="12" t="s">
        <v>2242</v>
      </c>
      <c r="Q1304" s="10" t="s">
        <v>2236</v>
      </c>
      <c r="R1304" s="10" t="s">
        <v>2238</v>
      </c>
      <c r="S1304" s="10" t="s">
        <v>2243</v>
      </c>
      <c r="T1304" s="10" t="s">
        <v>4054</v>
      </c>
      <c r="U130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E530-302038608-D225301</v>
      </c>
      <c r="Y130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E530-30203860821-D225301</v>
      </c>
      <c r="Z130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4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4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04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04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5" spans="1:31" hidden="1" x14ac:dyDescent="0.3">
      <c r="A1305" s="12" t="s">
        <v>4070</v>
      </c>
      <c r="B1305" s="12" t="s">
        <v>30</v>
      </c>
      <c r="C1305" s="12" t="s">
        <v>4071</v>
      </c>
      <c r="D1305" s="12" t="s">
        <v>2146</v>
      </c>
      <c r="E1305" s="12" t="s">
        <v>2842</v>
      </c>
      <c r="F1305" s="8">
        <v>0</v>
      </c>
      <c r="G1305" s="12" t="s">
        <v>2237</v>
      </c>
      <c r="H1305" s="12">
        <v>0</v>
      </c>
      <c r="I1305" s="12" t="s">
        <v>2237</v>
      </c>
      <c r="J1305" s="12">
        <v>0</v>
      </c>
      <c r="K1305" s="12" t="s">
        <v>2237</v>
      </c>
      <c r="L1305" s="12">
        <v>0</v>
      </c>
      <c r="M1305" s="12" t="s">
        <v>2237</v>
      </c>
      <c r="N1305" s="8">
        <v>60098.57</v>
      </c>
      <c r="O1305" s="12" t="s">
        <v>2237</v>
      </c>
      <c r="P1305" s="12" t="s">
        <v>2242</v>
      </c>
      <c r="Q1305" s="10" t="s">
        <v>2236</v>
      </c>
      <c r="R1305" s="10" t="s">
        <v>2238</v>
      </c>
      <c r="S1305" s="10" t="s">
        <v>2243</v>
      </c>
      <c r="T1305" s="10" t="s">
        <v>4054</v>
      </c>
      <c r="U130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E530-302038608-D225301</v>
      </c>
      <c r="Y130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E530-30203860860-D225301</v>
      </c>
      <c r="Z130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5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05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05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6" spans="1:31" hidden="1" x14ac:dyDescent="0.3">
      <c r="A1306" s="12" t="s">
        <v>4072</v>
      </c>
      <c r="B1306" s="12" t="s">
        <v>26</v>
      </c>
      <c r="C1306" s="12" t="s">
        <v>4073</v>
      </c>
      <c r="D1306" s="12" t="s">
        <v>2148</v>
      </c>
      <c r="E1306" s="12" t="s">
        <v>2842</v>
      </c>
      <c r="F1306" s="8">
        <v>15233</v>
      </c>
      <c r="G1306" s="12" t="s">
        <v>2237</v>
      </c>
      <c r="H1306" s="12">
        <v>15233</v>
      </c>
      <c r="I1306" s="12" t="s">
        <v>2237</v>
      </c>
      <c r="J1306" s="12">
        <v>0</v>
      </c>
      <c r="K1306" s="12" t="s">
        <v>2237</v>
      </c>
      <c r="L1306" s="12">
        <v>0</v>
      </c>
      <c r="M1306" s="12" t="s">
        <v>2237</v>
      </c>
      <c r="N1306" s="8">
        <v>0</v>
      </c>
      <c r="O1306" s="12" t="s">
        <v>2237</v>
      </c>
      <c r="P1306" s="12" t="s">
        <v>2242</v>
      </c>
      <c r="Q1306" s="10" t="s">
        <v>2236</v>
      </c>
      <c r="R1306" s="10" t="s">
        <v>2238</v>
      </c>
      <c r="S1306" s="10" t="s">
        <v>2243</v>
      </c>
      <c r="T1306" s="10" t="s">
        <v>2642</v>
      </c>
      <c r="U130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E530-302038607-D225301</v>
      </c>
      <c r="Y13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0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6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6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06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7" spans="1:31" hidden="1" x14ac:dyDescent="0.3">
      <c r="A1307" s="12" t="s">
        <v>4074</v>
      </c>
      <c r="B1307" s="12" t="s">
        <v>30</v>
      </c>
      <c r="C1307" s="12" t="s">
        <v>4073</v>
      </c>
      <c r="D1307" s="12" t="s">
        <v>2149</v>
      </c>
      <c r="E1307" s="12" t="s">
        <v>2842</v>
      </c>
      <c r="F1307" s="8">
        <v>0</v>
      </c>
      <c r="G1307" s="12" t="s">
        <v>2237</v>
      </c>
      <c r="H1307" s="12">
        <v>0</v>
      </c>
      <c r="I1307" s="12" t="s">
        <v>2237</v>
      </c>
      <c r="J1307" s="12">
        <v>0</v>
      </c>
      <c r="K1307" s="12" t="s">
        <v>2237</v>
      </c>
      <c r="L1307" s="12">
        <v>0</v>
      </c>
      <c r="M1307" s="12" t="s">
        <v>2237</v>
      </c>
      <c r="N1307" s="8">
        <v>0</v>
      </c>
      <c r="O1307" s="12" t="s">
        <v>2237</v>
      </c>
      <c r="P1307" s="12" t="s">
        <v>2242</v>
      </c>
      <c r="Q1307" s="10" t="s">
        <v>2236</v>
      </c>
      <c r="R1307" s="10" t="s">
        <v>2238</v>
      </c>
      <c r="S1307" s="10" t="s">
        <v>2243</v>
      </c>
      <c r="T1307" s="10" t="s">
        <v>4075</v>
      </c>
      <c r="U130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E530-3020386-D225301</v>
      </c>
      <c r="X130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E530-302038607-D225301</v>
      </c>
      <c r="Y130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E530-30203860759-D225301</v>
      </c>
      <c r="Z130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7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07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07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07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0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8" spans="1:31" hidden="1" x14ac:dyDescent="0.3">
      <c r="A1308" s="12" t="s">
        <v>4076</v>
      </c>
      <c r="B1308" s="12" t="s">
        <v>21</v>
      </c>
      <c r="C1308" s="12" t="s">
        <v>4077</v>
      </c>
      <c r="D1308" s="12" t="s">
        <v>2151</v>
      </c>
      <c r="E1308" s="12" t="s">
        <v>2842</v>
      </c>
      <c r="F1308" s="8">
        <v>245116.89</v>
      </c>
      <c r="G1308" s="12" t="s">
        <v>2237</v>
      </c>
      <c r="H1308" s="12">
        <v>245116.89</v>
      </c>
      <c r="I1308" s="12" t="s">
        <v>2237</v>
      </c>
      <c r="J1308" s="12">
        <v>0</v>
      </c>
      <c r="K1308" s="12" t="s">
        <v>2237</v>
      </c>
      <c r="L1308" s="12">
        <v>0</v>
      </c>
      <c r="M1308" s="12" t="s">
        <v>2237</v>
      </c>
      <c r="N1308" s="8">
        <v>230528.31</v>
      </c>
      <c r="O1308" s="12" t="s">
        <v>2237</v>
      </c>
      <c r="P1308" s="12" t="s">
        <v>2242</v>
      </c>
      <c r="Q1308" s="10" t="s">
        <v>2236</v>
      </c>
      <c r="R1308" s="10" t="s">
        <v>2238</v>
      </c>
      <c r="S1308" s="10" t="s">
        <v>2243</v>
      </c>
      <c r="T1308" s="10" t="s">
        <v>2642</v>
      </c>
      <c r="U130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0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08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0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09" spans="1:31" hidden="1" x14ac:dyDescent="0.3">
      <c r="A1309" s="12" t="s">
        <v>4078</v>
      </c>
      <c r="B1309" s="12" t="s">
        <v>26</v>
      </c>
      <c r="C1309" s="12" t="s">
        <v>4079</v>
      </c>
      <c r="D1309" s="12" t="s">
        <v>2153</v>
      </c>
      <c r="E1309" s="12" t="s">
        <v>2842</v>
      </c>
      <c r="F1309" s="8">
        <v>222547.84</v>
      </c>
      <c r="G1309" s="12" t="s">
        <v>2237</v>
      </c>
      <c r="H1309" s="12">
        <v>222547.84</v>
      </c>
      <c r="I1309" s="12" t="s">
        <v>2237</v>
      </c>
      <c r="J1309" s="12">
        <v>0</v>
      </c>
      <c r="K1309" s="12" t="s">
        <v>2237</v>
      </c>
      <c r="L1309" s="12">
        <v>0</v>
      </c>
      <c r="M1309" s="12" t="s">
        <v>2237</v>
      </c>
      <c r="N1309" s="8">
        <v>208593.69</v>
      </c>
      <c r="O1309" s="12" t="s">
        <v>2237</v>
      </c>
      <c r="P1309" s="12" t="s">
        <v>2242</v>
      </c>
      <c r="Q1309" s="10" t="s">
        <v>2236</v>
      </c>
      <c r="R1309" s="10" t="s">
        <v>2238</v>
      </c>
      <c r="S1309" s="10" t="s">
        <v>2243</v>
      </c>
      <c r="T1309" s="10" t="s">
        <v>3351</v>
      </c>
      <c r="U130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0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0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0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E530-302038509-D225301</v>
      </c>
      <c r="Y13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0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0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09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09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0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0" spans="1:31" hidden="1" x14ac:dyDescent="0.3">
      <c r="A1310" s="12" t="s">
        <v>4080</v>
      </c>
      <c r="B1310" s="12" t="s">
        <v>30</v>
      </c>
      <c r="C1310" s="12" t="s">
        <v>4079</v>
      </c>
      <c r="D1310" s="12" t="s">
        <v>2154</v>
      </c>
      <c r="E1310" s="12" t="s">
        <v>2842</v>
      </c>
      <c r="F1310" s="8">
        <v>0</v>
      </c>
      <c r="G1310" s="12" t="s">
        <v>2237</v>
      </c>
      <c r="H1310" s="12">
        <v>0</v>
      </c>
      <c r="I1310" s="12" t="s">
        <v>2237</v>
      </c>
      <c r="J1310" s="12">
        <v>0</v>
      </c>
      <c r="K1310" s="12" t="s">
        <v>2237</v>
      </c>
      <c r="L1310" s="12">
        <v>0</v>
      </c>
      <c r="M1310" s="12" t="s">
        <v>2237</v>
      </c>
      <c r="N1310" s="8">
        <v>208593.69</v>
      </c>
      <c r="O1310" s="12" t="s">
        <v>2237</v>
      </c>
      <c r="P1310" s="12" t="s">
        <v>2242</v>
      </c>
      <c r="Q1310" s="10" t="s">
        <v>2236</v>
      </c>
      <c r="R1310" s="10" t="s">
        <v>2238</v>
      </c>
      <c r="S1310" s="10" t="s">
        <v>2243</v>
      </c>
      <c r="T1310" s="10" t="s">
        <v>4054</v>
      </c>
      <c r="U131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1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E530-302038509-D225301</v>
      </c>
      <c r="Y131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E530-30203850962-D225301</v>
      </c>
      <c r="Z131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10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310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1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1" spans="1:31" hidden="1" x14ac:dyDescent="0.3">
      <c r="A1311" s="12" t="s">
        <v>4081</v>
      </c>
      <c r="B1311" s="12" t="s">
        <v>26</v>
      </c>
      <c r="C1311" s="12" t="s">
        <v>4082</v>
      </c>
      <c r="D1311" s="12" t="s">
        <v>2156</v>
      </c>
      <c r="E1311" s="12" t="s">
        <v>2842</v>
      </c>
      <c r="F1311" s="8">
        <v>10474.049999999999</v>
      </c>
      <c r="G1311" s="12" t="s">
        <v>2237</v>
      </c>
      <c r="H1311" s="12">
        <v>10474.049999999999</v>
      </c>
      <c r="I1311" s="12" t="s">
        <v>2237</v>
      </c>
      <c r="J1311" s="12">
        <v>0</v>
      </c>
      <c r="K1311" s="12" t="s">
        <v>2237</v>
      </c>
      <c r="L1311" s="12">
        <v>0</v>
      </c>
      <c r="M1311" s="12" t="s">
        <v>2237</v>
      </c>
      <c r="N1311" s="8">
        <v>10467.58</v>
      </c>
      <c r="O1311" s="12" t="s">
        <v>2237</v>
      </c>
      <c r="P1311" s="12" t="s">
        <v>2242</v>
      </c>
      <c r="Q1311" s="10" t="s">
        <v>2236</v>
      </c>
      <c r="R1311" s="10" t="s">
        <v>2238</v>
      </c>
      <c r="S1311" s="10" t="s">
        <v>2243</v>
      </c>
      <c r="T1311" s="10" t="s">
        <v>3351</v>
      </c>
      <c r="U131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1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E530-302038508-D225301</v>
      </c>
      <c r="Y13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1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1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11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1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2" spans="1:31" hidden="1" x14ac:dyDescent="0.3">
      <c r="A1312" s="12" t="s">
        <v>4083</v>
      </c>
      <c r="B1312" s="12" t="s">
        <v>30</v>
      </c>
      <c r="C1312" s="12" t="s">
        <v>4084</v>
      </c>
      <c r="D1312" s="12" t="s">
        <v>2158</v>
      </c>
      <c r="E1312" s="12" t="s">
        <v>2842</v>
      </c>
      <c r="F1312" s="8">
        <v>0</v>
      </c>
      <c r="G1312" s="12" t="s">
        <v>2237</v>
      </c>
      <c r="H1312" s="12">
        <v>0</v>
      </c>
      <c r="I1312" s="12" t="s">
        <v>2237</v>
      </c>
      <c r="J1312" s="12">
        <v>0</v>
      </c>
      <c r="K1312" s="12" t="s">
        <v>2237</v>
      </c>
      <c r="L1312" s="12">
        <v>0</v>
      </c>
      <c r="M1312" s="12" t="s">
        <v>2237</v>
      </c>
      <c r="N1312" s="8">
        <v>10467.58</v>
      </c>
      <c r="O1312" s="12" t="s">
        <v>2237</v>
      </c>
      <c r="P1312" s="12" t="s">
        <v>2242</v>
      </c>
      <c r="Q1312" s="10" t="s">
        <v>2236</v>
      </c>
      <c r="R1312" s="10" t="s">
        <v>2238</v>
      </c>
      <c r="S1312" s="10" t="s">
        <v>2243</v>
      </c>
      <c r="T1312" s="10" t="s">
        <v>4054</v>
      </c>
      <c r="U131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1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E530-302038508-D225301</v>
      </c>
      <c r="Y131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E530-30203850821-D225301</v>
      </c>
      <c r="Z131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2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2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12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12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1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3" spans="1:31" hidden="1" x14ac:dyDescent="0.3">
      <c r="A1313" s="12" t="s">
        <v>4085</v>
      </c>
      <c r="B1313" s="12" t="s">
        <v>30</v>
      </c>
      <c r="C1313" s="12" t="s">
        <v>4086</v>
      </c>
      <c r="D1313" s="12" t="s">
        <v>2160</v>
      </c>
      <c r="E1313" s="12" t="s">
        <v>2842</v>
      </c>
      <c r="F1313" s="8">
        <v>0</v>
      </c>
      <c r="G1313" s="12" t="s">
        <v>2237</v>
      </c>
      <c r="H1313" s="12">
        <v>0</v>
      </c>
      <c r="I1313" s="12" t="s">
        <v>2237</v>
      </c>
      <c r="J1313" s="12">
        <v>0</v>
      </c>
      <c r="K1313" s="12" t="s">
        <v>2237</v>
      </c>
      <c r="L1313" s="12">
        <v>0</v>
      </c>
      <c r="M1313" s="12" t="s">
        <v>2237</v>
      </c>
      <c r="N1313" s="8">
        <v>0</v>
      </c>
      <c r="O1313" s="12" t="s">
        <v>2237</v>
      </c>
      <c r="P1313" s="12" t="s">
        <v>2242</v>
      </c>
      <c r="Q1313" s="10" t="s">
        <v>2236</v>
      </c>
      <c r="R1313" s="10" t="s">
        <v>2238</v>
      </c>
      <c r="S1313" s="10" t="s">
        <v>2243</v>
      </c>
      <c r="T1313" s="10" t="s">
        <v>4075</v>
      </c>
      <c r="U131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1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E530-302038508-D225301</v>
      </c>
      <c r="Y131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E530-30203850860-D225301</v>
      </c>
      <c r="Z131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3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13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13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1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4" spans="1:31" hidden="1" x14ac:dyDescent="0.3">
      <c r="A1314" s="12" t="s">
        <v>4087</v>
      </c>
      <c r="B1314" s="12" t="s">
        <v>26</v>
      </c>
      <c r="C1314" s="12" t="s">
        <v>4088</v>
      </c>
      <c r="D1314" s="12" t="s">
        <v>2162</v>
      </c>
      <c r="E1314" s="12" t="s">
        <v>2842</v>
      </c>
      <c r="F1314" s="8">
        <v>12095</v>
      </c>
      <c r="G1314" s="12" t="s">
        <v>2237</v>
      </c>
      <c r="H1314" s="12">
        <v>12095</v>
      </c>
      <c r="I1314" s="12" t="s">
        <v>2237</v>
      </c>
      <c r="J1314" s="12">
        <v>0</v>
      </c>
      <c r="K1314" s="12" t="s">
        <v>2237</v>
      </c>
      <c r="L1314" s="12">
        <v>0</v>
      </c>
      <c r="M1314" s="12" t="s">
        <v>2237</v>
      </c>
      <c r="N1314" s="8">
        <v>11467.04</v>
      </c>
      <c r="O1314" s="12" t="s">
        <v>2237</v>
      </c>
      <c r="P1314" s="12" t="s">
        <v>2242</v>
      </c>
      <c r="Q1314" s="10" t="s">
        <v>2236</v>
      </c>
      <c r="R1314" s="10" t="s">
        <v>2238</v>
      </c>
      <c r="S1314" s="10" t="s">
        <v>2243</v>
      </c>
      <c r="T1314" s="10" t="s">
        <v>3351</v>
      </c>
      <c r="U131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1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E530-302038507-D225301</v>
      </c>
      <c r="Y13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1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4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14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1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5" spans="1:31" hidden="1" x14ac:dyDescent="0.3">
      <c r="A1315" s="12" t="s">
        <v>4089</v>
      </c>
      <c r="B1315" s="12" t="s">
        <v>30</v>
      </c>
      <c r="C1315" s="12" t="s">
        <v>4088</v>
      </c>
      <c r="D1315" s="12" t="s">
        <v>2163</v>
      </c>
      <c r="E1315" s="12" t="s">
        <v>2842</v>
      </c>
      <c r="F1315" s="8">
        <v>0</v>
      </c>
      <c r="G1315" s="12" t="s">
        <v>2237</v>
      </c>
      <c r="H1315" s="12">
        <v>0</v>
      </c>
      <c r="I1315" s="12" t="s">
        <v>2237</v>
      </c>
      <c r="J1315" s="12">
        <v>0</v>
      </c>
      <c r="K1315" s="12" t="s">
        <v>2237</v>
      </c>
      <c r="L1315" s="12">
        <v>0</v>
      </c>
      <c r="M1315" s="12" t="s">
        <v>2237</v>
      </c>
      <c r="N1315" s="8">
        <v>11467.04</v>
      </c>
      <c r="O1315" s="12" t="s">
        <v>2237</v>
      </c>
      <c r="P1315" s="12" t="s">
        <v>2242</v>
      </c>
      <c r="Q1315" s="10" t="s">
        <v>2236</v>
      </c>
      <c r="R1315" s="10" t="s">
        <v>2238</v>
      </c>
      <c r="S1315" s="10" t="s">
        <v>2243</v>
      </c>
      <c r="T1315" s="10" t="s">
        <v>4054</v>
      </c>
      <c r="U131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E530-3020385-D225301</v>
      </c>
      <c r="X131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E530-302038507-D225301</v>
      </c>
      <c r="Y131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E530-30203850759-D225301</v>
      </c>
      <c r="Z131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5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15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15" s="10" t="str">
        <f>IF(IFERROR(INDEX(WBS_Dictionary!N$2:N$1212, MATCH(Table2[[#This Row],[WBS_ID]], Table26[WBS CODE],0)), "") = "", "null", IFERROR(INDEX(WBS_Dictionary!N$2:N$1212, MATCH(Table2[[#This Row],[WBS_ID]], Table26[WBS CODE],0)), ""))</f>
        <v>Pad SF</v>
      </c>
      <c r="AE131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6" spans="1:31" hidden="1" x14ac:dyDescent="0.3">
      <c r="A1316" s="12" t="s">
        <v>4090</v>
      </c>
      <c r="B1316" s="12" t="s">
        <v>21</v>
      </c>
      <c r="C1316" s="12" t="s">
        <v>4091</v>
      </c>
      <c r="D1316" s="12" t="s">
        <v>2165</v>
      </c>
      <c r="E1316" s="12" t="s">
        <v>2842</v>
      </c>
      <c r="F1316" s="8">
        <v>403050</v>
      </c>
      <c r="G1316" s="12" t="s">
        <v>2237</v>
      </c>
      <c r="H1316" s="12">
        <v>403050</v>
      </c>
      <c r="I1316" s="12" t="s">
        <v>2237</v>
      </c>
      <c r="J1316" s="12">
        <v>0</v>
      </c>
      <c r="K1316" s="12" t="s">
        <v>2237</v>
      </c>
      <c r="L1316" s="12">
        <v>0</v>
      </c>
      <c r="M1316" s="12" t="s">
        <v>2237</v>
      </c>
      <c r="N1316" s="8">
        <v>372415.08</v>
      </c>
      <c r="O1316" s="12" t="s">
        <v>2237</v>
      </c>
      <c r="P1316" s="12" t="s">
        <v>2242</v>
      </c>
      <c r="Q1316" s="10" t="s">
        <v>2236</v>
      </c>
      <c r="R1316" s="10" t="s">
        <v>2238</v>
      </c>
      <c r="S1316" s="10" t="s">
        <v>2243</v>
      </c>
      <c r="T1316" s="10" t="s">
        <v>2642</v>
      </c>
      <c r="U131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1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6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16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1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7" spans="1:31" ht="15.75" hidden="1" customHeight="1" x14ac:dyDescent="0.3">
      <c r="A1317" s="12" t="s">
        <v>4092</v>
      </c>
      <c r="B1317" s="12" t="s">
        <v>26</v>
      </c>
      <c r="C1317" s="12" t="s">
        <v>4093</v>
      </c>
      <c r="D1317" s="12" t="s">
        <v>2167</v>
      </c>
      <c r="E1317" s="12" t="s">
        <v>2842</v>
      </c>
      <c r="F1317" s="8">
        <v>351218</v>
      </c>
      <c r="G1317" s="12" t="s">
        <v>2237</v>
      </c>
      <c r="H1317" s="12">
        <v>351218</v>
      </c>
      <c r="I1317" s="12" t="s">
        <v>2237</v>
      </c>
      <c r="J1317" s="12">
        <v>0</v>
      </c>
      <c r="K1317" s="12" t="s">
        <v>2237</v>
      </c>
      <c r="L1317" s="12">
        <v>0</v>
      </c>
      <c r="M1317" s="12" t="s">
        <v>2237</v>
      </c>
      <c r="N1317" s="8">
        <v>340780.82</v>
      </c>
      <c r="O1317" s="12" t="s">
        <v>2237</v>
      </c>
      <c r="P1317" s="12" t="s">
        <v>2242</v>
      </c>
      <c r="Q1317" s="10" t="s">
        <v>2236</v>
      </c>
      <c r="R1317" s="10" t="s">
        <v>2238</v>
      </c>
      <c r="S1317" s="10" t="s">
        <v>2243</v>
      </c>
      <c r="T1317" s="10" t="s">
        <v>3351</v>
      </c>
      <c r="U13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1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E530-302038409-D225301</v>
      </c>
      <c r="Y13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1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7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7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17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1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8" spans="1:31" hidden="1" x14ac:dyDescent="0.3">
      <c r="A1318" s="12" t="s">
        <v>4094</v>
      </c>
      <c r="B1318" s="12" t="s">
        <v>30</v>
      </c>
      <c r="C1318" s="12" t="s">
        <v>4093</v>
      </c>
      <c r="D1318" s="12" t="s">
        <v>2168</v>
      </c>
      <c r="E1318" s="12" t="s">
        <v>2842</v>
      </c>
      <c r="F1318" s="8">
        <v>0</v>
      </c>
      <c r="G1318" s="12" t="s">
        <v>2237</v>
      </c>
      <c r="H1318" s="12">
        <v>0</v>
      </c>
      <c r="I1318" s="12" t="s">
        <v>2237</v>
      </c>
      <c r="J1318" s="12">
        <v>0</v>
      </c>
      <c r="K1318" s="12" t="s">
        <v>2237</v>
      </c>
      <c r="L1318" s="12">
        <v>0</v>
      </c>
      <c r="M1318" s="12" t="s">
        <v>2237</v>
      </c>
      <c r="N1318" s="8">
        <v>340780.82</v>
      </c>
      <c r="O1318" s="12" t="s">
        <v>2237</v>
      </c>
      <c r="P1318" s="12" t="s">
        <v>2242</v>
      </c>
      <c r="Q1318" s="10" t="s">
        <v>2236</v>
      </c>
      <c r="R1318" s="10" t="s">
        <v>2238</v>
      </c>
      <c r="S1318" s="10" t="s">
        <v>2243</v>
      </c>
      <c r="T1318" s="10" t="s">
        <v>4054</v>
      </c>
      <c r="U13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1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E530-302038409-D225301</v>
      </c>
      <c r="Y131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E530-30203840962-D225301</v>
      </c>
      <c r="Z131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8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18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318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1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19" spans="1:31" hidden="1" x14ac:dyDescent="0.3">
      <c r="A1319" s="12" t="s">
        <v>4095</v>
      </c>
      <c r="B1319" s="12" t="s">
        <v>26</v>
      </c>
      <c r="C1319" s="12" t="s">
        <v>4096</v>
      </c>
      <c r="D1319" s="12" t="s">
        <v>2170</v>
      </c>
      <c r="E1319" s="12" t="s">
        <v>2842</v>
      </c>
      <c r="F1319" s="8">
        <v>31730</v>
      </c>
      <c r="G1319" s="12" t="s">
        <v>2237</v>
      </c>
      <c r="H1319" s="12">
        <v>31730</v>
      </c>
      <c r="I1319" s="12" t="s">
        <v>2237</v>
      </c>
      <c r="J1319" s="12">
        <v>0</v>
      </c>
      <c r="K1319" s="12" t="s">
        <v>2237</v>
      </c>
      <c r="L1319" s="12">
        <v>0</v>
      </c>
      <c r="M1319" s="12" t="s">
        <v>2237</v>
      </c>
      <c r="N1319" s="8">
        <v>31634.26</v>
      </c>
      <c r="O1319" s="12" t="s">
        <v>2237</v>
      </c>
      <c r="P1319" s="12" t="s">
        <v>2242</v>
      </c>
      <c r="Q1319" s="10" t="s">
        <v>2236</v>
      </c>
      <c r="R1319" s="10" t="s">
        <v>2238</v>
      </c>
      <c r="S1319" s="10" t="s">
        <v>2243</v>
      </c>
      <c r="T1319" s="10" t="s">
        <v>3351</v>
      </c>
      <c r="U13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1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1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1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E530-302038408-D225301</v>
      </c>
      <c r="Y13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1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1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19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19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1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0" spans="1:31" hidden="1" x14ac:dyDescent="0.3">
      <c r="A1320" s="12" t="s">
        <v>4097</v>
      </c>
      <c r="B1320" s="12" t="s">
        <v>30</v>
      </c>
      <c r="C1320" s="12" t="s">
        <v>4098</v>
      </c>
      <c r="D1320" s="12" t="s">
        <v>2172</v>
      </c>
      <c r="E1320" s="12" t="s">
        <v>2842</v>
      </c>
      <c r="F1320" s="8">
        <v>0</v>
      </c>
      <c r="G1320" s="12" t="s">
        <v>2237</v>
      </c>
      <c r="H1320" s="12">
        <v>0</v>
      </c>
      <c r="I1320" s="12" t="s">
        <v>2237</v>
      </c>
      <c r="J1320" s="12">
        <v>0</v>
      </c>
      <c r="K1320" s="12" t="s">
        <v>2237</v>
      </c>
      <c r="L1320" s="12">
        <v>0</v>
      </c>
      <c r="M1320" s="12" t="s">
        <v>2237</v>
      </c>
      <c r="N1320" s="8">
        <v>31634.26</v>
      </c>
      <c r="O1320" s="12" t="s">
        <v>2237</v>
      </c>
      <c r="P1320" s="12" t="s">
        <v>2242</v>
      </c>
      <c r="Q1320" s="10" t="s">
        <v>2236</v>
      </c>
      <c r="R1320" s="10" t="s">
        <v>2238</v>
      </c>
      <c r="S1320" s="10" t="s">
        <v>2243</v>
      </c>
      <c r="T1320" s="10" t="s">
        <v>4054</v>
      </c>
      <c r="U13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2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E530-302038408-D225301</v>
      </c>
      <c r="Y132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E530-30203840821-D225301</v>
      </c>
      <c r="Z132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0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20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20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2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1" spans="1:31" hidden="1" x14ac:dyDescent="0.3">
      <c r="A1321" s="12" t="s">
        <v>4099</v>
      </c>
      <c r="B1321" s="12" t="s">
        <v>30</v>
      </c>
      <c r="C1321" s="12" t="s">
        <v>4100</v>
      </c>
      <c r="D1321" s="12" t="s">
        <v>2174</v>
      </c>
      <c r="E1321" s="12" t="s">
        <v>2842</v>
      </c>
      <c r="F1321" s="8">
        <v>0</v>
      </c>
      <c r="G1321" s="12" t="s">
        <v>2237</v>
      </c>
      <c r="H1321" s="12">
        <v>0</v>
      </c>
      <c r="I1321" s="12" t="s">
        <v>2237</v>
      </c>
      <c r="J1321" s="12">
        <v>0</v>
      </c>
      <c r="K1321" s="12" t="s">
        <v>2237</v>
      </c>
      <c r="L1321" s="12">
        <v>0</v>
      </c>
      <c r="M1321" s="12" t="s">
        <v>2237</v>
      </c>
      <c r="N1321" s="8">
        <v>0</v>
      </c>
      <c r="O1321" s="12" t="s">
        <v>2237</v>
      </c>
      <c r="P1321" s="12" t="s">
        <v>2242</v>
      </c>
      <c r="Q1321" s="10" t="s">
        <v>2236</v>
      </c>
      <c r="R1321" s="10" t="s">
        <v>2238</v>
      </c>
      <c r="S1321" s="10" t="s">
        <v>2243</v>
      </c>
      <c r="T1321" s="10" t="s">
        <v>4075</v>
      </c>
      <c r="U13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2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E530-302038408-D225301</v>
      </c>
      <c r="Y132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E530-30203840860-D225301</v>
      </c>
      <c r="Z132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1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21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21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2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2" spans="1:31" hidden="1" x14ac:dyDescent="0.3">
      <c r="A1322" s="12" t="s">
        <v>4101</v>
      </c>
      <c r="B1322" s="12" t="s">
        <v>26</v>
      </c>
      <c r="C1322" s="12" t="s">
        <v>4102</v>
      </c>
      <c r="D1322" s="12" t="s">
        <v>2176</v>
      </c>
      <c r="E1322" s="12" t="s">
        <v>2842</v>
      </c>
      <c r="F1322" s="8">
        <v>20102</v>
      </c>
      <c r="G1322" s="12" t="s">
        <v>2237</v>
      </c>
      <c r="H1322" s="12">
        <v>20102</v>
      </c>
      <c r="I1322" s="12" t="s">
        <v>2237</v>
      </c>
      <c r="J1322" s="12">
        <v>0</v>
      </c>
      <c r="K1322" s="12" t="s">
        <v>2237</v>
      </c>
      <c r="L1322" s="12">
        <v>0</v>
      </c>
      <c r="M1322" s="12" t="s">
        <v>2237</v>
      </c>
      <c r="N1322" s="8">
        <v>0</v>
      </c>
      <c r="O1322" s="12" t="s">
        <v>2237</v>
      </c>
      <c r="P1322" s="12" t="s">
        <v>2242</v>
      </c>
      <c r="Q1322" s="10" t="s">
        <v>2236</v>
      </c>
      <c r="R1322" s="10" t="s">
        <v>2238</v>
      </c>
      <c r="S1322" s="10" t="s">
        <v>2243</v>
      </c>
      <c r="T1322" s="10" t="s">
        <v>2642</v>
      </c>
      <c r="U13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2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E530-302038407-D225301</v>
      </c>
      <c r="Y13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2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2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2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22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2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3" spans="1:31" hidden="1" x14ac:dyDescent="0.3">
      <c r="A1323" s="12" t="s">
        <v>4103</v>
      </c>
      <c r="B1323" s="12" t="s">
        <v>30</v>
      </c>
      <c r="C1323" s="12" t="s">
        <v>4102</v>
      </c>
      <c r="D1323" s="12" t="s">
        <v>2177</v>
      </c>
      <c r="E1323" s="12" t="s">
        <v>2842</v>
      </c>
      <c r="F1323" s="8">
        <v>0</v>
      </c>
      <c r="G1323" s="12" t="s">
        <v>2237</v>
      </c>
      <c r="H1323" s="12">
        <v>0</v>
      </c>
      <c r="I1323" s="12" t="s">
        <v>2237</v>
      </c>
      <c r="J1323" s="12">
        <v>0</v>
      </c>
      <c r="K1323" s="12" t="s">
        <v>2237</v>
      </c>
      <c r="L1323" s="12">
        <v>0</v>
      </c>
      <c r="M1323" s="12" t="s">
        <v>2237</v>
      </c>
      <c r="N1323" s="8">
        <v>0</v>
      </c>
      <c r="O1323" s="12" t="s">
        <v>2237</v>
      </c>
      <c r="P1323" s="12" t="s">
        <v>2242</v>
      </c>
      <c r="Q1323" s="10" t="s">
        <v>2236</v>
      </c>
      <c r="R1323" s="10" t="s">
        <v>2238</v>
      </c>
      <c r="S1323" s="10" t="s">
        <v>2243</v>
      </c>
      <c r="T1323" s="10" t="s">
        <v>4075</v>
      </c>
      <c r="U13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E530-3020384-D225301</v>
      </c>
      <c r="X132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E530-302038407-D225301</v>
      </c>
      <c r="Y132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E530-30203840759-D225301</v>
      </c>
      <c r="Z132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3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3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23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23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2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4" spans="1:31" hidden="1" x14ac:dyDescent="0.3">
      <c r="A1324" s="12" t="s">
        <v>4104</v>
      </c>
      <c r="B1324" s="12" t="s">
        <v>21</v>
      </c>
      <c r="C1324" s="12" t="s">
        <v>4105</v>
      </c>
      <c r="D1324" s="12" t="s">
        <v>2179</v>
      </c>
      <c r="E1324" s="12" t="s">
        <v>2842</v>
      </c>
      <c r="F1324" s="8">
        <v>287977.59999999998</v>
      </c>
      <c r="G1324" s="12" t="s">
        <v>2237</v>
      </c>
      <c r="H1324" s="12">
        <v>287977.59999999998</v>
      </c>
      <c r="I1324" s="12" t="s">
        <v>2237</v>
      </c>
      <c r="J1324" s="12">
        <v>0</v>
      </c>
      <c r="K1324" s="12" t="s">
        <v>2237</v>
      </c>
      <c r="L1324" s="12">
        <v>0</v>
      </c>
      <c r="M1324" s="12" t="s">
        <v>2237</v>
      </c>
      <c r="N1324" s="8">
        <v>255289.96</v>
      </c>
      <c r="O1324" s="12" t="s">
        <v>2237</v>
      </c>
      <c r="P1324" s="12" t="s">
        <v>2242</v>
      </c>
      <c r="Q1324" s="10" t="s">
        <v>2236</v>
      </c>
      <c r="R1324" s="10" t="s">
        <v>2238</v>
      </c>
      <c r="S1324" s="10" t="s">
        <v>2243</v>
      </c>
      <c r="T1324" s="10" t="s">
        <v>2642</v>
      </c>
      <c r="U13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2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24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2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5" spans="1:31" hidden="1" x14ac:dyDescent="0.3">
      <c r="A1325" s="12" t="s">
        <v>4106</v>
      </c>
      <c r="B1325" s="12" t="s">
        <v>26</v>
      </c>
      <c r="C1325" s="12" t="s">
        <v>4107</v>
      </c>
      <c r="D1325" s="12" t="s">
        <v>2181</v>
      </c>
      <c r="E1325" s="12" t="s">
        <v>2842</v>
      </c>
      <c r="F1325" s="8">
        <v>253455.61</v>
      </c>
      <c r="G1325" s="12" t="s">
        <v>2237</v>
      </c>
      <c r="H1325" s="12">
        <v>253455.61</v>
      </c>
      <c r="I1325" s="12" t="s">
        <v>2237</v>
      </c>
      <c r="J1325" s="12">
        <v>0</v>
      </c>
      <c r="K1325" s="12" t="s">
        <v>2237</v>
      </c>
      <c r="L1325" s="12">
        <v>0</v>
      </c>
      <c r="M1325" s="12" t="s">
        <v>2237</v>
      </c>
      <c r="N1325" s="8">
        <v>234998.02</v>
      </c>
      <c r="O1325" s="12" t="s">
        <v>2237</v>
      </c>
      <c r="P1325" s="12" t="s">
        <v>2242</v>
      </c>
      <c r="Q1325" s="10" t="s">
        <v>2236</v>
      </c>
      <c r="R1325" s="10" t="s">
        <v>2238</v>
      </c>
      <c r="S1325" s="10" t="s">
        <v>2243</v>
      </c>
      <c r="T1325" s="10" t="s">
        <v>3351</v>
      </c>
      <c r="U13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2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E530-302038309-D225301</v>
      </c>
      <c r="Y13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2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5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25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2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6" spans="1:31" hidden="1" x14ac:dyDescent="0.3">
      <c r="A1326" s="12" t="s">
        <v>4108</v>
      </c>
      <c r="B1326" s="12" t="s">
        <v>30</v>
      </c>
      <c r="C1326" s="12" t="s">
        <v>4107</v>
      </c>
      <c r="D1326" s="12" t="s">
        <v>2182</v>
      </c>
      <c r="E1326" s="12" t="s">
        <v>2842</v>
      </c>
      <c r="F1326" s="8">
        <v>0</v>
      </c>
      <c r="G1326" s="12" t="s">
        <v>2237</v>
      </c>
      <c r="H1326" s="12">
        <v>0</v>
      </c>
      <c r="I1326" s="12" t="s">
        <v>2237</v>
      </c>
      <c r="J1326" s="12">
        <v>0</v>
      </c>
      <c r="K1326" s="12" t="s">
        <v>2237</v>
      </c>
      <c r="L1326" s="12">
        <v>0</v>
      </c>
      <c r="M1326" s="12" t="s">
        <v>2237</v>
      </c>
      <c r="N1326" s="8">
        <v>234998.02</v>
      </c>
      <c r="O1326" s="12" t="s">
        <v>2237</v>
      </c>
      <c r="P1326" s="12" t="s">
        <v>2242</v>
      </c>
      <c r="Q1326" s="10" t="s">
        <v>2236</v>
      </c>
      <c r="R1326" s="10" t="s">
        <v>2238</v>
      </c>
      <c r="S1326" s="10" t="s">
        <v>2243</v>
      </c>
      <c r="T1326" s="10" t="s">
        <v>4054</v>
      </c>
      <c r="U13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2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E530-302038309-D225301</v>
      </c>
      <c r="Y1326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E530-30203830962-D225301</v>
      </c>
      <c r="Z132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6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6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26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326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2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7" spans="1:31" hidden="1" x14ac:dyDescent="0.3">
      <c r="A1327" s="12" t="s">
        <v>4109</v>
      </c>
      <c r="B1327" s="12" t="s">
        <v>26</v>
      </c>
      <c r="C1327" s="12" t="s">
        <v>4110</v>
      </c>
      <c r="D1327" s="12" t="s">
        <v>2184</v>
      </c>
      <c r="E1327" s="12" t="s">
        <v>2842</v>
      </c>
      <c r="F1327" s="8">
        <v>20293.29</v>
      </c>
      <c r="G1327" s="12" t="s">
        <v>2237</v>
      </c>
      <c r="H1327" s="12">
        <v>20293.29</v>
      </c>
      <c r="I1327" s="12" t="s">
        <v>2237</v>
      </c>
      <c r="J1327" s="12">
        <v>0</v>
      </c>
      <c r="K1327" s="12" t="s">
        <v>2237</v>
      </c>
      <c r="L1327" s="12">
        <v>0</v>
      </c>
      <c r="M1327" s="12" t="s">
        <v>2237</v>
      </c>
      <c r="N1327" s="8">
        <v>20291.939999999999</v>
      </c>
      <c r="O1327" s="12" t="s">
        <v>2237</v>
      </c>
      <c r="P1327" s="12" t="s">
        <v>2242</v>
      </c>
      <c r="Q1327" s="10" t="s">
        <v>2236</v>
      </c>
      <c r="R1327" s="10" t="s">
        <v>2238</v>
      </c>
      <c r="S1327" s="10" t="s">
        <v>2243</v>
      </c>
      <c r="T1327" s="10" t="s">
        <v>3351</v>
      </c>
      <c r="U13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2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E530-302038308-D225301</v>
      </c>
      <c r="Y13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2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7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27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2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8" spans="1:31" hidden="1" x14ac:dyDescent="0.3">
      <c r="A1328" s="12" t="s">
        <v>4111</v>
      </c>
      <c r="B1328" s="12" t="s">
        <v>30</v>
      </c>
      <c r="C1328" s="12" t="s">
        <v>4112</v>
      </c>
      <c r="D1328" s="12" t="s">
        <v>2186</v>
      </c>
      <c r="E1328" s="12" t="s">
        <v>2842</v>
      </c>
      <c r="F1328" s="8">
        <v>0</v>
      </c>
      <c r="G1328" s="12" t="s">
        <v>2237</v>
      </c>
      <c r="H1328" s="12">
        <v>0</v>
      </c>
      <c r="I1328" s="12" t="s">
        <v>2237</v>
      </c>
      <c r="J1328" s="12">
        <v>0</v>
      </c>
      <c r="K1328" s="12" t="s">
        <v>2237</v>
      </c>
      <c r="L1328" s="12">
        <v>0</v>
      </c>
      <c r="M1328" s="12" t="s">
        <v>2237</v>
      </c>
      <c r="N1328" s="8">
        <v>20291.939999999999</v>
      </c>
      <c r="O1328" s="12" t="s">
        <v>2237</v>
      </c>
      <c r="P1328" s="12" t="s">
        <v>2242</v>
      </c>
      <c r="Q1328" s="10" t="s">
        <v>2236</v>
      </c>
      <c r="R1328" s="10" t="s">
        <v>2238</v>
      </c>
      <c r="S1328" s="10" t="s">
        <v>2243</v>
      </c>
      <c r="T1328" s="10" t="s">
        <v>4054</v>
      </c>
      <c r="U13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2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E530-302038308-D225301</v>
      </c>
      <c r="Y132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E530-30203830821-D225301</v>
      </c>
      <c r="Z132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8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28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28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2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29" spans="1:31" hidden="1" x14ac:dyDescent="0.3">
      <c r="A1329" s="12" t="s">
        <v>4113</v>
      </c>
      <c r="B1329" s="12" t="s">
        <v>30</v>
      </c>
      <c r="C1329" s="12" t="s">
        <v>4114</v>
      </c>
      <c r="D1329" s="12" t="s">
        <v>2188</v>
      </c>
      <c r="E1329" s="12" t="s">
        <v>2842</v>
      </c>
      <c r="F1329" s="8">
        <v>0</v>
      </c>
      <c r="G1329" s="12" t="s">
        <v>2237</v>
      </c>
      <c r="H1329" s="12">
        <v>0</v>
      </c>
      <c r="I1329" s="12" t="s">
        <v>2237</v>
      </c>
      <c r="J1329" s="12">
        <v>0</v>
      </c>
      <c r="K1329" s="12" t="s">
        <v>2237</v>
      </c>
      <c r="L1329" s="12">
        <v>0</v>
      </c>
      <c r="M1329" s="12" t="s">
        <v>2237</v>
      </c>
      <c r="N1329" s="8">
        <v>0</v>
      </c>
      <c r="O1329" s="12" t="s">
        <v>2237</v>
      </c>
      <c r="P1329" s="12" t="s">
        <v>2242</v>
      </c>
      <c r="Q1329" s="10" t="s">
        <v>2236</v>
      </c>
      <c r="R1329" s="10" t="s">
        <v>2238</v>
      </c>
      <c r="S1329" s="10" t="s">
        <v>2243</v>
      </c>
      <c r="T1329" s="10" t="s">
        <v>4075</v>
      </c>
      <c r="U13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2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2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2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E530-302038308-D225301</v>
      </c>
      <c r="Y132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E530-30203830860-D225301</v>
      </c>
      <c r="Z132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2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29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29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29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2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30" spans="1:31" hidden="1" x14ac:dyDescent="0.3">
      <c r="A1330" s="12" t="s">
        <v>4115</v>
      </c>
      <c r="B1330" s="12" t="s">
        <v>26</v>
      </c>
      <c r="C1330" s="12" t="s">
        <v>4116</v>
      </c>
      <c r="D1330" s="12" t="s">
        <v>2190</v>
      </c>
      <c r="E1330" s="12" t="s">
        <v>2842</v>
      </c>
      <c r="F1330" s="8">
        <v>14228.7</v>
      </c>
      <c r="G1330" s="12" t="s">
        <v>2237</v>
      </c>
      <c r="H1330" s="12">
        <v>14228.7</v>
      </c>
      <c r="I1330" s="12" t="s">
        <v>2237</v>
      </c>
      <c r="J1330" s="12">
        <v>0</v>
      </c>
      <c r="K1330" s="12" t="s">
        <v>2237</v>
      </c>
      <c r="L1330" s="12">
        <v>0</v>
      </c>
      <c r="M1330" s="12" t="s">
        <v>2237</v>
      </c>
      <c r="N1330" s="8">
        <v>0</v>
      </c>
      <c r="O1330" s="12" t="s">
        <v>2237</v>
      </c>
      <c r="P1330" s="12" t="s">
        <v>2242</v>
      </c>
      <c r="Q1330" s="10" t="s">
        <v>2236</v>
      </c>
      <c r="R1330" s="10" t="s">
        <v>2238</v>
      </c>
      <c r="S1330" s="10" t="s">
        <v>2243</v>
      </c>
      <c r="T1330" s="10" t="s">
        <v>2642</v>
      </c>
      <c r="U13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3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E530-302038307-D225301</v>
      </c>
      <c r="Y13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3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30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30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3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31" spans="1:31" hidden="1" x14ac:dyDescent="0.3">
      <c r="A1331" s="12" t="s">
        <v>4117</v>
      </c>
      <c r="B1331" s="12" t="s">
        <v>30</v>
      </c>
      <c r="C1331" s="12" t="s">
        <v>4116</v>
      </c>
      <c r="D1331" s="12" t="s">
        <v>2191</v>
      </c>
      <c r="E1331" s="12" t="s">
        <v>2842</v>
      </c>
      <c r="F1331" s="8">
        <v>0</v>
      </c>
      <c r="G1331" s="12" t="s">
        <v>2237</v>
      </c>
      <c r="H1331" s="12">
        <v>0</v>
      </c>
      <c r="I1331" s="12" t="s">
        <v>2237</v>
      </c>
      <c r="J1331" s="12">
        <v>0</v>
      </c>
      <c r="K1331" s="12" t="s">
        <v>2237</v>
      </c>
      <c r="L1331" s="12">
        <v>0</v>
      </c>
      <c r="M1331" s="12" t="s">
        <v>2237</v>
      </c>
      <c r="N1331" s="8">
        <v>0</v>
      </c>
      <c r="O1331" s="12" t="s">
        <v>2237</v>
      </c>
      <c r="P1331" s="12" t="s">
        <v>2242</v>
      </c>
      <c r="Q1331" s="10" t="s">
        <v>2236</v>
      </c>
      <c r="R1331" s="10" t="s">
        <v>2238</v>
      </c>
      <c r="S1331" s="10" t="s">
        <v>2243</v>
      </c>
      <c r="T1331" s="10" t="s">
        <v>4075</v>
      </c>
      <c r="U13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E530-3020383-D225301</v>
      </c>
      <c r="X133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E530-302038307-D225301</v>
      </c>
      <c r="Y133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E530-30203830759-D225301</v>
      </c>
      <c r="Z133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331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31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31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3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32" spans="1:31" hidden="1" x14ac:dyDescent="0.3">
      <c r="A1332" s="12" t="s">
        <v>4118</v>
      </c>
      <c r="B1332" s="12" t="s">
        <v>21</v>
      </c>
      <c r="C1332" s="12" t="s">
        <v>215</v>
      </c>
      <c r="D1332" s="12" t="s">
        <v>2192</v>
      </c>
      <c r="E1332" s="12" t="s">
        <v>2842</v>
      </c>
      <c r="F1332" s="8">
        <v>1324199</v>
      </c>
      <c r="G1332" s="12" t="s">
        <v>2237</v>
      </c>
      <c r="H1332" s="12">
        <v>1324199</v>
      </c>
      <c r="I1332" s="12" t="s">
        <v>2237</v>
      </c>
      <c r="J1332" s="12">
        <v>0</v>
      </c>
      <c r="K1332" s="12" t="s">
        <v>2237</v>
      </c>
      <c r="L1332" s="12">
        <v>0</v>
      </c>
      <c r="M1332" s="12" t="s">
        <v>2237</v>
      </c>
      <c r="N1332" s="8">
        <v>971462.53</v>
      </c>
      <c r="O1332" s="12" t="s">
        <v>2237</v>
      </c>
      <c r="P1332" s="12" t="s">
        <v>2236</v>
      </c>
      <c r="Q1332" s="10" t="s">
        <v>2242</v>
      </c>
      <c r="R1332" s="10" t="s">
        <v>4119</v>
      </c>
      <c r="S1332" s="10" t="s">
        <v>2243</v>
      </c>
      <c r="T1332" s="10" t="s">
        <v>4032</v>
      </c>
      <c r="U13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3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2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3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333" spans="1:31" x14ac:dyDescent="0.3">
      <c r="A1333" s="12" t="s">
        <v>4120</v>
      </c>
      <c r="B1333" s="12" t="s">
        <v>26</v>
      </c>
      <c r="C1333" s="12" t="s">
        <v>2193</v>
      </c>
      <c r="D1333" s="12" t="s">
        <v>2194</v>
      </c>
      <c r="E1333" s="12" t="s">
        <v>2842</v>
      </c>
      <c r="F1333" s="8">
        <v>429286.41</v>
      </c>
      <c r="G1333" s="12" t="s">
        <v>2237</v>
      </c>
      <c r="H1333" s="12">
        <v>429286.41</v>
      </c>
      <c r="I1333" s="12" t="s">
        <v>2237</v>
      </c>
      <c r="J1333" s="12">
        <v>0</v>
      </c>
      <c r="K1333" s="12" t="s">
        <v>2237</v>
      </c>
      <c r="L1333" s="12">
        <v>0</v>
      </c>
      <c r="M1333" s="12" t="s">
        <v>2237</v>
      </c>
      <c r="N1333" s="8">
        <v>313273.58</v>
      </c>
      <c r="O1333" s="12" t="s">
        <v>2237</v>
      </c>
      <c r="P1333" s="12" t="s">
        <v>2236</v>
      </c>
      <c r="Q1333" s="10" t="s">
        <v>2242</v>
      </c>
      <c r="R1333" s="10" t="s">
        <v>4119</v>
      </c>
      <c r="S1333" s="10" t="s">
        <v>2243</v>
      </c>
      <c r="T1333" s="10" t="s">
        <v>4032</v>
      </c>
      <c r="U13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E530-302037404-D225301</v>
      </c>
      <c r="Y13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3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3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33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33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34" spans="1:31" x14ac:dyDescent="0.3">
      <c r="A1334" s="12" t="s">
        <v>4121</v>
      </c>
      <c r="B1334" s="12" t="s">
        <v>30</v>
      </c>
      <c r="C1334" s="12" t="s">
        <v>2195</v>
      </c>
      <c r="D1334" s="12" t="s">
        <v>2196</v>
      </c>
      <c r="E1334" s="12" t="s">
        <v>2842</v>
      </c>
      <c r="F1334" s="8">
        <v>0</v>
      </c>
      <c r="G1334" s="12" t="s">
        <v>2237</v>
      </c>
      <c r="H1334" s="12">
        <v>0</v>
      </c>
      <c r="I1334" s="12" t="s">
        <v>2237</v>
      </c>
      <c r="J1334" s="12">
        <v>0</v>
      </c>
      <c r="K1334" s="12" t="s">
        <v>2237</v>
      </c>
      <c r="L1334" s="12">
        <v>0</v>
      </c>
      <c r="M1334" s="12" t="s">
        <v>2237</v>
      </c>
      <c r="N1334" s="8">
        <v>125153.42</v>
      </c>
      <c r="O1334" s="12" t="s">
        <v>2237</v>
      </c>
      <c r="P1334" s="12" t="s">
        <v>2236</v>
      </c>
      <c r="Q1334" s="10" t="s">
        <v>2242</v>
      </c>
      <c r="R1334" s="10" t="s">
        <v>4119</v>
      </c>
      <c r="S1334" s="10" t="s">
        <v>2243</v>
      </c>
      <c r="T1334" s="10" t="s">
        <v>4122</v>
      </c>
      <c r="U13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E530-302037404-D225301</v>
      </c>
      <c r="Y133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E530-30203740460-D225301</v>
      </c>
      <c r="Z133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4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4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1334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334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33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35" spans="1:31" x14ac:dyDescent="0.3">
      <c r="A1335" s="12" t="s">
        <v>4123</v>
      </c>
      <c r="B1335" s="12" t="s">
        <v>30</v>
      </c>
      <c r="C1335" s="12" t="s">
        <v>2197</v>
      </c>
      <c r="D1335" s="12" t="s">
        <v>2198</v>
      </c>
      <c r="E1335" s="12" t="s">
        <v>2842</v>
      </c>
      <c r="F1335" s="8">
        <v>0</v>
      </c>
      <c r="G1335" s="12" t="s">
        <v>2237</v>
      </c>
      <c r="H1335" s="12">
        <v>0</v>
      </c>
      <c r="I1335" s="12" t="s">
        <v>2237</v>
      </c>
      <c r="J1335" s="12">
        <v>0</v>
      </c>
      <c r="K1335" s="12" t="s">
        <v>2237</v>
      </c>
      <c r="L1335" s="12">
        <v>0</v>
      </c>
      <c r="M1335" s="12" t="s">
        <v>2237</v>
      </c>
      <c r="N1335" s="8">
        <v>188120.16</v>
      </c>
      <c r="O1335" s="12" t="s">
        <v>2237</v>
      </c>
      <c r="P1335" s="12" t="s">
        <v>2236</v>
      </c>
      <c r="Q1335" s="10" t="s">
        <v>2242</v>
      </c>
      <c r="R1335" s="10" t="s">
        <v>4119</v>
      </c>
      <c r="S1335" s="10" t="s">
        <v>2243</v>
      </c>
      <c r="T1335" s="10" t="s">
        <v>4122</v>
      </c>
      <c r="U13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E530-302037404-D225301</v>
      </c>
      <c r="Y133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E530-30203740403-D225301</v>
      </c>
      <c r="Z133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5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335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335" s="10" t="str">
        <f>IF(IFERROR(INDEX(WBS_Dictionary!N$2:N$1212, MATCH(Table2[[#This Row],[WBS_ID]], Table26[WBS CODE],0)), "") = "", "null", IFERROR(INDEX(WBS_Dictionary!N$2:N$1212, MATCH(Table2[[#This Row],[WBS_ID]], Table26[WBS CODE],0)), ""))</f>
        <v>SF-1</v>
      </c>
      <c r="AE133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36" spans="1:31" x14ac:dyDescent="0.3">
      <c r="A1336" s="12" t="s">
        <v>4124</v>
      </c>
      <c r="B1336" s="12" t="s">
        <v>26</v>
      </c>
      <c r="C1336" s="12" t="s">
        <v>2199</v>
      </c>
      <c r="D1336" s="12" t="s">
        <v>2200</v>
      </c>
      <c r="E1336" s="12" t="s">
        <v>2842</v>
      </c>
      <c r="F1336" s="8">
        <v>298304.2</v>
      </c>
      <c r="G1336" s="12" t="s">
        <v>2237</v>
      </c>
      <c r="H1336" s="12">
        <v>298304.2</v>
      </c>
      <c r="I1336" s="12" t="s">
        <v>2237</v>
      </c>
      <c r="J1336" s="12">
        <v>0</v>
      </c>
      <c r="K1336" s="12" t="s">
        <v>2237</v>
      </c>
      <c r="L1336" s="12">
        <v>0</v>
      </c>
      <c r="M1336" s="12" t="s">
        <v>2237</v>
      </c>
      <c r="N1336" s="8">
        <v>231666.93</v>
      </c>
      <c r="O1336" s="12" t="s">
        <v>2237</v>
      </c>
      <c r="P1336" s="12" t="s">
        <v>2236</v>
      </c>
      <c r="Q1336" s="10" t="s">
        <v>2242</v>
      </c>
      <c r="R1336" s="10" t="s">
        <v>4119</v>
      </c>
      <c r="S1336" s="10" t="s">
        <v>2243</v>
      </c>
      <c r="T1336" s="10" t="s">
        <v>4037</v>
      </c>
      <c r="U13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E530-302037403-D225301</v>
      </c>
      <c r="Y13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3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6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36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33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37" spans="1:31" x14ac:dyDescent="0.3">
      <c r="A1337" s="12" t="s">
        <v>4125</v>
      </c>
      <c r="B1337" s="12" t="s">
        <v>30</v>
      </c>
      <c r="C1337" s="12" t="s">
        <v>2201</v>
      </c>
      <c r="D1337" s="12" t="s">
        <v>2202</v>
      </c>
      <c r="E1337" s="12" t="s">
        <v>2842</v>
      </c>
      <c r="F1337" s="8">
        <v>0</v>
      </c>
      <c r="G1337" s="12" t="s">
        <v>2237</v>
      </c>
      <c r="H1337" s="12">
        <v>0</v>
      </c>
      <c r="I1337" s="12" t="s">
        <v>2237</v>
      </c>
      <c r="J1337" s="12">
        <v>0</v>
      </c>
      <c r="K1337" s="12" t="s">
        <v>2237</v>
      </c>
      <c r="L1337" s="12">
        <v>0</v>
      </c>
      <c r="M1337" s="12" t="s">
        <v>2237</v>
      </c>
      <c r="N1337" s="8">
        <v>78741.179999999993</v>
      </c>
      <c r="O1337" s="12" t="s">
        <v>2237</v>
      </c>
      <c r="P1337" s="12" t="s">
        <v>2236</v>
      </c>
      <c r="Q1337" s="10" t="s">
        <v>2242</v>
      </c>
      <c r="R1337" s="10" t="s">
        <v>4119</v>
      </c>
      <c r="S1337" s="10" t="s">
        <v>2243</v>
      </c>
      <c r="T1337" s="10" t="s">
        <v>4122</v>
      </c>
      <c r="U13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E530-302037403-D225301</v>
      </c>
      <c r="Y133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E530-30203740360-D225301</v>
      </c>
      <c r="Z133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7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7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1337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337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3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38" spans="1:31" x14ac:dyDescent="0.3">
      <c r="A1338" s="12" t="s">
        <v>4126</v>
      </c>
      <c r="B1338" s="12" t="s">
        <v>30</v>
      </c>
      <c r="C1338" s="12" t="s">
        <v>2203</v>
      </c>
      <c r="D1338" s="12" t="s">
        <v>2204</v>
      </c>
      <c r="E1338" s="12" t="s">
        <v>2842</v>
      </c>
      <c r="F1338" s="8">
        <v>0</v>
      </c>
      <c r="G1338" s="12" t="s">
        <v>2237</v>
      </c>
      <c r="H1338" s="12">
        <v>0</v>
      </c>
      <c r="I1338" s="12" t="s">
        <v>2237</v>
      </c>
      <c r="J1338" s="12">
        <v>0</v>
      </c>
      <c r="K1338" s="12" t="s">
        <v>2237</v>
      </c>
      <c r="L1338" s="12">
        <v>0</v>
      </c>
      <c r="M1338" s="12" t="s">
        <v>2237</v>
      </c>
      <c r="N1338" s="8">
        <v>152925.75</v>
      </c>
      <c r="O1338" s="12" t="s">
        <v>2237</v>
      </c>
      <c r="P1338" s="12" t="s">
        <v>2236</v>
      </c>
      <c r="Q1338" s="10" t="s">
        <v>2242</v>
      </c>
      <c r="R1338" s="10" t="s">
        <v>4119</v>
      </c>
      <c r="S1338" s="10" t="s">
        <v>2243</v>
      </c>
      <c r="T1338" s="10" t="s">
        <v>4122</v>
      </c>
      <c r="U13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E530-302037403-D225301</v>
      </c>
      <c r="Y133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E530-30203740303-D225301</v>
      </c>
      <c r="Z133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8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338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338" s="10" t="str">
        <f>IF(IFERROR(INDEX(WBS_Dictionary!N$2:N$1212, MATCH(Table2[[#This Row],[WBS_ID]], Table26[WBS CODE],0)), "") = "", "null", IFERROR(INDEX(WBS_Dictionary!N$2:N$1212, MATCH(Table2[[#This Row],[WBS_ID]], Table26[WBS CODE],0)), ""))</f>
        <v>20-1</v>
      </c>
      <c r="AE13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39" spans="1:31" x14ac:dyDescent="0.3">
      <c r="A1339" s="12" t="s">
        <v>4127</v>
      </c>
      <c r="B1339" s="12" t="s">
        <v>26</v>
      </c>
      <c r="C1339" s="12" t="s">
        <v>2205</v>
      </c>
      <c r="D1339" s="12" t="s">
        <v>2206</v>
      </c>
      <c r="E1339" s="12" t="s">
        <v>2842</v>
      </c>
      <c r="F1339" s="8">
        <v>298304.2</v>
      </c>
      <c r="G1339" s="12" t="s">
        <v>2237</v>
      </c>
      <c r="H1339" s="12">
        <v>298304.2</v>
      </c>
      <c r="I1339" s="12" t="s">
        <v>2237</v>
      </c>
      <c r="J1339" s="12">
        <v>0</v>
      </c>
      <c r="K1339" s="12" t="s">
        <v>2237</v>
      </c>
      <c r="L1339" s="12">
        <v>0</v>
      </c>
      <c r="M1339" s="12" t="s">
        <v>2237</v>
      </c>
      <c r="N1339" s="8">
        <v>198986.56</v>
      </c>
      <c r="O1339" s="12" t="s">
        <v>2237</v>
      </c>
      <c r="P1339" s="12" t="s">
        <v>2236</v>
      </c>
      <c r="Q1339" s="10" t="s">
        <v>2242</v>
      </c>
      <c r="R1339" s="10" t="s">
        <v>4119</v>
      </c>
      <c r="S1339" s="10" t="s">
        <v>2243</v>
      </c>
      <c r="T1339" s="10" t="s">
        <v>4032</v>
      </c>
      <c r="U133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3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3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3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E530-302037402-D225301</v>
      </c>
      <c r="Y13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3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39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39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3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40" spans="1:31" x14ac:dyDescent="0.3">
      <c r="A1340" s="12" t="s">
        <v>4128</v>
      </c>
      <c r="B1340" s="12" t="s">
        <v>30</v>
      </c>
      <c r="C1340" s="12" t="s">
        <v>2207</v>
      </c>
      <c r="D1340" s="12" t="s">
        <v>2208</v>
      </c>
      <c r="E1340" s="12" t="s">
        <v>2842</v>
      </c>
      <c r="F1340" s="8">
        <v>0</v>
      </c>
      <c r="G1340" s="12" t="s">
        <v>2237</v>
      </c>
      <c r="H1340" s="12">
        <v>0</v>
      </c>
      <c r="I1340" s="12" t="s">
        <v>2237</v>
      </c>
      <c r="J1340" s="12">
        <v>0</v>
      </c>
      <c r="K1340" s="12" t="s">
        <v>2237</v>
      </c>
      <c r="L1340" s="12">
        <v>0</v>
      </c>
      <c r="M1340" s="12" t="s">
        <v>2237</v>
      </c>
      <c r="N1340" s="8">
        <v>78698.179999999993</v>
      </c>
      <c r="O1340" s="12" t="s">
        <v>2237</v>
      </c>
      <c r="P1340" s="12" t="s">
        <v>2236</v>
      </c>
      <c r="Q1340" s="10" t="s">
        <v>2242</v>
      </c>
      <c r="R1340" s="10" t="s">
        <v>4119</v>
      </c>
      <c r="S1340" s="10" t="s">
        <v>2243</v>
      </c>
      <c r="T1340" s="10" t="s">
        <v>4122</v>
      </c>
      <c r="U134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4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4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4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E530-302037402-D225301</v>
      </c>
      <c r="Y134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E530-30203740260-D225301</v>
      </c>
      <c r="Z134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0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40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1340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340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3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41" spans="1:31" x14ac:dyDescent="0.3">
      <c r="A1341" s="12" t="s">
        <v>4129</v>
      </c>
      <c r="B1341" s="12" t="s">
        <v>30</v>
      </c>
      <c r="C1341" s="12" t="s">
        <v>2209</v>
      </c>
      <c r="D1341" s="12" t="s">
        <v>2210</v>
      </c>
      <c r="E1341" s="12" t="s">
        <v>2842</v>
      </c>
      <c r="F1341" s="8">
        <v>0</v>
      </c>
      <c r="G1341" s="12" t="s">
        <v>2237</v>
      </c>
      <c r="H1341" s="12">
        <v>0</v>
      </c>
      <c r="I1341" s="12" t="s">
        <v>2237</v>
      </c>
      <c r="J1341" s="12">
        <v>0</v>
      </c>
      <c r="K1341" s="12" t="s">
        <v>2237</v>
      </c>
      <c r="L1341" s="12">
        <v>0</v>
      </c>
      <c r="M1341" s="12" t="s">
        <v>2237</v>
      </c>
      <c r="N1341" s="8">
        <v>120288.38</v>
      </c>
      <c r="O1341" s="12" t="s">
        <v>2237</v>
      </c>
      <c r="P1341" s="12" t="s">
        <v>2236</v>
      </c>
      <c r="Q1341" s="10" t="s">
        <v>2242</v>
      </c>
      <c r="R1341" s="10" t="s">
        <v>4119</v>
      </c>
      <c r="S1341" s="10" t="s">
        <v>2243</v>
      </c>
      <c r="T1341" s="10" t="s">
        <v>4130</v>
      </c>
      <c r="U134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4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4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4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E530-302037402-D225301</v>
      </c>
      <c r="Y134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E530-30203740203-D225301</v>
      </c>
      <c r="Z134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1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4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341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341" s="10" t="str">
        <f>IF(IFERROR(INDEX(WBS_Dictionary!N$2:N$1212, MATCH(Table2[[#This Row],[WBS_ID]], Table26[WBS CODE],0)), "") = "", "null", IFERROR(INDEX(WBS_Dictionary!N$2:N$1212, MATCH(Table2[[#This Row],[WBS_ID]], Table26[WBS CODE],0)), ""))</f>
        <v>14-2</v>
      </c>
      <c r="AE13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42" spans="1:31" x14ac:dyDescent="0.3">
      <c r="A1342" s="12" t="s">
        <v>4131</v>
      </c>
      <c r="B1342" s="12" t="s">
        <v>26</v>
      </c>
      <c r="C1342" s="12" t="s">
        <v>2211</v>
      </c>
      <c r="D1342" s="12" t="s">
        <v>2212</v>
      </c>
      <c r="E1342" s="12" t="s">
        <v>2842</v>
      </c>
      <c r="F1342" s="8">
        <v>298304.19</v>
      </c>
      <c r="G1342" s="12" t="s">
        <v>2237</v>
      </c>
      <c r="H1342" s="12">
        <v>298304.19</v>
      </c>
      <c r="I1342" s="12" t="s">
        <v>2237</v>
      </c>
      <c r="J1342" s="12">
        <v>0</v>
      </c>
      <c r="K1342" s="12" t="s">
        <v>2237</v>
      </c>
      <c r="L1342" s="12">
        <v>0</v>
      </c>
      <c r="M1342" s="12" t="s">
        <v>2237</v>
      </c>
      <c r="N1342" s="8">
        <v>227535.46</v>
      </c>
      <c r="O1342" s="12" t="s">
        <v>2237</v>
      </c>
      <c r="P1342" s="12" t="s">
        <v>2236</v>
      </c>
      <c r="Q1342" s="10" t="s">
        <v>2242</v>
      </c>
      <c r="R1342" s="10" t="s">
        <v>4119</v>
      </c>
      <c r="S1342" s="10" t="s">
        <v>2243</v>
      </c>
      <c r="T1342" s="10" t="s">
        <v>4037</v>
      </c>
      <c r="U134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4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4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4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E530-302037401-D225301</v>
      </c>
      <c r="Y13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4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2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42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3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43" spans="1:31" x14ac:dyDescent="0.3">
      <c r="A1343" s="12" t="s">
        <v>4132</v>
      </c>
      <c r="B1343" s="12" t="s">
        <v>30</v>
      </c>
      <c r="C1343" s="12" t="s">
        <v>2213</v>
      </c>
      <c r="D1343" s="12" t="s">
        <v>2214</v>
      </c>
      <c r="E1343" s="12" t="s">
        <v>2842</v>
      </c>
      <c r="F1343" s="8">
        <v>0</v>
      </c>
      <c r="G1343" s="12" t="s">
        <v>2237</v>
      </c>
      <c r="H1343" s="12">
        <v>0</v>
      </c>
      <c r="I1343" s="12" t="s">
        <v>2237</v>
      </c>
      <c r="J1343" s="12">
        <v>0</v>
      </c>
      <c r="K1343" s="12" t="s">
        <v>2237</v>
      </c>
      <c r="L1343" s="12">
        <v>0</v>
      </c>
      <c r="M1343" s="12" t="s">
        <v>2237</v>
      </c>
      <c r="N1343" s="8">
        <v>148794.67000000001</v>
      </c>
      <c r="O1343" s="12" t="s">
        <v>2237</v>
      </c>
      <c r="P1343" s="12" t="s">
        <v>2236</v>
      </c>
      <c r="Q1343" s="10" t="s">
        <v>2242</v>
      </c>
      <c r="R1343" s="10" t="s">
        <v>2238</v>
      </c>
      <c r="S1343" s="10" t="s">
        <v>2243</v>
      </c>
      <c r="T1343" s="10" t="s">
        <v>4122</v>
      </c>
      <c r="U134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4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4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4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E530-302037401-D225301</v>
      </c>
      <c r="Y134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E530-30203740103-D225301</v>
      </c>
      <c r="Z134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3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4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1343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343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3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44" spans="1:31" x14ac:dyDescent="0.3">
      <c r="A1344" s="12" t="s">
        <v>4133</v>
      </c>
      <c r="B1344" s="12" t="s">
        <v>30</v>
      </c>
      <c r="C1344" s="12" t="s">
        <v>2215</v>
      </c>
      <c r="D1344" s="12" t="s">
        <v>2216</v>
      </c>
      <c r="E1344" s="12" t="s">
        <v>2842</v>
      </c>
      <c r="F1344" s="8">
        <v>0</v>
      </c>
      <c r="G1344" s="12" t="s">
        <v>2237</v>
      </c>
      <c r="H1344" s="12">
        <v>0</v>
      </c>
      <c r="I1344" s="12" t="s">
        <v>2237</v>
      </c>
      <c r="J1344" s="12">
        <v>0</v>
      </c>
      <c r="K1344" s="12" t="s">
        <v>2237</v>
      </c>
      <c r="L1344" s="12">
        <v>0</v>
      </c>
      <c r="M1344" s="12" t="s">
        <v>2237</v>
      </c>
      <c r="N1344" s="8">
        <v>78740.789999999994</v>
      </c>
      <c r="O1344" s="12" t="s">
        <v>2237</v>
      </c>
      <c r="P1344" s="12" t="s">
        <v>2236</v>
      </c>
      <c r="Q1344" s="10" t="s">
        <v>2242</v>
      </c>
      <c r="R1344" s="10" t="s">
        <v>2238</v>
      </c>
      <c r="S1344" s="10" t="s">
        <v>2243</v>
      </c>
      <c r="T1344" s="10" t="s">
        <v>4122</v>
      </c>
      <c r="U134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E530-30-D225301</v>
      </c>
      <c r="V134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E530-30203-D225301</v>
      </c>
      <c r="W134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E530-3020374-D225301</v>
      </c>
      <c r="X134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E530-302037401-D225301</v>
      </c>
      <c r="Y134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E530-30203740160-D225301</v>
      </c>
      <c r="Z134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4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344" s="10" t="str">
        <f>IF(IFERROR(INDEX(WBS_Dictionary!L$2:L$1212, MATCH(Table2[[#This Row],[WBS_ID]], Table26[WBS CODE],0)), "") = "", "null", IFERROR(INDEX(WBS_Dictionary!L$2:L$1212, MATCH(Table2[[#This Row],[WBS_ID]], Table26[WBS CODE],0)), ""))</f>
        <v>Material</v>
      </c>
      <c r="AC1344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344" s="10" t="str">
        <f>IF(IFERROR(INDEX(WBS_Dictionary!N$2:N$1212, MATCH(Table2[[#This Row],[WBS_ID]], Table26[WBS CODE],0)), "") = "", "null", IFERROR(INDEX(WBS_Dictionary!N$2:N$1212, MATCH(Table2[[#This Row],[WBS_ID]], Table26[WBS CODE],0)), ""))</f>
        <v>14-1</v>
      </c>
      <c r="AE13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345" spans="1:31" hidden="1" x14ac:dyDescent="0.3">
      <c r="A1345" s="14" t="s">
        <v>2232</v>
      </c>
      <c r="B1345" s="14" t="s">
        <v>2233</v>
      </c>
      <c r="C1345" s="15" t="s">
        <v>4134</v>
      </c>
      <c r="D1345" s="14" t="s">
        <v>4135</v>
      </c>
      <c r="E1345" s="14" t="s">
        <v>2236</v>
      </c>
      <c r="F1345" s="8">
        <v>45677406.490000002</v>
      </c>
      <c r="G1345" s="14" t="s">
        <v>2237</v>
      </c>
      <c r="H1345" s="16">
        <v>43964584.079999998</v>
      </c>
      <c r="I1345" s="14" t="s">
        <v>2237</v>
      </c>
      <c r="J1345" s="16">
        <v>0</v>
      </c>
      <c r="K1345" s="14" t="s">
        <v>2237</v>
      </c>
      <c r="L1345" s="16">
        <v>0</v>
      </c>
      <c r="M1345" s="14" t="s">
        <v>2237</v>
      </c>
      <c r="N1345" s="8">
        <v>37367109.640000001</v>
      </c>
      <c r="O1345" s="14" t="s">
        <v>2237</v>
      </c>
      <c r="P1345" s="14" t="s">
        <v>2236</v>
      </c>
      <c r="Q1345" s="17" t="s">
        <v>2236</v>
      </c>
      <c r="R1345" s="17" t="s">
        <v>2238</v>
      </c>
      <c r="S1345" s="17" t="s">
        <v>2236</v>
      </c>
      <c r="T1345" s="17" t="s">
        <v>2239</v>
      </c>
      <c r="U13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3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3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3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3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3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3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346" spans="1:31" hidden="1" x14ac:dyDescent="0.3">
      <c r="A1346" s="14" t="s">
        <v>2240</v>
      </c>
      <c r="B1346" s="14" t="s">
        <v>15</v>
      </c>
      <c r="C1346" s="15" t="s">
        <v>16</v>
      </c>
      <c r="D1346" s="14" t="s">
        <v>17</v>
      </c>
      <c r="E1346" s="14" t="s">
        <v>4136</v>
      </c>
      <c r="F1346" s="8">
        <v>45677406.490000002</v>
      </c>
      <c r="G1346" s="14" t="s">
        <v>2237</v>
      </c>
      <c r="H1346" s="16">
        <v>43964584.079999998</v>
      </c>
      <c r="I1346" s="14" t="s">
        <v>2237</v>
      </c>
      <c r="J1346" s="16">
        <v>0</v>
      </c>
      <c r="K1346" s="14" t="s">
        <v>2237</v>
      </c>
      <c r="L1346" s="16">
        <v>0</v>
      </c>
      <c r="M1346" s="14" t="s">
        <v>2237</v>
      </c>
      <c r="N1346" s="8">
        <v>37367109.640000001</v>
      </c>
      <c r="O1346" s="14" t="s">
        <v>2237</v>
      </c>
      <c r="P1346" s="14" t="s">
        <v>2236</v>
      </c>
      <c r="Q1346" s="17" t="s">
        <v>2242</v>
      </c>
      <c r="R1346" s="17" t="s">
        <v>2238</v>
      </c>
      <c r="S1346" s="17" t="s">
        <v>2243</v>
      </c>
      <c r="T1346" s="17" t="s">
        <v>4137</v>
      </c>
      <c r="U13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3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3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3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3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3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347" spans="1:31" hidden="1" x14ac:dyDescent="0.3">
      <c r="A1347" s="14" t="s">
        <v>2245</v>
      </c>
      <c r="B1347" s="14" t="s">
        <v>18</v>
      </c>
      <c r="C1347" s="15" t="s">
        <v>19</v>
      </c>
      <c r="D1347" s="14" t="s">
        <v>20</v>
      </c>
      <c r="E1347" s="14" t="s">
        <v>4136</v>
      </c>
      <c r="F1347" s="8">
        <v>6099290.8399999999</v>
      </c>
      <c r="G1347" s="14" t="s">
        <v>2237</v>
      </c>
      <c r="H1347" s="16">
        <v>6099290.8399999999</v>
      </c>
      <c r="I1347" s="14" t="s">
        <v>2237</v>
      </c>
      <c r="J1347" s="16">
        <v>0</v>
      </c>
      <c r="K1347" s="14" t="s">
        <v>2237</v>
      </c>
      <c r="L1347" s="16">
        <v>0</v>
      </c>
      <c r="M1347" s="14" t="s">
        <v>2237</v>
      </c>
      <c r="N1347" s="8">
        <v>5605799.3899999997</v>
      </c>
      <c r="O1347" s="14" t="s">
        <v>2237</v>
      </c>
      <c r="P1347" s="14" t="s">
        <v>2242</v>
      </c>
      <c r="Q1347" s="17" t="s">
        <v>2236</v>
      </c>
      <c r="R1347" s="17" t="s">
        <v>2238</v>
      </c>
      <c r="S1347" s="17" t="s">
        <v>2243</v>
      </c>
      <c r="T1347" s="17" t="s">
        <v>4137</v>
      </c>
      <c r="U13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4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3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4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3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3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348" spans="1:31" hidden="1" x14ac:dyDescent="0.3">
      <c r="A1348" s="14" t="s">
        <v>2246</v>
      </c>
      <c r="B1348" s="14" t="s">
        <v>21</v>
      </c>
      <c r="C1348" s="14" t="s">
        <v>22</v>
      </c>
      <c r="D1348" s="14" t="s">
        <v>23</v>
      </c>
      <c r="E1348" s="14" t="s">
        <v>4136</v>
      </c>
      <c r="F1348" s="8">
        <v>715603.14</v>
      </c>
      <c r="G1348" s="14" t="s">
        <v>2237</v>
      </c>
      <c r="H1348" s="16">
        <v>715603.14</v>
      </c>
      <c r="I1348" s="14" t="s">
        <v>2237</v>
      </c>
      <c r="J1348" s="16">
        <v>0</v>
      </c>
      <c r="K1348" s="14" t="s">
        <v>2237</v>
      </c>
      <c r="L1348" s="16">
        <v>0</v>
      </c>
      <c r="M1348" s="14" t="s">
        <v>2237</v>
      </c>
      <c r="N1348" s="8">
        <v>674608.58</v>
      </c>
      <c r="O1348" s="14" t="s">
        <v>2237</v>
      </c>
      <c r="P1348" s="14" t="s">
        <v>2242</v>
      </c>
      <c r="Q1348" s="17" t="s">
        <v>2236</v>
      </c>
      <c r="R1348" s="17" t="s">
        <v>2238</v>
      </c>
      <c r="S1348" s="17" t="s">
        <v>2243</v>
      </c>
      <c r="T1348" s="17" t="s">
        <v>4137</v>
      </c>
      <c r="U13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4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4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4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48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4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49" spans="1:31" hidden="1" x14ac:dyDescent="0.3">
      <c r="A1349" s="14" t="s">
        <v>2247</v>
      </c>
      <c r="B1349" s="14" t="s">
        <v>26</v>
      </c>
      <c r="C1349" s="14" t="s">
        <v>27</v>
      </c>
      <c r="D1349" s="14" t="s">
        <v>28</v>
      </c>
      <c r="E1349" s="14" t="s">
        <v>4136</v>
      </c>
      <c r="F1349" s="8">
        <v>349174.07</v>
      </c>
      <c r="G1349" s="14" t="s">
        <v>2237</v>
      </c>
      <c r="H1349" s="16">
        <v>349174.07</v>
      </c>
      <c r="I1349" s="14" t="s">
        <v>2237</v>
      </c>
      <c r="J1349" s="16">
        <v>0</v>
      </c>
      <c r="K1349" s="14" t="s">
        <v>2237</v>
      </c>
      <c r="L1349" s="16">
        <v>0</v>
      </c>
      <c r="M1349" s="14" t="s">
        <v>2237</v>
      </c>
      <c r="N1349" s="8">
        <v>332808.46000000002</v>
      </c>
      <c r="O1349" s="14" t="s">
        <v>2237</v>
      </c>
      <c r="P1349" s="14" t="s">
        <v>2242</v>
      </c>
      <c r="Q1349" s="17" t="s">
        <v>2236</v>
      </c>
      <c r="R1349" s="17" t="s">
        <v>2238</v>
      </c>
      <c r="S1349" s="17" t="s">
        <v>2243</v>
      </c>
      <c r="T1349" s="17" t="s">
        <v>4138</v>
      </c>
      <c r="U13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4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4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4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E530-302039009-D235301</v>
      </c>
      <c r="Y13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4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4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49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49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4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0" spans="1:31" hidden="1" x14ac:dyDescent="0.3">
      <c r="A1350" s="14" t="s">
        <v>2248</v>
      </c>
      <c r="B1350" s="14" t="s">
        <v>30</v>
      </c>
      <c r="C1350" s="14" t="s">
        <v>31</v>
      </c>
      <c r="D1350" s="14" t="s">
        <v>32</v>
      </c>
      <c r="E1350" s="14" t="s">
        <v>4136</v>
      </c>
      <c r="F1350" s="8">
        <v>0</v>
      </c>
      <c r="G1350" s="14" t="s">
        <v>2237</v>
      </c>
      <c r="H1350" s="16">
        <v>0</v>
      </c>
      <c r="I1350" s="14" t="s">
        <v>2237</v>
      </c>
      <c r="J1350" s="16">
        <v>0</v>
      </c>
      <c r="K1350" s="14" t="s">
        <v>2237</v>
      </c>
      <c r="L1350" s="16">
        <v>0</v>
      </c>
      <c r="M1350" s="14" t="s">
        <v>2237</v>
      </c>
      <c r="N1350" s="8">
        <v>332808.46000000002</v>
      </c>
      <c r="O1350" s="14" t="s">
        <v>2237</v>
      </c>
      <c r="P1350" s="14" t="s">
        <v>2242</v>
      </c>
      <c r="Q1350" s="17" t="s">
        <v>2236</v>
      </c>
      <c r="R1350" s="17" t="s">
        <v>2238</v>
      </c>
      <c r="S1350" s="17" t="s">
        <v>2243</v>
      </c>
      <c r="T1350" s="17" t="s">
        <v>4139</v>
      </c>
      <c r="U13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5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E530-302039009-D235301</v>
      </c>
      <c r="Y135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E530-30203900963-D235301</v>
      </c>
      <c r="Z135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50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350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5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1" spans="1:31" hidden="1" x14ac:dyDescent="0.3">
      <c r="A1351" s="14" t="s">
        <v>2250</v>
      </c>
      <c r="B1351" s="14" t="s">
        <v>26</v>
      </c>
      <c r="C1351" s="14" t="s">
        <v>34</v>
      </c>
      <c r="D1351" s="14" t="s">
        <v>35</v>
      </c>
      <c r="E1351" s="14" t="s">
        <v>4136</v>
      </c>
      <c r="F1351" s="8">
        <v>336309.92</v>
      </c>
      <c r="G1351" s="14" t="s">
        <v>2237</v>
      </c>
      <c r="H1351" s="16">
        <v>336309.92</v>
      </c>
      <c r="I1351" s="14" t="s">
        <v>2237</v>
      </c>
      <c r="J1351" s="16">
        <v>0</v>
      </c>
      <c r="K1351" s="14" t="s">
        <v>2237</v>
      </c>
      <c r="L1351" s="16">
        <v>0</v>
      </c>
      <c r="M1351" s="14" t="s">
        <v>2237</v>
      </c>
      <c r="N1351" s="8">
        <v>311363.55</v>
      </c>
      <c r="O1351" s="14" t="s">
        <v>2237</v>
      </c>
      <c r="P1351" s="14" t="s">
        <v>2242</v>
      </c>
      <c r="Q1351" s="17" t="s">
        <v>2236</v>
      </c>
      <c r="R1351" s="17" t="s">
        <v>2238</v>
      </c>
      <c r="S1351" s="17" t="s">
        <v>2243</v>
      </c>
      <c r="T1351" s="17" t="s">
        <v>4138</v>
      </c>
      <c r="U13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5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E530-302039008-D235301</v>
      </c>
      <c r="Y13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5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1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51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5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2" spans="1:31" hidden="1" x14ac:dyDescent="0.3">
      <c r="A1352" s="14" t="s">
        <v>2251</v>
      </c>
      <c r="B1352" s="14" t="s">
        <v>30</v>
      </c>
      <c r="C1352" s="14" t="s">
        <v>37</v>
      </c>
      <c r="D1352" s="14" t="s">
        <v>38</v>
      </c>
      <c r="E1352" s="14" t="s">
        <v>4136</v>
      </c>
      <c r="F1352" s="8">
        <v>0</v>
      </c>
      <c r="G1352" s="14" t="s">
        <v>2237</v>
      </c>
      <c r="H1352" s="16">
        <v>0</v>
      </c>
      <c r="I1352" s="14" t="s">
        <v>2237</v>
      </c>
      <c r="J1352" s="16">
        <v>0</v>
      </c>
      <c r="K1352" s="14" t="s">
        <v>2237</v>
      </c>
      <c r="L1352" s="16">
        <v>0</v>
      </c>
      <c r="M1352" s="14" t="s">
        <v>2237</v>
      </c>
      <c r="N1352" s="8">
        <v>234054.44</v>
      </c>
      <c r="O1352" s="14" t="s">
        <v>2237</v>
      </c>
      <c r="P1352" s="14" t="s">
        <v>2242</v>
      </c>
      <c r="Q1352" s="17" t="s">
        <v>2236</v>
      </c>
      <c r="R1352" s="17" t="s">
        <v>2238</v>
      </c>
      <c r="S1352" s="17" t="s">
        <v>2243</v>
      </c>
      <c r="T1352" s="17" t="s">
        <v>4139</v>
      </c>
      <c r="U13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5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E530-302039008-D235301</v>
      </c>
      <c r="Y135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E530-30203900821-D235301</v>
      </c>
      <c r="Z135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2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52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52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5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3" spans="1:31" hidden="1" x14ac:dyDescent="0.3">
      <c r="A1353" s="14" t="s">
        <v>2252</v>
      </c>
      <c r="B1353" s="14" t="s">
        <v>30</v>
      </c>
      <c r="C1353" s="14" t="s">
        <v>40</v>
      </c>
      <c r="D1353" s="14" t="s">
        <v>41</v>
      </c>
      <c r="E1353" s="14" t="s">
        <v>4136</v>
      </c>
      <c r="F1353" s="8">
        <v>0</v>
      </c>
      <c r="G1353" s="14" t="s">
        <v>2237</v>
      </c>
      <c r="H1353" s="16">
        <v>0</v>
      </c>
      <c r="I1353" s="14" t="s">
        <v>2237</v>
      </c>
      <c r="J1353" s="16">
        <v>0</v>
      </c>
      <c r="K1353" s="14" t="s">
        <v>2237</v>
      </c>
      <c r="L1353" s="16">
        <v>0</v>
      </c>
      <c r="M1353" s="14" t="s">
        <v>2237</v>
      </c>
      <c r="N1353" s="8">
        <v>77309.11</v>
      </c>
      <c r="O1353" s="14" t="s">
        <v>2237</v>
      </c>
      <c r="P1353" s="14" t="s">
        <v>2242</v>
      </c>
      <c r="Q1353" s="17" t="s">
        <v>2236</v>
      </c>
      <c r="R1353" s="17" t="s">
        <v>2238</v>
      </c>
      <c r="S1353" s="17" t="s">
        <v>2243</v>
      </c>
      <c r="T1353" s="17" t="s">
        <v>4139</v>
      </c>
      <c r="U13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5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E530-302039008-D235301</v>
      </c>
      <c r="Y135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E530-30203900860-D235301</v>
      </c>
      <c r="Z135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53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53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5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4" spans="1:31" hidden="1" x14ac:dyDescent="0.3">
      <c r="A1354" s="14" t="s">
        <v>2253</v>
      </c>
      <c r="B1354" s="14" t="s">
        <v>26</v>
      </c>
      <c r="C1354" s="14" t="s">
        <v>43</v>
      </c>
      <c r="D1354" s="14" t="s">
        <v>44</v>
      </c>
      <c r="E1354" s="14" t="s">
        <v>4136</v>
      </c>
      <c r="F1354" s="8">
        <v>30119.15</v>
      </c>
      <c r="G1354" s="14" t="s">
        <v>2237</v>
      </c>
      <c r="H1354" s="16">
        <v>30119.15</v>
      </c>
      <c r="I1354" s="14" t="s">
        <v>2237</v>
      </c>
      <c r="J1354" s="16">
        <v>0</v>
      </c>
      <c r="K1354" s="14" t="s">
        <v>2237</v>
      </c>
      <c r="L1354" s="16">
        <v>0</v>
      </c>
      <c r="M1354" s="14" t="s">
        <v>2237</v>
      </c>
      <c r="N1354" s="8">
        <v>30436.57</v>
      </c>
      <c r="O1354" s="14" t="s">
        <v>2237</v>
      </c>
      <c r="P1354" s="14" t="s">
        <v>2242</v>
      </c>
      <c r="Q1354" s="17" t="s">
        <v>2236</v>
      </c>
      <c r="R1354" s="17" t="s">
        <v>2238</v>
      </c>
      <c r="S1354" s="17" t="s">
        <v>2243</v>
      </c>
      <c r="T1354" s="17" t="s">
        <v>4138</v>
      </c>
      <c r="U13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5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E530-302039007-D235301</v>
      </c>
      <c r="Y13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5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4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54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5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5" spans="1:31" hidden="1" x14ac:dyDescent="0.3">
      <c r="A1355" s="14" t="s">
        <v>2254</v>
      </c>
      <c r="B1355" s="14" t="s">
        <v>30</v>
      </c>
      <c r="C1355" s="14" t="s">
        <v>46</v>
      </c>
      <c r="D1355" s="14" t="s">
        <v>47</v>
      </c>
      <c r="E1355" s="14" t="s">
        <v>4136</v>
      </c>
      <c r="F1355" s="8">
        <v>0</v>
      </c>
      <c r="G1355" s="14" t="s">
        <v>2237</v>
      </c>
      <c r="H1355" s="16">
        <v>0</v>
      </c>
      <c r="I1355" s="14" t="s">
        <v>2237</v>
      </c>
      <c r="J1355" s="16">
        <v>0</v>
      </c>
      <c r="K1355" s="14" t="s">
        <v>2237</v>
      </c>
      <c r="L1355" s="16">
        <v>0</v>
      </c>
      <c r="M1355" s="14" t="s">
        <v>2237</v>
      </c>
      <c r="N1355" s="8">
        <v>30436.57</v>
      </c>
      <c r="O1355" s="14" t="s">
        <v>2237</v>
      </c>
      <c r="P1355" s="14" t="s">
        <v>2242</v>
      </c>
      <c r="Q1355" s="17" t="s">
        <v>2236</v>
      </c>
      <c r="R1355" s="17" t="s">
        <v>2238</v>
      </c>
      <c r="S1355" s="17" t="s">
        <v>2243</v>
      </c>
      <c r="T1355" s="17" t="s">
        <v>4139</v>
      </c>
      <c r="U13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E530-3020390-D235301</v>
      </c>
      <c r="X135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E530-302039007-D235301</v>
      </c>
      <c r="Y135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E530-30203900759-D235301</v>
      </c>
      <c r="Z135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5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55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55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5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6" spans="1:31" hidden="1" x14ac:dyDescent="0.3">
      <c r="A1356" s="14" t="s">
        <v>2255</v>
      </c>
      <c r="B1356" s="14" t="s">
        <v>21</v>
      </c>
      <c r="C1356" s="14" t="s">
        <v>48</v>
      </c>
      <c r="D1356" s="14" t="s">
        <v>49</v>
      </c>
      <c r="E1356" s="14" t="s">
        <v>4136</v>
      </c>
      <c r="F1356" s="8">
        <v>137308.25</v>
      </c>
      <c r="G1356" s="14" t="s">
        <v>2237</v>
      </c>
      <c r="H1356" s="16">
        <v>137308.25</v>
      </c>
      <c r="I1356" s="14" t="s">
        <v>2237</v>
      </c>
      <c r="J1356" s="16">
        <v>0</v>
      </c>
      <c r="K1356" s="14" t="s">
        <v>2237</v>
      </c>
      <c r="L1356" s="16">
        <v>0</v>
      </c>
      <c r="M1356" s="14" t="s">
        <v>2237</v>
      </c>
      <c r="N1356" s="8">
        <v>136990.09</v>
      </c>
      <c r="O1356" s="14" t="s">
        <v>2237</v>
      </c>
      <c r="P1356" s="14" t="s">
        <v>2242</v>
      </c>
      <c r="Q1356" s="17" t="s">
        <v>2236</v>
      </c>
      <c r="R1356" s="17" t="s">
        <v>2238</v>
      </c>
      <c r="S1356" s="17" t="s">
        <v>2243</v>
      </c>
      <c r="T1356" s="17" t="s">
        <v>4137</v>
      </c>
      <c r="U135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5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56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5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7" spans="1:31" hidden="1" x14ac:dyDescent="0.3">
      <c r="A1357" s="14" t="s">
        <v>2257</v>
      </c>
      <c r="B1357" s="14" t="s">
        <v>26</v>
      </c>
      <c r="C1357" s="14" t="s">
        <v>51</v>
      </c>
      <c r="D1357" s="14" t="s">
        <v>52</v>
      </c>
      <c r="E1357" s="14" t="s">
        <v>4136</v>
      </c>
      <c r="F1357" s="8">
        <v>0</v>
      </c>
      <c r="G1357" s="14" t="s">
        <v>2237</v>
      </c>
      <c r="H1357" s="16">
        <v>0</v>
      </c>
      <c r="I1357" s="14" t="s">
        <v>2237</v>
      </c>
      <c r="J1357" s="16">
        <v>0</v>
      </c>
      <c r="K1357" s="14" t="s">
        <v>2237</v>
      </c>
      <c r="L1357" s="16">
        <v>0</v>
      </c>
      <c r="M1357" s="14" t="s">
        <v>2237</v>
      </c>
      <c r="N1357" s="8">
        <v>0</v>
      </c>
      <c r="O1357" s="14" t="s">
        <v>2237</v>
      </c>
      <c r="P1357" s="14" t="s">
        <v>2242</v>
      </c>
      <c r="Q1357" s="17" t="s">
        <v>2236</v>
      </c>
      <c r="R1357" s="17" t="s">
        <v>2238</v>
      </c>
      <c r="S1357" s="17" t="s">
        <v>2243</v>
      </c>
      <c r="T1357" s="17" t="s">
        <v>4137</v>
      </c>
      <c r="U13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5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E530-302038909-D235301</v>
      </c>
      <c r="Y13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5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7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57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5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8" spans="1:31" hidden="1" x14ac:dyDescent="0.3">
      <c r="A1358" s="14" t="s">
        <v>2259</v>
      </c>
      <c r="B1358" s="14" t="s">
        <v>30</v>
      </c>
      <c r="C1358" s="14" t="s">
        <v>53</v>
      </c>
      <c r="D1358" s="14" t="s">
        <v>54</v>
      </c>
      <c r="E1358" s="14" t="s">
        <v>4136</v>
      </c>
      <c r="F1358" s="8">
        <v>0</v>
      </c>
      <c r="G1358" s="14" t="s">
        <v>2237</v>
      </c>
      <c r="H1358" s="16">
        <v>0</v>
      </c>
      <c r="I1358" s="14" t="s">
        <v>2237</v>
      </c>
      <c r="J1358" s="16">
        <v>0</v>
      </c>
      <c r="K1358" s="14" t="s">
        <v>2237</v>
      </c>
      <c r="L1358" s="16">
        <v>0</v>
      </c>
      <c r="M1358" s="14" t="s">
        <v>2237</v>
      </c>
      <c r="N1358" s="8">
        <v>0</v>
      </c>
      <c r="O1358" s="14" t="s">
        <v>2237</v>
      </c>
      <c r="P1358" s="14" t="s">
        <v>2242</v>
      </c>
      <c r="Q1358" s="17" t="s">
        <v>2236</v>
      </c>
      <c r="R1358" s="17" t="s">
        <v>2238</v>
      </c>
      <c r="S1358" s="17" t="s">
        <v>2243</v>
      </c>
      <c r="T1358" s="17" t="s">
        <v>4140</v>
      </c>
      <c r="U13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5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E530-302038909-D235301</v>
      </c>
      <c r="Y135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E530-30203890963-D235301</v>
      </c>
      <c r="Z135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8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58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358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5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59" spans="1:31" hidden="1" x14ac:dyDescent="0.3">
      <c r="A1359" s="14" t="s">
        <v>2260</v>
      </c>
      <c r="B1359" s="14" t="s">
        <v>26</v>
      </c>
      <c r="C1359" s="14" t="s">
        <v>55</v>
      </c>
      <c r="D1359" s="14" t="s">
        <v>56</v>
      </c>
      <c r="E1359" s="14" t="s">
        <v>4136</v>
      </c>
      <c r="F1359" s="8">
        <v>132212.95000000001</v>
      </c>
      <c r="G1359" s="14" t="s">
        <v>2237</v>
      </c>
      <c r="H1359" s="16">
        <v>132212.95000000001</v>
      </c>
      <c r="I1359" s="14" t="s">
        <v>2237</v>
      </c>
      <c r="J1359" s="16">
        <v>0</v>
      </c>
      <c r="K1359" s="14" t="s">
        <v>2237</v>
      </c>
      <c r="L1359" s="16">
        <v>0</v>
      </c>
      <c r="M1359" s="14" t="s">
        <v>2237</v>
      </c>
      <c r="N1359" s="8">
        <v>131894.79</v>
      </c>
      <c r="O1359" s="14" t="s">
        <v>2237</v>
      </c>
      <c r="P1359" s="14" t="s">
        <v>2242</v>
      </c>
      <c r="Q1359" s="17" t="s">
        <v>2236</v>
      </c>
      <c r="R1359" s="17" t="s">
        <v>2238</v>
      </c>
      <c r="S1359" s="17" t="s">
        <v>2243</v>
      </c>
      <c r="T1359" s="17" t="s">
        <v>4138</v>
      </c>
      <c r="U135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5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5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5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E530-302038908-D235301</v>
      </c>
      <c r="Y13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5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5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59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59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5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0" spans="1:31" hidden="1" x14ac:dyDescent="0.3">
      <c r="A1360" s="14" t="s">
        <v>2261</v>
      </c>
      <c r="B1360" s="14" t="s">
        <v>30</v>
      </c>
      <c r="C1360" s="14" t="s">
        <v>57</v>
      </c>
      <c r="D1360" s="14" t="s">
        <v>58</v>
      </c>
      <c r="E1360" s="14" t="s">
        <v>4136</v>
      </c>
      <c r="F1360" s="8">
        <v>0</v>
      </c>
      <c r="G1360" s="14" t="s">
        <v>2237</v>
      </c>
      <c r="H1360" s="16">
        <v>0</v>
      </c>
      <c r="I1360" s="14" t="s">
        <v>2237</v>
      </c>
      <c r="J1360" s="16">
        <v>0</v>
      </c>
      <c r="K1360" s="14" t="s">
        <v>2237</v>
      </c>
      <c r="L1360" s="16">
        <v>0</v>
      </c>
      <c r="M1360" s="14" t="s">
        <v>2237</v>
      </c>
      <c r="N1360" s="8">
        <v>87204.81</v>
      </c>
      <c r="O1360" s="14" t="s">
        <v>2237</v>
      </c>
      <c r="P1360" s="14" t="s">
        <v>2242</v>
      </c>
      <c r="Q1360" s="17" t="s">
        <v>2236</v>
      </c>
      <c r="R1360" s="17" t="s">
        <v>2238</v>
      </c>
      <c r="S1360" s="17" t="s">
        <v>2243</v>
      </c>
      <c r="T1360" s="17" t="s">
        <v>4139</v>
      </c>
      <c r="U136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6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E530-302038908-D235301</v>
      </c>
      <c r="Y136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E530-30203890821-D235301</v>
      </c>
      <c r="Z136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0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60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60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6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1" spans="1:31" hidden="1" x14ac:dyDescent="0.3">
      <c r="A1361" s="14" t="s">
        <v>2262</v>
      </c>
      <c r="B1361" s="14" t="s">
        <v>30</v>
      </c>
      <c r="C1361" s="14" t="s">
        <v>59</v>
      </c>
      <c r="D1361" s="14" t="s">
        <v>60</v>
      </c>
      <c r="E1361" s="14" t="s">
        <v>4136</v>
      </c>
      <c r="F1361" s="8">
        <v>0</v>
      </c>
      <c r="G1361" s="14" t="s">
        <v>2237</v>
      </c>
      <c r="H1361" s="16">
        <v>0</v>
      </c>
      <c r="I1361" s="14" t="s">
        <v>2237</v>
      </c>
      <c r="J1361" s="16">
        <v>0</v>
      </c>
      <c r="K1361" s="14" t="s">
        <v>2237</v>
      </c>
      <c r="L1361" s="16">
        <v>0</v>
      </c>
      <c r="M1361" s="14" t="s">
        <v>2237</v>
      </c>
      <c r="N1361" s="8">
        <v>44689.98</v>
      </c>
      <c r="O1361" s="14" t="s">
        <v>2237</v>
      </c>
      <c r="P1361" s="14" t="s">
        <v>2242</v>
      </c>
      <c r="Q1361" s="17" t="s">
        <v>2236</v>
      </c>
      <c r="R1361" s="17" t="s">
        <v>2238</v>
      </c>
      <c r="S1361" s="17" t="s">
        <v>2243</v>
      </c>
      <c r="T1361" s="17" t="s">
        <v>4139</v>
      </c>
      <c r="U136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6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E530-302038908-D235301</v>
      </c>
      <c r="Y136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E530-30203890860-D235301</v>
      </c>
      <c r="Z136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1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61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61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6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2" spans="1:31" hidden="1" x14ac:dyDescent="0.3">
      <c r="A1362" s="14" t="s">
        <v>2263</v>
      </c>
      <c r="B1362" s="14" t="s">
        <v>26</v>
      </c>
      <c r="C1362" s="14" t="s">
        <v>61</v>
      </c>
      <c r="D1362" s="14" t="s">
        <v>62</v>
      </c>
      <c r="E1362" s="14" t="s">
        <v>4136</v>
      </c>
      <c r="F1362" s="8">
        <v>5095.3</v>
      </c>
      <c r="G1362" s="14" t="s">
        <v>2237</v>
      </c>
      <c r="H1362" s="16">
        <v>5095.3</v>
      </c>
      <c r="I1362" s="14" t="s">
        <v>2237</v>
      </c>
      <c r="J1362" s="16">
        <v>0</v>
      </c>
      <c r="K1362" s="14" t="s">
        <v>2237</v>
      </c>
      <c r="L1362" s="16">
        <v>0</v>
      </c>
      <c r="M1362" s="14" t="s">
        <v>2237</v>
      </c>
      <c r="N1362" s="8">
        <v>5095.3</v>
      </c>
      <c r="O1362" s="14" t="s">
        <v>2237</v>
      </c>
      <c r="P1362" s="14" t="s">
        <v>2242</v>
      </c>
      <c r="Q1362" s="17" t="s">
        <v>2236</v>
      </c>
      <c r="R1362" s="17" t="s">
        <v>2238</v>
      </c>
      <c r="S1362" s="17" t="s">
        <v>2243</v>
      </c>
      <c r="T1362" s="17" t="s">
        <v>4137</v>
      </c>
      <c r="U136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6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E530-302038907-D235301</v>
      </c>
      <c r="Y13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6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2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62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6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3" spans="1:31" hidden="1" x14ac:dyDescent="0.3">
      <c r="A1363" s="14" t="s">
        <v>2265</v>
      </c>
      <c r="B1363" s="14" t="s">
        <v>30</v>
      </c>
      <c r="C1363" s="14" t="s">
        <v>63</v>
      </c>
      <c r="D1363" s="14" t="s">
        <v>64</v>
      </c>
      <c r="E1363" s="14" t="s">
        <v>4136</v>
      </c>
      <c r="F1363" s="8">
        <v>0</v>
      </c>
      <c r="G1363" s="14" t="s">
        <v>2237</v>
      </c>
      <c r="H1363" s="16">
        <v>0</v>
      </c>
      <c r="I1363" s="14" t="s">
        <v>2237</v>
      </c>
      <c r="J1363" s="16">
        <v>0</v>
      </c>
      <c r="K1363" s="14" t="s">
        <v>2237</v>
      </c>
      <c r="L1363" s="16">
        <v>0</v>
      </c>
      <c r="M1363" s="14" t="s">
        <v>2237</v>
      </c>
      <c r="N1363" s="8">
        <v>5095.3</v>
      </c>
      <c r="O1363" s="14" t="s">
        <v>2237</v>
      </c>
      <c r="P1363" s="14" t="s">
        <v>2242</v>
      </c>
      <c r="Q1363" s="17" t="s">
        <v>2236</v>
      </c>
      <c r="R1363" s="17" t="s">
        <v>2238</v>
      </c>
      <c r="S1363" s="17" t="s">
        <v>2243</v>
      </c>
      <c r="T1363" s="17" t="s">
        <v>4139</v>
      </c>
      <c r="U136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E530-3020389-D235301</v>
      </c>
      <c r="X136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E530-302038907-D235301</v>
      </c>
      <c r="Y136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E530-30203890759-D235301</v>
      </c>
      <c r="Z136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3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63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63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6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4" spans="1:31" hidden="1" x14ac:dyDescent="0.3">
      <c r="A1364" s="14" t="s">
        <v>2266</v>
      </c>
      <c r="B1364" s="14" t="s">
        <v>21</v>
      </c>
      <c r="C1364" s="14" t="s">
        <v>65</v>
      </c>
      <c r="D1364" s="14" t="s">
        <v>66</v>
      </c>
      <c r="E1364" s="14" t="s">
        <v>4136</v>
      </c>
      <c r="F1364" s="8">
        <v>719550.83</v>
      </c>
      <c r="G1364" s="14" t="s">
        <v>2237</v>
      </c>
      <c r="H1364" s="16">
        <v>719550.83</v>
      </c>
      <c r="I1364" s="14" t="s">
        <v>2237</v>
      </c>
      <c r="J1364" s="16">
        <v>0</v>
      </c>
      <c r="K1364" s="14" t="s">
        <v>2237</v>
      </c>
      <c r="L1364" s="16">
        <v>0</v>
      </c>
      <c r="M1364" s="14" t="s">
        <v>2237</v>
      </c>
      <c r="N1364" s="8">
        <v>684240.81</v>
      </c>
      <c r="O1364" s="14" t="s">
        <v>2237</v>
      </c>
      <c r="P1364" s="14" t="s">
        <v>2242</v>
      </c>
      <c r="Q1364" s="17" t="s">
        <v>2236</v>
      </c>
      <c r="R1364" s="17" t="s">
        <v>2238</v>
      </c>
      <c r="S1364" s="17" t="s">
        <v>2243</v>
      </c>
      <c r="T1364" s="17" t="s">
        <v>4137</v>
      </c>
      <c r="U136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6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64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6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5" spans="1:31" hidden="1" x14ac:dyDescent="0.3">
      <c r="A1365" s="14" t="s">
        <v>2267</v>
      </c>
      <c r="B1365" s="14" t="s">
        <v>26</v>
      </c>
      <c r="C1365" s="14" t="s">
        <v>68</v>
      </c>
      <c r="D1365" s="14" t="s">
        <v>69</v>
      </c>
      <c r="E1365" s="14" t="s">
        <v>4136</v>
      </c>
      <c r="F1365" s="8">
        <v>425329.7</v>
      </c>
      <c r="G1365" s="14" t="s">
        <v>2237</v>
      </c>
      <c r="H1365" s="16">
        <v>425329.7</v>
      </c>
      <c r="I1365" s="14" t="s">
        <v>2237</v>
      </c>
      <c r="J1365" s="16">
        <v>0</v>
      </c>
      <c r="K1365" s="14" t="s">
        <v>2237</v>
      </c>
      <c r="L1365" s="16">
        <v>0</v>
      </c>
      <c r="M1365" s="14" t="s">
        <v>2237</v>
      </c>
      <c r="N1365" s="8">
        <v>413724.3</v>
      </c>
      <c r="O1365" s="14" t="s">
        <v>2237</v>
      </c>
      <c r="P1365" s="14" t="s">
        <v>2242</v>
      </c>
      <c r="Q1365" s="17" t="s">
        <v>2236</v>
      </c>
      <c r="R1365" s="17" t="s">
        <v>2238</v>
      </c>
      <c r="S1365" s="17" t="s">
        <v>2243</v>
      </c>
      <c r="T1365" s="17" t="s">
        <v>4138</v>
      </c>
      <c r="U136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6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E530-302038809-D235301</v>
      </c>
      <c r="Y13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6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5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65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6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6" spans="1:31" hidden="1" x14ac:dyDescent="0.3">
      <c r="A1366" s="14" t="s">
        <v>2268</v>
      </c>
      <c r="B1366" s="14" t="s">
        <v>30</v>
      </c>
      <c r="C1366" s="14" t="s">
        <v>70</v>
      </c>
      <c r="D1366" s="14" t="s">
        <v>71</v>
      </c>
      <c r="E1366" s="14" t="s">
        <v>4136</v>
      </c>
      <c r="F1366" s="8">
        <v>0</v>
      </c>
      <c r="G1366" s="14" t="s">
        <v>2237</v>
      </c>
      <c r="H1366" s="16">
        <v>0</v>
      </c>
      <c r="I1366" s="14" t="s">
        <v>2237</v>
      </c>
      <c r="J1366" s="16">
        <v>0</v>
      </c>
      <c r="K1366" s="14" t="s">
        <v>2237</v>
      </c>
      <c r="L1366" s="16">
        <v>0</v>
      </c>
      <c r="M1366" s="14" t="s">
        <v>2237</v>
      </c>
      <c r="N1366" s="8">
        <v>413724.3</v>
      </c>
      <c r="O1366" s="14" t="s">
        <v>2237</v>
      </c>
      <c r="P1366" s="14" t="s">
        <v>2242</v>
      </c>
      <c r="Q1366" s="17" t="s">
        <v>2236</v>
      </c>
      <c r="R1366" s="17" t="s">
        <v>2238</v>
      </c>
      <c r="S1366" s="17" t="s">
        <v>2243</v>
      </c>
      <c r="T1366" s="17" t="s">
        <v>4139</v>
      </c>
      <c r="U136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6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E530-302038809-D235301</v>
      </c>
      <c r="Y1366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E530-30203880963-D235301</v>
      </c>
      <c r="Z136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6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66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366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6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7" spans="1:31" hidden="1" x14ac:dyDescent="0.3">
      <c r="A1367" s="14" t="s">
        <v>2269</v>
      </c>
      <c r="B1367" s="14" t="s">
        <v>26</v>
      </c>
      <c r="C1367" s="14" t="s">
        <v>72</v>
      </c>
      <c r="D1367" s="14" t="s">
        <v>73</v>
      </c>
      <c r="E1367" s="14" t="s">
        <v>4136</v>
      </c>
      <c r="F1367" s="8">
        <v>283983.69</v>
      </c>
      <c r="G1367" s="14" t="s">
        <v>2237</v>
      </c>
      <c r="H1367" s="16">
        <v>283983.69</v>
      </c>
      <c r="I1367" s="14" t="s">
        <v>2237</v>
      </c>
      <c r="J1367" s="16">
        <v>0</v>
      </c>
      <c r="K1367" s="14" t="s">
        <v>2237</v>
      </c>
      <c r="L1367" s="16">
        <v>0</v>
      </c>
      <c r="M1367" s="14" t="s">
        <v>2237</v>
      </c>
      <c r="N1367" s="8">
        <v>260177.1</v>
      </c>
      <c r="O1367" s="14" t="s">
        <v>2237</v>
      </c>
      <c r="P1367" s="14" t="s">
        <v>2242</v>
      </c>
      <c r="Q1367" s="17" t="s">
        <v>2236</v>
      </c>
      <c r="R1367" s="17" t="s">
        <v>2238</v>
      </c>
      <c r="S1367" s="17" t="s">
        <v>2243</v>
      </c>
      <c r="T1367" s="17" t="s">
        <v>4138</v>
      </c>
      <c r="U136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6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E530-302038808-D235301</v>
      </c>
      <c r="Y13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6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67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6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8" spans="1:31" hidden="1" x14ac:dyDescent="0.3">
      <c r="A1368" s="14" t="s">
        <v>2271</v>
      </c>
      <c r="B1368" s="14" t="s">
        <v>30</v>
      </c>
      <c r="C1368" s="14" t="s">
        <v>74</v>
      </c>
      <c r="D1368" s="14" t="s">
        <v>75</v>
      </c>
      <c r="E1368" s="14" t="s">
        <v>4136</v>
      </c>
      <c r="F1368" s="8">
        <v>0</v>
      </c>
      <c r="G1368" s="14" t="s">
        <v>2237</v>
      </c>
      <c r="H1368" s="16">
        <v>0</v>
      </c>
      <c r="I1368" s="14" t="s">
        <v>2237</v>
      </c>
      <c r="J1368" s="16">
        <v>0</v>
      </c>
      <c r="K1368" s="14" t="s">
        <v>2237</v>
      </c>
      <c r="L1368" s="16">
        <v>0</v>
      </c>
      <c r="M1368" s="14" t="s">
        <v>2237</v>
      </c>
      <c r="N1368" s="8">
        <v>160462.48000000001</v>
      </c>
      <c r="O1368" s="14" t="s">
        <v>2237</v>
      </c>
      <c r="P1368" s="14" t="s">
        <v>2242</v>
      </c>
      <c r="Q1368" s="17" t="s">
        <v>2236</v>
      </c>
      <c r="R1368" s="17" t="s">
        <v>2238</v>
      </c>
      <c r="S1368" s="17" t="s">
        <v>2243</v>
      </c>
      <c r="T1368" s="17" t="s">
        <v>4139</v>
      </c>
      <c r="U136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6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E530-302038808-D235301</v>
      </c>
      <c r="Y136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E530-30203880821-D235301</v>
      </c>
      <c r="Z136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8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68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68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6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69" spans="1:31" hidden="1" x14ac:dyDescent="0.3">
      <c r="A1369" s="14" t="s">
        <v>2272</v>
      </c>
      <c r="B1369" s="14" t="s">
        <v>30</v>
      </c>
      <c r="C1369" s="14" t="s">
        <v>76</v>
      </c>
      <c r="D1369" s="14" t="s">
        <v>77</v>
      </c>
      <c r="E1369" s="14" t="s">
        <v>4136</v>
      </c>
      <c r="F1369" s="8">
        <v>0</v>
      </c>
      <c r="G1369" s="14" t="s">
        <v>2237</v>
      </c>
      <c r="H1369" s="16">
        <v>0</v>
      </c>
      <c r="I1369" s="14" t="s">
        <v>2237</v>
      </c>
      <c r="J1369" s="16">
        <v>0</v>
      </c>
      <c r="K1369" s="14" t="s">
        <v>2237</v>
      </c>
      <c r="L1369" s="16">
        <v>0</v>
      </c>
      <c r="M1369" s="14" t="s">
        <v>2237</v>
      </c>
      <c r="N1369" s="8">
        <v>99714.62</v>
      </c>
      <c r="O1369" s="14" t="s">
        <v>2237</v>
      </c>
      <c r="P1369" s="14" t="s">
        <v>2242</v>
      </c>
      <c r="Q1369" s="17" t="s">
        <v>2236</v>
      </c>
      <c r="R1369" s="17" t="s">
        <v>2238</v>
      </c>
      <c r="S1369" s="17" t="s">
        <v>2243</v>
      </c>
      <c r="T1369" s="17" t="s">
        <v>4139</v>
      </c>
      <c r="U136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6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6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6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E530-302038808-D235301</v>
      </c>
      <c r="Y136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E530-30203880860-D235301</v>
      </c>
      <c r="Z136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6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69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69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69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6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0" spans="1:31" hidden="1" x14ac:dyDescent="0.3">
      <c r="A1370" s="14" t="s">
        <v>2273</v>
      </c>
      <c r="B1370" s="14" t="s">
        <v>26</v>
      </c>
      <c r="C1370" s="14" t="s">
        <v>78</v>
      </c>
      <c r="D1370" s="14" t="s">
        <v>79</v>
      </c>
      <c r="E1370" s="14" t="s">
        <v>4136</v>
      </c>
      <c r="F1370" s="8">
        <v>10237.44</v>
      </c>
      <c r="G1370" s="14" t="s">
        <v>2237</v>
      </c>
      <c r="H1370" s="16">
        <v>10237.44</v>
      </c>
      <c r="I1370" s="14" t="s">
        <v>2237</v>
      </c>
      <c r="J1370" s="16">
        <v>0</v>
      </c>
      <c r="K1370" s="14" t="s">
        <v>2237</v>
      </c>
      <c r="L1370" s="16">
        <v>0</v>
      </c>
      <c r="M1370" s="14" t="s">
        <v>2237</v>
      </c>
      <c r="N1370" s="8">
        <v>10339.41</v>
      </c>
      <c r="O1370" s="14" t="s">
        <v>2237</v>
      </c>
      <c r="P1370" s="14" t="s">
        <v>2242</v>
      </c>
      <c r="Q1370" s="17" t="s">
        <v>2236</v>
      </c>
      <c r="R1370" s="17" t="s">
        <v>2238</v>
      </c>
      <c r="S1370" s="17" t="s">
        <v>2243</v>
      </c>
      <c r="T1370" s="17" t="s">
        <v>4138</v>
      </c>
      <c r="U137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7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E530-302038807-D235301</v>
      </c>
      <c r="Y13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7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0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0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70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7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1" spans="1:31" hidden="1" x14ac:dyDescent="0.3">
      <c r="A1371" s="14" t="s">
        <v>2275</v>
      </c>
      <c r="B1371" s="14" t="s">
        <v>30</v>
      </c>
      <c r="C1371" s="14" t="s">
        <v>80</v>
      </c>
      <c r="D1371" s="14" t="s">
        <v>81</v>
      </c>
      <c r="E1371" s="14" t="s">
        <v>4136</v>
      </c>
      <c r="F1371" s="8">
        <v>0</v>
      </c>
      <c r="G1371" s="14" t="s">
        <v>2237</v>
      </c>
      <c r="H1371" s="16">
        <v>0</v>
      </c>
      <c r="I1371" s="14" t="s">
        <v>2237</v>
      </c>
      <c r="J1371" s="16">
        <v>0</v>
      </c>
      <c r="K1371" s="14" t="s">
        <v>2237</v>
      </c>
      <c r="L1371" s="16">
        <v>0</v>
      </c>
      <c r="M1371" s="14" t="s">
        <v>2237</v>
      </c>
      <c r="N1371" s="8">
        <v>10339.41</v>
      </c>
      <c r="O1371" s="14" t="s">
        <v>2237</v>
      </c>
      <c r="P1371" s="14" t="s">
        <v>2242</v>
      </c>
      <c r="Q1371" s="17" t="s">
        <v>2236</v>
      </c>
      <c r="R1371" s="17" t="s">
        <v>2238</v>
      </c>
      <c r="S1371" s="17" t="s">
        <v>2243</v>
      </c>
      <c r="T1371" s="17" t="s">
        <v>4139</v>
      </c>
      <c r="U137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E530-3020388-D235301</v>
      </c>
      <c r="X137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E530-302038807-D235301</v>
      </c>
      <c r="Y137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E530-30203880759-D235301</v>
      </c>
      <c r="Z137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1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1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71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71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7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2" spans="1:31" hidden="1" x14ac:dyDescent="0.3">
      <c r="A1372" s="14" t="s">
        <v>2276</v>
      </c>
      <c r="B1372" s="14" t="s">
        <v>21</v>
      </c>
      <c r="C1372" s="14" t="s">
        <v>82</v>
      </c>
      <c r="D1372" s="14" t="s">
        <v>83</v>
      </c>
      <c r="E1372" s="14" t="s">
        <v>4136</v>
      </c>
      <c r="F1372" s="8">
        <v>358092.76</v>
      </c>
      <c r="G1372" s="14" t="s">
        <v>2237</v>
      </c>
      <c r="H1372" s="16">
        <v>358092.76</v>
      </c>
      <c r="I1372" s="14" t="s">
        <v>2237</v>
      </c>
      <c r="J1372" s="16">
        <v>0</v>
      </c>
      <c r="K1372" s="14" t="s">
        <v>2237</v>
      </c>
      <c r="L1372" s="16">
        <v>0</v>
      </c>
      <c r="M1372" s="14" t="s">
        <v>2237</v>
      </c>
      <c r="N1372" s="8">
        <v>328893.05</v>
      </c>
      <c r="O1372" s="14" t="s">
        <v>2237</v>
      </c>
      <c r="P1372" s="14" t="s">
        <v>2242</v>
      </c>
      <c r="Q1372" s="17" t="s">
        <v>2236</v>
      </c>
      <c r="R1372" s="17" t="s">
        <v>2238</v>
      </c>
      <c r="S1372" s="17" t="s">
        <v>2243</v>
      </c>
      <c r="T1372" s="17" t="s">
        <v>4137</v>
      </c>
      <c r="U137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7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2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72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3" spans="1:31" hidden="1" x14ac:dyDescent="0.3">
      <c r="A1373" s="14" t="s">
        <v>2277</v>
      </c>
      <c r="B1373" s="14" t="s">
        <v>26</v>
      </c>
      <c r="C1373" s="14" t="s">
        <v>85</v>
      </c>
      <c r="D1373" s="14" t="s">
        <v>86</v>
      </c>
      <c r="E1373" s="14" t="s">
        <v>4136</v>
      </c>
      <c r="F1373" s="8">
        <v>176410.72</v>
      </c>
      <c r="G1373" s="14" t="s">
        <v>2237</v>
      </c>
      <c r="H1373" s="16">
        <v>176410.72</v>
      </c>
      <c r="I1373" s="14" t="s">
        <v>2237</v>
      </c>
      <c r="J1373" s="16">
        <v>0</v>
      </c>
      <c r="K1373" s="14" t="s">
        <v>2237</v>
      </c>
      <c r="L1373" s="16">
        <v>0</v>
      </c>
      <c r="M1373" s="14" t="s">
        <v>2237</v>
      </c>
      <c r="N1373" s="8">
        <v>161480.13</v>
      </c>
      <c r="O1373" s="14" t="s">
        <v>2237</v>
      </c>
      <c r="P1373" s="14" t="s">
        <v>2242</v>
      </c>
      <c r="Q1373" s="17" t="s">
        <v>2236</v>
      </c>
      <c r="R1373" s="17" t="s">
        <v>2238</v>
      </c>
      <c r="S1373" s="17" t="s">
        <v>2243</v>
      </c>
      <c r="T1373" s="17" t="s">
        <v>4137</v>
      </c>
      <c r="U137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E530-302038709-D235301</v>
      </c>
      <c r="Y13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7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3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3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73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4" spans="1:31" hidden="1" x14ac:dyDescent="0.3">
      <c r="A1374" s="14" t="s">
        <v>2278</v>
      </c>
      <c r="B1374" s="14" t="s">
        <v>30</v>
      </c>
      <c r="C1374" s="14" t="s">
        <v>87</v>
      </c>
      <c r="D1374" s="14" t="s">
        <v>88</v>
      </c>
      <c r="E1374" s="14" t="s">
        <v>4136</v>
      </c>
      <c r="F1374" s="8">
        <v>0</v>
      </c>
      <c r="G1374" s="14" t="s">
        <v>2237</v>
      </c>
      <c r="H1374" s="16">
        <v>0</v>
      </c>
      <c r="I1374" s="14" t="s">
        <v>2237</v>
      </c>
      <c r="J1374" s="16">
        <v>0</v>
      </c>
      <c r="K1374" s="14" t="s">
        <v>2237</v>
      </c>
      <c r="L1374" s="16">
        <v>0</v>
      </c>
      <c r="M1374" s="14" t="s">
        <v>2237</v>
      </c>
      <c r="N1374" s="8">
        <v>161480.13</v>
      </c>
      <c r="O1374" s="14" t="s">
        <v>2237</v>
      </c>
      <c r="P1374" s="14" t="s">
        <v>2242</v>
      </c>
      <c r="Q1374" s="17" t="s">
        <v>2236</v>
      </c>
      <c r="R1374" s="17" t="s">
        <v>2238</v>
      </c>
      <c r="S1374" s="17" t="s">
        <v>2243</v>
      </c>
      <c r="T1374" s="17" t="s">
        <v>4139</v>
      </c>
      <c r="U137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E530-302038709-D235301</v>
      </c>
      <c r="Y137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E530-30203870963-D235301</v>
      </c>
      <c r="Z137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4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74" s="10" t="str">
        <f>IF(IFERROR(INDEX(WBS_Dictionary!M$2:M$1212, MATCH(Table2[[#This Row],[WBS_ID]], Table26[WBS CODE],0)), "") = "", "null", IFERROR(INDEX(WBS_Dictionary!M$2:M$1212, MATCH(Table2[[#This Row],[WBS_ID]], Table26[WBS CODE],0)), ""))</f>
        <v>Installation, Hook Up &amp; Pre-Commisioning</v>
      </c>
      <c r="AD1374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5" spans="1:31" hidden="1" x14ac:dyDescent="0.3">
      <c r="A1375" s="14" t="s">
        <v>2279</v>
      </c>
      <c r="B1375" s="14" t="s">
        <v>26</v>
      </c>
      <c r="C1375" s="14" t="s">
        <v>89</v>
      </c>
      <c r="D1375" s="14" t="s">
        <v>90</v>
      </c>
      <c r="E1375" s="14" t="s">
        <v>4136</v>
      </c>
      <c r="F1375" s="8">
        <v>171772</v>
      </c>
      <c r="G1375" s="14" t="s">
        <v>2237</v>
      </c>
      <c r="H1375" s="16">
        <v>171772</v>
      </c>
      <c r="I1375" s="14" t="s">
        <v>2237</v>
      </c>
      <c r="J1375" s="16">
        <v>0</v>
      </c>
      <c r="K1375" s="14" t="s">
        <v>2237</v>
      </c>
      <c r="L1375" s="16">
        <v>0</v>
      </c>
      <c r="M1375" s="14" t="s">
        <v>2237</v>
      </c>
      <c r="N1375" s="8">
        <v>157502.88</v>
      </c>
      <c r="O1375" s="14" t="s">
        <v>2237</v>
      </c>
      <c r="P1375" s="14" t="s">
        <v>2242</v>
      </c>
      <c r="Q1375" s="17" t="s">
        <v>2236</v>
      </c>
      <c r="R1375" s="17" t="s">
        <v>2238</v>
      </c>
      <c r="S1375" s="17" t="s">
        <v>2243</v>
      </c>
      <c r="T1375" s="17" t="s">
        <v>4138</v>
      </c>
      <c r="U137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E530-302038708-D235301</v>
      </c>
      <c r="Y13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7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5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75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6" spans="1:31" hidden="1" x14ac:dyDescent="0.3">
      <c r="A1376" s="14" t="s">
        <v>2280</v>
      </c>
      <c r="B1376" s="14" t="s">
        <v>30</v>
      </c>
      <c r="C1376" s="14" t="s">
        <v>91</v>
      </c>
      <c r="D1376" s="14" t="s">
        <v>92</v>
      </c>
      <c r="E1376" s="14" t="s">
        <v>4136</v>
      </c>
      <c r="F1376" s="8">
        <v>0</v>
      </c>
      <c r="G1376" s="14" t="s">
        <v>2237</v>
      </c>
      <c r="H1376" s="16">
        <v>0</v>
      </c>
      <c r="I1376" s="14" t="s">
        <v>2237</v>
      </c>
      <c r="J1376" s="16">
        <v>0</v>
      </c>
      <c r="K1376" s="14" t="s">
        <v>2237</v>
      </c>
      <c r="L1376" s="16">
        <v>0</v>
      </c>
      <c r="M1376" s="14" t="s">
        <v>2237</v>
      </c>
      <c r="N1376" s="8">
        <v>112405.3</v>
      </c>
      <c r="O1376" s="14" t="s">
        <v>2237</v>
      </c>
      <c r="P1376" s="14" t="s">
        <v>2242</v>
      </c>
      <c r="Q1376" s="17" t="s">
        <v>2236</v>
      </c>
      <c r="R1376" s="17" t="s">
        <v>2238</v>
      </c>
      <c r="S1376" s="17" t="s">
        <v>2243</v>
      </c>
      <c r="T1376" s="17" t="s">
        <v>4139</v>
      </c>
      <c r="U137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E530-302038708-D235301</v>
      </c>
      <c r="Y1376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E530-30203870821-D235301</v>
      </c>
      <c r="Z137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6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6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76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76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7" spans="1:31" hidden="1" x14ac:dyDescent="0.3">
      <c r="A1377" s="14" t="s">
        <v>2281</v>
      </c>
      <c r="B1377" s="14" t="s">
        <v>30</v>
      </c>
      <c r="C1377" s="14" t="s">
        <v>93</v>
      </c>
      <c r="D1377" s="14" t="s">
        <v>94</v>
      </c>
      <c r="E1377" s="14" t="s">
        <v>4136</v>
      </c>
      <c r="F1377" s="8">
        <v>0</v>
      </c>
      <c r="G1377" s="14" t="s">
        <v>2237</v>
      </c>
      <c r="H1377" s="16">
        <v>0</v>
      </c>
      <c r="I1377" s="14" t="s">
        <v>2237</v>
      </c>
      <c r="J1377" s="16">
        <v>0</v>
      </c>
      <c r="K1377" s="14" t="s">
        <v>2237</v>
      </c>
      <c r="L1377" s="16">
        <v>0</v>
      </c>
      <c r="M1377" s="14" t="s">
        <v>2237</v>
      </c>
      <c r="N1377" s="8">
        <v>45097.58</v>
      </c>
      <c r="O1377" s="14" t="s">
        <v>2237</v>
      </c>
      <c r="P1377" s="14" t="s">
        <v>2242</v>
      </c>
      <c r="Q1377" s="17" t="s">
        <v>2236</v>
      </c>
      <c r="R1377" s="17" t="s">
        <v>2238</v>
      </c>
      <c r="S1377" s="17" t="s">
        <v>2243</v>
      </c>
      <c r="T1377" s="17" t="s">
        <v>4139</v>
      </c>
      <c r="U137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E530-302038708-D235301</v>
      </c>
      <c r="Y137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E530-30203870860-D235301</v>
      </c>
      <c r="Z137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7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77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77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8" spans="1:31" hidden="1" x14ac:dyDescent="0.3">
      <c r="A1378" s="14" t="s">
        <v>2282</v>
      </c>
      <c r="B1378" s="14" t="s">
        <v>26</v>
      </c>
      <c r="C1378" s="14" t="s">
        <v>95</v>
      </c>
      <c r="D1378" s="14" t="s">
        <v>96</v>
      </c>
      <c r="E1378" s="14" t="s">
        <v>4136</v>
      </c>
      <c r="F1378" s="8">
        <v>9910.0400000000009</v>
      </c>
      <c r="G1378" s="14" t="s">
        <v>2237</v>
      </c>
      <c r="H1378" s="16">
        <v>9910.0400000000009</v>
      </c>
      <c r="I1378" s="14" t="s">
        <v>2237</v>
      </c>
      <c r="J1378" s="16">
        <v>0</v>
      </c>
      <c r="K1378" s="14" t="s">
        <v>2237</v>
      </c>
      <c r="L1378" s="16">
        <v>0</v>
      </c>
      <c r="M1378" s="14" t="s">
        <v>2237</v>
      </c>
      <c r="N1378" s="8">
        <v>9910.0400000000009</v>
      </c>
      <c r="O1378" s="14" t="s">
        <v>2237</v>
      </c>
      <c r="P1378" s="14" t="s">
        <v>2242</v>
      </c>
      <c r="Q1378" s="17" t="s">
        <v>2236</v>
      </c>
      <c r="R1378" s="17" t="s">
        <v>2238</v>
      </c>
      <c r="S1378" s="17" t="s">
        <v>2243</v>
      </c>
      <c r="T1378" s="17" t="s">
        <v>4137</v>
      </c>
      <c r="U137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E530-302038707-D235301</v>
      </c>
      <c r="Y13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7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8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8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78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79" spans="1:31" hidden="1" x14ac:dyDescent="0.3">
      <c r="A1379" s="14" t="s">
        <v>2283</v>
      </c>
      <c r="B1379" s="14" t="s">
        <v>30</v>
      </c>
      <c r="C1379" s="14" t="s">
        <v>97</v>
      </c>
      <c r="D1379" s="14" t="s">
        <v>98</v>
      </c>
      <c r="E1379" s="14" t="s">
        <v>4136</v>
      </c>
      <c r="F1379" s="8">
        <v>0</v>
      </c>
      <c r="G1379" s="14" t="s">
        <v>2237</v>
      </c>
      <c r="H1379" s="16">
        <v>0</v>
      </c>
      <c r="I1379" s="14" t="s">
        <v>2237</v>
      </c>
      <c r="J1379" s="16">
        <v>0</v>
      </c>
      <c r="K1379" s="14" t="s">
        <v>2237</v>
      </c>
      <c r="L1379" s="16">
        <v>0</v>
      </c>
      <c r="M1379" s="14" t="s">
        <v>2237</v>
      </c>
      <c r="N1379" s="8">
        <v>9910.0400000000009</v>
      </c>
      <c r="O1379" s="14" t="s">
        <v>2237</v>
      </c>
      <c r="P1379" s="14" t="s">
        <v>2242</v>
      </c>
      <c r="Q1379" s="17" t="s">
        <v>2236</v>
      </c>
      <c r="R1379" s="17" t="s">
        <v>2238</v>
      </c>
      <c r="S1379" s="17" t="s">
        <v>2243</v>
      </c>
      <c r="T1379" s="17" t="s">
        <v>4139</v>
      </c>
      <c r="U137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7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7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E530-3020387-D235301</v>
      </c>
      <c r="X137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E530-302038707-D235301</v>
      </c>
      <c r="Y137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E530-30203870759-D235301</v>
      </c>
      <c r="Z137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79" s="10" t="str">
        <f>IF(IFERROR(INDEX(WBS_Dictionary!K$2:K$1212, MATCH(Table2[[#This Row],[WBS_ID]], Table26[WBS CODE],0)), "") = "", "null", IFERROR(INDEX(WBS_Dictionary!K$2:K$1212, MATCH(Table2[[#This Row],[WBS_ID]], Table26[WBS CODE],0)), ""))</f>
        <v>Tie-in</v>
      </c>
      <c r="AB1379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79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79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37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0" spans="1:31" hidden="1" x14ac:dyDescent="0.3">
      <c r="A1380" s="14" t="s">
        <v>2284</v>
      </c>
      <c r="B1380" s="14" t="s">
        <v>21</v>
      </c>
      <c r="C1380" s="14" t="s">
        <v>99</v>
      </c>
      <c r="D1380" s="14" t="s">
        <v>100</v>
      </c>
      <c r="E1380" s="14" t="s">
        <v>4136</v>
      </c>
      <c r="F1380" s="8">
        <v>501589.82</v>
      </c>
      <c r="G1380" s="14" t="s">
        <v>2237</v>
      </c>
      <c r="H1380" s="16">
        <v>501589.82</v>
      </c>
      <c r="I1380" s="14" t="s">
        <v>2237</v>
      </c>
      <c r="J1380" s="16">
        <v>0</v>
      </c>
      <c r="K1380" s="14" t="s">
        <v>2237</v>
      </c>
      <c r="L1380" s="16">
        <v>0</v>
      </c>
      <c r="M1380" s="14" t="s">
        <v>2237</v>
      </c>
      <c r="N1380" s="8">
        <v>477900.57</v>
      </c>
      <c r="O1380" s="14" t="s">
        <v>2237</v>
      </c>
      <c r="P1380" s="14" t="s">
        <v>2242</v>
      </c>
      <c r="Q1380" s="17" t="s">
        <v>2236</v>
      </c>
      <c r="R1380" s="17" t="s">
        <v>2238</v>
      </c>
      <c r="S1380" s="17" t="s">
        <v>2243</v>
      </c>
      <c r="T1380" s="17" t="s">
        <v>4137</v>
      </c>
      <c r="U138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8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0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80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1" spans="1:31" hidden="1" x14ac:dyDescent="0.3">
      <c r="A1381" s="14" t="s">
        <v>2285</v>
      </c>
      <c r="B1381" s="14" t="s">
        <v>26</v>
      </c>
      <c r="C1381" s="14" t="s">
        <v>102</v>
      </c>
      <c r="D1381" s="14" t="s">
        <v>103</v>
      </c>
      <c r="E1381" s="14" t="s">
        <v>4136</v>
      </c>
      <c r="F1381" s="8">
        <v>108309.13</v>
      </c>
      <c r="G1381" s="14" t="s">
        <v>2237</v>
      </c>
      <c r="H1381" s="16">
        <v>108309.13</v>
      </c>
      <c r="I1381" s="14" t="s">
        <v>2237</v>
      </c>
      <c r="J1381" s="16">
        <v>0</v>
      </c>
      <c r="K1381" s="14" t="s">
        <v>2237</v>
      </c>
      <c r="L1381" s="16">
        <v>0</v>
      </c>
      <c r="M1381" s="14" t="s">
        <v>2237</v>
      </c>
      <c r="N1381" s="8">
        <v>104400.71</v>
      </c>
      <c r="O1381" s="14" t="s">
        <v>2237</v>
      </c>
      <c r="P1381" s="14" t="s">
        <v>2242</v>
      </c>
      <c r="Q1381" s="17" t="s">
        <v>2236</v>
      </c>
      <c r="R1381" s="17" t="s">
        <v>2238</v>
      </c>
      <c r="S1381" s="17" t="s">
        <v>2243</v>
      </c>
      <c r="T1381" s="17" t="s">
        <v>4138</v>
      </c>
      <c r="U138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E530-302039409-D235301</v>
      </c>
      <c r="Y13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8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1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1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81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2" spans="1:31" hidden="1" x14ac:dyDescent="0.3">
      <c r="A1382" s="14" t="s">
        <v>2286</v>
      </c>
      <c r="B1382" s="14" t="s">
        <v>30</v>
      </c>
      <c r="C1382" s="14" t="s">
        <v>104</v>
      </c>
      <c r="D1382" s="14" t="s">
        <v>105</v>
      </c>
      <c r="E1382" s="14" t="s">
        <v>4136</v>
      </c>
      <c r="F1382" s="8">
        <v>0</v>
      </c>
      <c r="G1382" s="14" t="s">
        <v>2237</v>
      </c>
      <c r="H1382" s="16">
        <v>0</v>
      </c>
      <c r="I1382" s="14" t="s">
        <v>2237</v>
      </c>
      <c r="J1382" s="16">
        <v>0</v>
      </c>
      <c r="K1382" s="14" t="s">
        <v>2237</v>
      </c>
      <c r="L1382" s="16">
        <v>0</v>
      </c>
      <c r="M1382" s="14" t="s">
        <v>2237</v>
      </c>
      <c r="N1382" s="8">
        <v>104400.71</v>
      </c>
      <c r="O1382" s="14" t="s">
        <v>2237</v>
      </c>
      <c r="P1382" s="14" t="s">
        <v>2242</v>
      </c>
      <c r="Q1382" s="17" t="s">
        <v>2236</v>
      </c>
      <c r="R1382" s="17" t="s">
        <v>2238</v>
      </c>
      <c r="S1382" s="17" t="s">
        <v>2243</v>
      </c>
      <c r="T1382" s="17" t="s">
        <v>4139</v>
      </c>
      <c r="U138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E530-302039409-D235301</v>
      </c>
      <c r="Y138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E530-30203940962-D235301</v>
      </c>
      <c r="Z138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2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2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82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382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3" spans="1:31" hidden="1" x14ac:dyDescent="0.3">
      <c r="A1383" s="14" t="s">
        <v>2287</v>
      </c>
      <c r="B1383" s="14" t="s">
        <v>26</v>
      </c>
      <c r="C1383" s="14" t="s">
        <v>106</v>
      </c>
      <c r="D1383" s="14" t="s">
        <v>107</v>
      </c>
      <c r="E1383" s="14" t="s">
        <v>4136</v>
      </c>
      <c r="F1383" s="8">
        <v>383796.08</v>
      </c>
      <c r="G1383" s="14" t="s">
        <v>2237</v>
      </c>
      <c r="H1383" s="16">
        <v>383796.08</v>
      </c>
      <c r="I1383" s="14" t="s">
        <v>2237</v>
      </c>
      <c r="J1383" s="16">
        <v>0</v>
      </c>
      <c r="K1383" s="14" t="s">
        <v>2237</v>
      </c>
      <c r="L1383" s="16">
        <v>0</v>
      </c>
      <c r="M1383" s="14" t="s">
        <v>2237</v>
      </c>
      <c r="N1383" s="8">
        <v>364015.25</v>
      </c>
      <c r="O1383" s="14" t="s">
        <v>2237</v>
      </c>
      <c r="P1383" s="14" t="s">
        <v>2242</v>
      </c>
      <c r="Q1383" s="17" t="s">
        <v>2236</v>
      </c>
      <c r="R1383" s="17" t="s">
        <v>2238</v>
      </c>
      <c r="S1383" s="17" t="s">
        <v>2243</v>
      </c>
      <c r="T1383" s="17" t="s">
        <v>4138</v>
      </c>
      <c r="U13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E530-302039408-D235301</v>
      </c>
      <c r="Y13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8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3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83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4" spans="1:31" hidden="1" x14ac:dyDescent="0.3">
      <c r="A1384" s="14" t="s">
        <v>2288</v>
      </c>
      <c r="B1384" s="14" t="s">
        <v>30</v>
      </c>
      <c r="C1384" s="14" t="s">
        <v>108</v>
      </c>
      <c r="D1384" s="14" t="s">
        <v>109</v>
      </c>
      <c r="E1384" s="14" t="s">
        <v>4136</v>
      </c>
      <c r="F1384" s="8">
        <v>0</v>
      </c>
      <c r="G1384" s="14" t="s">
        <v>2237</v>
      </c>
      <c r="H1384" s="16">
        <v>0</v>
      </c>
      <c r="I1384" s="14" t="s">
        <v>2237</v>
      </c>
      <c r="J1384" s="16">
        <v>0</v>
      </c>
      <c r="K1384" s="14" t="s">
        <v>2237</v>
      </c>
      <c r="L1384" s="16">
        <v>0</v>
      </c>
      <c r="M1384" s="14" t="s">
        <v>2237</v>
      </c>
      <c r="N1384" s="8">
        <v>77870.02</v>
      </c>
      <c r="O1384" s="14" t="s">
        <v>2237</v>
      </c>
      <c r="P1384" s="14" t="s">
        <v>2242</v>
      </c>
      <c r="Q1384" s="17" t="s">
        <v>2236</v>
      </c>
      <c r="R1384" s="17" t="s">
        <v>2238</v>
      </c>
      <c r="S1384" s="17" t="s">
        <v>2243</v>
      </c>
      <c r="T1384" s="17" t="s">
        <v>4139</v>
      </c>
      <c r="U138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E530-302039408-D235301</v>
      </c>
      <c r="Y138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E530-30203940821-D235301</v>
      </c>
      <c r="Z138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4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4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84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84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5" spans="1:31" hidden="1" x14ac:dyDescent="0.3">
      <c r="A1385" s="14" t="s">
        <v>2289</v>
      </c>
      <c r="B1385" s="14" t="s">
        <v>30</v>
      </c>
      <c r="C1385" s="14" t="s">
        <v>110</v>
      </c>
      <c r="D1385" s="14" t="s">
        <v>111</v>
      </c>
      <c r="E1385" s="14" t="s">
        <v>4136</v>
      </c>
      <c r="F1385" s="8">
        <v>0</v>
      </c>
      <c r="G1385" s="14" t="s">
        <v>2237</v>
      </c>
      <c r="H1385" s="16">
        <v>0</v>
      </c>
      <c r="I1385" s="14" t="s">
        <v>2237</v>
      </c>
      <c r="J1385" s="16">
        <v>0</v>
      </c>
      <c r="K1385" s="14" t="s">
        <v>2237</v>
      </c>
      <c r="L1385" s="16">
        <v>0</v>
      </c>
      <c r="M1385" s="14" t="s">
        <v>2237</v>
      </c>
      <c r="N1385" s="8">
        <v>286145.23</v>
      </c>
      <c r="O1385" s="14" t="s">
        <v>2237</v>
      </c>
      <c r="P1385" s="14" t="s">
        <v>2242</v>
      </c>
      <c r="Q1385" s="17" t="s">
        <v>2236</v>
      </c>
      <c r="R1385" s="17" t="s">
        <v>2238</v>
      </c>
      <c r="S1385" s="17" t="s">
        <v>2243</v>
      </c>
      <c r="T1385" s="17" t="s">
        <v>4139</v>
      </c>
      <c r="U138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E530-302039408-D235301</v>
      </c>
      <c r="Y138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E530-30203940860-D235301</v>
      </c>
      <c r="Z138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5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85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85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6" spans="1:31" hidden="1" x14ac:dyDescent="0.3">
      <c r="A1386" s="14" t="s">
        <v>2290</v>
      </c>
      <c r="B1386" s="14" t="s">
        <v>26</v>
      </c>
      <c r="C1386" s="14" t="s">
        <v>112</v>
      </c>
      <c r="D1386" s="14" t="s">
        <v>113</v>
      </c>
      <c r="E1386" s="14" t="s">
        <v>4136</v>
      </c>
      <c r="F1386" s="8">
        <v>9484.61</v>
      </c>
      <c r="G1386" s="14" t="s">
        <v>2237</v>
      </c>
      <c r="H1386" s="16">
        <v>9484.61</v>
      </c>
      <c r="I1386" s="14" t="s">
        <v>2237</v>
      </c>
      <c r="J1386" s="16">
        <v>0</v>
      </c>
      <c r="K1386" s="14" t="s">
        <v>2237</v>
      </c>
      <c r="L1386" s="16">
        <v>0</v>
      </c>
      <c r="M1386" s="14" t="s">
        <v>2237</v>
      </c>
      <c r="N1386" s="8">
        <v>9484.61</v>
      </c>
      <c r="O1386" s="14" t="s">
        <v>2237</v>
      </c>
      <c r="P1386" s="14" t="s">
        <v>2242</v>
      </c>
      <c r="Q1386" s="17" t="s">
        <v>2236</v>
      </c>
      <c r="R1386" s="17" t="s">
        <v>2238</v>
      </c>
      <c r="S1386" s="17" t="s">
        <v>2243</v>
      </c>
      <c r="T1386" s="17" t="s">
        <v>4137</v>
      </c>
      <c r="U138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E530-302039407-D235301</v>
      </c>
      <c r="Y13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8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6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6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86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7" spans="1:31" hidden="1" x14ac:dyDescent="0.3">
      <c r="A1387" s="14" t="s">
        <v>2291</v>
      </c>
      <c r="B1387" s="14" t="s">
        <v>30</v>
      </c>
      <c r="C1387" s="14" t="s">
        <v>114</v>
      </c>
      <c r="D1387" s="14" t="s">
        <v>115</v>
      </c>
      <c r="E1387" s="14" t="s">
        <v>4136</v>
      </c>
      <c r="F1387" s="8">
        <v>0</v>
      </c>
      <c r="G1387" s="14" t="s">
        <v>2237</v>
      </c>
      <c r="H1387" s="16">
        <v>0</v>
      </c>
      <c r="I1387" s="14" t="s">
        <v>2237</v>
      </c>
      <c r="J1387" s="16">
        <v>0</v>
      </c>
      <c r="K1387" s="14" t="s">
        <v>2237</v>
      </c>
      <c r="L1387" s="16">
        <v>0</v>
      </c>
      <c r="M1387" s="14" t="s">
        <v>2237</v>
      </c>
      <c r="N1387" s="8">
        <v>9484.61</v>
      </c>
      <c r="O1387" s="14" t="s">
        <v>2237</v>
      </c>
      <c r="P1387" s="14" t="s">
        <v>2242</v>
      </c>
      <c r="Q1387" s="17" t="s">
        <v>2236</v>
      </c>
      <c r="R1387" s="17" t="s">
        <v>2238</v>
      </c>
      <c r="S1387" s="17" t="s">
        <v>2243</v>
      </c>
      <c r="T1387" s="17" t="s">
        <v>4139</v>
      </c>
      <c r="U138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E530-3020394-D235301</v>
      </c>
      <c r="X138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E530-302039407-D235301</v>
      </c>
      <c r="Y138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E530-30203940759-D235301</v>
      </c>
      <c r="Z138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7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7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87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87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38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8" spans="1:31" hidden="1" x14ac:dyDescent="0.3">
      <c r="A1388" s="14" t="s">
        <v>2292</v>
      </c>
      <c r="B1388" s="14" t="s">
        <v>21</v>
      </c>
      <c r="C1388" s="14" t="s">
        <v>116</v>
      </c>
      <c r="D1388" s="14" t="s">
        <v>117</v>
      </c>
      <c r="E1388" s="14" t="s">
        <v>4136</v>
      </c>
      <c r="F1388" s="8">
        <v>23584.92</v>
      </c>
      <c r="G1388" s="14" t="s">
        <v>2237</v>
      </c>
      <c r="H1388" s="16">
        <v>23584.92</v>
      </c>
      <c r="I1388" s="14" t="s">
        <v>2237</v>
      </c>
      <c r="J1388" s="16">
        <v>0</v>
      </c>
      <c r="K1388" s="14" t="s">
        <v>2237</v>
      </c>
      <c r="L1388" s="16">
        <v>0</v>
      </c>
      <c r="M1388" s="14" t="s">
        <v>2237</v>
      </c>
      <c r="N1388" s="8">
        <v>23242</v>
      </c>
      <c r="O1388" s="14" t="s">
        <v>2237</v>
      </c>
      <c r="P1388" s="14" t="s">
        <v>2242</v>
      </c>
      <c r="Q1388" s="17" t="s">
        <v>2236</v>
      </c>
      <c r="R1388" s="17" t="s">
        <v>2238</v>
      </c>
      <c r="S1388" s="17" t="s">
        <v>2243</v>
      </c>
      <c r="T1388" s="17" t="s">
        <v>4137</v>
      </c>
      <c r="U138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8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8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88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8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89" spans="1:31" hidden="1" x14ac:dyDescent="0.3">
      <c r="A1389" s="14" t="s">
        <v>2293</v>
      </c>
      <c r="B1389" s="14" t="s">
        <v>26</v>
      </c>
      <c r="C1389" s="14" t="s">
        <v>118</v>
      </c>
      <c r="D1389" s="14" t="s">
        <v>119</v>
      </c>
      <c r="E1389" s="14" t="s">
        <v>4136</v>
      </c>
      <c r="F1389" s="8">
        <v>0</v>
      </c>
      <c r="G1389" s="14" t="s">
        <v>2237</v>
      </c>
      <c r="H1389" s="16">
        <v>0</v>
      </c>
      <c r="I1389" s="14" t="s">
        <v>2237</v>
      </c>
      <c r="J1389" s="16">
        <v>0</v>
      </c>
      <c r="K1389" s="14" t="s">
        <v>2237</v>
      </c>
      <c r="L1389" s="16">
        <v>0</v>
      </c>
      <c r="M1389" s="14" t="s">
        <v>2237</v>
      </c>
      <c r="N1389" s="8">
        <v>0</v>
      </c>
      <c r="O1389" s="14" t="s">
        <v>2237</v>
      </c>
      <c r="P1389" s="14" t="s">
        <v>2242</v>
      </c>
      <c r="Q1389" s="17" t="s">
        <v>2236</v>
      </c>
      <c r="R1389" s="17" t="s">
        <v>2238</v>
      </c>
      <c r="S1389" s="17" t="s">
        <v>2243</v>
      </c>
      <c r="T1389" s="17" t="s">
        <v>4137</v>
      </c>
      <c r="U138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8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8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8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E530-302039309-D235301</v>
      </c>
      <c r="Y13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8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89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89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89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8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0" spans="1:31" hidden="1" x14ac:dyDescent="0.3">
      <c r="A1390" s="14" t="s">
        <v>2294</v>
      </c>
      <c r="B1390" s="14" t="s">
        <v>30</v>
      </c>
      <c r="C1390" s="14" t="s">
        <v>120</v>
      </c>
      <c r="D1390" s="14" t="s">
        <v>121</v>
      </c>
      <c r="E1390" s="14" t="s">
        <v>4136</v>
      </c>
      <c r="F1390" s="8">
        <v>0</v>
      </c>
      <c r="G1390" s="14" t="s">
        <v>2237</v>
      </c>
      <c r="H1390" s="16">
        <v>0</v>
      </c>
      <c r="I1390" s="14" t="s">
        <v>2237</v>
      </c>
      <c r="J1390" s="16">
        <v>0</v>
      </c>
      <c r="K1390" s="14" t="s">
        <v>2237</v>
      </c>
      <c r="L1390" s="16">
        <v>0</v>
      </c>
      <c r="M1390" s="14" t="s">
        <v>2237</v>
      </c>
      <c r="N1390" s="8">
        <v>0</v>
      </c>
      <c r="O1390" s="14" t="s">
        <v>2237</v>
      </c>
      <c r="P1390" s="14" t="s">
        <v>2242</v>
      </c>
      <c r="Q1390" s="17" t="s">
        <v>2236</v>
      </c>
      <c r="R1390" s="17" t="s">
        <v>2238</v>
      </c>
      <c r="S1390" s="17" t="s">
        <v>2243</v>
      </c>
      <c r="T1390" s="17" t="s">
        <v>4140</v>
      </c>
      <c r="U139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9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E530-302039309-D235301</v>
      </c>
      <c r="Y139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E530-30203930962-D235301</v>
      </c>
      <c r="Z139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0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90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390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9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1" spans="1:31" hidden="1" x14ac:dyDescent="0.3">
      <c r="A1391" s="14" t="s">
        <v>2295</v>
      </c>
      <c r="B1391" s="14" t="s">
        <v>26</v>
      </c>
      <c r="C1391" s="14" t="s">
        <v>122</v>
      </c>
      <c r="D1391" s="14" t="s">
        <v>123</v>
      </c>
      <c r="E1391" s="14" t="s">
        <v>4136</v>
      </c>
      <c r="F1391" s="8">
        <v>22493.06</v>
      </c>
      <c r="G1391" s="14" t="s">
        <v>2237</v>
      </c>
      <c r="H1391" s="16">
        <v>22493.06</v>
      </c>
      <c r="I1391" s="14" t="s">
        <v>2237</v>
      </c>
      <c r="J1391" s="16">
        <v>0</v>
      </c>
      <c r="K1391" s="14" t="s">
        <v>2237</v>
      </c>
      <c r="L1391" s="16">
        <v>0</v>
      </c>
      <c r="M1391" s="14" t="s">
        <v>2237</v>
      </c>
      <c r="N1391" s="8">
        <v>22150.14</v>
      </c>
      <c r="O1391" s="14" t="s">
        <v>2237</v>
      </c>
      <c r="P1391" s="14" t="s">
        <v>2242</v>
      </c>
      <c r="Q1391" s="17" t="s">
        <v>2236</v>
      </c>
      <c r="R1391" s="17" t="s">
        <v>2238</v>
      </c>
      <c r="S1391" s="17" t="s">
        <v>2243</v>
      </c>
      <c r="T1391" s="17" t="s">
        <v>4137</v>
      </c>
      <c r="U139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9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E530-302039308-D235301</v>
      </c>
      <c r="Y13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9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1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1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91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9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2" spans="1:31" hidden="1" x14ac:dyDescent="0.3">
      <c r="A1392" s="14" t="s">
        <v>2296</v>
      </c>
      <c r="B1392" s="14" t="s">
        <v>30</v>
      </c>
      <c r="C1392" s="14" t="s">
        <v>124</v>
      </c>
      <c r="D1392" s="14" t="s">
        <v>125</v>
      </c>
      <c r="E1392" s="14" t="s">
        <v>4136</v>
      </c>
      <c r="F1392" s="8">
        <v>0</v>
      </c>
      <c r="G1392" s="14" t="s">
        <v>2237</v>
      </c>
      <c r="H1392" s="16">
        <v>0</v>
      </c>
      <c r="I1392" s="14" t="s">
        <v>2237</v>
      </c>
      <c r="J1392" s="16">
        <v>0</v>
      </c>
      <c r="K1392" s="14" t="s">
        <v>2237</v>
      </c>
      <c r="L1392" s="16">
        <v>0</v>
      </c>
      <c r="M1392" s="14" t="s">
        <v>2237</v>
      </c>
      <c r="N1392" s="8">
        <v>1816.58</v>
      </c>
      <c r="O1392" s="14" t="s">
        <v>2237</v>
      </c>
      <c r="P1392" s="14" t="s">
        <v>2242</v>
      </c>
      <c r="Q1392" s="17" t="s">
        <v>2236</v>
      </c>
      <c r="R1392" s="17" t="s">
        <v>2238</v>
      </c>
      <c r="S1392" s="17" t="s">
        <v>2243</v>
      </c>
      <c r="T1392" s="17" t="s">
        <v>4139</v>
      </c>
      <c r="U139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9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E530-302039308-D235301</v>
      </c>
      <c r="Y139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E530-30203930821-D235301</v>
      </c>
      <c r="Z139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2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2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92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392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9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3" spans="1:31" hidden="1" x14ac:dyDescent="0.3">
      <c r="A1393" s="14" t="s">
        <v>2297</v>
      </c>
      <c r="B1393" s="14" t="s">
        <v>30</v>
      </c>
      <c r="C1393" s="14" t="s">
        <v>126</v>
      </c>
      <c r="D1393" s="14" t="s">
        <v>127</v>
      </c>
      <c r="E1393" s="14" t="s">
        <v>4136</v>
      </c>
      <c r="F1393" s="8">
        <v>0</v>
      </c>
      <c r="G1393" s="14" t="s">
        <v>2237</v>
      </c>
      <c r="H1393" s="16">
        <v>0</v>
      </c>
      <c r="I1393" s="14" t="s">
        <v>2237</v>
      </c>
      <c r="J1393" s="16">
        <v>0</v>
      </c>
      <c r="K1393" s="14" t="s">
        <v>2237</v>
      </c>
      <c r="L1393" s="16">
        <v>0</v>
      </c>
      <c r="M1393" s="14" t="s">
        <v>2237</v>
      </c>
      <c r="N1393" s="8">
        <v>20333.560000000001</v>
      </c>
      <c r="O1393" s="14" t="s">
        <v>2237</v>
      </c>
      <c r="P1393" s="14" t="s">
        <v>2242</v>
      </c>
      <c r="Q1393" s="17" t="s">
        <v>2236</v>
      </c>
      <c r="R1393" s="17" t="s">
        <v>2238</v>
      </c>
      <c r="S1393" s="17" t="s">
        <v>2243</v>
      </c>
      <c r="T1393" s="17" t="s">
        <v>4139</v>
      </c>
      <c r="U139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9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E530-302039308-D235301</v>
      </c>
      <c r="Y139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E530-30203930860-D235301</v>
      </c>
      <c r="Z139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3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93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393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9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4" spans="1:31" hidden="1" x14ac:dyDescent="0.3">
      <c r="A1394" s="14" t="s">
        <v>2298</v>
      </c>
      <c r="B1394" s="14" t="s">
        <v>26</v>
      </c>
      <c r="C1394" s="14" t="s">
        <v>128</v>
      </c>
      <c r="D1394" s="14" t="s">
        <v>129</v>
      </c>
      <c r="E1394" s="14" t="s">
        <v>4136</v>
      </c>
      <c r="F1394" s="8">
        <v>1091.8599999999999</v>
      </c>
      <c r="G1394" s="14" t="s">
        <v>2237</v>
      </c>
      <c r="H1394" s="16">
        <v>1091.8599999999999</v>
      </c>
      <c r="I1394" s="14" t="s">
        <v>2237</v>
      </c>
      <c r="J1394" s="16">
        <v>0</v>
      </c>
      <c r="K1394" s="14" t="s">
        <v>2237</v>
      </c>
      <c r="L1394" s="16">
        <v>0</v>
      </c>
      <c r="M1394" s="14" t="s">
        <v>2237</v>
      </c>
      <c r="N1394" s="8">
        <v>1091.8599999999999</v>
      </c>
      <c r="O1394" s="14" t="s">
        <v>2237</v>
      </c>
      <c r="P1394" s="14" t="s">
        <v>2242</v>
      </c>
      <c r="Q1394" s="17" t="s">
        <v>2236</v>
      </c>
      <c r="R1394" s="17" t="s">
        <v>2238</v>
      </c>
      <c r="S1394" s="17" t="s">
        <v>2243</v>
      </c>
      <c r="T1394" s="17" t="s">
        <v>4137</v>
      </c>
      <c r="U139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9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E530-302039307-D235301</v>
      </c>
      <c r="Y13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9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4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4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94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9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5" spans="1:31" hidden="1" x14ac:dyDescent="0.3">
      <c r="A1395" s="14" t="s">
        <v>2299</v>
      </c>
      <c r="B1395" s="14" t="s">
        <v>30</v>
      </c>
      <c r="C1395" s="14" t="s">
        <v>130</v>
      </c>
      <c r="D1395" s="14" t="s">
        <v>131</v>
      </c>
      <c r="E1395" s="14" t="s">
        <v>4136</v>
      </c>
      <c r="F1395" s="8">
        <v>0</v>
      </c>
      <c r="G1395" s="14" t="s">
        <v>2237</v>
      </c>
      <c r="H1395" s="16">
        <v>0</v>
      </c>
      <c r="I1395" s="14" t="s">
        <v>2237</v>
      </c>
      <c r="J1395" s="16">
        <v>0</v>
      </c>
      <c r="K1395" s="14" t="s">
        <v>2237</v>
      </c>
      <c r="L1395" s="16">
        <v>0</v>
      </c>
      <c r="M1395" s="14" t="s">
        <v>2237</v>
      </c>
      <c r="N1395" s="8">
        <v>1091.8599999999999</v>
      </c>
      <c r="O1395" s="14" t="s">
        <v>2237</v>
      </c>
      <c r="P1395" s="14" t="s">
        <v>2242</v>
      </c>
      <c r="Q1395" s="17" t="s">
        <v>2236</v>
      </c>
      <c r="R1395" s="17" t="s">
        <v>2238</v>
      </c>
      <c r="S1395" s="17" t="s">
        <v>2243</v>
      </c>
      <c r="T1395" s="17" t="s">
        <v>4139</v>
      </c>
      <c r="U139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E530-3020393-D235301</v>
      </c>
      <c r="X139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E530-302039307-D235301</v>
      </c>
      <c r="Y139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E530-30203930759-D235301</v>
      </c>
      <c r="Z139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5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5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395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395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39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6" spans="1:31" hidden="1" x14ac:dyDescent="0.3">
      <c r="A1396" s="14" t="s">
        <v>2300</v>
      </c>
      <c r="B1396" s="14" t="s">
        <v>21</v>
      </c>
      <c r="C1396" s="14" t="s">
        <v>132</v>
      </c>
      <c r="D1396" s="14" t="s">
        <v>133</v>
      </c>
      <c r="E1396" s="14" t="s">
        <v>4136</v>
      </c>
      <c r="F1396" s="8">
        <v>235361.4</v>
      </c>
      <c r="G1396" s="14" t="s">
        <v>2237</v>
      </c>
      <c r="H1396" s="16">
        <v>235361.4</v>
      </c>
      <c r="I1396" s="14" t="s">
        <v>2237</v>
      </c>
      <c r="J1396" s="16">
        <v>0</v>
      </c>
      <c r="K1396" s="14" t="s">
        <v>2237</v>
      </c>
      <c r="L1396" s="16">
        <v>0</v>
      </c>
      <c r="M1396" s="14" t="s">
        <v>2237</v>
      </c>
      <c r="N1396" s="8">
        <v>213472.23</v>
      </c>
      <c r="O1396" s="14" t="s">
        <v>2237</v>
      </c>
      <c r="P1396" s="14" t="s">
        <v>2242</v>
      </c>
      <c r="Q1396" s="17" t="s">
        <v>2236</v>
      </c>
      <c r="R1396" s="17" t="s">
        <v>2238</v>
      </c>
      <c r="S1396" s="17" t="s">
        <v>2243</v>
      </c>
      <c r="T1396" s="17" t="s">
        <v>4137</v>
      </c>
      <c r="U139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3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3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9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6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3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96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9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7" spans="1:31" hidden="1" x14ac:dyDescent="0.3">
      <c r="A1397" s="14" t="s">
        <v>2301</v>
      </c>
      <c r="B1397" s="14" t="s">
        <v>26</v>
      </c>
      <c r="C1397" s="14" t="s">
        <v>134</v>
      </c>
      <c r="D1397" s="14" t="s">
        <v>135</v>
      </c>
      <c r="E1397" s="14" t="s">
        <v>4136</v>
      </c>
      <c r="F1397" s="8">
        <v>20822.07</v>
      </c>
      <c r="G1397" s="14" t="s">
        <v>2237</v>
      </c>
      <c r="H1397" s="16">
        <v>20822.07</v>
      </c>
      <c r="I1397" s="14" t="s">
        <v>2237</v>
      </c>
      <c r="J1397" s="16">
        <v>0</v>
      </c>
      <c r="K1397" s="14" t="s">
        <v>2237</v>
      </c>
      <c r="L1397" s="16">
        <v>0</v>
      </c>
      <c r="M1397" s="14" t="s">
        <v>2237</v>
      </c>
      <c r="N1397" s="8">
        <v>18471.939999999999</v>
      </c>
      <c r="O1397" s="14" t="s">
        <v>2237</v>
      </c>
      <c r="P1397" s="14" t="s">
        <v>2242</v>
      </c>
      <c r="Q1397" s="17" t="s">
        <v>2236</v>
      </c>
      <c r="R1397" s="17" t="s">
        <v>2238</v>
      </c>
      <c r="S1397" s="17" t="s">
        <v>2243</v>
      </c>
      <c r="T1397" s="17" t="s">
        <v>4141</v>
      </c>
      <c r="U139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39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E530-302039209-D235301</v>
      </c>
      <c r="Y13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9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7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7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97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9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8" spans="1:31" hidden="1" x14ac:dyDescent="0.3">
      <c r="A1398" s="14" t="s">
        <v>2302</v>
      </c>
      <c r="B1398" s="14" t="s">
        <v>30</v>
      </c>
      <c r="C1398" s="14" t="s">
        <v>136</v>
      </c>
      <c r="D1398" s="14" t="s">
        <v>137</v>
      </c>
      <c r="E1398" s="14" t="s">
        <v>4136</v>
      </c>
      <c r="F1398" s="8">
        <v>0</v>
      </c>
      <c r="G1398" s="14" t="s">
        <v>2237</v>
      </c>
      <c r="H1398" s="16">
        <v>0</v>
      </c>
      <c r="I1398" s="14" t="s">
        <v>2237</v>
      </c>
      <c r="J1398" s="16">
        <v>0</v>
      </c>
      <c r="K1398" s="14" t="s">
        <v>2237</v>
      </c>
      <c r="L1398" s="16">
        <v>0</v>
      </c>
      <c r="M1398" s="14" t="s">
        <v>2237</v>
      </c>
      <c r="N1398" s="8">
        <v>18471.939999999999</v>
      </c>
      <c r="O1398" s="14" t="s">
        <v>2237</v>
      </c>
      <c r="P1398" s="14" t="s">
        <v>2242</v>
      </c>
      <c r="Q1398" s="17" t="s">
        <v>2236</v>
      </c>
      <c r="R1398" s="17" t="s">
        <v>2238</v>
      </c>
      <c r="S1398" s="17" t="s">
        <v>2243</v>
      </c>
      <c r="T1398" s="17" t="s">
        <v>4139</v>
      </c>
      <c r="U139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39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E530-302039209-D235301</v>
      </c>
      <c r="Y139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E530-30203920962-D235301</v>
      </c>
      <c r="Z139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8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8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398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398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9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399" spans="1:31" hidden="1" x14ac:dyDescent="0.3">
      <c r="A1399" s="14" t="s">
        <v>2303</v>
      </c>
      <c r="B1399" s="14" t="s">
        <v>26</v>
      </c>
      <c r="C1399" s="14" t="s">
        <v>138</v>
      </c>
      <c r="D1399" s="14" t="s">
        <v>139</v>
      </c>
      <c r="E1399" s="14" t="s">
        <v>4136</v>
      </c>
      <c r="F1399" s="8">
        <v>213428.72</v>
      </c>
      <c r="G1399" s="14" t="s">
        <v>2237</v>
      </c>
      <c r="H1399" s="16">
        <v>213428.72</v>
      </c>
      <c r="I1399" s="14" t="s">
        <v>2237</v>
      </c>
      <c r="J1399" s="16">
        <v>0</v>
      </c>
      <c r="K1399" s="14" t="s">
        <v>2237</v>
      </c>
      <c r="L1399" s="16">
        <v>0</v>
      </c>
      <c r="M1399" s="14" t="s">
        <v>2237</v>
      </c>
      <c r="N1399" s="8">
        <v>193889.68</v>
      </c>
      <c r="O1399" s="14" t="s">
        <v>2237</v>
      </c>
      <c r="P1399" s="14" t="s">
        <v>2242</v>
      </c>
      <c r="Q1399" s="17" t="s">
        <v>2236</v>
      </c>
      <c r="R1399" s="17" t="s">
        <v>2238</v>
      </c>
      <c r="S1399" s="17" t="s">
        <v>2243</v>
      </c>
      <c r="T1399" s="17" t="s">
        <v>4138</v>
      </c>
      <c r="U139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39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39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39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E530-302039208-D235301</v>
      </c>
      <c r="Y13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39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399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399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3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399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39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0" spans="1:31" hidden="1" x14ac:dyDescent="0.3">
      <c r="A1400" s="14" t="s">
        <v>2304</v>
      </c>
      <c r="B1400" s="14" t="s">
        <v>30</v>
      </c>
      <c r="C1400" s="14" t="s">
        <v>140</v>
      </c>
      <c r="D1400" s="14" t="s">
        <v>141</v>
      </c>
      <c r="E1400" s="14" t="s">
        <v>4136</v>
      </c>
      <c r="F1400" s="8">
        <v>0</v>
      </c>
      <c r="G1400" s="14" t="s">
        <v>2237</v>
      </c>
      <c r="H1400" s="16">
        <v>0</v>
      </c>
      <c r="I1400" s="14" t="s">
        <v>2237</v>
      </c>
      <c r="J1400" s="16">
        <v>0</v>
      </c>
      <c r="K1400" s="14" t="s">
        <v>2237</v>
      </c>
      <c r="L1400" s="16">
        <v>0</v>
      </c>
      <c r="M1400" s="14" t="s">
        <v>2237</v>
      </c>
      <c r="N1400" s="8">
        <v>35149.65</v>
      </c>
      <c r="O1400" s="14" t="s">
        <v>2237</v>
      </c>
      <c r="P1400" s="14" t="s">
        <v>2242</v>
      </c>
      <c r="Q1400" s="17" t="s">
        <v>2236</v>
      </c>
      <c r="R1400" s="17" t="s">
        <v>2238</v>
      </c>
      <c r="S1400" s="17" t="s">
        <v>2243</v>
      </c>
      <c r="T1400" s="17" t="s">
        <v>4139</v>
      </c>
      <c r="U140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40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E530-302039208-D235301</v>
      </c>
      <c r="Y140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E530-30203920821-D235301</v>
      </c>
      <c r="Z140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0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400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00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400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0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1" spans="1:31" hidden="1" x14ac:dyDescent="0.3">
      <c r="A1401" s="14" t="s">
        <v>2305</v>
      </c>
      <c r="B1401" s="14" t="s">
        <v>30</v>
      </c>
      <c r="C1401" s="14" t="s">
        <v>142</v>
      </c>
      <c r="D1401" s="14" t="s">
        <v>143</v>
      </c>
      <c r="E1401" s="14" t="s">
        <v>4136</v>
      </c>
      <c r="F1401" s="8">
        <v>0</v>
      </c>
      <c r="G1401" s="14" t="s">
        <v>2237</v>
      </c>
      <c r="H1401" s="16">
        <v>0</v>
      </c>
      <c r="I1401" s="14" t="s">
        <v>2237</v>
      </c>
      <c r="J1401" s="16">
        <v>0</v>
      </c>
      <c r="K1401" s="14" t="s">
        <v>2237</v>
      </c>
      <c r="L1401" s="16">
        <v>0</v>
      </c>
      <c r="M1401" s="14" t="s">
        <v>2237</v>
      </c>
      <c r="N1401" s="8">
        <v>158740.03</v>
      </c>
      <c r="O1401" s="14" t="s">
        <v>2237</v>
      </c>
      <c r="P1401" s="14" t="s">
        <v>2242</v>
      </c>
      <c r="Q1401" s="17" t="s">
        <v>2236</v>
      </c>
      <c r="R1401" s="17" t="s">
        <v>2238</v>
      </c>
      <c r="S1401" s="17" t="s">
        <v>2243</v>
      </c>
      <c r="T1401" s="17" t="s">
        <v>4139</v>
      </c>
      <c r="U140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40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E530-302039208-D235301</v>
      </c>
      <c r="Y140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E530-30203920860-D235301</v>
      </c>
      <c r="Z140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1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401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01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401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0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2" spans="1:31" hidden="1" x14ac:dyDescent="0.3">
      <c r="A1402" s="14" t="s">
        <v>2306</v>
      </c>
      <c r="B1402" s="14" t="s">
        <v>26</v>
      </c>
      <c r="C1402" s="14" t="s">
        <v>144</v>
      </c>
      <c r="D1402" s="14" t="s">
        <v>145</v>
      </c>
      <c r="E1402" s="14" t="s">
        <v>4136</v>
      </c>
      <c r="F1402" s="8">
        <v>1110.6099999999999</v>
      </c>
      <c r="G1402" s="14" t="s">
        <v>2237</v>
      </c>
      <c r="H1402" s="16">
        <v>1110.6099999999999</v>
      </c>
      <c r="I1402" s="14" t="s">
        <v>2237</v>
      </c>
      <c r="J1402" s="16">
        <v>0</v>
      </c>
      <c r="K1402" s="14" t="s">
        <v>2237</v>
      </c>
      <c r="L1402" s="16">
        <v>0</v>
      </c>
      <c r="M1402" s="14" t="s">
        <v>2237</v>
      </c>
      <c r="N1402" s="8">
        <v>1110.6099999999999</v>
      </c>
      <c r="O1402" s="14" t="s">
        <v>2237</v>
      </c>
      <c r="P1402" s="14" t="s">
        <v>2242</v>
      </c>
      <c r="Q1402" s="17" t="s">
        <v>2236</v>
      </c>
      <c r="R1402" s="17" t="s">
        <v>2238</v>
      </c>
      <c r="S1402" s="17" t="s">
        <v>2243</v>
      </c>
      <c r="T1402" s="17" t="s">
        <v>4137</v>
      </c>
      <c r="U140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40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E530-302039207-D235301</v>
      </c>
      <c r="Y14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0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2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402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02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0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3" spans="1:31" hidden="1" x14ac:dyDescent="0.3">
      <c r="A1403" s="14" t="s">
        <v>2307</v>
      </c>
      <c r="B1403" s="14" t="s">
        <v>30</v>
      </c>
      <c r="C1403" s="14" t="s">
        <v>146</v>
      </c>
      <c r="D1403" s="14" t="s">
        <v>147</v>
      </c>
      <c r="E1403" s="14" t="s">
        <v>4136</v>
      </c>
      <c r="F1403" s="8">
        <v>0</v>
      </c>
      <c r="G1403" s="14" t="s">
        <v>2237</v>
      </c>
      <c r="H1403" s="16">
        <v>0</v>
      </c>
      <c r="I1403" s="14" t="s">
        <v>2237</v>
      </c>
      <c r="J1403" s="16">
        <v>0</v>
      </c>
      <c r="K1403" s="14" t="s">
        <v>2237</v>
      </c>
      <c r="L1403" s="16">
        <v>0</v>
      </c>
      <c r="M1403" s="14" t="s">
        <v>2237</v>
      </c>
      <c r="N1403" s="8">
        <v>1110.6099999999999</v>
      </c>
      <c r="O1403" s="14" t="s">
        <v>2237</v>
      </c>
      <c r="P1403" s="14" t="s">
        <v>2242</v>
      </c>
      <c r="Q1403" s="17" t="s">
        <v>2236</v>
      </c>
      <c r="R1403" s="17" t="s">
        <v>2238</v>
      </c>
      <c r="S1403" s="17" t="s">
        <v>2243</v>
      </c>
      <c r="T1403" s="17" t="s">
        <v>4139</v>
      </c>
      <c r="U140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E530-3020392-D235301</v>
      </c>
      <c r="X140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E530-302039207-D235301</v>
      </c>
      <c r="Y140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E530-30203920759-D235301</v>
      </c>
      <c r="Z140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3" s="10" t="str">
        <f>IF(IFERROR(INDEX(WBS_Dictionary!K$2:K$1212, MATCH(Table2[[#This Row],[WBS_ID]], Table26[WBS CODE],0)), "") = "", "null", IFERROR(INDEX(WBS_Dictionary!K$2:K$1212, MATCH(Table2[[#This Row],[WBS_ID]], Table26[WBS CODE],0)), ""))</f>
        <v>Special Requirement Existing Pad</v>
      </c>
      <c r="AB1403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03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403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0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4" spans="1:31" hidden="1" x14ac:dyDescent="0.3">
      <c r="A1404" s="14" t="s">
        <v>2308</v>
      </c>
      <c r="B1404" s="14" t="s">
        <v>21</v>
      </c>
      <c r="C1404" s="14" t="s">
        <v>148</v>
      </c>
      <c r="D1404" s="14" t="s">
        <v>149</v>
      </c>
      <c r="E1404" s="14" t="s">
        <v>4136</v>
      </c>
      <c r="F1404" s="8">
        <v>1150338.48</v>
      </c>
      <c r="G1404" s="14" t="s">
        <v>2237</v>
      </c>
      <c r="H1404" s="16">
        <v>1150338.48</v>
      </c>
      <c r="I1404" s="14" t="s">
        <v>2237</v>
      </c>
      <c r="J1404" s="16">
        <v>0</v>
      </c>
      <c r="K1404" s="14" t="s">
        <v>2237</v>
      </c>
      <c r="L1404" s="16">
        <v>0</v>
      </c>
      <c r="M1404" s="14" t="s">
        <v>2237</v>
      </c>
      <c r="N1404" s="8">
        <v>1092995.6100000001</v>
      </c>
      <c r="O1404" s="14" t="s">
        <v>2237</v>
      </c>
      <c r="P1404" s="14" t="s">
        <v>2242</v>
      </c>
      <c r="Q1404" s="17" t="s">
        <v>2236</v>
      </c>
      <c r="R1404" s="17" t="s">
        <v>2238</v>
      </c>
      <c r="S1404" s="17" t="s">
        <v>2243</v>
      </c>
      <c r="T1404" s="17" t="s">
        <v>4137</v>
      </c>
      <c r="U140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0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04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0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5" spans="1:31" hidden="1" x14ac:dyDescent="0.3">
      <c r="A1405" s="14" t="s">
        <v>2309</v>
      </c>
      <c r="B1405" s="14" t="s">
        <v>26</v>
      </c>
      <c r="C1405" s="14" t="s">
        <v>151</v>
      </c>
      <c r="D1405" s="14" t="s">
        <v>152</v>
      </c>
      <c r="E1405" s="14" t="s">
        <v>4136</v>
      </c>
      <c r="F1405" s="8">
        <v>1056215.6000000001</v>
      </c>
      <c r="G1405" s="14" t="s">
        <v>2237</v>
      </c>
      <c r="H1405" s="16">
        <v>1056215.6000000001</v>
      </c>
      <c r="I1405" s="14" t="s">
        <v>2237</v>
      </c>
      <c r="J1405" s="16">
        <v>0</v>
      </c>
      <c r="K1405" s="14" t="s">
        <v>2237</v>
      </c>
      <c r="L1405" s="16">
        <v>0</v>
      </c>
      <c r="M1405" s="14" t="s">
        <v>2237</v>
      </c>
      <c r="N1405" s="8">
        <v>998367.29</v>
      </c>
      <c r="O1405" s="14" t="s">
        <v>2237</v>
      </c>
      <c r="P1405" s="14" t="s">
        <v>2242</v>
      </c>
      <c r="Q1405" s="17" t="s">
        <v>2236</v>
      </c>
      <c r="R1405" s="17" t="s">
        <v>2238</v>
      </c>
      <c r="S1405" s="17" t="s">
        <v>2243</v>
      </c>
      <c r="T1405" s="17" t="s">
        <v>4138</v>
      </c>
      <c r="U140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0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E530-302038609-D235301</v>
      </c>
      <c r="Y14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0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05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05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0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6" spans="1:31" hidden="1" x14ac:dyDescent="0.3">
      <c r="A1406" s="14" t="s">
        <v>2310</v>
      </c>
      <c r="B1406" s="14" t="s">
        <v>30</v>
      </c>
      <c r="C1406" s="14" t="s">
        <v>153</v>
      </c>
      <c r="D1406" s="14" t="s">
        <v>154</v>
      </c>
      <c r="E1406" s="14" t="s">
        <v>4136</v>
      </c>
      <c r="F1406" s="8">
        <v>0</v>
      </c>
      <c r="G1406" s="14" t="s">
        <v>2237</v>
      </c>
      <c r="H1406" s="16">
        <v>0</v>
      </c>
      <c r="I1406" s="14" t="s">
        <v>2237</v>
      </c>
      <c r="J1406" s="16">
        <v>0</v>
      </c>
      <c r="K1406" s="14" t="s">
        <v>2237</v>
      </c>
      <c r="L1406" s="16">
        <v>0</v>
      </c>
      <c r="M1406" s="14" t="s">
        <v>2237</v>
      </c>
      <c r="N1406" s="8">
        <v>998367.29</v>
      </c>
      <c r="O1406" s="14" t="s">
        <v>2237</v>
      </c>
      <c r="P1406" s="14" t="s">
        <v>2242</v>
      </c>
      <c r="Q1406" s="17" t="s">
        <v>2236</v>
      </c>
      <c r="R1406" s="17" t="s">
        <v>2238</v>
      </c>
      <c r="S1406" s="17" t="s">
        <v>2243</v>
      </c>
      <c r="T1406" s="17" t="s">
        <v>4139</v>
      </c>
      <c r="U140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0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E530-302038609-D235301</v>
      </c>
      <c r="Y1406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E530-30203860962-D235301</v>
      </c>
      <c r="Z140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6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06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06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406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0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7" spans="1:31" hidden="1" x14ac:dyDescent="0.3">
      <c r="A1407" s="14" t="s">
        <v>2311</v>
      </c>
      <c r="B1407" s="14" t="s">
        <v>26</v>
      </c>
      <c r="C1407" s="14" t="s">
        <v>155</v>
      </c>
      <c r="D1407" s="14" t="s">
        <v>156</v>
      </c>
      <c r="E1407" s="14" t="s">
        <v>4136</v>
      </c>
      <c r="F1407" s="8">
        <v>59491.44</v>
      </c>
      <c r="G1407" s="14" t="s">
        <v>2237</v>
      </c>
      <c r="H1407" s="16">
        <v>59491.44</v>
      </c>
      <c r="I1407" s="14" t="s">
        <v>2237</v>
      </c>
      <c r="J1407" s="16">
        <v>0</v>
      </c>
      <c r="K1407" s="14" t="s">
        <v>2237</v>
      </c>
      <c r="L1407" s="16">
        <v>0</v>
      </c>
      <c r="M1407" s="14" t="s">
        <v>2237</v>
      </c>
      <c r="N1407" s="8">
        <v>59491.44</v>
      </c>
      <c r="O1407" s="14" t="s">
        <v>2237</v>
      </c>
      <c r="P1407" s="14" t="s">
        <v>2242</v>
      </c>
      <c r="Q1407" s="17" t="s">
        <v>2236</v>
      </c>
      <c r="R1407" s="17" t="s">
        <v>2238</v>
      </c>
      <c r="S1407" s="17" t="s">
        <v>2243</v>
      </c>
      <c r="T1407" s="17" t="s">
        <v>4137</v>
      </c>
      <c r="U140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0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E530-302038608-D235301</v>
      </c>
      <c r="Y14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0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7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0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07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0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8" spans="1:31" hidden="1" x14ac:dyDescent="0.3">
      <c r="A1408" s="14" t="s">
        <v>2312</v>
      </c>
      <c r="B1408" s="14" t="s">
        <v>30</v>
      </c>
      <c r="C1408" s="14" t="s">
        <v>157</v>
      </c>
      <c r="D1408" s="14" t="s">
        <v>158</v>
      </c>
      <c r="E1408" s="14" t="s">
        <v>4136</v>
      </c>
      <c r="F1408" s="8">
        <v>0</v>
      </c>
      <c r="G1408" s="14" t="s">
        <v>2237</v>
      </c>
      <c r="H1408" s="16">
        <v>0</v>
      </c>
      <c r="I1408" s="14" t="s">
        <v>2237</v>
      </c>
      <c r="J1408" s="16">
        <v>0</v>
      </c>
      <c r="K1408" s="14" t="s">
        <v>2237</v>
      </c>
      <c r="L1408" s="16">
        <v>0</v>
      </c>
      <c r="M1408" s="14" t="s">
        <v>2237</v>
      </c>
      <c r="N1408" s="8">
        <v>59491.44</v>
      </c>
      <c r="O1408" s="14" t="s">
        <v>2237</v>
      </c>
      <c r="P1408" s="14" t="s">
        <v>2242</v>
      </c>
      <c r="Q1408" s="17" t="s">
        <v>2236</v>
      </c>
      <c r="R1408" s="17" t="s">
        <v>2238</v>
      </c>
      <c r="S1408" s="17" t="s">
        <v>2243</v>
      </c>
      <c r="T1408" s="17" t="s">
        <v>4139</v>
      </c>
      <c r="U140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0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E530-302038608-D235301</v>
      </c>
      <c r="Y140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E530-30203860821-D235301</v>
      </c>
      <c r="Z140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08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08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408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0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09" spans="1:31" hidden="1" x14ac:dyDescent="0.3">
      <c r="A1409" s="14" t="s">
        <v>2313</v>
      </c>
      <c r="B1409" s="14" t="s">
        <v>30</v>
      </c>
      <c r="C1409" s="14" t="s">
        <v>159</v>
      </c>
      <c r="D1409" s="14" t="s">
        <v>160</v>
      </c>
      <c r="E1409" s="14" t="s">
        <v>4136</v>
      </c>
      <c r="F1409" s="8">
        <v>0</v>
      </c>
      <c r="G1409" s="14" t="s">
        <v>2237</v>
      </c>
      <c r="H1409" s="16">
        <v>0</v>
      </c>
      <c r="I1409" s="14" t="s">
        <v>2237</v>
      </c>
      <c r="J1409" s="16">
        <v>0</v>
      </c>
      <c r="K1409" s="14" t="s">
        <v>2237</v>
      </c>
      <c r="L1409" s="16">
        <v>0</v>
      </c>
      <c r="M1409" s="14" t="s">
        <v>2237</v>
      </c>
      <c r="N1409" s="8">
        <v>0</v>
      </c>
      <c r="O1409" s="14" t="s">
        <v>2237</v>
      </c>
      <c r="P1409" s="14" t="s">
        <v>2242</v>
      </c>
      <c r="Q1409" s="17" t="s">
        <v>2236</v>
      </c>
      <c r="R1409" s="17" t="s">
        <v>2238</v>
      </c>
      <c r="S1409" s="17" t="s">
        <v>2243</v>
      </c>
      <c r="T1409" s="17" t="s">
        <v>4140</v>
      </c>
      <c r="U140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0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0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0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E530-302038608-D235301</v>
      </c>
      <c r="Y140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E530-30203860860-D235301</v>
      </c>
      <c r="Z140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0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09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09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409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0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0" spans="1:31" hidden="1" x14ac:dyDescent="0.3">
      <c r="A1410" s="14" t="s">
        <v>2314</v>
      </c>
      <c r="B1410" s="14" t="s">
        <v>26</v>
      </c>
      <c r="C1410" s="14" t="s">
        <v>161</v>
      </c>
      <c r="D1410" s="14" t="s">
        <v>162</v>
      </c>
      <c r="E1410" s="14" t="s">
        <v>4136</v>
      </c>
      <c r="F1410" s="8">
        <v>34631.440000000002</v>
      </c>
      <c r="G1410" s="14" t="s">
        <v>2237</v>
      </c>
      <c r="H1410" s="16">
        <v>34631.440000000002</v>
      </c>
      <c r="I1410" s="14" t="s">
        <v>2237</v>
      </c>
      <c r="J1410" s="16">
        <v>0</v>
      </c>
      <c r="K1410" s="14" t="s">
        <v>2237</v>
      </c>
      <c r="L1410" s="16">
        <v>0</v>
      </c>
      <c r="M1410" s="14" t="s">
        <v>2237</v>
      </c>
      <c r="N1410" s="8">
        <v>35136.879999999997</v>
      </c>
      <c r="O1410" s="14" t="s">
        <v>2237</v>
      </c>
      <c r="P1410" s="14" t="s">
        <v>2242</v>
      </c>
      <c r="Q1410" s="17" t="s">
        <v>2236</v>
      </c>
      <c r="R1410" s="17" t="s">
        <v>2238</v>
      </c>
      <c r="S1410" s="17" t="s">
        <v>2243</v>
      </c>
      <c r="T1410" s="17" t="s">
        <v>4138</v>
      </c>
      <c r="U141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1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E530-302038607-D235301</v>
      </c>
      <c r="Y14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1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0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10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1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1" spans="1:31" hidden="1" x14ac:dyDescent="0.3">
      <c r="A1411" s="14" t="s">
        <v>2315</v>
      </c>
      <c r="B1411" s="14" t="s">
        <v>30</v>
      </c>
      <c r="C1411" s="14" t="s">
        <v>163</v>
      </c>
      <c r="D1411" s="14" t="s">
        <v>164</v>
      </c>
      <c r="E1411" s="14" t="s">
        <v>4136</v>
      </c>
      <c r="F1411" s="8">
        <v>0</v>
      </c>
      <c r="G1411" s="14" t="s">
        <v>2237</v>
      </c>
      <c r="H1411" s="16">
        <v>0</v>
      </c>
      <c r="I1411" s="14" t="s">
        <v>2237</v>
      </c>
      <c r="J1411" s="16">
        <v>0</v>
      </c>
      <c r="K1411" s="14" t="s">
        <v>2237</v>
      </c>
      <c r="L1411" s="16">
        <v>0</v>
      </c>
      <c r="M1411" s="14" t="s">
        <v>2237</v>
      </c>
      <c r="N1411" s="8">
        <v>35136.879999999997</v>
      </c>
      <c r="O1411" s="14" t="s">
        <v>2237</v>
      </c>
      <c r="P1411" s="14" t="s">
        <v>2242</v>
      </c>
      <c r="Q1411" s="17" t="s">
        <v>2236</v>
      </c>
      <c r="R1411" s="17" t="s">
        <v>2238</v>
      </c>
      <c r="S1411" s="17" t="s">
        <v>2243</v>
      </c>
      <c r="T1411" s="17" t="s">
        <v>4139</v>
      </c>
      <c r="U141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E530-3020386-D235301</v>
      </c>
      <c r="X141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E530-302038607-D235301</v>
      </c>
      <c r="Y141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E530-30203860759-D235301</v>
      </c>
      <c r="Z141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1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11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411" s="10" t="str">
        <f>IF(IFERROR(INDEX(WBS_Dictionary!N$2:N$1212, MATCH(Table2[[#This Row],[WBS_ID]], Table26[WBS CODE],0)), "") = "", "null", IFERROR(INDEX(WBS_Dictionary!N$2:N$1212, MATCH(Table2[[#This Row],[WBS_ID]], Table26[WBS CODE],0)), ""))</f>
        <v>Pad 20</v>
      </c>
      <c r="AE141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2" spans="1:31" hidden="1" x14ac:dyDescent="0.3">
      <c r="A1412" s="14" t="s">
        <v>2316</v>
      </c>
      <c r="B1412" s="14" t="s">
        <v>21</v>
      </c>
      <c r="C1412" s="14" t="s">
        <v>165</v>
      </c>
      <c r="D1412" s="14" t="s">
        <v>166</v>
      </c>
      <c r="E1412" s="14" t="s">
        <v>4136</v>
      </c>
      <c r="F1412" s="8">
        <v>30967.38</v>
      </c>
      <c r="G1412" s="14" t="s">
        <v>2237</v>
      </c>
      <c r="H1412" s="16">
        <v>30967.38</v>
      </c>
      <c r="I1412" s="14" t="s">
        <v>2237</v>
      </c>
      <c r="J1412" s="16">
        <v>0</v>
      </c>
      <c r="K1412" s="14" t="s">
        <v>2237</v>
      </c>
      <c r="L1412" s="16">
        <v>0</v>
      </c>
      <c r="M1412" s="14" t="s">
        <v>2237</v>
      </c>
      <c r="N1412" s="8">
        <v>30967.38</v>
      </c>
      <c r="O1412" s="14" t="s">
        <v>2237</v>
      </c>
      <c r="P1412" s="14" t="s">
        <v>2242</v>
      </c>
      <c r="Q1412" s="17" t="s">
        <v>2236</v>
      </c>
      <c r="R1412" s="17" t="s">
        <v>2238</v>
      </c>
      <c r="S1412" s="17" t="s">
        <v>2243</v>
      </c>
      <c r="T1412" s="17" t="s">
        <v>4137</v>
      </c>
      <c r="U141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1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2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12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3" spans="1:31" hidden="1" x14ac:dyDescent="0.3">
      <c r="A1413" s="14" t="s">
        <v>2317</v>
      </c>
      <c r="B1413" s="14" t="s">
        <v>26</v>
      </c>
      <c r="C1413" s="14" t="s">
        <v>167</v>
      </c>
      <c r="D1413" s="14" t="s">
        <v>168</v>
      </c>
      <c r="E1413" s="14" t="s">
        <v>4136</v>
      </c>
      <c r="F1413" s="8">
        <v>0</v>
      </c>
      <c r="G1413" s="14" t="s">
        <v>2237</v>
      </c>
      <c r="H1413" s="16">
        <v>0</v>
      </c>
      <c r="I1413" s="14" t="s">
        <v>2237</v>
      </c>
      <c r="J1413" s="16">
        <v>0</v>
      </c>
      <c r="K1413" s="14" t="s">
        <v>2237</v>
      </c>
      <c r="L1413" s="16">
        <v>0</v>
      </c>
      <c r="M1413" s="14" t="s">
        <v>2237</v>
      </c>
      <c r="N1413" s="8">
        <v>0</v>
      </c>
      <c r="O1413" s="14" t="s">
        <v>2237</v>
      </c>
      <c r="P1413" s="14" t="s">
        <v>2242</v>
      </c>
      <c r="Q1413" s="17" t="s">
        <v>2236</v>
      </c>
      <c r="R1413" s="17" t="s">
        <v>2238</v>
      </c>
      <c r="S1413" s="17" t="s">
        <v>2243</v>
      </c>
      <c r="T1413" s="17" t="s">
        <v>4137</v>
      </c>
      <c r="U141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E530-302038509-D235301</v>
      </c>
      <c r="Y14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1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3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3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13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4" spans="1:31" hidden="1" x14ac:dyDescent="0.3">
      <c r="A1414" s="14" t="s">
        <v>2318</v>
      </c>
      <c r="B1414" s="14" t="s">
        <v>30</v>
      </c>
      <c r="C1414" s="14" t="s">
        <v>169</v>
      </c>
      <c r="D1414" s="14" t="s">
        <v>170</v>
      </c>
      <c r="E1414" s="14" t="s">
        <v>4136</v>
      </c>
      <c r="F1414" s="8">
        <v>0</v>
      </c>
      <c r="G1414" s="14" t="s">
        <v>2237</v>
      </c>
      <c r="H1414" s="16">
        <v>0</v>
      </c>
      <c r="I1414" s="14" t="s">
        <v>2237</v>
      </c>
      <c r="J1414" s="16">
        <v>0</v>
      </c>
      <c r="K1414" s="14" t="s">
        <v>2237</v>
      </c>
      <c r="L1414" s="16">
        <v>0</v>
      </c>
      <c r="M1414" s="14" t="s">
        <v>2237</v>
      </c>
      <c r="N1414" s="8">
        <v>0</v>
      </c>
      <c r="O1414" s="14" t="s">
        <v>2237</v>
      </c>
      <c r="P1414" s="14" t="s">
        <v>2242</v>
      </c>
      <c r="Q1414" s="17" t="s">
        <v>2236</v>
      </c>
      <c r="R1414" s="17" t="s">
        <v>2238</v>
      </c>
      <c r="S1414" s="17" t="s">
        <v>2243</v>
      </c>
      <c r="T1414" s="17" t="s">
        <v>4140</v>
      </c>
      <c r="U141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E530-302038509-D235301</v>
      </c>
      <c r="Y141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E530-30203850962-D235301</v>
      </c>
      <c r="Z141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4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14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414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5" spans="1:31" hidden="1" x14ac:dyDescent="0.3">
      <c r="A1415" s="14" t="s">
        <v>2319</v>
      </c>
      <c r="B1415" s="14" t="s">
        <v>26</v>
      </c>
      <c r="C1415" s="14" t="s">
        <v>171</v>
      </c>
      <c r="D1415" s="14" t="s">
        <v>172</v>
      </c>
      <c r="E1415" s="14" t="s">
        <v>4136</v>
      </c>
      <c r="F1415" s="8">
        <v>20537.78</v>
      </c>
      <c r="G1415" s="14" t="s">
        <v>2237</v>
      </c>
      <c r="H1415" s="16">
        <v>20537.78</v>
      </c>
      <c r="I1415" s="14" t="s">
        <v>2237</v>
      </c>
      <c r="J1415" s="16">
        <v>0</v>
      </c>
      <c r="K1415" s="14" t="s">
        <v>2237</v>
      </c>
      <c r="L1415" s="16">
        <v>0</v>
      </c>
      <c r="M1415" s="14" t="s">
        <v>2237</v>
      </c>
      <c r="N1415" s="8">
        <v>20537.78</v>
      </c>
      <c r="O1415" s="14" t="s">
        <v>2237</v>
      </c>
      <c r="P1415" s="14" t="s">
        <v>2242</v>
      </c>
      <c r="Q1415" s="17" t="s">
        <v>2236</v>
      </c>
      <c r="R1415" s="17" t="s">
        <v>2238</v>
      </c>
      <c r="S1415" s="17" t="s">
        <v>2243</v>
      </c>
      <c r="T1415" s="17" t="s">
        <v>4137</v>
      </c>
      <c r="U141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E530-302038508-D235301</v>
      </c>
      <c r="Y14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1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15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6" spans="1:31" hidden="1" x14ac:dyDescent="0.3">
      <c r="A1416" s="14" t="s">
        <v>2320</v>
      </c>
      <c r="B1416" s="14" t="s">
        <v>30</v>
      </c>
      <c r="C1416" s="14" t="s">
        <v>173</v>
      </c>
      <c r="D1416" s="14" t="s">
        <v>174</v>
      </c>
      <c r="E1416" s="14" t="s">
        <v>4136</v>
      </c>
      <c r="F1416" s="8">
        <v>0</v>
      </c>
      <c r="G1416" s="14" t="s">
        <v>2237</v>
      </c>
      <c r="H1416" s="16">
        <v>0</v>
      </c>
      <c r="I1416" s="14" t="s">
        <v>2237</v>
      </c>
      <c r="J1416" s="16">
        <v>0</v>
      </c>
      <c r="K1416" s="14" t="s">
        <v>2237</v>
      </c>
      <c r="L1416" s="16">
        <v>0</v>
      </c>
      <c r="M1416" s="14" t="s">
        <v>2237</v>
      </c>
      <c r="N1416" s="8">
        <v>20537.78</v>
      </c>
      <c r="O1416" s="14" t="s">
        <v>2237</v>
      </c>
      <c r="P1416" s="14" t="s">
        <v>2242</v>
      </c>
      <c r="Q1416" s="17" t="s">
        <v>2236</v>
      </c>
      <c r="R1416" s="17" t="s">
        <v>2238</v>
      </c>
      <c r="S1416" s="17" t="s">
        <v>2243</v>
      </c>
      <c r="T1416" s="17" t="s">
        <v>4139</v>
      </c>
      <c r="U141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E530-302038508-D235301</v>
      </c>
      <c r="Y1416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E530-30203850821-D235301</v>
      </c>
      <c r="Z141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6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6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16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416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7" spans="1:31" hidden="1" x14ac:dyDescent="0.3">
      <c r="A1417" s="14" t="s">
        <v>2321</v>
      </c>
      <c r="B1417" s="14" t="s">
        <v>30</v>
      </c>
      <c r="C1417" s="14" t="s">
        <v>175</v>
      </c>
      <c r="D1417" s="14" t="s">
        <v>176</v>
      </c>
      <c r="E1417" s="14" t="s">
        <v>4136</v>
      </c>
      <c r="F1417" s="8">
        <v>0</v>
      </c>
      <c r="G1417" s="14" t="s">
        <v>2237</v>
      </c>
      <c r="H1417" s="16">
        <v>0</v>
      </c>
      <c r="I1417" s="14" t="s">
        <v>2237</v>
      </c>
      <c r="J1417" s="16">
        <v>0</v>
      </c>
      <c r="K1417" s="14" t="s">
        <v>2237</v>
      </c>
      <c r="L1417" s="16">
        <v>0</v>
      </c>
      <c r="M1417" s="14" t="s">
        <v>2237</v>
      </c>
      <c r="N1417" s="8">
        <v>0</v>
      </c>
      <c r="O1417" s="14" t="s">
        <v>2237</v>
      </c>
      <c r="P1417" s="14" t="s">
        <v>2242</v>
      </c>
      <c r="Q1417" s="17" t="s">
        <v>2236</v>
      </c>
      <c r="R1417" s="17" t="s">
        <v>2238</v>
      </c>
      <c r="S1417" s="17" t="s">
        <v>2243</v>
      </c>
      <c r="T1417" s="17" t="s">
        <v>4140</v>
      </c>
      <c r="U14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E530-302038508-D235301</v>
      </c>
      <c r="Y141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E530-30203850860-D235301</v>
      </c>
      <c r="Z141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7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7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17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417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8" spans="1:31" hidden="1" x14ac:dyDescent="0.3">
      <c r="A1418" s="14" t="s">
        <v>2322</v>
      </c>
      <c r="B1418" s="14" t="s">
        <v>26</v>
      </c>
      <c r="C1418" s="14" t="s">
        <v>177</v>
      </c>
      <c r="D1418" s="14" t="s">
        <v>178</v>
      </c>
      <c r="E1418" s="14" t="s">
        <v>4136</v>
      </c>
      <c r="F1418" s="8">
        <v>10429.6</v>
      </c>
      <c r="G1418" s="14" t="s">
        <v>2237</v>
      </c>
      <c r="H1418" s="16">
        <v>10429.6</v>
      </c>
      <c r="I1418" s="14" t="s">
        <v>2237</v>
      </c>
      <c r="J1418" s="16">
        <v>0</v>
      </c>
      <c r="K1418" s="14" t="s">
        <v>2237</v>
      </c>
      <c r="L1418" s="16">
        <v>0</v>
      </c>
      <c r="M1418" s="14" t="s">
        <v>2237</v>
      </c>
      <c r="N1418" s="8">
        <v>10429.6</v>
      </c>
      <c r="O1418" s="14" t="s">
        <v>2237</v>
      </c>
      <c r="P1418" s="14" t="s">
        <v>2242</v>
      </c>
      <c r="Q1418" s="17" t="s">
        <v>2236</v>
      </c>
      <c r="R1418" s="17" t="s">
        <v>2238</v>
      </c>
      <c r="S1418" s="17" t="s">
        <v>2243</v>
      </c>
      <c r="T1418" s="17" t="s">
        <v>4137</v>
      </c>
      <c r="U14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E530-302038507-D235301</v>
      </c>
      <c r="Y14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1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8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18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19" spans="1:31" hidden="1" x14ac:dyDescent="0.3">
      <c r="A1419" s="14" t="s">
        <v>2323</v>
      </c>
      <c r="B1419" s="14" t="s">
        <v>30</v>
      </c>
      <c r="C1419" s="14" t="s">
        <v>179</v>
      </c>
      <c r="D1419" s="14" t="s">
        <v>180</v>
      </c>
      <c r="E1419" s="14" t="s">
        <v>4136</v>
      </c>
      <c r="F1419" s="8">
        <v>0</v>
      </c>
      <c r="G1419" s="14" t="s">
        <v>2237</v>
      </c>
      <c r="H1419" s="16">
        <v>0</v>
      </c>
      <c r="I1419" s="14" t="s">
        <v>2237</v>
      </c>
      <c r="J1419" s="16">
        <v>0</v>
      </c>
      <c r="K1419" s="14" t="s">
        <v>2237</v>
      </c>
      <c r="L1419" s="16">
        <v>0</v>
      </c>
      <c r="M1419" s="14" t="s">
        <v>2237</v>
      </c>
      <c r="N1419" s="8">
        <v>10429.6</v>
      </c>
      <c r="O1419" s="14" t="s">
        <v>2237</v>
      </c>
      <c r="P1419" s="14" t="s">
        <v>2242</v>
      </c>
      <c r="Q1419" s="17" t="s">
        <v>2236</v>
      </c>
      <c r="R1419" s="17" t="s">
        <v>2238</v>
      </c>
      <c r="S1419" s="17" t="s">
        <v>2243</v>
      </c>
      <c r="T1419" s="17" t="s">
        <v>4139</v>
      </c>
      <c r="U14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1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1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E530-3020385-D235301</v>
      </c>
      <c r="X141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E530-302038507-D235301</v>
      </c>
      <c r="Y141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E530-30203850759-D235301</v>
      </c>
      <c r="Z141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1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19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19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419" s="10" t="str">
        <f>IF(IFERROR(INDEX(WBS_Dictionary!N$2:N$1212, MATCH(Table2[[#This Row],[WBS_ID]], Table26[WBS CODE],0)), "") = "", "null", IFERROR(INDEX(WBS_Dictionary!N$2:N$1212, MATCH(Table2[[#This Row],[WBS_ID]], Table26[WBS CODE],0)), ""))</f>
        <v>Pad 14</v>
      </c>
      <c r="AE141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0" spans="1:31" hidden="1" x14ac:dyDescent="0.3">
      <c r="A1420" s="14" t="s">
        <v>2324</v>
      </c>
      <c r="B1420" s="14" t="s">
        <v>21</v>
      </c>
      <c r="C1420" s="14" t="s">
        <v>181</v>
      </c>
      <c r="D1420" s="14" t="s">
        <v>182</v>
      </c>
      <c r="E1420" s="14" t="s">
        <v>4136</v>
      </c>
      <c r="F1420" s="8">
        <v>309063.19</v>
      </c>
      <c r="G1420" s="14" t="s">
        <v>2237</v>
      </c>
      <c r="H1420" s="16">
        <v>309063.19</v>
      </c>
      <c r="I1420" s="14" t="s">
        <v>2237</v>
      </c>
      <c r="J1420" s="16">
        <v>0</v>
      </c>
      <c r="K1420" s="14" t="s">
        <v>2237</v>
      </c>
      <c r="L1420" s="16">
        <v>0</v>
      </c>
      <c r="M1420" s="14" t="s">
        <v>2237</v>
      </c>
      <c r="N1420" s="8">
        <v>304129</v>
      </c>
      <c r="O1420" s="14" t="s">
        <v>2237</v>
      </c>
      <c r="P1420" s="14" t="s">
        <v>2242</v>
      </c>
      <c r="Q1420" s="17" t="s">
        <v>2236</v>
      </c>
      <c r="R1420" s="17" t="s">
        <v>2238</v>
      </c>
      <c r="S1420" s="17" t="s">
        <v>2243</v>
      </c>
      <c r="T1420" s="17" t="s">
        <v>4137</v>
      </c>
      <c r="U14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2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20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1" spans="1:31" hidden="1" x14ac:dyDescent="0.3">
      <c r="A1421" s="14" t="s">
        <v>2325</v>
      </c>
      <c r="B1421" s="14" t="s">
        <v>26</v>
      </c>
      <c r="C1421" s="14" t="s">
        <v>183</v>
      </c>
      <c r="D1421" s="14" t="s">
        <v>184</v>
      </c>
      <c r="E1421" s="14" t="s">
        <v>4136</v>
      </c>
      <c r="F1421" s="8">
        <v>290683.57</v>
      </c>
      <c r="G1421" s="14" t="s">
        <v>2237</v>
      </c>
      <c r="H1421" s="16">
        <v>290683.57</v>
      </c>
      <c r="I1421" s="14" t="s">
        <v>2237</v>
      </c>
      <c r="J1421" s="16">
        <v>0</v>
      </c>
      <c r="K1421" s="14" t="s">
        <v>2237</v>
      </c>
      <c r="L1421" s="16">
        <v>0</v>
      </c>
      <c r="M1421" s="14" t="s">
        <v>2237</v>
      </c>
      <c r="N1421" s="8">
        <v>285749.38</v>
      </c>
      <c r="O1421" s="14" t="s">
        <v>2237</v>
      </c>
      <c r="P1421" s="14" t="s">
        <v>2242</v>
      </c>
      <c r="Q1421" s="17" t="s">
        <v>2236</v>
      </c>
      <c r="R1421" s="17" t="s">
        <v>2238</v>
      </c>
      <c r="S1421" s="17" t="s">
        <v>2243</v>
      </c>
      <c r="T1421" s="17" t="s">
        <v>4138</v>
      </c>
      <c r="U14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E530-302038409-D235301</v>
      </c>
      <c r="Y14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2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1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21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2" spans="1:31" hidden="1" x14ac:dyDescent="0.3">
      <c r="A1422" s="14" t="s">
        <v>2326</v>
      </c>
      <c r="B1422" s="14" t="s">
        <v>30</v>
      </c>
      <c r="C1422" s="14" t="s">
        <v>185</v>
      </c>
      <c r="D1422" s="14" t="s">
        <v>186</v>
      </c>
      <c r="E1422" s="14" t="s">
        <v>4136</v>
      </c>
      <c r="F1422" s="8">
        <v>0</v>
      </c>
      <c r="G1422" s="14" t="s">
        <v>2237</v>
      </c>
      <c r="H1422" s="16">
        <v>0</v>
      </c>
      <c r="I1422" s="14" t="s">
        <v>2237</v>
      </c>
      <c r="J1422" s="16">
        <v>0</v>
      </c>
      <c r="K1422" s="14" t="s">
        <v>2237</v>
      </c>
      <c r="L1422" s="16">
        <v>0</v>
      </c>
      <c r="M1422" s="14" t="s">
        <v>2237</v>
      </c>
      <c r="N1422" s="8">
        <v>285749.38</v>
      </c>
      <c r="O1422" s="14" t="s">
        <v>2237</v>
      </c>
      <c r="P1422" s="14" t="s">
        <v>2242</v>
      </c>
      <c r="Q1422" s="17" t="s">
        <v>2236</v>
      </c>
      <c r="R1422" s="17" t="s">
        <v>2238</v>
      </c>
      <c r="S1422" s="17" t="s">
        <v>2243</v>
      </c>
      <c r="T1422" s="17" t="s">
        <v>4139</v>
      </c>
      <c r="U14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E530-302038409-D235301</v>
      </c>
      <c r="Y142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E530-30203840962-D235301</v>
      </c>
      <c r="Z142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2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2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22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422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3" spans="1:31" hidden="1" x14ac:dyDescent="0.3">
      <c r="A1423" s="14" t="s">
        <v>2328</v>
      </c>
      <c r="B1423" s="14" t="s">
        <v>26</v>
      </c>
      <c r="C1423" s="14" t="s">
        <v>187</v>
      </c>
      <c r="D1423" s="14" t="s">
        <v>188</v>
      </c>
      <c r="E1423" s="14" t="s">
        <v>4136</v>
      </c>
      <c r="F1423" s="8">
        <v>13374.81</v>
      </c>
      <c r="G1423" s="14" t="s">
        <v>2237</v>
      </c>
      <c r="H1423" s="16">
        <v>13374.81</v>
      </c>
      <c r="I1423" s="14" t="s">
        <v>2237</v>
      </c>
      <c r="J1423" s="16">
        <v>0</v>
      </c>
      <c r="K1423" s="14" t="s">
        <v>2237</v>
      </c>
      <c r="L1423" s="16">
        <v>0</v>
      </c>
      <c r="M1423" s="14" t="s">
        <v>2237</v>
      </c>
      <c r="N1423" s="8">
        <v>13374.81</v>
      </c>
      <c r="O1423" s="14" t="s">
        <v>2237</v>
      </c>
      <c r="P1423" s="14" t="s">
        <v>2242</v>
      </c>
      <c r="Q1423" s="17" t="s">
        <v>2236</v>
      </c>
      <c r="R1423" s="17" t="s">
        <v>2238</v>
      </c>
      <c r="S1423" s="17" t="s">
        <v>2243</v>
      </c>
      <c r="T1423" s="17" t="s">
        <v>4137</v>
      </c>
      <c r="U14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E530-302038408-D235301</v>
      </c>
      <c r="Y14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2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3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23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4" spans="1:31" hidden="1" x14ac:dyDescent="0.3">
      <c r="A1424" s="14" t="s">
        <v>2329</v>
      </c>
      <c r="B1424" s="14" t="s">
        <v>30</v>
      </c>
      <c r="C1424" s="14" t="s">
        <v>189</v>
      </c>
      <c r="D1424" s="14" t="s">
        <v>190</v>
      </c>
      <c r="E1424" s="14" t="s">
        <v>4136</v>
      </c>
      <c r="F1424" s="8">
        <v>0</v>
      </c>
      <c r="G1424" s="14" t="s">
        <v>2237</v>
      </c>
      <c r="H1424" s="16">
        <v>0</v>
      </c>
      <c r="I1424" s="14" t="s">
        <v>2237</v>
      </c>
      <c r="J1424" s="16">
        <v>0</v>
      </c>
      <c r="K1424" s="14" t="s">
        <v>2237</v>
      </c>
      <c r="L1424" s="16">
        <v>0</v>
      </c>
      <c r="M1424" s="14" t="s">
        <v>2237</v>
      </c>
      <c r="N1424" s="8">
        <v>13374.81</v>
      </c>
      <c r="O1424" s="14" t="s">
        <v>2237</v>
      </c>
      <c r="P1424" s="14" t="s">
        <v>2242</v>
      </c>
      <c r="Q1424" s="17" t="s">
        <v>2236</v>
      </c>
      <c r="R1424" s="17" t="s">
        <v>2238</v>
      </c>
      <c r="S1424" s="17" t="s">
        <v>2243</v>
      </c>
      <c r="T1424" s="17" t="s">
        <v>4139</v>
      </c>
      <c r="U14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E530-302038408-D235301</v>
      </c>
      <c r="Y142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E530-30203840821-D235301</v>
      </c>
      <c r="Z142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4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24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424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5" spans="1:31" hidden="1" x14ac:dyDescent="0.3">
      <c r="A1425" s="14" t="s">
        <v>2330</v>
      </c>
      <c r="B1425" s="14" t="s">
        <v>30</v>
      </c>
      <c r="C1425" s="14" t="s">
        <v>191</v>
      </c>
      <c r="D1425" s="14" t="s">
        <v>192</v>
      </c>
      <c r="E1425" s="14" t="s">
        <v>4136</v>
      </c>
      <c r="F1425" s="8">
        <v>0</v>
      </c>
      <c r="G1425" s="14" t="s">
        <v>2237</v>
      </c>
      <c r="H1425" s="16">
        <v>0</v>
      </c>
      <c r="I1425" s="14" t="s">
        <v>2237</v>
      </c>
      <c r="J1425" s="16">
        <v>0</v>
      </c>
      <c r="K1425" s="14" t="s">
        <v>2237</v>
      </c>
      <c r="L1425" s="16">
        <v>0</v>
      </c>
      <c r="M1425" s="14" t="s">
        <v>2237</v>
      </c>
      <c r="N1425" s="8">
        <v>0</v>
      </c>
      <c r="O1425" s="14" t="s">
        <v>2237</v>
      </c>
      <c r="P1425" s="14" t="s">
        <v>2242</v>
      </c>
      <c r="Q1425" s="17" t="s">
        <v>2236</v>
      </c>
      <c r="R1425" s="17" t="s">
        <v>2238</v>
      </c>
      <c r="S1425" s="17" t="s">
        <v>2243</v>
      </c>
      <c r="T1425" s="17" t="s">
        <v>4140</v>
      </c>
      <c r="U14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E530-302038408-D235301</v>
      </c>
      <c r="Y142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E530-30203840860-D235301</v>
      </c>
      <c r="Z142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5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25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425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6" spans="1:31" hidden="1" x14ac:dyDescent="0.3">
      <c r="A1426" s="14" t="s">
        <v>2331</v>
      </c>
      <c r="B1426" s="14" t="s">
        <v>26</v>
      </c>
      <c r="C1426" s="14" t="s">
        <v>193</v>
      </c>
      <c r="D1426" s="14" t="s">
        <v>194</v>
      </c>
      <c r="E1426" s="14" t="s">
        <v>4136</v>
      </c>
      <c r="F1426" s="8">
        <v>5004.8100000000004</v>
      </c>
      <c r="G1426" s="14" t="s">
        <v>2237</v>
      </c>
      <c r="H1426" s="16">
        <v>5004.8100000000004</v>
      </c>
      <c r="I1426" s="14" t="s">
        <v>2237</v>
      </c>
      <c r="J1426" s="16">
        <v>0</v>
      </c>
      <c r="K1426" s="14" t="s">
        <v>2237</v>
      </c>
      <c r="L1426" s="16">
        <v>0</v>
      </c>
      <c r="M1426" s="14" t="s">
        <v>2237</v>
      </c>
      <c r="N1426" s="8">
        <v>5004.8100000000004</v>
      </c>
      <c r="O1426" s="14" t="s">
        <v>2237</v>
      </c>
      <c r="P1426" s="14" t="s">
        <v>2242</v>
      </c>
      <c r="Q1426" s="17" t="s">
        <v>2236</v>
      </c>
      <c r="R1426" s="17" t="s">
        <v>2238</v>
      </c>
      <c r="S1426" s="17" t="s">
        <v>2243</v>
      </c>
      <c r="T1426" s="17" t="s">
        <v>4137</v>
      </c>
      <c r="U14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E530-302038407-D235301</v>
      </c>
      <c r="Y14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2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6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6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26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6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7" spans="1:31" hidden="1" x14ac:dyDescent="0.3">
      <c r="A1427" s="14" t="s">
        <v>2332</v>
      </c>
      <c r="B1427" s="14" t="s">
        <v>30</v>
      </c>
      <c r="C1427" s="14" t="s">
        <v>195</v>
      </c>
      <c r="D1427" s="14" t="s">
        <v>196</v>
      </c>
      <c r="E1427" s="14" t="s">
        <v>4136</v>
      </c>
      <c r="F1427" s="8">
        <v>0</v>
      </c>
      <c r="G1427" s="14" t="s">
        <v>2237</v>
      </c>
      <c r="H1427" s="16">
        <v>0</v>
      </c>
      <c r="I1427" s="14" t="s">
        <v>2237</v>
      </c>
      <c r="J1427" s="16">
        <v>0</v>
      </c>
      <c r="K1427" s="14" t="s">
        <v>2237</v>
      </c>
      <c r="L1427" s="16">
        <v>0</v>
      </c>
      <c r="M1427" s="14" t="s">
        <v>2237</v>
      </c>
      <c r="N1427" s="8">
        <v>5004.8100000000004</v>
      </c>
      <c r="O1427" s="14" t="s">
        <v>2237</v>
      </c>
      <c r="P1427" s="14" t="s">
        <v>2242</v>
      </c>
      <c r="Q1427" s="17" t="s">
        <v>2236</v>
      </c>
      <c r="R1427" s="17" t="s">
        <v>2238</v>
      </c>
      <c r="S1427" s="17" t="s">
        <v>2243</v>
      </c>
      <c r="T1427" s="17" t="s">
        <v>4139</v>
      </c>
      <c r="U14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E530-3020384-D235301</v>
      </c>
      <c r="X142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E530-302038407-D235301</v>
      </c>
      <c r="Y142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E530-30203840759-D235301</v>
      </c>
      <c r="Z142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7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7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27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427" s="10" t="str">
        <f>IF(IFERROR(INDEX(WBS_Dictionary!N$2:N$1212, MATCH(Table2[[#This Row],[WBS_ID]], Table26[WBS CODE],0)), "") = "", "null", IFERROR(INDEX(WBS_Dictionary!N$2:N$1212, MATCH(Table2[[#This Row],[WBS_ID]], Table26[WBS CODE],0)), ""))</f>
        <v>Pad 18</v>
      </c>
      <c r="AE1427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8" spans="1:31" hidden="1" x14ac:dyDescent="0.3">
      <c r="A1428" s="14" t="s">
        <v>2333</v>
      </c>
      <c r="B1428" s="14" t="s">
        <v>21</v>
      </c>
      <c r="C1428" s="14" t="s">
        <v>197</v>
      </c>
      <c r="D1428" s="14" t="s">
        <v>198</v>
      </c>
      <c r="E1428" s="14" t="s">
        <v>4136</v>
      </c>
      <c r="F1428" s="8">
        <v>253371.69</v>
      </c>
      <c r="G1428" s="14" t="s">
        <v>2237</v>
      </c>
      <c r="H1428" s="16">
        <v>253371.69</v>
      </c>
      <c r="I1428" s="14" t="s">
        <v>2237</v>
      </c>
      <c r="J1428" s="16">
        <v>0</v>
      </c>
      <c r="K1428" s="14" t="s">
        <v>2237</v>
      </c>
      <c r="L1428" s="16">
        <v>0</v>
      </c>
      <c r="M1428" s="14" t="s">
        <v>2237</v>
      </c>
      <c r="N1428" s="8">
        <v>248516.89</v>
      </c>
      <c r="O1428" s="14" t="s">
        <v>2237</v>
      </c>
      <c r="P1428" s="14" t="s">
        <v>2242</v>
      </c>
      <c r="Q1428" s="17" t="s">
        <v>2236</v>
      </c>
      <c r="R1428" s="17" t="s">
        <v>2238</v>
      </c>
      <c r="S1428" s="17" t="s">
        <v>2243</v>
      </c>
      <c r="T1428" s="17" t="s">
        <v>4137</v>
      </c>
      <c r="U14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2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8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28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28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29" spans="1:31" hidden="1" x14ac:dyDescent="0.3">
      <c r="A1429" s="14" t="s">
        <v>2334</v>
      </c>
      <c r="B1429" s="14" t="s">
        <v>26</v>
      </c>
      <c r="C1429" s="14" t="s">
        <v>199</v>
      </c>
      <c r="D1429" s="14" t="s">
        <v>200</v>
      </c>
      <c r="E1429" s="14" t="s">
        <v>4136</v>
      </c>
      <c r="F1429" s="8">
        <v>235042.65</v>
      </c>
      <c r="G1429" s="14" t="s">
        <v>2237</v>
      </c>
      <c r="H1429" s="16">
        <v>235042.65</v>
      </c>
      <c r="I1429" s="14" t="s">
        <v>2237</v>
      </c>
      <c r="J1429" s="16">
        <v>0</v>
      </c>
      <c r="K1429" s="14" t="s">
        <v>2237</v>
      </c>
      <c r="L1429" s="16">
        <v>0</v>
      </c>
      <c r="M1429" s="14" t="s">
        <v>2237</v>
      </c>
      <c r="N1429" s="8">
        <v>230187.85</v>
      </c>
      <c r="O1429" s="14" t="s">
        <v>2237</v>
      </c>
      <c r="P1429" s="14" t="s">
        <v>2242</v>
      </c>
      <c r="Q1429" s="17" t="s">
        <v>2236</v>
      </c>
      <c r="R1429" s="17" t="s">
        <v>2238</v>
      </c>
      <c r="S1429" s="17" t="s">
        <v>2243</v>
      </c>
      <c r="T1429" s="17" t="s">
        <v>4137</v>
      </c>
      <c r="U14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2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2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2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E530-302038309-D235301</v>
      </c>
      <c r="Y14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2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29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29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29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29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30" spans="1:31" hidden="1" x14ac:dyDescent="0.3">
      <c r="A1430" s="14" t="s">
        <v>2335</v>
      </c>
      <c r="B1430" s="14" t="s">
        <v>30</v>
      </c>
      <c r="C1430" s="14" t="s">
        <v>201</v>
      </c>
      <c r="D1430" s="14" t="s">
        <v>202</v>
      </c>
      <c r="E1430" s="14" t="s">
        <v>4136</v>
      </c>
      <c r="F1430" s="8">
        <v>0</v>
      </c>
      <c r="G1430" s="14" t="s">
        <v>2237</v>
      </c>
      <c r="H1430" s="16">
        <v>0</v>
      </c>
      <c r="I1430" s="14" t="s">
        <v>2237</v>
      </c>
      <c r="J1430" s="16">
        <v>0</v>
      </c>
      <c r="K1430" s="14" t="s">
        <v>2237</v>
      </c>
      <c r="L1430" s="16">
        <v>0</v>
      </c>
      <c r="M1430" s="14" t="s">
        <v>2237</v>
      </c>
      <c r="N1430" s="8">
        <v>230187.85</v>
      </c>
      <c r="O1430" s="14" t="s">
        <v>2237</v>
      </c>
      <c r="P1430" s="14" t="s">
        <v>2242</v>
      </c>
      <c r="Q1430" s="17" t="s">
        <v>2236</v>
      </c>
      <c r="R1430" s="17" t="s">
        <v>2238</v>
      </c>
      <c r="S1430" s="17" t="s">
        <v>2243</v>
      </c>
      <c r="T1430" s="17" t="s">
        <v>4139</v>
      </c>
      <c r="U14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3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E530-302038309-D235301</v>
      </c>
      <c r="Y143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E530-30203830962-D235301</v>
      </c>
      <c r="Z143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0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30" s="10" t="str">
        <f>IF(IFERROR(INDEX(WBS_Dictionary!L$2:L$1212, MATCH(Table2[[#This Row],[WBS_ID]], Table26[WBS CODE],0)), "") = "", "null", IFERROR(INDEX(WBS_Dictionary!L$2:L$1212, MATCH(Table2[[#This Row],[WBS_ID]], Table26[WBS CODE],0)), ""))</f>
        <v>Construction</v>
      </c>
      <c r="AC1430" s="10" t="str">
        <f>IF(IFERROR(INDEX(WBS_Dictionary!M$2:M$1212, MATCH(Table2[[#This Row],[WBS_ID]], Table26[WBS CODE],0)), "") = "", "null", IFERROR(INDEX(WBS_Dictionary!M$2:M$1212, MATCH(Table2[[#This Row],[WBS_ID]], Table26[WBS CODE],0)), ""))</f>
        <v>Construction</v>
      </c>
      <c r="AD1430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30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31" spans="1:31" hidden="1" x14ac:dyDescent="0.3">
      <c r="A1431" s="14" t="s">
        <v>2336</v>
      </c>
      <c r="B1431" s="14" t="s">
        <v>26</v>
      </c>
      <c r="C1431" s="14" t="s">
        <v>203</v>
      </c>
      <c r="D1431" s="14" t="s">
        <v>204</v>
      </c>
      <c r="E1431" s="14" t="s">
        <v>4136</v>
      </c>
      <c r="F1431" s="8">
        <v>13374.81</v>
      </c>
      <c r="G1431" s="14" t="s">
        <v>2237</v>
      </c>
      <c r="H1431" s="16">
        <v>13374.81</v>
      </c>
      <c r="I1431" s="14" t="s">
        <v>2237</v>
      </c>
      <c r="J1431" s="16">
        <v>0</v>
      </c>
      <c r="K1431" s="14" t="s">
        <v>2237</v>
      </c>
      <c r="L1431" s="16">
        <v>0</v>
      </c>
      <c r="M1431" s="14" t="s">
        <v>2237</v>
      </c>
      <c r="N1431" s="8">
        <v>13374.81</v>
      </c>
      <c r="O1431" s="14" t="s">
        <v>2237</v>
      </c>
      <c r="P1431" s="14" t="s">
        <v>2242</v>
      </c>
      <c r="Q1431" s="17" t="s">
        <v>2236</v>
      </c>
      <c r="R1431" s="17" t="s">
        <v>2238</v>
      </c>
      <c r="S1431" s="17" t="s">
        <v>2243</v>
      </c>
      <c r="T1431" s="17" t="s">
        <v>4137</v>
      </c>
      <c r="U14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3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E530-302038308-D235301</v>
      </c>
      <c r="Y14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3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1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31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31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31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32" spans="1:31" hidden="1" x14ac:dyDescent="0.3">
      <c r="A1432" s="14" t="s">
        <v>2337</v>
      </c>
      <c r="B1432" s="14" t="s">
        <v>30</v>
      </c>
      <c r="C1432" s="14" t="s">
        <v>205</v>
      </c>
      <c r="D1432" s="14" t="s">
        <v>206</v>
      </c>
      <c r="E1432" s="14" t="s">
        <v>4136</v>
      </c>
      <c r="F1432" s="8">
        <v>0</v>
      </c>
      <c r="G1432" s="14" t="s">
        <v>2237</v>
      </c>
      <c r="H1432" s="16">
        <v>0</v>
      </c>
      <c r="I1432" s="14" t="s">
        <v>2237</v>
      </c>
      <c r="J1432" s="16">
        <v>0</v>
      </c>
      <c r="K1432" s="14" t="s">
        <v>2237</v>
      </c>
      <c r="L1432" s="16">
        <v>0</v>
      </c>
      <c r="M1432" s="14" t="s">
        <v>2237</v>
      </c>
      <c r="N1432" s="8">
        <v>13374.81</v>
      </c>
      <c r="O1432" s="14" t="s">
        <v>2237</v>
      </c>
      <c r="P1432" s="14" t="s">
        <v>2242</v>
      </c>
      <c r="Q1432" s="17" t="s">
        <v>2236</v>
      </c>
      <c r="R1432" s="17" t="s">
        <v>2238</v>
      </c>
      <c r="S1432" s="17" t="s">
        <v>2243</v>
      </c>
      <c r="T1432" s="17" t="s">
        <v>4139</v>
      </c>
      <c r="U14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3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E530-302038308-D235301</v>
      </c>
      <c r="Y143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E530-30203830821-D235301</v>
      </c>
      <c r="Z143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2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32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32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Non LL</v>
      </c>
      <c r="AD1432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32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33" spans="1:31" hidden="1" x14ac:dyDescent="0.3">
      <c r="A1433" s="14" t="s">
        <v>2338</v>
      </c>
      <c r="B1433" s="14" t="s">
        <v>30</v>
      </c>
      <c r="C1433" s="14" t="s">
        <v>207</v>
      </c>
      <c r="D1433" s="14" t="s">
        <v>208</v>
      </c>
      <c r="E1433" s="14" t="s">
        <v>4136</v>
      </c>
      <c r="F1433" s="8">
        <v>0</v>
      </c>
      <c r="G1433" s="14" t="s">
        <v>2237</v>
      </c>
      <c r="H1433" s="16">
        <v>0</v>
      </c>
      <c r="I1433" s="14" t="s">
        <v>2237</v>
      </c>
      <c r="J1433" s="16">
        <v>0</v>
      </c>
      <c r="K1433" s="14" t="s">
        <v>2237</v>
      </c>
      <c r="L1433" s="16">
        <v>0</v>
      </c>
      <c r="M1433" s="14" t="s">
        <v>2237</v>
      </c>
      <c r="N1433" s="8">
        <v>0</v>
      </c>
      <c r="O1433" s="14" t="s">
        <v>2237</v>
      </c>
      <c r="P1433" s="14" t="s">
        <v>2242</v>
      </c>
      <c r="Q1433" s="17" t="s">
        <v>2236</v>
      </c>
      <c r="R1433" s="17" t="s">
        <v>2238</v>
      </c>
      <c r="S1433" s="17" t="s">
        <v>2243</v>
      </c>
      <c r="T1433" s="17" t="s">
        <v>4140</v>
      </c>
      <c r="U14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3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E530-302038308-D235301</v>
      </c>
      <c r="Y143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E530-30203830860-D235301</v>
      </c>
      <c r="Z143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3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33" s="10" t="str">
        <f>IF(IFERROR(INDEX(WBS_Dictionary!L$2:L$1212, MATCH(Table2[[#This Row],[WBS_ID]], Table26[WBS CODE],0)), "") = "", "null", IFERROR(INDEX(WBS_Dictionary!L$2:L$1212, MATCH(Table2[[#This Row],[WBS_ID]], Table26[WBS CODE],0)), ""))</f>
        <v>Procurement</v>
      </c>
      <c r="AC1433" s="10" t="str">
        <f>IF(IFERROR(INDEX(WBS_Dictionary!M$2:M$1212, MATCH(Table2[[#This Row],[WBS_ID]], Table26[WBS CODE],0)), "") = "", "null", IFERROR(INDEX(WBS_Dictionary!M$2:M$1212, MATCH(Table2[[#This Row],[WBS_ID]], Table26[WBS CODE],0)), ""))</f>
        <v>Material - LL</v>
      </c>
      <c r="AD1433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33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34" spans="1:31" hidden="1" x14ac:dyDescent="0.3">
      <c r="A1434" s="14" t="s">
        <v>2339</v>
      </c>
      <c r="B1434" s="14" t="s">
        <v>26</v>
      </c>
      <c r="C1434" s="14" t="s">
        <v>209</v>
      </c>
      <c r="D1434" s="14" t="s">
        <v>210</v>
      </c>
      <c r="E1434" s="14" t="s">
        <v>4136</v>
      </c>
      <c r="F1434" s="8">
        <v>4954.2299999999996</v>
      </c>
      <c r="G1434" s="14" t="s">
        <v>2237</v>
      </c>
      <c r="H1434" s="16">
        <v>4954.2299999999996</v>
      </c>
      <c r="I1434" s="14" t="s">
        <v>2237</v>
      </c>
      <c r="J1434" s="16">
        <v>0</v>
      </c>
      <c r="K1434" s="14" t="s">
        <v>2237</v>
      </c>
      <c r="L1434" s="16">
        <v>0</v>
      </c>
      <c r="M1434" s="14" t="s">
        <v>2237</v>
      </c>
      <c r="N1434" s="8">
        <v>4954.2299999999996</v>
      </c>
      <c r="O1434" s="14" t="s">
        <v>2237</v>
      </c>
      <c r="P1434" s="14" t="s">
        <v>2242</v>
      </c>
      <c r="Q1434" s="17" t="s">
        <v>2236</v>
      </c>
      <c r="R1434" s="17" t="s">
        <v>2238</v>
      </c>
      <c r="S1434" s="17" t="s">
        <v>2243</v>
      </c>
      <c r="T1434" s="17" t="s">
        <v>4137</v>
      </c>
      <c r="U14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3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E530-302038307-D235301</v>
      </c>
      <c r="Y14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3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4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34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34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34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35" spans="1:31" hidden="1" x14ac:dyDescent="0.3">
      <c r="A1435" s="14" t="s">
        <v>2340</v>
      </c>
      <c r="B1435" s="14" t="s">
        <v>30</v>
      </c>
      <c r="C1435" s="14" t="s">
        <v>211</v>
      </c>
      <c r="D1435" s="14" t="s">
        <v>212</v>
      </c>
      <c r="E1435" s="14" t="s">
        <v>4136</v>
      </c>
      <c r="F1435" s="8">
        <v>0</v>
      </c>
      <c r="G1435" s="14" t="s">
        <v>2237</v>
      </c>
      <c r="H1435" s="16">
        <v>0</v>
      </c>
      <c r="I1435" s="14" t="s">
        <v>2237</v>
      </c>
      <c r="J1435" s="16">
        <v>0</v>
      </c>
      <c r="K1435" s="14" t="s">
        <v>2237</v>
      </c>
      <c r="L1435" s="16">
        <v>0</v>
      </c>
      <c r="M1435" s="14" t="s">
        <v>2237</v>
      </c>
      <c r="N1435" s="8">
        <v>4954.2299999999996</v>
      </c>
      <c r="O1435" s="14" t="s">
        <v>2237</v>
      </c>
      <c r="P1435" s="14" t="s">
        <v>2242</v>
      </c>
      <c r="Q1435" s="17" t="s">
        <v>2236</v>
      </c>
      <c r="R1435" s="17" t="s">
        <v>2238</v>
      </c>
      <c r="S1435" s="17" t="s">
        <v>2243</v>
      </c>
      <c r="T1435" s="17" t="s">
        <v>4139</v>
      </c>
      <c r="U14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E530-3020383-D235301</v>
      </c>
      <c r="X143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E530-302038307-D235301</v>
      </c>
      <c r="Y143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E530-30203830759-D235301</v>
      </c>
      <c r="Z143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5" s="10" t="str">
        <f>IF(IFERROR(INDEX(WBS_Dictionary!K$2:K$1212, MATCH(Table2[[#This Row],[WBS_ID]], Table26[WBS CODE],0)), "") = "", "null", IFERROR(INDEX(WBS_Dictionary!K$2:K$1212, MATCH(Table2[[#This Row],[WBS_ID]], Table26[WBS CODE],0)), ""))</f>
        <v>Road &amp; Pad</v>
      </c>
      <c r="AB1435" s="10" t="str">
        <f>IF(IFERROR(INDEX(WBS_Dictionary!L$2:L$1212, MATCH(Table2[[#This Row],[WBS_ID]], Table26[WBS CODE],0)), "") = "", "null", IFERROR(INDEX(WBS_Dictionary!L$2:L$1212, MATCH(Table2[[#This Row],[WBS_ID]], Table26[WBS CODE],0)), ""))</f>
        <v>Engineering</v>
      </c>
      <c r="AC1435" s="10" t="str">
        <f>IF(IFERROR(INDEX(WBS_Dictionary!M$2:M$1212, MATCH(Table2[[#This Row],[WBS_ID]], Table26[WBS CODE],0)), "") = "", "null", IFERROR(INDEX(WBS_Dictionary!M$2:M$1212, MATCH(Table2[[#This Row],[WBS_ID]], Table26[WBS CODE],0)), ""))</f>
        <v>Engineering</v>
      </c>
      <c r="AD1435" s="10" t="str">
        <f>IF(IFERROR(INDEX(WBS_Dictionary!N$2:N$1212, MATCH(Table2[[#This Row],[WBS_ID]], Table26[WBS CODE],0)), "") = "", "null", IFERROR(INDEX(WBS_Dictionary!N$2:N$1212, MATCH(Table2[[#This Row],[WBS_ID]], Table26[WBS CODE],0)), ""))</f>
        <v>Pad 15</v>
      </c>
      <c r="AE1435" s="10" t="str">
        <f>IF(IFERROR(INDEX(WBS_Dictionary!O$2:O$1212, MATCH(Table2[[#This Row],[WBS_ID]], Table26[WBS CODE],0)), "") = "", "null", IFERROR(INDEX(WBS_Dictionary!O$2:O$1212, MATCH(Table2[[#This Row],[WBS_ID]], Table26[WBS CODE],0)), ""))</f>
        <v>Pad</v>
      </c>
    </row>
    <row r="1436" spans="1:31" hidden="1" x14ac:dyDescent="0.3">
      <c r="A1436" s="14" t="s">
        <v>2341</v>
      </c>
      <c r="B1436" s="14" t="s">
        <v>21</v>
      </c>
      <c r="C1436" s="14" t="s">
        <v>213</v>
      </c>
      <c r="D1436" s="14" t="s">
        <v>214</v>
      </c>
      <c r="E1436" s="14" t="s">
        <v>4136</v>
      </c>
      <c r="F1436" s="8">
        <v>1664458.98</v>
      </c>
      <c r="G1436" s="14" t="s">
        <v>2237</v>
      </c>
      <c r="H1436" s="16">
        <v>1664458.98</v>
      </c>
      <c r="I1436" s="14" t="s">
        <v>2237</v>
      </c>
      <c r="J1436" s="16">
        <v>0</v>
      </c>
      <c r="K1436" s="14" t="s">
        <v>2237</v>
      </c>
      <c r="L1436" s="16">
        <v>0</v>
      </c>
      <c r="M1436" s="14" t="s">
        <v>2237</v>
      </c>
      <c r="N1436" s="8">
        <v>1389843.18</v>
      </c>
      <c r="O1436" s="14" t="s">
        <v>2237</v>
      </c>
      <c r="P1436" s="14" t="s">
        <v>2236</v>
      </c>
      <c r="Q1436" s="17" t="s">
        <v>2242</v>
      </c>
      <c r="R1436" s="17" t="s">
        <v>2238</v>
      </c>
      <c r="S1436" s="17" t="s">
        <v>2243</v>
      </c>
      <c r="T1436" s="17" t="s">
        <v>4137</v>
      </c>
      <c r="U14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3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6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37" spans="1:31" x14ac:dyDescent="0.3">
      <c r="A1437" s="14" t="s">
        <v>2342</v>
      </c>
      <c r="B1437" s="14" t="s">
        <v>26</v>
      </c>
      <c r="C1437" s="14" t="s">
        <v>216</v>
      </c>
      <c r="D1437" s="14" t="s">
        <v>217</v>
      </c>
      <c r="E1437" s="14" t="s">
        <v>4136</v>
      </c>
      <c r="F1437" s="8">
        <v>333596.51</v>
      </c>
      <c r="G1437" s="14" t="s">
        <v>2237</v>
      </c>
      <c r="H1437" s="16">
        <v>333596.51</v>
      </c>
      <c r="I1437" s="14" t="s">
        <v>2237</v>
      </c>
      <c r="J1437" s="16">
        <v>0</v>
      </c>
      <c r="K1437" s="14" t="s">
        <v>2237</v>
      </c>
      <c r="L1437" s="16">
        <v>0</v>
      </c>
      <c r="M1437" s="14" t="s">
        <v>2237</v>
      </c>
      <c r="N1437" s="8">
        <v>261284.72</v>
      </c>
      <c r="O1437" s="14" t="s">
        <v>2237</v>
      </c>
      <c r="P1437" s="14" t="s">
        <v>2236</v>
      </c>
      <c r="Q1437" s="17" t="s">
        <v>2242</v>
      </c>
      <c r="R1437" s="17" t="s">
        <v>2238</v>
      </c>
      <c r="S1437" s="17" t="s">
        <v>2243</v>
      </c>
      <c r="T1437" s="17" t="s">
        <v>4138</v>
      </c>
      <c r="U14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3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E530-302037406-D235301</v>
      </c>
      <c r="Y14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3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7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37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3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4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38" spans="1:31" x14ac:dyDescent="0.3">
      <c r="A1438" s="14" t="s">
        <v>2343</v>
      </c>
      <c r="B1438" s="14" t="s">
        <v>30</v>
      </c>
      <c r="C1438" s="14" t="s">
        <v>220</v>
      </c>
      <c r="D1438" s="14" t="s">
        <v>221</v>
      </c>
      <c r="E1438" s="14" t="s">
        <v>4136</v>
      </c>
      <c r="F1438" s="8">
        <v>0</v>
      </c>
      <c r="G1438" s="14" t="s">
        <v>2237</v>
      </c>
      <c r="H1438" s="16">
        <v>0</v>
      </c>
      <c r="I1438" s="14" t="s">
        <v>2237</v>
      </c>
      <c r="J1438" s="16">
        <v>0</v>
      </c>
      <c r="K1438" s="14" t="s">
        <v>2237</v>
      </c>
      <c r="L1438" s="16">
        <v>0</v>
      </c>
      <c r="M1438" s="14" t="s">
        <v>2237</v>
      </c>
      <c r="N1438" s="8">
        <v>101973.04</v>
      </c>
      <c r="O1438" s="14" t="s">
        <v>2237</v>
      </c>
      <c r="P1438" s="14" t="s">
        <v>2236</v>
      </c>
      <c r="Q1438" s="17" t="s">
        <v>2242</v>
      </c>
      <c r="R1438" s="17" t="s">
        <v>2238</v>
      </c>
      <c r="S1438" s="17" t="s">
        <v>2243</v>
      </c>
      <c r="T1438" s="17" t="s">
        <v>4142</v>
      </c>
      <c r="U14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3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E530-302037406-D235301</v>
      </c>
      <c r="Y143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E530-30203740660-D235301</v>
      </c>
      <c r="Z143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8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38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38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43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4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39" spans="1:31" x14ac:dyDescent="0.3">
      <c r="A1439" s="14" t="s">
        <v>2344</v>
      </c>
      <c r="B1439" s="14" t="s">
        <v>30</v>
      </c>
      <c r="C1439" s="14" t="s">
        <v>223</v>
      </c>
      <c r="D1439" s="14" t="s">
        <v>224</v>
      </c>
      <c r="E1439" s="14" t="s">
        <v>4136</v>
      </c>
      <c r="F1439" s="8">
        <v>0</v>
      </c>
      <c r="G1439" s="14" t="s">
        <v>2237</v>
      </c>
      <c r="H1439" s="16">
        <v>0</v>
      </c>
      <c r="I1439" s="14" t="s">
        <v>2237</v>
      </c>
      <c r="J1439" s="16">
        <v>0</v>
      </c>
      <c r="K1439" s="14" t="s">
        <v>2237</v>
      </c>
      <c r="L1439" s="16">
        <v>0</v>
      </c>
      <c r="M1439" s="14" t="s">
        <v>2237</v>
      </c>
      <c r="N1439" s="8">
        <v>159311.67999999999</v>
      </c>
      <c r="O1439" s="14" t="s">
        <v>2237</v>
      </c>
      <c r="P1439" s="14" t="s">
        <v>2236</v>
      </c>
      <c r="Q1439" s="17" t="s">
        <v>2242</v>
      </c>
      <c r="R1439" s="17" t="s">
        <v>2238</v>
      </c>
      <c r="S1439" s="17" t="s">
        <v>2243</v>
      </c>
      <c r="T1439" s="17" t="s">
        <v>4142</v>
      </c>
      <c r="U143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3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3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3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E530-302037406-D235301</v>
      </c>
      <c r="Y1439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E530-30203740603-D235301</v>
      </c>
      <c r="Z143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39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39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39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43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4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0" spans="1:31" x14ac:dyDescent="0.3">
      <c r="A1440" s="14" t="s">
        <v>2345</v>
      </c>
      <c r="B1440" s="14" t="s">
        <v>26</v>
      </c>
      <c r="C1440" s="14" t="s">
        <v>226</v>
      </c>
      <c r="D1440" s="14" t="s">
        <v>227</v>
      </c>
      <c r="E1440" s="14" t="s">
        <v>4136</v>
      </c>
      <c r="F1440" s="8">
        <v>333596.51</v>
      </c>
      <c r="G1440" s="14" t="s">
        <v>2237</v>
      </c>
      <c r="H1440" s="16">
        <v>333596.51</v>
      </c>
      <c r="I1440" s="14" t="s">
        <v>2237</v>
      </c>
      <c r="J1440" s="16">
        <v>0</v>
      </c>
      <c r="K1440" s="14" t="s">
        <v>2237</v>
      </c>
      <c r="L1440" s="16">
        <v>0</v>
      </c>
      <c r="M1440" s="14" t="s">
        <v>2237</v>
      </c>
      <c r="N1440" s="8">
        <v>270274.86</v>
      </c>
      <c r="O1440" s="14" t="s">
        <v>2237</v>
      </c>
      <c r="P1440" s="14" t="s">
        <v>2236</v>
      </c>
      <c r="Q1440" s="17" t="s">
        <v>2242</v>
      </c>
      <c r="R1440" s="17" t="s">
        <v>2238</v>
      </c>
      <c r="S1440" s="17" t="s">
        <v>2243</v>
      </c>
      <c r="T1440" s="17" t="s">
        <v>4138</v>
      </c>
      <c r="U144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E530-302037405-D235301</v>
      </c>
      <c r="Y14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4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0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0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4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4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1" spans="1:31" x14ac:dyDescent="0.3">
      <c r="A1441" s="14" t="s">
        <v>2346</v>
      </c>
      <c r="B1441" s="14" t="s">
        <v>30</v>
      </c>
      <c r="C1441" s="14" t="s">
        <v>229</v>
      </c>
      <c r="D1441" s="14" t="s">
        <v>230</v>
      </c>
      <c r="E1441" s="14" t="s">
        <v>4136</v>
      </c>
      <c r="F1441" s="8">
        <v>0</v>
      </c>
      <c r="G1441" s="14" t="s">
        <v>2237</v>
      </c>
      <c r="H1441" s="16">
        <v>0</v>
      </c>
      <c r="I1441" s="14" t="s">
        <v>2237</v>
      </c>
      <c r="J1441" s="16">
        <v>0</v>
      </c>
      <c r="K1441" s="14" t="s">
        <v>2237</v>
      </c>
      <c r="L1441" s="16">
        <v>0</v>
      </c>
      <c r="M1441" s="14" t="s">
        <v>2237</v>
      </c>
      <c r="N1441" s="8">
        <v>101973.04</v>
      </c>
      <c r="O1441" s="14" t="s">
        <v>2237</v>
      </c>
      <c r="P1441" s="14" t="s">
        <v>2236</v>
      </c>
      <c r="Q1441" s="17" t="s">
        <v>2242</v>
      </c>
      <c r="R1441" s="17" t="s">
        <v>2238</v>
      </c>
      <c r="S1441" s="17" t="s">
        <v>2243</v>
      </c>
      <c r="T1441" s="17" t="s">
        <v>4142</v>
      </c>
      <c r="U144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E530-302037405-D235301</v>
      </c>
      <c r="Y144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E530-30203740560-D235301</v>
      </c>
      <c r="Z144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1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1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1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44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4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2" spans="1:31" x14ac:dyDescent="0.3">
      <c r="A1442" s="14" t="s">
        <v>2347</v>
      </c>
      <c r="B1442" s="14" t="s">
        <v>30</v>
      </c>
      <c r="C1442" s="14" t="s">
        <v>231</v>
      </c>
      <c r="D1442" s="14" t="s">
        <v>232</v>
      </c>
      <c r="E1442" s="14" t="s">
        <v>4136</v>
      </c>
      <c r="F1442" s="8">
        <v>0</v>
      </c>
      <c r="G1442" s="14" t="s">
        <v>2237</v>
      </c>
      <c r="H1442" s="16">
        <v>0</v>
      </c>
      <c r="I1442" s="14" t="s">
        <v>2237</v>
      </c>
      <c r="J1442" s="16">
        <v>0</v>
      </c>
      <c r="K1442" s="14" t="s">
        <v>2237</v>
      </c>
      <c r="L1442" s="16">
        <v>0</v>
      </c>
      <c r="M1442" s="14" t="s">
        <v>2237</v>
      </c>
      <c r="N1442" s="8">
        <v>168301.82</v>
      </c>
      <c r="O1442" s="14" t="s">
        <v>2237</v>
      </c>
      <c r="P1442" s="14" t="s">
        <v>2236</v>
      </c>
      <c r="Q1442" s="17" t="s">
        <v>2242</v>
      </c>
      <c r="R1442" s="17" t="s">
        <v>2238</v>
      </c>
      <c r="S1442" s="17" t="s">
        <v>2243</v>
      </c>
      <c r="T1442" s="17" t="s">
        <v>4142</v>
      </c>
      <c r="U144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E530-302037405-D235301</v>
      </c>
      <c r="Y1442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E530-30203740503-D235301</v>
      </c>
      <c r="Z144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2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2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2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44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4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3" spans="1:31" x14ac:dyDescent="0.3">
      <c r="A1443" s="14" t="s">
        <v>2348</v>
      </c>
      <c r="B1443" s="14" t="s">
        <v>26</v>
      </c>
      <c r="C1443" s="14" t="s">
        <v>233</v>
      </c>
      <c r="D1443" s="14" t="s">
        <v>234</v>
      </c>
      <c r="E1443" s="14" t="s">
        <v>4136</v>
      </c>
      <c r="F1443" s="8">
        <v>333596.51</v>
      </c>
      <c r="G1443" s="14" t="s">
        <v>2237</v>
      </c>
      <c r="H1443" s="16">
        <v>333596.51</v>
      </c>
      <c r="I1443" s="14" t="s">
        <v>2237</v>
      </c>
      <c r="J1443" s="16">
        <v>0</v>
      </c>
      <c r="K1443" s="14" t="s">
        <v>2237</v>
      </c>
      <c r="L1443" s="16">
        <v>0</v>
      </c>
      <c r="M1443" s="14" t="s">
        <v>2237</v>
      </c>
      <c r="N1443" s="8">
        <v>268035.92</v>
      </c>
      <c r="O1443" s="14" t="s">
        <v>2237</v>
      </c>
      <c r="P1443" s="14" t="s">
        <v>2236</v>
      </c>
      <c r="Q1443" s="17" t="s">
        <v>2242</v>
      </c>
      <c r="R1443" s="17" t="s">
        <v>2238</v>
      </c>
      <c r="S1443" s="17" t="s">
        <v>2243</v>
      </c>
      <c r="T1443" s="17" t="s">
        <v>4138</v>
      </c>
      <c r="U144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E530-302037404-D235301</v>
      </c>
      <c r="Y14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4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3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3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4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14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4" spans="1:31" x14ac:dyDescent="0.3">
      <c r="A1444" s="14" t="s">
        <v>2349</v>
      </c>
      <c r="B1444" s="14" t="s">
        <v>30</v>
      </c>
      <c r="C1444" s="14" t="s">
        <v>236</v>
      </c>
      <c r="D1444" s="14" t="s">
        <v>237</v>
      </c>
      <c r="E1444" s="14" t="s">
        <v>4136</v>
      </c>
      <c r="F1444" s="8">
        <v>0</v>
      </c>
      <c r="G1444" s="14" t="s">
        <v>2237</v>
      </c>
      <c r="H1444" s="16">
        <v>0</v>
      </c>
      <c r="I1444" s="14" t="s">
        <v>2237</v>
      </c>
      <c r="J1444" s="16">
        <v>0</v>
      </c>
      <c r="K1444" s="14" t="s">
        <v>2237</v>
      </c>
      <c r="L1444" s="16">
        <v>0</v>
      </c>
      <c r="M1444" s="14" t="s">
        <v>2237</v>
      </c>
      <c r="N1444" s="8">
        <v>101973.04</v>
      </c>
      <c r="O1444" s="14" t="s">
        <v>2237</v>
      </c>
      <c r="P1444" s="14" t="s">
        <v>2236</v>
      </c>
      <c r="Q1444" s="17" t="s">
        <v>2242</v>
      </c>
      <c r="R1444" s="17" t="s">
        <v>2238</v>
      </c>
      <c r="S1444" s="17" t="s">
        <v>2243</v>
      </c>
      <c r="T1444" s="17" t="s">
        <v>4142</v>
      </c>
      <c r="U144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E530-302037404-D235301</v>
      </c>
      <c r="Y144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E530-30203740460-D235301</v>
      </c>
      <c r="Z144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4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4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4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44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14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5" spans="1:31" x14ac:dyDescent="0.3">
      <c r="A1445" s="14" t="s">
        <v>2350</v>
      </c>
      <c r="B1445" s="14" t="s">
        <v>30</v>
      </c>
      <c r="C1445" s="14" t="s">
        <v>238</v>
      </c>
      <c r="D1445" s="14" t="s">
        <v>239</v>
      </c>
      <c r="E1445" s="14" t="s">
        <v>4136</v>
      </c>
      <c r="F1445" s="8">
        <v>0</v>
      </c>
      <c r="G1445" s="14" t="s">
        <v>2237</v>
      </c>
      <c r="H1445" s="16">
        <v>0</v>
      </c>
      <c r="I1445" s="14" t="s">
        <v>2237</v>
      </c>
      <c r="J1445" s="16">
        <v>0</v>
      </c>
      <c r="K1445" s="14" t="s">
        <v>2237</v>
      </c>
      <c r="L1445" s="16">
        <v>0</v>
      </c>
      <c r="M1445" s="14" t="s">
        <v>2237</v>
      </c>
      <c r="N1445" s="8">
        <v>166062.88</v>
      </c>
      <c r="O1445" s="14" t="s">
        <v>2237</v>
      </c>
      <c r="P1445" s="14" t="s">
        <v>2236</v>
      </c>
      <c r="Q1445" s="17" t="s">
        <v>2242</v>
      </c>
      <c r="R1445" s="17" t="s">
        <v>2238</v>
      </c>
      <c r="S1445" s="17" t="s">
        <v>2243</v>
      </c>
      <c r="T1445" s="17" t="s">
        <v>4142</v>
      </c>
      <c r="U144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5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5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5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E530-302037404-D235301</v>
      </c>
      <c r="Y1445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E530-30203740403-D235301</v>
      </c>
      <c r="Z1445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5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5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5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44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144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6" spans="1:31" x14ac:dyDescent="0.3">
      <c r="A1446" s="14" t="s">
        <v>2351</v>
      </c>
      <c r="B1446" s="14" t="s">
        <v>26</v>
      </c>
      <c r="C1446" s="14" t="s">
        <v>240</v>
      </c>
      <c r="D1446" s="14" t="s">
        <v>241</v>
      </c>
      <c r="E1446" s="14" t="s">
        <v>4136</v>
      </c>
      <c r="F1446" s="8">
        <v>288920.93</v>
      </c>
      <c r="G1446" s="14" t="s">
        <v>2237</v>
      </c>
      <c r="H1446" s="16">
        <v>288920.93</v>
      </c>
      <c r="I1446" s="14" t="s">
        <v>2237</v>
      </c>
      <c r="J1446" s="16">
        <v>0</v>
      </c>
      <c r="K1446" s="14" t="s">
        <v>2237</v>
      </c>
      <c r="L1446" s="16">
        <v>0</v>
      </c>
      <c r="M1446" s="14" t="s">
        <v>2237</v>
      </c>
      <c r="N1446" s="8">
        <v>258383.65</v>
      </c>
      <c r="O1446" s="14" t="s">
        <v>2237</v>
      </c>
      <c r="P1446" s="14" t="s">
        <v>2236</v>
      </c>
      <c r="Q1446" s="17" t="s">
        <v>2242</v>
      </c>
      <c r="R1446" s="17" t="s">
        <v>2238</v>
      </c>
      <c r="S1446" s="17" t="s">
        <v>2243</v>
      </c>
      <c r="T1446" s="17" t="s">
        <v>4138</v>
      </c>
      <c r="U14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6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6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6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E530-302037403-D235301</v>
      </c>
      <c r="Y14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46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6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6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4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14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7" spans="1:31" x14ac:dyDescent="0.3">
      <c r="A1447" s="14" t="s">
        <v>2352</v>
      </c>
      <c r="B1447" s="14" t="s">
        <v>30</v>
      </c>
      <c r="C1447" s="14" t="s">
        <v>243</v>
      </c>
      <c r="D1447" s="14" t="s">
        <v>244</v>
      </c>
      <c r="E1447" s="14" t="s">
        <v>4136</v>
      </c>
      <c r="F1447" s="8">
        <v>0</v>
      </c>
      <c r="G1447" s="14" t="s">
        <v>2237</v>
      </c>
      <c r="H1447" s="16">
        <v>0</v>
      </c>
      <c r="I1447" s="14" t="s">
        <v>2237</v>
      </c>
      <c r="J1447" s="16">
        <v>0</v>
      </c>
      <c r="K1447" s="14" t="s">
        <v>2237</v>
      </c>
      <c r="L1447" s="16">
        <v>0</v>
      </c>
      <c r="M1447" s="14" t="s">
        <v>2237</v>
      </c>
      <c r="N1447" s="8">
        <v>94113.85</v>
      </c>
      <c r="O1447" s="14" t="s">
        <v>2237</v>
      </c>
      <c r="P1447" s="14" t="s">
        <v>2236</v>
      </c>
      <c r="Q1447" s="17" t="s">
        <v>2242</v>
      </c>
      <c r="R1447" s="17" t="s">
        <v>2238</v>
      </c>
      <c r="S1447" s="17" t="s">
        <v>2243</v>
      </c>
      <c r="T1447" s="17" t="s">
        <v>4142</v>
      </c>
      <c r="U14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7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7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7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E530-302037403-D235301</v>
      </c>
      <c r="Y1447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E530-30203740360-D235301</v>
      </c>
      <c r="Z1447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7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7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7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44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14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8" spans="1:31" x14ac:dyDescent="0.3">
      <c r="A1448" s="14" t="s">
        <v>2353</v>
      </c>
      <c r="B1448" s="14" t="s">
        <v>30</v>
      </c>
      <c r="C1448" s="14" t="s">
        <v>245</v>
      </c>
      <c r="D1448" s="14" t="s">
        <v>246</v>
      </c>
      <c r="E1448" s="14" t="s">
        <v>4136</v>
      </c>
      <c r="F1448" s="8">
        <v>0</v>
      </c>
      <c r="G1448" s="14" t="s">
        <v>2237</v>
      </c>
      <c r="H1448" s="16">
        <v>0</v>
      </c>
      <c r="I1448" s="14" t="s">
        <v>2237</v>
      </c>
      <c r="J1448" s="16">
        <v>0</v>
      </c>
      <c r="K1448" s="14" t="s">
        <v>2237</v>
      </c>
      <c r="L1448" s="16">
        <v>0</v>
      </c>
      <c r="M1448" s="14" t="s">
        <v>2237</v>
      </c>
      <c r="N1448" s="8">
        <v>164269.79999999999</v>
      </c>
      <c r="O1448" s="14" t="s">
        <v>2237</v>
      </c>
      <c r="P1448" s="14" t="s">
        <v>2236</v>
      </c>
      <c r="Q1448" s="17" t="s">
        <v>2242</v>
      </c>
      <c r="R1448" s="17" t="s">
        <v>2238</v>
      </c>
      <c r="S1448" s="17" t="s">
        <v>2243</v>
      </c>
      <c r="T1448" s="17" t="s">
        <v>4142</v>
      </c>
      <c r="U14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8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8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8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E530-302037403-D235301</v>
      </c>
      <c r="Y1448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E530-30203740303-D235301</v>
      </c>
      <c r="Z1448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8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8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8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44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14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49" spans="1:31" x14ac:dyDescent="0.3">
      <c r="A1449" s="14" t="s">
        <v>2354</v>
      </c>
      <c r="B1449" s="14" t="s">
        <v>26</v>
      </c>
      <c r="C1449" s="14" t="s">
        <v>247</v>
      </c>
      <c r="D1449" s="14" t="s">
        <v>248</v>
      </c>
      <c r="E1449" s="14" t="s">
        <v>4136</v>
      </c>
      <c r="F1449" s="8">
        <v>84977.53</v>
      </c>
      <c r="G1449" s="14" t="s">
        <v>2237</v>
      </c>
      <c r="H1449" s="16">
        <v>84977.53</v>
      </c>
      <c r="I1449" s="14" t="s">
        <v>2237</v>
      </c>
      <c r="J1449" s="16">
        <v>0</v>
      </c>
      <c r="K1449" s="14" t="s">
        <v>2237</v>
      </c>
      <c r="L1449" s="16">
        <v>0</v>
      </c>
      <c r="M1449" s="14" t="s">
        <v>2237</v>
      </c>
      <c r="N1449" s="8">
        <v>84977.53</v>
      </c>
      <c r="O1449" s="14" t="s">
        <v>2237</v>
      </c>
      <c r="P1449" s="14" t="s">
        <v>2236</v>
      </c>
      <c r="Q1449" s="17" t="s">
        <v>2242</v>
      </c>
      <c r="R1449" s="17" t="s">
        <v>2238</v>
      </c>
      <c r="S1449" s="17" t="s">
        <v>2243</v>
      </c>
      <c r="T1449" s="17" t="s">
        <v>4137</v>
      </c>
      <c r="U14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49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49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49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E530-302037402-D235301</v>
      </c>
      <c r="Y14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49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49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49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4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14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50" spans="1:31" x14ac:dyDescent="0.3">
      <c r="A1450" s="14" t="s">
        <v>2355</v>
      </c>
      <c r="B1450" s="14" t="s">
        <v>30</v>
      </c>
      <c r="C1450" s="14" t="s">
        <v>250</v>
      </c>
      <c r="D1450" s="14" t="s">
        <v>251</v>
      </c>
      <c r="E1450" s="14" t="s">
        <v>4136</v>
      </c>
      <c r="F1450" s="8">
        <v>0</v>
      </c>
      <c r="G1450" s="14" t="s">
        <v>2237</v>
      </c>
      <c r="H1450" s="16">
        <v>0</v>
      </c>
      <c r="I1450" s="14" t="s">
        <v>2237</v>
      </c>
      <c r="J1450" s="16">
        <v>0</v>
      </c>
      <c r="K1450" s="14" t="s">
        <v>2237</v>
      </c>
      <c r="L1450" s="16">
        <v>0</v>
      </c>
      <c r="M1450" s="14" t="s">
        <v>2237</v>
      </c>
      <c r="N1450" s="8">
        <v>84977.53</v>
      </c>
      <c r="O1450" s="14" t="s">
        <v>2237</v>
      </c>
      <c r="P1450" s="14" t="s">
        <v>2236</v>
      </c>
      <c r="Q1450" s="17" t="s">
        <v>2242</v>
      </c>
      <c r="R1450" s="17" t="s">
        <v>2238</v>
      </c>
      <c r="S1450" s="17" t="s">
        <v>2243</v>
      </c>
      <c r="T1450" s="17" t="s">
        <v>4142</v>
      </c>
      <c r="U14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0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50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50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E530-302037402-D235301</v>
      </c>
      <c r="Y1450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E530-30203740260-D235301</v>
      </c>
      <c r="Z1450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50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50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50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45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14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51" spans="1:31" x14ac:dyDescent="0.3">
      <c r="A1451" s="14" t="s">
        <v>2356</v>
      </c>
      <c r="B1451" s="14" t="s">
        <v>30</v>
      </c>
      <c r="C1451" s="14" t="s">
        <v>252</v>
      </c>
      <c r="D1451" s="14" t="s">
        <v>253</v>
      </c>
      <c r="E1451" s="14" t="s">
        <v>4136</v>
      </c>
      <c r="F1451" s="8">
        <v>0</v>
      </c>
      <c r="G1451" s="14" t="s">
        <v>2237</v>
      </c>
      <c r="H1451" s="16">
        <v>0</v>
      </c>
      <c r="I1451" s="14" t="s">
        <v>2237</v>
      </c>
      <c r="J1451" s="16">
        <v>0</v>
      </c>
      <c r="K1451" s="14" t="s">
        <v>2237</v>
      </c>
      <c r="L1451" s="16">
        <v>0</v>
      </c>
      <c r="M1451" s="14" t="s">
        <v>2237</v>
      </c>
      <c r="N1451" s="8">
        <v>0</v>
      </c>
      <c r="O1451" s="14" t="s">
        <v>2237</v>
      </c>
      <c r="P1451" s="14" t="s">
        <v>2236</v>
      </c>
      <c r="Q1451" s="17" t="s">
        <v>2242</v>
      </c>
      <c r="R1451" s="17" t="s">
        <v>2238</v>
      </c>
      <c r="S1451" s="17" t="s">
        <v>2243</v>
      </c>
      <c r="T1451" s="17" t="s">
        <v>4142</v>
      </c>
      <c r="U14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1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51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51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E530-302037402-D235301</v>
      </c>
      <c r="Y1451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E530-30203740203-D235301</v>
      </c>
      <c r="Z1451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51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51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51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45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14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52" spans="1:31" x14ac:dyDescent="0.3">
      <c r="A1452" s="14" t="s">
        <v>2357</v>
      </c>
      <c r="B1452" s="14" t="s">
        <v>26</v>
      </c>
      <c r="C1452" s="14" t="s">
        <v>254</v>
      </c>
      <c r="D1452" s="14" t="s">
        <v>255</v>
      </c>
      <c r="E1452" s="14" t="s">
        <v>4136</v>
      </c>
      <c r="F1452" s="8">
        <v>289770.99</v>
      </c>
      <c r="G1452" s="14" t="s">
        <v>2237</v>
      </c>
      <c r="H1452" s="16">
        <v>289770.99</v>
      </c>
      <c r="I1452" s="14" t="s">
        <v>2237</v>
      </c>
      <c r="J1452" s="16">
        <v>0</v>
      </c>
      <c r="K1452" s="14" t="s">
        <v>2237</v>
      </c>
      <c r="L1452" s="16">
        <v>0</v>
      </c>
      <c r="M1452" s="14" t="s">
        <v>2237</v>
      </c>
      <c r="N1452" s="8">
        <v>246886.5</v>
      </c>
      <c r="O1452" s="14" t="s">
        <v>2237</v>
      </c>
      <c r="P1452" s="14" t="s">
        <v>2236</v>
      </c>
      <c r="Q1452" s="17" t="s">
        <v>2242</v>
      </c>
      <c r="R1452" s="17" t="s">
        <v>2238</v>
      </c>
      <c r="S1452" s="17" t="s">
        <v>2243</v>
      </c>
      <c r="T1452" s="17" t="s">
        <v>4138</v>
      </c>
      <c r="U14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2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52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52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E530-302037401-D235301</v>
      </c>
      <c r="Y14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52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52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52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5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14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53" spans="1:31" x14ac:dyDescent="0.3">
      <c r="A1453" s="14" t="s">
        <v>2358</v>
      </c>
      <c r="B1453" s="14" t="s">
        <v>30</v>
      </c>
      <c r="C1453" s="14" t="s">
        <v>257</v>
      </c>
      <c r="D1453" s="14" t="s">
        <v>258</v>
      </c>
      <c r="E1453" s="14" t="s">
        <v>4136</v>
      </c>
      <c r="F1453" s="8">
        <v>0</v>
      </c>
      <c r="G1453" s="14" t="s">
        <v>2237</v>
      </c>
      <c r="H1453" s="16">
        <v>0</v>
      </c>
      <c r="I1453" s="14" t="s">
        <v>2237</v>
      </c>
      <c r="J1453" s="16">
        <v>0</v>
      </c>
      <c r="K1453" s="14" t="s">
        <v>2237</v>
      </c>
      <c r="L1453" s="16">
        <v>0</v>
      </c>
      <c r="M1453" s="14" t="s">
        <v>2237</v>
      </c>
      <c r="N1453" s="8">
        <v>94198.6</v>
      </c>
      <c r="O1453" s="14" t="s">
        <v>2237</v>
      </c>
      <c r="P1453" s="14" t="s">
        <v>2236</v>
      </c>
      <c r="Q1453" s="17" t="s">
        <v>2242</v>
      </c>
      <c r="R1453" s="17" t="s">
        <v>2238</v>
      </c>
      <c r="S1453" s="17" t="s">
        <v>2243</v>
      </c>
      <c r="T1453" s="17" t="s">
        <v>4142</v>
      </c>
      <c r="U14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3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53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53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E530-302037401-D235301</v>
      </c>
      <c r="Y1453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E530-30203740160-D235301</v>
      </c>
      <c r="Z1453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53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53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53" s="10" t="str">
        <f>IF(IFERROR(INDEX(WBS_Dictionary!M$2:M$1212, MATCH(Table2[[#This Row],[WBS_ID]], Table26[WBS CODE],0)), "") = "", "null", IFERROR(INDEX(WBS_Dictionary!M$2:M$1212, MATCH(Table2[[#This Row],[WBS_ID]], Table26[WBS CODE],0)), ""))</f>
        <v>Material</v>
      </c>
      <c r="AD145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14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54" spans="1:31" x14ac:dyDescent="0.3">
      <c r="A1454" s="14" t="s">
        <v>2359</v>
      </c>
      <c r="B1454" s="14" t="s">
        <v>30</v>
      </c>
      <c r="C1454" s="14" t="s">
        <v>259</v>
      </c>
      <c r="D1454" s="14" t="s">
        <v>260</v>
      </c>
      <c r="E1454" s="14" t="s">
        <v>4136</v>
      </c>
      <c r="F1454" s="8">
        <v>0</v>
      </c>
      <c r="G1454" s="14" t="s">
        <v>2237</v>
      </c>
      <c r="H1454" s="16">
        <v>0</v>
      </c>
      <c r="I1454" s="14" t="s">
        <v>2237</v>
      </c>
      <c r="J1454" s="16">
        <v>0</v>
      </c>
      <c r="K1454" s="14" t="s">
        <v>2237</v>
      </c>
      <c r="L1454" s="16">
        <v>0</v>
      </c>
      <c r="M1454" s="14" t="s">
        <v>2237</v>
      </c>
      <c r="N1454" s="8">
        <v>152687.9</v>
      </c>
      <c r="O1454" s="14" t="s">
        <v>2237</v>
      </c>
      <c r="P1454" s="14" t="s">
        <v>2236</v>
      </c>
      <c r="Q1454" s="17" t="s">
        <v>2242</v>
      </c>
      <c r="R1454" s="17" t="s">
        <v>2238</v>
      </c>
      <c r="S1454" s="17" t="s">
        <v>2243</v>
      </c>
      <c r="T1454" s="17" t="s">
        <v>4142</v>
      </c>
      <c r="U14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4" s="10" t="str">
        <f>IF(IFERROR(INDEX(WBS_Dictionary!F$2:F$1212, MATCH(Table2[[#This Row],[WBS_ID]], Table26[WBS CODE],0)), "") = "", "null", IFERROR(INDEX(WBS_Dictionary!F$2:F$1212, MATCH(Table2[[#This Row],[WBS_ID]], Table26[WBS CODE],0)), ""))</f>
        <v>E530-30203-D235301</v>
      </c>
      <c r="W1454" s="10" t="str">
        <f>IF(IFERROR(INDEX(WBS_Dictionary!G$2:G$1212, MATCH(Table2[[#This Row],[WBS_ID]], Table26[WBS CODE],0)), "") = "", "null", IFERROR(INDEX(WBS_Dictionary!G$2:G$1212, MATCH(Table2[[#This Row],[WBS_ID]], Table26[WBS CODE],0)), ""))</f>
        <v>E530-3020374-D235301</v>
      </c>
      <c r="X1454" s="10" t="str">
        <f>IF(IFERROR(INDEX(WBS_Dictionary!H$2:H$1212, MATCH(Table2[[#This Row],[WBS_ID]], Table26[WBS CODE],0)), "") = "", "null", IFERROR(INDEX(WBS_Dictionary!H$2:H$1212, MATCH(Table2[[#This Row],[WBS_ID]], Table26[WBS CODE],0)), ""))</f>
        <v>E530-302037401-D235301</v>
      </c>
      <c r="Y1454" s="10" t="str">
        <f>IF(IFERROR(INDEX(WBS_Dictionary!I$2:I$1212, MATCH(Table2[[#This Row],[WBS_ID]], Table26[WBS CODE],0)), "") = "", "null", IFERROR(INDEX(WBS_Dictionary!I$2:I$1212, MATCH(Table2[[#This Row],[WBS_ID]], Table26[WBS CODE],0)), ""))</f>
        <v>E530-30203740103-D235301</v>
      </c>
      <c r="Z1454" s="10" t="str">
        <f>IF(IFERROR(INDEX(WBS_Dictionary!J$2:J$1212, MATCH(Table2[[#This Row],[WBS_ID]], Table26[WBS CODE],0)), "") = "", "null", IFERROR(INDEX(WBS_Dictionary!J$2:J$1212, MATCH(Table2[[#This Row],[WBS_ID]], Table26[WBS CODE],0)), ""))</f>
        <v>Surface Facilities Cost</v>
      </c>
      <c r="AA1454" s="10" t="str">
        <f>IF(IFERROR(INDEX(WBS_Dictionary!K$2:K$1212, MATCH(Table2[[#This Row],[WBS_ID]], Table26[WBS CODE],0)), "") = "", "null", IFERROR(INDEX(WBS_Dictionary!K$2:K$1212, MATCH(Table2[[#This Row],[WBS_ID]], Table26[WBS CODE],0)), ""))</f>
        <v>Conductor Casing Installation &amp; Material</v>
      </c>
      <c r="AB1454" s="10" t="str">
        <f>IF(IFERROR(INDEX(WBS_Dictionary!L$2:L$1212, MATCH(Table2[[#This Row],[WBS_ID]], Table26[WBS CODE],0)), "") = "", "null", IFERROR(INDEX(WBS_Dictionary!L$2:L$1212, MATCH(Table2[[#This Row],[WBS_ID]], Table26[WBS CODE],0)), ""))</f>
        <v>Conductor Casing Installation &amp; Material</v>
      </c>
      <c r="AC1454" s="10" t="str">
        <f>IF(IFERROR(INDEX(WBS_Dictionary!M$2:M$1212, MATCH(Table2[[#This Row],[WBS_ID]], Table26[WBS CODE],0)), "") = "", "null", IFERROR(INDEX(WBS_Dictionary!M$2:M$1212, MATCH(Table2[[#This Row],[WBS_ID]], Table26[WBS CODE],0)), ""))</f>
        <v>Service</v>
      </c>
      <c r="AD145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14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455" spans="1:31" hidden="1" x14ac:dyDescent="0.3">
      <c r="A1455" s="14" t="s">
        <v>2360</v>
      </c>
      <c r="B1455" s="14" t="s">
        <v>18</v>
      </c>
      <c r="C1455" s="15" t="s">
        <v>261</v>
      </c>
      <c r="D1455" s="14" t="s">
        <v>262</v>
      </c>
      <c r="E1455" s="14" t="s">
        <v>4136</v>
      </c>
      <c r="F1455" s="8">
        <v>2404268.04</v>
      </c>
      <c r="G1455" s="14" t="s">
        <v>2237</v>
      </c>
      <c r="H1455" s="16">
        <v>2404268.04</v>
      </c>
      <c r="I1455" s="14" t="s">
        <v>2237</v>
      </c>
      <c r="J1455" s="16">
        <v>0</v>
      </c>
      <c r="K1455" s="14" t="s">
        <v>2237</v>
      </c>
      <c r="L1455" s="16">
        <v>0</v>
      </c>
      <c r="M1455" s="14" t="s">
        <v>2237</v>
      </c>
      <c r="N1455" s="8">
        <v>1943104.28</v>
      </c>
      <c r="O1455" s="14" t="s">
        <v>2237</v>
      </c>
      <c r="P1455" s="14" t="s">
        <v>2236</v>
      </c>
      <c r="Q1455" s="17" t="s">
        <v>2242</v>
      </c>
      <c r="R1455" s="17" t="s">
        <v>2238</v>
      </c>
      <c r="S1455" s="17" t="s">
        <v>2243</v>
      </c>
      <c r="T1455" s="17" t="s">
        <v>4137</v>
      </c>
      <c r="U14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5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56" spans="1:31" hidden="1" x14ac:dyDescent="0.3">
      <c r="A1456" s="14" t="s">
        <v>2361</v>
      </c>
      <c r="B1456" s="14" t="s">
        <v>21</v>
      </c>
      <c r="C1456" s="14" t="s">
        <v>263</v>
      </c>
      <c r="D1456" s="14" t="s">
        <v>264</v>
      </c>
      <c r="E1456" s="14" t="s">
        <v>4136</v>
      </c>
      <c r="F1456" s="8">
        <v>250545.65</v>
      </c>
      <c r="G1456" s="14" t="s">
        <v>2237</v>
      </c>
      <c r="H1456" s="16">
        <v>250545.65</v>
      </c>
      <c r="I1456" s="14" t="s">
        <v>2237</v>
      </c>
      <c r="J1456" s="16">
        <v>0</v>
      </c>
      <c r="K1456" s="14" t="s">
        <v>2237</v>
      </c>
      <c r="L1456" s="16">
        <v>0</v>
      </c>
      <c r="M1456" s="14" t="s">
        <v>2237</v>
      </c>
      <c r="N1456" s="8">
        <v>156205.65</v>
      </c>
      <c r="O1456" s="14" t="s">
        <v>2237</v>
      </c>
      <c r="P1456" s="14" t="s">
        <v>2236</v>
      </c>
      <c r="Q1456" s="17" t="s">
        <v>2242</v>
      </c>
      <c r="R1456" s="17" t="s">
        <v>2238</v>
      </c>
      <c r="S1456" s="17" t="s">
        <v>2243</v>
      </c>
      <c r="T1456" s="17" t="s">
        <v>4137</v>
      </c>
      <c r="U145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5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E530-3012991-D235301</v>
      </c>
      <c r="X14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5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56" s="10" t="str">
        <f>IF(IFERROR(INDEX(WBS_Dictionary!K$2:K$1212, MATCH(Table2[[#This Row],[WBS_ID]], Table26[WBS CODE],0)), "") = "", "null", IFERROR(INDEX(WBS_Dictionary!K$2:K$1212, MATCH(Table2[[#This Row],[WBS_ID]], Table26[WBS CODE],0)), ""))</f>
        <v>Permitting (IPPKH/IPJLPB)</v>
      </c>
      <c r="AB14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57" spans="1:31" hidden="1" x14ac:dyDescent="0.3">
      <c r="A1457" s="14" t="s">
        <v>2362</v>
      </c>
      <c r="B1457" s="14" t="s">
        <v>26</v>
      </c>
      <c r="C1457" s="14" t="s">
        <v>263</v>
      </c>
      <c r="D1457" s="14" t="s">
        <v>265</v>
      </c>
      <c r="E1457" s="14" t="s">
        <v>4136</v>
      </c>
      <c r="F1457" s="8">
        <v>250545.65</v>
      </c>
      <c r="G1457" s="14" t="s">
        <v>2237</v>
      </c>
      <c r="H1457" s="16">
        <v>250545.65</v>
      </c>
      <c r="I1457" s="14" t="s">
        <v>2237</v>
      </c>
      <c r="J1457" s="16">
        <v>0</v>
      </c>
      <c r="K1457" s="14" t="s">
        <v>2237</v>
      </c>
      <c r="L1457" s="16">
        <v>0</v>
      </c>
      <c r="M1457" s="14" t="s">
        <v>2237</v>
      </c>
      <c r="N1457" s="8">
        <v>156205.65</v>
      </c>
      <c r="O1457" s="14" t="s">
        <v>2237</v>
      </c>
      <c r="P1457" s="14" t="s">
        <v>2236</v>
      </c>
      <c r="Q1457" s="17" t="s">
        <v>2242</v>
      </c>
      <c r="R1457" s="17" t="s">
        <v>2238</v>
      </c>
      <c r="S1457" s="17" t="s">
        <v>2243</v>
      </c>
      <c r="T1457" s="17" t="s">
        <v>4137</v>
      </c>
      <c r="U14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5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E530-3012991-D235301</v>
      </c>
      <c r="X145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E530-301299127-D235301</v>
      </c>
      <c r="Y14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5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57" s="10" t="str">
        <f>IF(IFERROR(INDEX(WBS_Dictionary!K$2:K$1212, MATCH(Table2[[#This Row],[WBS_ID]], Table26[WBS CODE],0)), "") = "", "null", IFERROR(INDEX(WBS_Dictionary!K$2:K$1212, MATCH(Table2[[#This Row],[WBS_ID]], Table26[WBS CODE],0)), ""))</f>
        <v>Permitting (IPPKH/IPJLPB)</v>
      </c>
      <c r="AB1457" s="10" t="str">
        <f>IF(IFERROR(INDEX(WBS_Dictionary!L$2:L$1212, MATCH(Table2[[#This Row],[WBS_ID]], Table26[WBS CODE],0)), "") = "", "null", IFERROR(INDEX(WBS_Dictionary!L$2:L$1212, MATCH(Table2[[#This Row],[WBS_ID]], Table26[WBS CODE],0)), ""))</f>
        <v>Hardware Supply</v>
      </c>
      <c r="AC14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58" spans="1:31" hidden="1" x14ac:dyDescent="0.3">
      <c r="A1458" s="14" t="s">
        <v>2363</v>
      </c>
      <c r="B1458" s="14" t="s">
        <v>30</v>
      </c>
      <c r="C1458" s="14" t="s">
        <v>263</v>
      </c>
      <c r="D1458" s="14" t="s">
        <v>267</v>
      </c>
      <c r="E1458" s="14" t="s">
        <v>4136</v>
      </c>
      <c r="F1458" s="8">
        <v>0</v>
      </c>
      <c r="G1458" s="14" t="s">
        <v>2237</v>
      </c>
      <c r="H1458" s="16">
        <v>0</v>
      </c>
      <c r="I1458" s="14" t="s">
        <v>2237</v>
      </c>
      <c r="J1458" s="16">
        <v>0</v>
      </c>
      <c r="K1458" s="14" t="s">
        <v>2237</v>
      </c>
      <c r="L1458" s="16">
        <v>0</v>
      </c>
      <c r="M1458" s="14" t="s">
        <v>2237</v>
      </c>
      <c r="N1458" s="8">
        <v>156205.65</v>
      </c>
      <c r="O1458" s="14" t="s">
        <v>2237</v>
      </c>
      <c r="P1458" s="14" t="s">
        <v>2236</v>
      </c>
      <c r="Q1458" s="17" t="s">
        <v>2242</v>
      </c>
      <c r="R1458" s="17" t="s">
        <v>2238</v>
      </c>
      <c r="S1458" s="17" t="s">
        <v>2243</v>
      </c>
      <c r="T1458" s="17" t="s">
        <v>4142</v>
      </c>
      <c r="U14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5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E530-3012991-D235301</v>
      </c>
      <c r="X145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E530-301299127-D235301</v>
      </c>
      <c r="Y145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E530-30129912724-D235301</v>
      </c>
      <c r="Z145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58" s="10" t="str">
        <f>IF(IFERROR(INDEX(WBS_Dictionary!K$2:K$1212, MATCH(Table2[[#This Row],[WBS_ID]], Table26[WBS CODE],0)), "") = "", "null", IFERROR(INDEX(WBS_Dictionary!K$2:K$1212, MATCH(Table2[[#This Row],[WBS_ID]], Table26[WBS CODE],0)), ""))</f>
        <v>Permitting (IPPKH/IPJLPB)</v>
      </c>
      <c r="AB1458" s="10" t="str">
        <f>IF(IFERROR(INDEX(WBS_Dictionary!L$2:L$1212, MATCH(Table2[[#This Row],[WBS_ID]], Table26[WBS CODE],0)), "") = "", "null", IFERROR(INDEX(WBS_Dictionary!L$2:L$1212, MATCH(Table2[[#This Row],[WBS_ID]], Table26[WBS CODE],0)), ""))</f>
        <v>Hardware Supply</v>
      </c>
      <c r="AC1458" s="10" t="str">
        <f>IF(IFERROR(INDEX(WBS_Dictionary!M$2:M$1212, MATCH(Table2[[#This Row],[WBS_ID]], Table26[WBS CODE],0)), "") = "", "null", IFERROR(INDEX(WBS_Dictionary!M$2:M$1212, MATCH(Table2[[#This Row],[WBS_ID]], Table26[WBS CODE],0)), ""))</f>
        <v>Permitting</v>
      </c>
      <c r="AD14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59" spans="1:31" hidden="1" x14ac:dyDescent="0.3">
      <c r="A1459" s="14" t="s">
        <v>2364</v>
      </c>
      <c r="B1459" s="14" t="s">
        <v>21</v>
      </c>
      <c r="C1459" s="14" t="s">
        <v>269</v>
      </c>
      <c r="D1459" s="14" t="s">
        <v>270</v>
      </c>
      <c r="E1459" s="14" t="s">
        <v>4136</v>
      </c>
      <c r="F1459" s="8">
        <v>21246.78</v>
      </c>
      <c r="G1459" s="14" t="s">
        <v>2237</v>
      </c>
      <c r="H1459" s="16">
        <v>21246.78</v>
      </c>
      <c r="I1459" s="14" t="s">
        <v>2237</v>
      </c>
      <c r="J1459" s="16">
        <v>0</v>
      </c>
      <c r="K1459" s="14" t="s">
        <v>2237</v>
      </c>
      <c r="L1459" s="16">
        <v>0</v>
      </c>
      <c r="M1459" s="14" t="s">
        <v>2237</v>
      </c>
      <c r="N1459" s="8">
        <v>20405.189999999999</v>
      </c>
      <c r="O1459" s="14" t="s">
        <v>2237</v>
      </c>
      <c r="P1459" s="14" t="s">
        <v>2236</v>
      </c>
      <c r="Q1459" s="17" t="s">
        <v>2242</v>
      </c>
      <c r="R1459" s="17" t="s">
        <v>2238</v>
      </c>
      <c r="S1459" s="17" t="s">
        <v>2243</v>
      </c>
      <c r="T1459" s="17" t="s">
        <v>4137</v>
      </c>
      <c r="U145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5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5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E530-3012982-D235301</v>
      </c>
      <c r="X14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5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59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4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0" spans="1:31" hidden="1" x14ac:dyDescent="0.3">
      <c r="A1460" s="14" t="s">
        <v>2365</v>
      </c>
      <c r="B1460" s="14" t="s">
        <v>26</v>
      </c>
      <c r="C1460" s="14" t="s">
        <v>266</v>
      </c>
      <c r="D1460" s="14" t="s">
        <v>272</v>
      </c>
      <c r="E1460" s="14" t="s">
        <v>4136</v>
      </c>
      <c r="F1460" s="8">
        <v>21246.78</v>
      </c>
      <c r="G1460" s="14" t="s">
        <v>2237</v>
      </c>
      <c r="H1460" s="16">
        <v>21246.78</v>
      </c>
      <c r="I1460" s="14" t="s">
        <v>2237</v>
      </c>
      <c r="J1460" s="16">
        <v>0</v>
      </c>
      <c r="K1460" s="14" t="s">
        <v>2237</v>
      </c>
      <c r="L1460" s="16">
        <v>0</v>
      </c>
      <c r="M1460" s="14" t="s">
        <v>2237</v>
      </c>
      <c r="N1460" s="8">
        <v>20405.189999999999</v>
      </c>
      <c r="O1460" s="14" t="s">
        <v>2237</v>
      </c>
      <c r="P1460" s="14" t="s">
        <v>2236</v>
      </c>
      <c r="Q1460" s="17" t="s">
        <v>2242</v>
      </c>
      <c r="R1460" s="17" t="s">
        <v>2238</v>
      </c>
      <c r="S1460" s="17" t="s">
        <v>2243</v>
      </c>
      <c r="T1460" s="17" t="s">
        <v>4138</v>
      </c>
      <c r="U146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6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6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E530-3012982-D235301</v>
      </c>
      <c r="X146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E530-301298264-D235301</v>
      </c>
      <c r="Y14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60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460" s="10" t="str">
        <f>IF(IFERROR(INDEX(WBS_Dictionary!L$2:L$1212, MATCH(Table2[[#This Row],[WBS_ID]], Table26[WBS CODE],0)), "") = "", "null", IFERROR(INDEX(WBS_Dictionary!L$2:L$1212, MATCH(Table2[[#This Row],[WBS_ID]], Table26[WBS CODE],0)), ""))</f>
        <v>Drilling Facilities Support</v>
      </c>
      <c r="AC14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1" spans="1:31" hidden="1" x14ac:dyDescent="0.3">
      <c r="A1461" s="14" t="s">
        <v>2370</v>
      </c>
      <c r="B1461" s="14" t="s">
        <v>30</v>
      </c>
      <c r="C1461" s="14" t="s">
        <v>266</v>
      </c>
      <c r="D1461" s="14" t="s">
        <v>274</v>
      </c>
      <c r="E1461" s="14" t="s">
        <v>4136</v>
      </c>
      <c r="F1461" s="8">
        <v>0</v>
      </c>
      <c r="G1461" s="14" t="s">
        <v>2237</v>
      </c>
      <c r="H1461" s="16">
        <v>0</v>
      </c>
      <c r="I1461" s="14" t="s">
        <v>2237</v>
      </c>
      <c r="J1461" s="16">
        <v>0</v>
      </c>
      <c r="K1461" s="14" t="s">
        <v>2237</v>
      </c>
      <c r="L1461" s="16">
        <v>0</v>
      </c>
      <c r="M1461" s="14" t="s">
        <v>2237</v>
      </c>
      <c r="N1461" s="8">
        <v>20405.189999999999</v>
      </c>
      <c r="O1461" s="14" t="s">
        <v>2237</v>
      </c>
      <c r="P1461" s="14" t="s">
        <v>2236</v>
      </c>
      <c r="Q1461" s="17" t="s">
        <v>2242</v>
      </c>
      <c r="R1461" s="17" t="s">
        <v>2238</v>
      </c>
      <c r="S1461" s="17" t="s">
        <v>2243</v>
      </c>
      <c r="T1461" s="17" t="s">
        <v>4142</v>
      </c>
      <c r="U146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6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6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E530-3012982-D235301</v>
      </c>
      <c r="X146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E530-301298264-D235301</v>
      </c>
      <c r="Y146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E530-30129826460-D235301</v>
      </c>
      <c r="Z146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61" s="10" t="str">
        <f>IF(IFERROR(INDEX(WBS_Dictionary!K$2:K$1212, MATCH(Table2[[#This Row],[WBS_ID]], Table26[WBS CODE],0)), "") = "", "null", IFERROR(INDEX(WBS_Dictionary!K$2:K$1212, MATCH(Table2[[#This Row],[WBS_ID]], Table26[WBS CODE],0)), ""))</f>
        <v>IT &amp; Communication</v>
      </c>
      <c r="AB1461" s="10" t="str">
        <f>IF(IFERROR(INDEX(WBS_Dictionary!L$2:L$1212, MATCH(Table2[[#This Row],[WBS_ID]], Table26[WBS CODE],0)), "") = "", "null", IFERROR(INDEX(WBS_Dictionary!L$2:L$1212, MATCH(Table2[[#This Row],[WBS_ID]], Table26[WBS CODE],0)), ""))</f>
        <v>Drilling Facilities Support</v>
      </c>
      <c r="AC1461" s="10" t="str">
        <f>IF(IFERROR(INDEX(WBS_Dictionary!M$2:M$1212, MATCH(Table2[[#This Row],[WBS_ID]], Table26[WBS CODE],0)), "") = "", "null", IFERROR(INDEX(WBS_Dictionary!M$2:M$1212, MATCH(Table2[[#This Row],[WBS_ID]], Table26[WBS CODE],0)), ""))</f>
        <v>Hardware Supply</v>
      </c>
      <c r="AD14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2" spans="1:31" hidden="1" x14ac:dyDescent="0.3">
      <c r="A1462" s="14" t="s">
        <v>2374</v>
      </c>
      <c r="B1462" s="14" t="s">
        <v>21</v>
      </c>
      <c r="C1462" s="14" t="s">
        <v>273</v>
      </c>
      <c r="D1462" s="14" t="s">
        <v>275</v>
      </c>
      <c r="E1462" s="14" t="s">
        <v>4136</v>
      </c>
      <c r="F1462" s="8">
        <v>205294.01</v>
      </c>
      <c r="G1462" s="14" t="s">
        <v>2237</v>
      </c>
      <c r="H1462" s="16">
        <v>205294.01</v>
      </c>
      <c r="I1462" s="14" t="s">
        <v>2237</v>
      </c>
      <c r="J1462" s="16">
        <v>0</v>
      </c>
      <c r="K1462" s="14" t="s">
        <v>2237</v>
      </c>
      <c r="L1462" s="16">
        <v>0</v>
      </c>
      <c r="M1462" s="14" t="s">
        <v>2237</v>
      </c>
      <c r="N1462" s="8">
        <v>188116.74</v>
      </c>
      <c r="O1462" s="14" t="s">
        <v>2237</v>
      </c>
      <c r="P1462" s="14" t="s">
        <v>2236</v>
      </c>
      <c r="Q1462" s="17" t="s">
        <v>2242</v>
      </c>
      <c r="R1462" s="17" t="s">
        <v>2238</v>
      </c>
      <c r="S1462" s="17" t="s">
        <v>2243</v>
      </c>
      <c r="T1462" s="17" t="s">
        <v>4137</v>
      </c>
      <c r="U146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6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6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E530-3012914-D235301</v>
      </c>
      <c r="X14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62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14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3" spans="1:31" hidden="1" x14ac:dyDescent="0.3">
      <c r="A1463" s="14" t="s">
        <v>2377</v>
      </c>
      <c r="B1463" s="14" t="s">
        <v>26</v>
      </c>
      <c r="C1463" s="14" t="s">
        <v>273</v>
      </c>
      <c r="D1463" s="14" t="s">
        <v>276</v>
      </c>
      <c r="E1463" s="14" t="s">
        <v>4136</v>
      </c>
      <c r="F1463" s="8">
        <v>205294.01</v>
      </c>
      <c r="G1463" s="14" t="s">
        <v>2237</v>
      </c>
      <c r="H1463" s="16">
        <v>205294.01</v>
      </c>
      <c r="I1463" s="14" t="s">
        <v>2237</v>
      </c>
      <c r="J1463" s="16">
        <v>0</v>
      </c>
      <c r="K1463" s="14" t="s">
        <v>2237</v>
      </c>
      <c r="L1463" s="16">
        <v>0</v>
      </c>
      <c r="M1463" s="14" t="s">
        <v>2237</v>
      </c>
      <c r="N1463" s="8">
        <v>188116.74</v>
      </c>
      <c r="O1463" s="14" t="s">
        <v>2237</v>
      </c>
      <c r="P1463" s="14" t="s">
        <v>2236</v>
      </c>
      <c r="Q1463" s="17" t="s">
        <v>2242</v>
      </c>
      <c r="R1463" s="17" t="s">
        <v>2238</v>
      </c>
      <c r="S1463" s="17" t="s">
        <v>2243</v>
      </c>
      <c r="T1463" s="17" t="s">
        <v>4138</v>
      </c>
      <c r="U146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6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6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E530-3012914-D235301</v>
      </c>
      <c r="X146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E530-301291463-D235301</v>
      </c>
      <c r="Y14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63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1463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14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4" spans="1:31" hidden="1" x14ac:dyDescent="0.3">
      <c r="A1464" s="14" t="s">
        <v>2380</v>
      </c>
      <c r="B1464" s="14" t="s">
        <v>30</v>
      </c>
      <c r="C1464" s="14" t="s">
        <v>273</v>
      </c>
      <c r="D1464" s="14" t="s">
        <v>278</v>
      </c>
      <c r="E1464" s="14" t="s">
        <v>4136</v>
      </c>
      <c r="F1464" s="8">
        <v>0</v>
      </c>
      <c r="G1464" s="14" t="s">
        <v>2237</v>
      </c>
      <c r="H1464" s="16">
        <v>0</v>
      </c>
      <c r="I1464" s="14" t="s">
        <v>2237</v>
      </c>
      <c r="J1464" s="16">
        <v>0</v>
      </c>
      <c r="K1464" s="14" t="s">
        <v>2237</v>
      </c>
      <c r="L1464" s="16">
        <v>0</v>
      </c>
      <c r="M1464" s="14" t="s">
        <v>2237</v>
      </c>
      <c r="N1464" s="8">
        <v>188116.74</v>
      </c>
      <c r="O1464" s="14" t="s">
        <v>2237</v>
      </c>
      <c r="P1464" s="14" t="s">
        <v>2236</v>
      </c>
      <c r="Q1464" s="17" t="s">
        <v>2242</v>
      </c>
      <c r="R1464" s="17" t="s">
        <v>2238</v>
      </c>
      <c r="S1464" s="17" t="s">
        <v>2243</v>
      </c>
      <c r="T1464" s="17" t="s">
        <v>4142</v>
      </c>
      <c r="U146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46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46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E530-3012914-D235301</v>
      </c>
      <c r="X146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E530-301291463-D235301</v>
      </c>
      <c r="Y1464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E530-30129146321-D235301</v>
      </c>
      <c r="Z146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464" s="10" t="str">
        <f>IF(IFERROR(INDEX(WBS_Dictionary!K$2:K$1212, MATCH(Table2[[#This Row],[WBS_ID]], Table26[WBS CODE],0)), "") = "", "null", IFERROR(INDEX(WBS_Dictionary!K$2:K$1212, MATCH(Table2[[#This Row],[WBS_ID]], Table26[WBS CODE],0)), ""))</f>
        <v>Drilling Facilities Support</v>
      </c>
      <c r="AB1464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1464" s="10" t="str">
        <f>IF(IFERROR(INDEX(WBS_Dictionary!M$2:M$1212, MATCH(Table2[[#This Row],[WBS_ID]], Table26[WBS CODE],0)), "") = "", "null", IFERROR(INDEX(WBS_Dictionary!M$2:M$1212, MATCH(Table2[[#This Row],[WBS_ID]], Table26[WBS CODE],0)), ""))</f>
        <v>Drilling Facilities Support</v>
      </c>
      <c r="AD14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5" spans="1:31" hidden="1" x14ac:dyDescent="0.3">
      <c r="A1465" s="14" t="s">
        <v>2383</v>
      </c>
      <c r="B1465" s="14" t="s">
        <v>2366</v>
      </c>
      <c r="C1465" s="14" t="s">
        <v>4143</v>
      </c>
      <c r="D1465" s="14" t="s">
        <v>4144</v>
      </c>
      <c r="E1465" s="14" t="s">
        <v>2236</v>
      </c>
      <c r="F1465" s="8">
        <v>0</v>
      </c>
      <c r="G1465" s="14" t="s">
        <v>2237</v>
      </c>
      <c r="H1465" s="16">
        <v>0</v>
      </c>
      <c r="I1465" s="14" t="s">
        <v>2237</v>
      </c>
      <c r="J1465" s="16">
        <v>0</v>
      </c>
      <c r="K1465" s="14" t="s">
        <v>2237</v>
      </c>
      <c r="L1465" s="16">
        <v>0</v>
      </c>
      <c r="M1465" s="14" t="s">
        <v>2237</v>
      </c>
      <c r="N1465" s="8">
        <v>0.16</v>
      </c>
      <c r="O1465" s="14" t="s">
        <v>2237</v>
      </c>
      <c r="P1465" s="14" t="s">
        <v>2236</v>
      </c>
      <c r="Q1465" s="17" t="s">
        <v>2236</v>
      </c>
      <c r="R1465" s="17" t="s">
        <v>2236</v>
      </c>
      <c r="S1465" s="17" t="s">
        <v>2236</v>
      </c>
      <c r="T1465" s="17" t="s">
        <v>2929</v>
      </c>
      <c r="U14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6" spans="1:31" hidden="1" x14ac:dyDescent="0.3">
      <c r="A1466" s="14" t="s">
        <v>2386</v>
      </c>
      <c r="B1466" s="14" t="s">
        <v>2371</v>
      </c>
      <c r="C1466" s="14" t="s">
        <v>4145</v>
      </c>
      <c r="D1466" s="14" t="s">
        <v>4146</v>
      </c>
      <c r="E1466" s="14" t="s">
        <v>2236</v>
      </c>
      <c r="F1466" s="8">
        <v>0</v>
      </c>
      <c r="G1466" s="14" t="s">
        <v>2237</v>
      </c>
      <c r="H1466" s="16">
        <v>0</v>
      </c>
      <c r="I1466" s="14" t="s">
        <v>2237</v>
      </c>
      <c r="J1466" s="16">
        <v>0</v>
      </c>
      <c r="K1466" s="14" t="s">
        <v>2237</v>
      </c>
      <c r="L1466" s="16">
        <v>0</v>
      </c>
      <c r="M1466" s="14" t="s">
        <v>2237</v>
      </c>
      <c r="N1466" s="8">
        <v>0</v>
      </c>
      <c r="O1466" s="14" t="s">
        <v>2237</v>
      </c>
      <c r="P1466" s="14" t="s">
        <v>2236</v>
      </c>
      <c r="Q1466" s="17" t="s">
        <v>2236</v>
      </c>
      <c r="R1466" s="17" t="s">
        <v>2236</v>
      </c>
      <c r="S1466" s="17" t="s">
        <v>2236</v>
      </c>
      <c r="T1466" s="17" t="s">
        <v>2236</v>
      </c>
      <c r="U14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7" spans="1:31" hidden="1" x14ac:dyDescent="0.3">
      <c r="A1467" s="14" t="s">
        <v>2389</v>
      </c>
      <c r="B1467" s="14" t="s">
        <v>2371</v>
      </c>
      <c r="C1467" s="14" t="s">
        <v>4147</v>
      </c>
      <c r="D1467" s="14" t="s">
        <v>4148</v>
      </c>
      <c r="E1467" s="14" t="s">
        <v>2236</v>
      </c>
      <c r="F1467" s="8">
        <v>0</v>
      </c>
      <c r="G1467" s="14" t="s">
        <v>2237</v>
      </c>
      <c r="H1467" s="16">
        <v>0</v>
      </c>
      <c r="I1467" s="14" t="s">
        <v>2237</v>
      </c>
      <c r="J1467" s="16">
        <v>0</v>
      </c>
      <c r="K1467" s="14" t="s">
        <v>2237</v>
      </c>
      <c r="L1467" s="16">
        <v>0</v>
      </c>
      <c r="M1467" s="14" t="s">
        <v>2237</v>
      </c>
      <c r="N1467" s="8">
        <v>0</v>
      </c>
      <c r="O1467" s="14" t="s">
        <v>2237</v>
      </c>
      <c r="P1467" s="14" t="s">
        <v>2236</v>
      </c>
      <c r="Q1467" s="17" t="s">
        <v>2236</v>
      </c>
      <c r="R1467" s="17" t="s">
        <v>2236</v>
      </c>
      <c r="S1467" s="17" t="s">
        <v>2236</v>
      </c>
      <c r="T1467" s="17" t="s">
        <v>2236</v>
      </c>
      <c r="U14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8" spans="1:31" hidden="1" x14ac:dyDescent="0.3">
      <c r="A1468" s="14" t="s">
        <v>2392</v>
      </c>
      <c r="B1468" s="14" t="s">
        <v>2371</v>
      </c>
      <c r="C1468" s="14" t="s">
        <v>4149</v>
      </c>
      <c r="D1468" s="14" t="s">
        <v>4150</v>
      </c>
      <c r="E1468" s="14" t="s">
        <v>2236</v>
      </c>
      <c r="F1468" s="8">
        <v>0</v>
      </c>
      <c r="G1468" s="14" t="s">
        <v>2237</v>
      </c>
      <c r="H1468" s="16">
        <v>0</v>
      </c>
      <c r="I1468" s="14" t="s">
        <v>2237</v>
      </c>
      <c r="J1468" s="16">
        <v>0</v>
      </c>
      <c r="K1468" s="14" t="s">
        <v>2237</v>
      </c>
      <c r="L1468" s="16">
        <v>0</v>
      </c>
      <c r="M1468" s="14" t="s">
        <v>2237</v>
      </c>
      <c r="N1468" s="8">
        <v>0</v>
      </c>
      <c r="O1468" s="14" t="s">
        <v>2237</v>
      </c>
      <c r="P1468" s="14" t="s">
        <v>2236</v>
      </c>
      <c r="Q1468" s="17" t="s">
        <v>2236</v>
      </c>
      <c r="R1468" s="17" t="s">
        <v>2236</v>
      </c>
      <c r="S1468" s="17" t="s">
        <v>2236</v>
      </c>
      <c r="T1468" s="17" t="s">
        <v>2236</v>
      </c>
      <c r="U14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69" spans="1:31" hidden="1" x14ac:dyDescent="0.3">
      <c r="A1469" s="14" t="s">
        <v>2395</v>
      </c>
      <c r="B1469" s="14" t="s">
        <v>2371</v>
      </c>
      <c r="C1469" s="14" t="s">
        <v>4151</v>
      </c>
      <c r="D1469" s="14" t="s">
        <v>4152</v>
      </c>
      <c r="E1469" s="14" t="s">
        <v>2236</v>
      </c>
      <c r="F1469" s="8">
        <v>0</v>
      </c>
      <c r="G1469" s="14" t="s">
        <v>2237</v>
      </c>
      <c r="H1469" s="16">
        <v>0</v>
      </c>
      <c r="I1469" s="14" t="s">
        <v>2237</v>
      </c>
      <c r="J1469" s="16">
        <v>0</v>
      </c>
      <c r="K1469" s="14" t="s">
        <v>2237</v>
      </c>
      <c r="L1469" s="16">
        <v>0</v>
      </c>
      <c r="M1469" s="14" t="s">
        <v>2237</v>
      </c>
      <c r="N1469" s="8">
        <v>0</v>
      </c>
      <c r="O1469" s="14" t="s">
        <v>2237</v>
      </c>
      <c r="P1469" s="14" t="s">
        <v>2236</v>
      </c>
      <c r="Q1469" s="17" t="s">
        <v>2236</v>
      </c>
      <c r="R1469" s="17" t="s">
        <v>2236</v>
      </c>
      <c r="S1469" s="17" t="s">
        <v>2236</v>
      </c>
      <c r="T1469" s="17" t="s">
        <v>2236</v>
      </c>
      <c r="U14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0" spans="1:31" hidden="1" x14ac:dyDescent="0.3">
      <c r="A1470" s="14" t="s">
        <v>2396</v>
      </c>
      <c r="B1470" s="14" t="s">
        <v>2366</v>
      </c>
      <c r="C1470" s="14" t="s">
        <v>4153</v>
      </c>
      <c r="D1470" s="14" t="s">
        <v>4154</v>
      </c>
      <c r="E1470" s="14" t="s">
        <v>2236</v>
      </c>
      <c r="F1470" s="8">
        <v>0</v>
      </c>
      <c r="G1470" s="14" t="s">
        <v>2237</v>
      </c>
      <c r="H1470" s="16">
        <v>0</v>
      </c>
      <c r="I1470" s="14" t="s">
        <v>2237</v>
      </c>
      <c r="J1470" s="16">
        <v>0</v>
      </c>
      <c r="K1470" s="14" t="s">
        <v>2237</v>
      </c>
      <c r="L1470" s="16">
        <v>0</v>
      </c>
      <c r="M1470" s="14" t="s">
        <v>2237</v>
      </c>
      <c r="N1470" s="8">
        <v>4.0199999999999996</v>
      </c>
      <c r="O1470" s="14" t="s">
        <v>2237</v>
      </c>
      <c r="P1470" s="14" t="s">
        <v>2236</v>
      </c>
      <c r="Q1470" s="17" t="s">
        <v>2236</v>
      </c>
      <c r="R1470" s="17" t="s">
        <v>2236</v>
      </c>
      <c r="S1470" s="17" t="s">
        <v>2236</v>
      </c>
      <c r="T1470" s="17" t="s">
        <v>2929</v>
      </c>
      <c r="U14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1" spans="1:31" hidden="1" x14ac:dyDescent="0.3">
      <c r="A1471" s="14" t="s">
        <v>2397</v>
      </c>
      <c r="B1471" s="14" t="s">
        <v>2371</v>
      </c>
      <c r="C1471" s="14" t="s">
        <v>4155</v>
      </c>
      <c r="D1471" s="14" t="s">
        <v>4156</v>
      </c>
      <c r="E1471" s="14" t="s">
        <v>2236</v>
      </c>
      <c r="F1471" s="8">
        <v>0</v>
      </c>
      <c r="G1471" s="14" t="s">
        <v>2237</v>
      </c>
      <c r="H1471" s="16">
        <v>0</v>
      </c>
      <c r="I1471" s="14" t="s">
        <v>2237</v>
      </c>
      <c r="J1471" s="16">
        <v>0</v>
      </c>
      <c r="K1471" s="14" t="s">
        <v>2237</v>
      </c>
      <c r="L1471" s="16">
        <v>0</v>
      </c>
      <c r="M1471" s="14" t="s">
        <v>2237</v>
      </c>
      <c r="N1471" s="8">
        <v>0</v>
      </c>
      <c r="O1471" s="14" t="s">
        <v>2237</v>
      </c>
      <c r="P1471" s="14" t="s">
        <v>2236</v>
      </c>
      <c r="Q1471" s="17" t="s">
        <v>2236</v>
      </c>
      <c r="R1471" s="17" t="s">
        <v>2236</v>
      </c>
      <c r="S1471" s="17" t="s">
        <v>2236</v>
      </c>
      <c r="T1471" s="17" t="s">
        <v>2236</v>
      </c>
      <c r="U14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2" spans="1:31" hidden="1" x14ac:dyDescent="0.3">
      <c r="A1472" s="14" t="s">
        <v>2398</v>
      </c>
      <c r="B1472" s="14" t="s">
        <v>2371</v>
      </c>
      <c r="C1472" s="14" t="s">
        <v>4157</v>
      </c>
      <c r="D1472" s="14" t="s">
        <v>4158</v>
      </c>
      <c r="E1472" s="14" t="s">
        <v>2236</v>
      </c>
      <c r="F1472" s="8">
        <v>0</v>
      </c>
      <c r="G1472" s="14" t="s">
        <v>2237</v>
      </c>
      <c r="H1472" s="16">
        <v>0</v>
      </c>
      <c r="I1472" s="14" t="s">
        <v>2237</v>
      </c>
      <c r="J1472" s="16">
        <v>0</v>
      </c>
      <c r="K1472" s="14" t="s">
        <v>2237</v>
      </c>
      <c r="L1472" s="16">
        <v>0</v>
      </c>
      <c r="M1472" s="14" t="s">
        <v>2237</v>
      </c>
      <c r="N1472" s="8">
        <v>0</v>
      </c>
      <c r="O1472" s="14" t="s">
        <v>2237</v>
      </c>
      <c r="P1472" s="14" t="s">
        <v>2236</v>
      </c>
      <c r="Q1472" s="17" t="s">
        <v>2236</v>
      </c>
      <c r="R1472" s="17" t="s">
        <v>2236</v>
      </c>
      <c r="S1472" s="17" t="s">
        <v>2236</v>
      </c>
      <c r="T1472" s="17" t="s">
        <v>2236</v>
      </c>
      <c r="U14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3" spans="1:31" hidden="1" x14ac:dyDescent="0.3">
      <c r="A1473" s="14" t="s">
        <v>2399</v>
      </c>
      <c r="B1473" s="14" t="s">
        <v>2371</v>
      </c>
      <c r="C1473" s="14" t="s">
        <v>4159</v>
      </c>
      <c r="D1473" s="14" t="s">
        <v>4160</v>
      </c>
      <c r="E1473" s="14" t="s">
        <v>2236</v>
      </c>
      <c r="F1473" s="8">
        <v>0</v>
      </c>
      <c r="G1473" s="14" t="s">
        <v>2237</v>
      </c>
      <c r="H1473" s="16">
        <v>0</v>
      </c>
      <c r="I1473" s="14" t="s">
        <v>2237</v>
      </c>
      <c r="J1473" s="16">
        <v>0</v>
      </c>
      <c r="K1473" s="14" t="s">
        <v>2237</v>
      </c>
      <c r="L1473" s="16">
        <v>0</v>
      </c>
      <c r="M1473" s="14" t="s">
        <v>2237</v>
      </c>
      <c r="N1473" s="8">
        <v>0</v>
      </c>
      <c r="O1473" s="14" t="s">
        <v>2237</v>
      </c>
      <c r="P1473" s="14" t="s">
        <v>2236</v>
      </c>
      <c r="Q1473" s="17" t="s">
        <v>2236</v>
      </c>
      <c r="R1473" s="17" t="s">
        <v>2236</v>
      </c>
      <c r="S1473" s="17" t="s">
        <v>2236</v>
      </c>
      <c r="T1473" s="17" t="s">
        <v>2236</v>
      </c>
      <c r="U14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4" spans="1:31" hidden="1" x14ac:dyDescent="0.3">
      <c r="A1474" s="14" t="s">
        <v>2401</v>
      </c>
      <c r="B1474" s="14" t="s">
        <v>2371</v>
      </c>
      <c r="C1474" s="14" t="s">
        <v>2902</v>
      </c>
      <c r="D1474" s="14" t="s">
        <v>4161</v>
      </c>
      <c r="E1474" s="14" t="s">
        <v>2236</v>
      </c>
      <c r="F1474" s="8">
        <v>0</v>
      </c>
      <c r="G1474" s="14" t="s">
        <v>2237</v>
      </c>
      <c r="H1474" s="16">
        <v>0</v>
      </c>
      <c r="I1474" s="14" t="s">
        <v>2237</v>
      </c>
      <c r="J1474" s="16">
        <v>0</v>
      </c>
      <c r="K1474" s="14" t="s">
        <v>2237</v>
      </c>
      <c r="L1474" s="16">
        <v>0</v>
      </c>
      <c r="M1474" s="14" t="s">
        <v>2237</v>
      </c>
      <c r="N1474" s="8">
        <v>0</v>
      </c>
      <c r="O1474" s="14" t="s">
        <v>2237</v>
      </c>
      <c r="P1474" s="14" t="s">
        <v>2236</v>
      </c>
      <c r="Q1474" s="17" t="s">
        <v>2236</v>
      </c>
      <c r="R1474" s="17" t="s">
        <v>2236</v>
      </c>
      <c r="S1474" s="17" t="s">
        <v>2236</v>
      </c>
      <c r="T1474" s="17" t="s">
        <v>2236</v>
      </c>
      <c r="U14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5" spans="1:31" hidden="1" x14ac:dyDescent="0.3">
      <c r="A1475" s="14" t="s">
        <v>2402</v>
      </c>
      <c r="B1475" s="14" t="s">
        <v>2371</v>
      </c>
      <c r="C1475" s="14" t="s">
        <v>4162</v>
      </c>
      <c r="D1475" s="14" t="s">
        <v>4163</v>
      </c>
      <c r="E1475" s="14" t="s">
        <v>2236</v>
      </c>
      <c r="F1475" s="8">
        <v>0</v>
      </c>
      <c r="G1475" s="14" t="s">
        <v>2237</v>
      </c>
      <c r="H1475" s="16">
        <v>0</v>
      </c>
      <c r="I1475" s="14" t="s">
        <v>2237</v>
      </c>
      <c r="J1475" s="16">
        <v>0</v>
      </c>
      <c r="K1475" s="14" t="s">
        <v>2237</v>
      </c>
      <c r="L1475" s="16">
        <v>0</v>
      </c>
      <c r="M1475" s="14" t="s">
        <v>2237</v>
      </c>
      <c r="N1475" s="8">
        <v>0</v>
      </c>
      <c r="O1475" s="14" t="s">
        <v>2237</v>
      </c>
      <c r="P1475" s="14" t="s">
        <v>2236</v>
      </c>
      <c r="Q1475" s="17" t="s">
        <v>2236</v>
      </c>
      <c r="R1475" s="17" t="s">
        <v>2236</v>
      </c>
      <c r="S1475" s="17" t="s">
        <v>2236</v>
      </c>
      <c r="T1475" s="17" t="s">
        <v>2236</v>
      </c>
      <c r="U14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6" spans="1:31" hidden="1" x14ac:dyDescent="0.3">
      <c r="A1476" s="14" t="s">
        <v>2403</v>
      </c>
      <c r="B1476" s="14" t="s">
        <v>2371</v>
      </c>
      <c r="C1476" s="14" t="s">
        <v>4164</v>
      </c>
      <c r="D1476" s="14" t="s">
        <v>4165</v>
      </c>
      <c r="E1476" s="14" t="s">
        <v>2236</v>
      </c>
      <c r="F1476" s="8">
        <v>0</v>
      </c>
      <c r="G1476" s="14" t="s">
        <v>2237</v>
      </c>
      <c r="H1476" s="16">
        <v>0</v>
      </c>
      <c r="I1476" s="14" t="s">
        <v>2237</v>
      </c>
      <c r="J1476" s="16">
        <v>0</v>
      </c>
      <c r="K1476" s="14" t="s">
        <v>2237</v>
      </c>
      <c r="L1476" s="16">
        <v>0</v>
      </c>
      <c r="M1476" s="14" t="s">
        <v>2237</v>
      </c>
      <c r="N1476" s="8">
        <v>0</v>
      </c>
      <c r="O1476" s="14" t="s">
        <v>2237</v>
      </c>
      <c r="P1476" s="14" t="s">
        <v>2236</v>
      </c>
      <c r="Q1476" s="17" t="s">
        <v>2236</v>
      </c>
      <c r="R1476" s="17" t="s">
        <v>2236</v>
      </c>
      <c r="S1476" s="17" t="s">
        <v>2236</v>
      </c>
      <c r="T1476" s="17" t="s">
        <v>2236</v>
      </c>
      <c r="U14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7" spans="1:31" hidden="1" x14ac:dyDescent="0.3">
      <c r="A1477" s="14" t="s">
        <v>2404</v>
      </c>
      <c r="B1477" s="14" t="s">
        <v>2371</v>
      </c>
      <c r="C1477" s="14" t="s">
        <v>2902</v>
      </c>
      <c r="D1477" s="14" t="s">
        <v>4166</v>
      </c>
      <c r="E1477" s="14" t="s">
        <v>2236</v>
      </c>
      <c r="F1477" s="8">
        <v>0</v>
      </c>
      <c r="G1477" s="14" t="s">
        <v>2237</v>
      </c>
      <c r="H1477" s="16">
        <v>0</v>
      </c>
      <c r="I1477" s="14" t="s">
        <v>2237</v>
      </c>
      <c r="J1477" s="16">
        <v>0</v>
      </c>
      <c r="K1477" s="14" t="s">
        <v>2237</v>
      </c>
      <c r="L1477" s="16">
        <v>0</v>
      </c>
      <c r="M1477" s="14" t="s">
        <v>2237</v>
      </c>
      <c r="N1477" s="8">
        <v>0</v>
      </c>
      <c r="O1477" s="14" t="s">
        <v>2237</v>
      </c>
      <c r="P1477" s="14" t="s">
        <v>2236</v>
      </c>
      <c r="Q1477" s="17" t="s">
        <v>2236</v>
      </c>
      <c r="R1477" s="17" t="s">
        <v>2236</v>
      </c>
      <c r="S1477" s="17" t="s">
        <v>2236</v>
      </c>
      <c r="T1477" s="17" t="s">
        <v>2236</v>
      </c>
      <c r="U14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8" spans="1:31" hidden="1" x14ac:dyDescent="0.3">
      <c r="A1478" s="14" t="s">
        <v>2405</v>
      </c>
      <c r="B1478" s="14" t="s">
        <v>2371</v>
      </c>
      <c r="C1478" s="14" t="s">
        <v>4167</v>
      </c>
      <c r="D1478" s="14" t="s">
        <v>4168</v>
      </c>
      <c r="E1478" s="14" t="s">
        <v>2236</v>
      </c>
      <c r="F1478" s="8">
        <v>0</v>
      </c>
      <c r="G1478" s="14" t="s">
        <v>2237</v>
      </c>
      <c r="H1478" s="16">
        <v>0</v>
      </c>
      <c r="I1478" s="14" t="s">
        <v>2237</v>
      </c>
      <c r="J1478" s="16">
        <v>0</v>
      </c>
      <c r="K1478" s="14" t="s">
        <v>2237</v>
      </c>
      <c r="L1478" s="16">
        <v>0</v>
      </c>
      <c r="M1478" s="14" t="s">
        <v>2237</v>
      </c>
      <c r="N1478" s="8">
        <v>0</v>
      </c>
      <c r="O1478" s="14" t="s">
        <v>2237</v>
      </c>
      <c r="P1478" s="14" t="s">
        <v>2236</v>
      </c>
      <c r="Q1478" s="17" t="s">
        <v>2236</v>
      </c>
      <c r="R1478" s="17" t="s">
        <v>2236</v>
      </c>
      <c r="S1478" s="17" t="s">
        <v>2236</v>
      </c>
      <c r="T1478" s="17" t="s">
        <v>2236</v>
      </c>
      <c r="U14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79" spans="1:31" hidden="1" x14ac:dyDescent="0.3">
      <c r="A1479" s="14" t="s">
        <v>2406</v>
      </c>
      <c r="B1479" s="14" t="s">
        <v>2371</v>
      </c>
      <c r="C1479" s="14" t="s">
        <v>4169</v>
      </c>
      <c r="D1479" s="14" t="s">
        <v>4170</v>
      </c>
      <c r="E1479" s="14" t="s">
        <v>2236</v>
      </c>
      <c r="F1479" s="8">
        <v>0</v>
      </c>
      <c r="G1479" s="14" t="s">
        <v>2237</v>
      </c>
      <c r="H1479" s="16">
        <v>0</v>
      </c>
      <c r="I1479" s="14" t="s">
        <v>2237</v>
      </c>
      <c r="J1479" s="16">
        <v>0</v>
      </c>
      <c r="K1479" s="14" t="s">
        <v>2237</v>
      </c>
      <c r="L1479" s="16">
        <v>0</v>
      </c>
      <c r="M1479" s="14" t="s">
        <v>2237</v>
      </c>
      <c r="N1479" s="8">
        <v>0</v>
      </c>
      <c r="O1479" s="14" t="s">
        <v>2237</v>
      </c>
      <c r="P1479" s="14" t="s">
        <v>2236</v>
      </c>
      <c r="Q1479" s="17" t="s">
        <v>2236</v>
      </c>
      <c r="R1479" s="17" t="s">
        <v>2236</v>
      </c>
      <c r="S1479" s="17" t="s">
        <v>2236</v>
      </c>
      <c r="T1479" s="17" t="s">
        <v>2236</v>
      </c>
      <c r="U14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0" spans="1:31" hidden="1" x14ac:dyDescent="0.3">
      <c r="A1480" s="14" t="s">
        <v>2407</v>
      </c>
      <c r="B1480" s="14" t="s">
        <v>2371</v>
      </c>
      <c r="C1480" s="14" t="s">
        <v>2902</v>
      </c>
      <c r="D1480" s="14" t="s">
        <v>4171</v>
      </c>
      <c r="E1480" s="14" t="s">
        <v>2236</v>
      </c>
      <c r="F1480" s="8">
        <v>0</v>
      </c>
      <c r="G1480" s="14" t="s">
        <v>2237</v>
      </c>
      <c r="H1480" s="16">
        <v>0</v>
      </c>
      <c r="I1480" s="14" t="s">
        <v>2237</v>
      </c>
      <c r="J1480" s="16">
        <v>0</v>
      </c>
      <c r="K1480" s="14" t="s">
        <v>2237</v>
      </c>
      <c r="L1480" s="16">
        <v>0</v>
      </c>
      <c r="M1480" s="14" t="s">
        <v>2237</v>
      </c>
      <c r="N1480" s="8">
        <v>0</v>
      </c>
      <c r="O1480" s="14" t="s">
        <v>2237</v>
      </c>
      <c r="P1480" s="14" t="s">
        <v>2236</v>
      </c>
      <c r="Q1480" s="17" t="s">
        <v>2236</v>
      </c>
      <c r="R1480" s="17" t="s">
        <v>2236</v>
      </c>
      <c r="S1480" s="17" t="s">
        <v>2236</v>
      </c>
      <c r="T1480" s="17" t="s">
        <v>2236</v>
      </c>
      <c r="U14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1" spans="1:31" hidden="1" x14ac:dyDescent="0.3">
      <c r="A1481" s="14" t="s">
        <v>2408</v>
      </c>
      <c r="B1481" s="14" t="s">
        <v>2371</v>
      </c>
      <c r="C1481" s="14" t="s">
        <v>4172</v>
      </c>
      <c r="D1481" s="14" t="s">
        <v>4173</v>
      </c>
      <c r="E1481" s="14" t="s">
        <v>2236</v>
      </c>
      <c r="F1481" s="8">
        <v>0</v>
      </c>
      <c r="G1481" s="14" t="s">
        <v>2237</v>
      </c>
      <c r="H1481" s="16">
        <v>0</v>
      </c>
      <c r="I1481" s="14" t="s">
        <v>2237</v>
      </c>
      <c r="J1481" s="16">
        <v>0</v>
      </c>
      <c r="K1481" s="14" t="s">
        <v>2237</v>
      </c>
      <c r="L1481" s="16">
        <v>0</v>
      </c>
      <c r="M1481" s="14" t="s">
        <v>2237</v>
      </c>
      <c r="N1481" s="8">
        <v>0</v>
      </c>
      <c r="O1481" s="14" t="s">
        <v>2237</v>
      </c>
      <c r="P1481" s="14" t="s">
        <v>2236</v>
      </c>
      <c r="Q1481" s="17" t="s">
        <v>2236</v>
      </c>
      <c r="R1481" s="17" t="s">
        <v>2236</v>
      </c>
      <c r="S1481" s="17" t="s">
        <v>2236</v>
      </c>
      <c r="T1481" s="17" t="s">
        <v>2236</v>
      </c>
      <c r="U14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2" spans="1:31" hidden="1" x14ac:dyDescent="0.3">
      <c r="A1482" s="14" t="s">
        <v>2409</v>
      </c>
      <c r="B1482" s="14" t="s">
        <v>2371</v>
      </c>
      <c r="C1482" s="14" t="s">
        <v>4174</v>
      </c>
      <c r="D1482" s="14" t="s">
        <v>4175</v>
      </c>
      <c r="E1482" s="14" t="s">
        <v>2236</v>
      </c>
      <c r="F1482" s="8">
        <v>0</v>
      </c>
      <c r="G1482" s="14" t="s">
        <v>2237</v>
      </c>
      <c r="H1482" s="16">
        <v>0</v>
      </c>
      <c r="I1482" s="14" t="s">
        <v>2237</v>
      </c>
      <c r="J1482" s="16">
        <v>0</v>
      </c>
      <c r="K1482" s="14" t="s">
        <v>2237</v>
      </c>
      <c r="L1482" s="16">
        <v>0</v>
      </c>
      <c r="M1482" s="14" t="s">
        <v>2237</v>
      </c>
      <c r="N1482" s="8">
        <v>0</v>
      </c>
      <c r="O1482" s="14" t="s">
        <v>2237</v>
      </c>
      <c r="P1482" s="14" t="s">
        <v>2236</v>
      </c>
      <c r="Q1482" s="17" t="s">
        <v>2236</v>
      </c>
      <c r="R1482" s="17" t="s">
        <v>2236</v>
      </c>
      <c r="S1482" s="17" t="s">
        <v>2236</v>
      </c>
      <c r="T1482" s="17" t="s">
        <v>2236</v>
      </c>
      <c r="U14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3" spans="1:31" hidden="1" x14ac:dyDescent="0.3">
      <c r="A1483" s="14" t="s">
        <v>2410</v>
      </c>
      <c r="B1483" s="14" t="s">
        <v>2371</v>
      </c>
      <c r="C1483" s="14" t="s">
        <v>4176</v>
      </c>
      <c r="D1483" s="14" t="s">
        <v>4177</v>
      </c>
      <c r="E1483" s="14" t="s">
        <v>2236</v>
      </c>
      <c r="F1483" s="8">
        <v>0</v>
      </c>
      <c r="G1483" s="14" t="s">
        <v>2237</v>
      </c>
      <c r="H1483" s="16">
        <v>0</v>
      </c>
      <c r="I1483" s="14" t="s">
        <v>2237</v>
      </c>
      <c r="J1483" s="16">
        <v>0</v>
      </c>
      <c r="K1483" s="14" t="s">
        <v>2237</v>
      </c>
      <c r="L1483" s="16">
        <v>0</v>
      </c>
      <c r="M1483" s="14" t="s">
        <v>2237</v>
      </c>
      <c r="N1483" s="8">
        <v>0</v>
      </c>
      <c r="O1483" s="14" t="s">
        <v>2237</v>
      </c>
      <c r="P1483" s="14" t="s">
        <v>2236</v>
      </c>
      <c r="Q1483" s="17" t="s">
        <v>2236</v>
      </c>
      <c r="R1483" s="17" t="s">
        <v>2236</v>
      </c>
      <c r="S1483" s="17" t="s">
        <v>2236</v>
      </c>
      <c r="T1483" s="17" t="s">
        <v>2236</v>
      </c>
      <c r="U14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4" spans="1:31" hidden="1" x14ac:dyDescent="0.3">
      <c r="A1484" s="14" t="s">
        <v>2411</v>
      </c>
      <c r="B1484" s="14" t="s">
        <v>2366</v>
      </c>
      <c r="C1484" s="14" t="s">
        <v>4178</v>
      </c>
      <c r="D1484" s="14" t="s">
        <v>4179</v>
      </c>
      <c r="E1484" s="14" t="s">
        <v>2236</v>
      </c>
      <c r="F1484" s="8">
        <v>0</v>
      </c>
      <c r="G1484" s="14" t="s">
        <v>2237</v>
      </c>
      <c r="H1484" s="16">
        <v>0</v>
      </c>
      <c r="I1484" s="14" t="s">
        <v>2237</v>
      </c>
      <c r="J1484" s="16">
        <v>0</v>
      </c>
      <c r="K1484" s="14" t="s">
        <v>2237</v>
      </c>
      <c r="L1484" s="16">
        <v>0</v>
      </c>
      <c r="M1484" s="14" t="s">
        <v>2237</v>
      </c>
      <c r="N1484" s="8">
        <v>948.68</v>
      </c>
      <c r="O1484" s="14" t="s">
        <v>2237</v>
      </c>
      <c r="P1484" s="14" t="s">
        <v>2236</v>
      </c>
      <c r="Q1484" s="17" t="s">
        <v>2236</v>
      </c>
      <c r="R1484" s="17" t="s">
        <v>2236</v>
      </c>
      <c r="S1484" s="17" t="s">
        <v>2236</v>
      </c>
      <c r="T1484" s="17" t="s">
        <v>2866</v>
      </c>
      <c r="U14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5" spans="1:31" hidden="1" x14ac:dyDescent="0.3">
      <c r="A1485" s="14" t="s">
        <v>2412</v>
      </c>
      <c r="B1485" s="14" t="s">
        <v>2371</v>
      </c>
      <c r="C1485" s="14" t="s">
        <v>4180</v>
      </c>
      <c r="D1485" s="14" t="s">
        <v>4181</v>
      </c>
      <c r="E1485" s="14" t="s">
        <v>2236</v>
      </c>
      <c r="F1485" s="8">
        <v>0</v>
      </c>
      <c r="G1485" s="14" t="s">
        <v>2237</v>
      </c>
      <c r="H1485" s="16">
        <v>0</v>
      </c>
      <c r="I1485" s="14" t="s">
        <v>2237</v>
      </c>
      <c r="J1485" s="16">
        <v>0</v>
      </c>
      <c r="K1485" s="14" t="s">
        <v>2237</v>
      </c>
      <c r="L1485" s="16">
        <v>0</v>
      </c>
      <c r="M1485" s="14" t="s">
        <v>2237</v>
      </c>
      <c r="N1485" s="8">
        <v>0</v>
      </c>
      <c r="O1485" s="14" t="s">
        <v>2237</v>
      </c>
      <c r="P1485" s="14" t="s">
        <v>2236</v>
      </c>
      <c r="Q1485" s="17" t="s">
        <v>2236</v>
      </c>
      <c r="R1485" s="17" t="s">
        <v>2236</v>
      </c>
      <c r="S1485" s="17" t="s">
        <v>2236</v>
      </c>
      <c r="T1485" s="17" t="s">
        <v>2236</v>
      </c>
      <c r="U14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6" spans="1:31" hidden="1" x14ac:dyDescent="0.3">
      <c r="A1486" s="14" t="s">
        <v>2413</v>
      </c>
      <c r="B1486" s="14" t="s">
        <v>2371</v>
      </c>
      <c r="C1486" s="14" t="s">
        <v>2902</v>
      </c>
      <c r="D1486" s="14" t="s">
        <v>4182</v>
      </c>
      <c r="E1486" s="14" t="s">
        <v>2236</v>
      </c>
      <c r="F1486" s="8">
        <v>0</v>
      </c>
      <c r="G1486" s="14" t="s">
        <v>2237</v>
      </c>
      <c r="H1486" s="16">
        <v>0</v>
      </c>
      <c r="I1486" s="14" t="s">
        <v>2237</v>
      </c>
      <c r="J1486" s="16">
        <v>0</v>
      </c>
      <c r="K1486" s="14" t="s">
        <v>2237</v>
      </c>
      <c r="L1486" s="16">
        <v>0</v>
      </c>
      <c r="M1486" s="14" t="s">
        <v>2237</v>
      </c>
      <c r="N1486" s="8">
        <v>0</v>
      </c>
      <c r="O1486" s="14" t="s">
        <v>2237</v>
      </c>
      <c r="P1486" s="14" t="s">
        <v>2236</v>
      </c>
      <c r="Q1486" s="17" t="s">
        <v>2236</v>
      </c>
      <c r="R1486" s="17" t="s">
        <v>2236</v>
      </c>
      <c r="S1486" s="17" t="s">
        <v>2236</v>
      </c>
      <c r="T1486" s="17" t="s">
        <v>2236</v>
      </c>
      <c r="U14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7" spans="1:31" hidden="1" x14ac:dyDescent="0.3">
      <c r="A1487" s="14" t="s">
        <v>2414</v>
      </c>
      <c r="B1487" s="14" t="s">
        <v>2371</v>
      </c>
      <c r="C1487" s="14" t="s">
        <v>4183</v>
      </c>
      <c r="D1487" s="14" t="s">
        <v>4184</v>
      </c>
      <c r="E1487" s="14" t="s">
        <v>2236</v>
      </c>
      <c r="F1487" s="8">
        <v>0</v>
      </c>
      <c r="G1487" s="14" t="s">
        <v>2237</v>
      </c>
      <c r="H1487" s="16">
        <v>0</v>
      </c>
      <c r="I1487" s="14" t="s">
        <v>2237</v>
      </c>
      <c r="J1487" s="16">
        <v>0</v>
      </c>
      <c r="K1487" s="14" t="s">
        <v>2237</v>
      </c>
      <c r="L1487" s="16">
        <v>0</v>
      </c>
      <c r="M1487" s="14" t="s">
        <v>2237</v>
      </c>
      <c r="N1487" s="8">
        <v>0</v>
      </c>
      <c r="O1487" s="14" t="s">
        <v>2237</v>
      </c>
      <c r="P1487" s="14" t="s">
        <v>2236</v>
      </c>
      <c r="Q1487" s="17" t="s">
        <v>2236</v>
      </c>
      <c r="R1487" s="17" t="s">
        <v>2236</v>
      </c>
      <c r="S1487" s="17" t="s">
        <v>2236</v>
      </c>
      <c r="T1487" s="17" t="s">
        <v>2236</v>
      </c>
      <c r="U14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8" spans="1:31" hidden="1" x14ac:dyDescent="0.3">
      <c r="A1488" s="14" t="s">
        <v>2415</v>
      </c>
      <c r="B1488" s="14" t="s">
        <v>2371</v>
      </c>
      <c r="C1488" s="14" t="s">
        <v>4185</v>
      </c>
      <c r="D1488" s="14" t="s">
        <v>4186</v>
      </c>
      <c r="E1488" s="14" t="s">
        <v>2236</v>
      </c>
      <c r="F1488" s="8">
        <v>0</v>
      </c>
      <c r="G1488" s="14" t="s">
        <v>2237</v>
      </c>
      <c r="H1488" s="16">
        <v>0</v>
      </c>
      <c r="I1488" s="14" t="s">
        <v>2237</v>
      </c>
      <c r="J1488" s="16">
        <v>0</v>
      </c>
      <c r="K1488" s="14" t="s">
        <v>2237</v>
      </c>
      <c r="L1488" s="16">
        <v>0</v>
      </c>
      <c r="M1488" s="14" t="s">
        <v>2237</v>
      </c>
      <c r="N1488" s="8">
        <v>0</v>
      </c>
      <c r="O1488" s="14" t="s">
        <v>2237</v>
      </c>
      <c r="P1488" s="14" t="s">
        <v>2236</v>
      </c>
      <c r="Q1488" s="17" t="s">
        <v>2236</v>
      </c>
      <c r="R1488" s="17" t="s">
        <v>2236</v>
      </c>
      <c r="S1488" s="17" t="s">
        <v>2236</v>
      </c>
      <c r="T1488" s="17" t="s">
        <v>2236</v>
      </c>
      <c r="U14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89" spans="1:31" hidden="1" x14ac:dyDescent="0.3">
      <c r="A1489" s="14" t="s">
        <v>2416</v>
      </c>
      <c r="B1489" s="14" t="s">
        <v>2371</v>
      </c>
      <c r="C1489" s="14" t="s">
        <v>4187</v>
      </c>
      <c r="D1489" s="14" t="s">
        <v>4188</v>
      </c>
      <c r="E1489" s="14" t="s">
        <v>2236</v>
      </c>
      <c r="F1489" s="8">
        <v>0</v>
      </c>
      <c r="G1489" s="14" t="s">
        <v>2237</v>
      </c>
      <c r="H1489" s="16">
        <v>0</v>
      </c>
      <c r="I1489" s="14" t="s">
        <v>2237</v>
      </c>
      <c r="J1489" s="16">
        <v>0</v>
      </c>
      <c r="K1489" s="14" t="s">
        <v>2237</v>
      </c>
      <c r="L1489" s="16">
        <v>0</v>
      </c>
      <c r="M1489" s="14" t="s">
        <v>2237</v>
      </c>
      <c r="N1489" s="8">
        <v>0</v>
      </c>
      <c r="O1489" s="14" t="s">
        <v>2237</v>
      </c>
      <c r="P1489" s="14" t="s">
        <v>2236</v>
      </c>
      <c r="Q1489" s="17" t="s">
        <v>2236</v>
      </c>
      <c r="R1489" s="17" t="s">
        <v>2236</v>
      </c>
      <c r="S1489" s="17" t="s">
        <v>2236</v>
      </c>
      <c r="T1489" s="17" t="s">
        <v>2236</v>
      </c>
      <c r="U14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0" spans="1:31" hidden="1" x14ac:dyDescent="0.3">
      <c r="A1490" s="14" t="s">
        <v>2417</v>
      </c>
      <c r="B1490" s="14" t="s">
        <v>2371</v>
      </c>
      <c r="C1490" s="14" t="s">
        <v>4189</v>
      </c>
      <c r="D1490" s="14" t="s">
        <v>4190</v>
      </c>
      <c r="E1490" s="14" t="s">
        <v>2236</v>
      </c>
      <c r="F1490" s="8">
        <v>0</v>
      </c>
      <c r="G1490" s="14" t="s">
        <v>2237</v>
      </c>
      <c r="H1490" s="16">
        <v>0</v>
      </c>
      <c r="I1490" s="14" t="s">
        <v>2237</v>
      </c>
      <c r="J1490" s="16">
        <v>0</v>
      </c>
      <c r="K1490" s="14" t="s">
        <v>2237</v>
      </c>
      <c r="L1490" s="16">
        <v>0</v>
      </c>
      <c r="M1490" s="14" t="s">
        <v>2237</v>
      </c>
      <c r="N1490" s="8">
        <v>0</v>
      </c>
      <c r="O1490" s="14" t="s">
        <v>2237</v>
      </c>
      <c r="P1490" s="14" t="s">
        <v>2236</v>
      </c>
      <c r="Q1490" s="17" t="s">
        <v>2236</v>
      </c>
      <c r="R1490" s="17" t="s">
        <v>2236</v>
      </c>
      <c r="S1490" s="17" t="s">
        <v>2236</v>
      </c>
      <c r="T1490" s="17" t="s">
        <v>2236</v>
      </c>
      <c r="U14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1" spans="1:31" hidden="1" x14ac:dyDescent="0.3">
      <c r="A1491" s="14" t="s">
        <v>2418</v>
      </c>
      <c r="B1491" s="14" t="s">
        <v>2371</v>
      </c>
      <c r="C1491" s="14" t="s">
        <v>4191</v>
      </c>
      <c r="D1491" s="14" t="s">
        <v>4192</v>
      </c>
      <c r="E1491" s="14" t="s">
        <v>2236</v>
      </c>
      <c r="F1491" s="8">
        <v>0</v>
      </c>
      <c r="G1491" s="14" t="s">
        <v>2237</v>
      </c>
      <c r="H1491" s="16">
        <v>0</v>
      </c>
      <c r="I1491" s="14" t="s">
        <v>2237</v>
      </c>
      <c r="J1491" s="16">
        <v>0</v>
      </c>
      <c r="K1491" s="14" t="s">
        <v>2237</v>
      </c>
      <c r="L1491" s="16">
        <v>0</v>
      </c>
      <c r="M1491" s="14" t="s">
        <v>2237</v>
      </c>
      <c r="N1491" s="8">
        <v>0</v>
      </c>
      <c r="O1491" s="14" t="s">
        <v>2237</v>
      </c>
      <c r="P1491" s="14" t="s">
        <v>2236</v>
      </c>
      <c r="Q1491" s="17" t="s">
        <v>2236</v>
      </c>
      <c r="R1491" s="17" t="s">
        <v>2236</v>
      </c>
      <c r="S1491" s="17" t="s">
        <v>2236</v>
      </c>
      <c r="T1491" s="17" t="s">
        <v>2236</v>
      </c>
      <c r="U14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2" spans="1:31" hidden="1" x14ac:dyDescent="0.3">
      <c r="A1492" s="14" t="s">
        <v>2419</v>
      </c>
      <c r="B1492" s="14" t="s">
        <v>2371</v>
      </c>
      <c r="C1492" s="14" t="s">
        <v>4193</v>
      </c>
      <c r="D1492" s="14" t="s">
        <v>4194</v>
      </c>
      <c r="E1492" s="14" t="s">
        <v>2236</v>
      </c>
      <c r="F1492" s="8">
        <v>0</v>
      </c>
      <c r="G1492" s="14" t="s">
        <v>2237</v>
      </c>
      <c r="H1492" s="16">
        <v>0</v>
      </c>
      <c r="I1492" s="14" t="s">
        <v>2237</v>
      </c>
      <c r="J1492" s="16">
        <v>0</v>
      </c>
      <c r="K1492" s="14" t="s">
        <v>2237</v>
      </c>
      <c r="L1492" s="16">
        <v>0</v>
      </c>
      <c r="M1492" s="14" t="s">
        <v>2237</v>
      </c>
      <c r="N1492" s="8">
        <v>0</v>
      </c>
      <c r="O1492" s="14" t="s">
        <v>2237</v>
      </c>
      <c r="P1492" s="14" t="s">
        <v>2236</v>
      </c>
      <c r="Q1492" s="17" t="s">
        <v>2236</v>
      </c>
      <c r="R1492" s="17" t="s">
        <v>2236</v>
      </c>
      <c r="S1492" s="17" t="s">
        <v>2236</v>
      </c>
      <c r="T1492" s="17" t="s">
        <v>2236</v>
      </c>
      <c r="U14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3" spans="1:31" hidden="1" x14ac:dyDescent="0.3">
      <c r="A1493" s="14" t="s">
        <v>2420</v>
      </c>
      <c r="B1493" s="14" t="s">
        <v>2371</v>
      </c>
      <c r="C1493" s="14" t="s">
        <v>4195</v>
      </c>
      <c r="D1493" s="14" t="s">
        <v>4196</v>
      </c>
      <c r="E1493" s="14" t="s">
        <v>2236</v>
      </c>
      <c r="F1493" s="8">
        <v>0</v>
      </c>
      <c r="G1493" s="14" t="s">
        <v>2237</v>
      </c>
      <c r="H1493" s="16">
        <v>0</v>
      </c>
      <c r="I1493" s="14" t="s">
        <v>2237</v>
      </c>
      <c r="J1493" s="16">
        <v>0</v>
      </c>
      <c r="K1493" s="14" t="s">
        <v>2237</v>
      </c>
      <c r="L1493" s="16">
        <v>0</v>
      </c>
      <c r="M1493" s="14" t="s">
        <v>2237</v>
      </c>
      <c r="N1493" s="8">
        <v>0</v>
      </c>
      <c r="O1493" s="14" t="s">
        <v>2237</v>
      </c>
      <c r="P1493" s="14" t="s">
        <v>2236</v>
      </c>
      <c r="Q1493" s="17" t="s">
        <v>2236</v>
      </c>
      <c r="R1493" s="17" t="s">
        <v>2236</v>
      </c>
      <c r="S1493" s="17" t="s">
        <v>2236</v>
      </c>
      <c r="T1493" s="17" t="s">
        <v>2236</v>
      </c>
      <c r="U14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4" spans="1:31" hidden="1" x14ac:dyDescent="0.3">
      <c r="A1494" s="14" t="s">
        <v>2421</v>
      </c>
      <c r="B1494" s="14" t="s">
        <v>2371</v>
      </c>
      <c r="C1494" s="14" t="s">
        <v>4197</v>
      </c>
      <c r="D1494" s="14" t="s">
        <v>4198</v>
      </c>
      <c r="E1494" s="14" t="s">
        <v>2236</v>
      </c>
      <c r="F1494" s="8">
        <v>0</v>
      </c>
      <c r="G1494" s="14" t="s">
        <v>2237</v>
      </c>
      <c r="H1494" s="16">
        <v>0</v>
      </c>
      <c r="I1494" s="14" t="s">
        <v>2237</v>
      </c>
      <c r="J1494" s="16">
        <v>0</v>
      </c>
      <c r="K1494" s="14" t="s">
        <v>2237</v>
      </c>
      <c r="L1494" s="16">
        <v>0</v>
      </c>
      <c r="M1494" s="14" t="s">
        <v>2237</v>
      </c>
      <c r="N1494" s="8">
        <v>0</v>
      </c>
      <c r="O1494" s="14" t="s">
        <v>2237</v>
      </c>
      <c r="P1494" s="14" t="s">
        <v>2236</v>
      </c>
      <c r="Q1494" s="17" t="s">
        <v>2236</v>
      </c>
      <c r="R1494" s="17" t="s">
        <v>2236</v>
      </c>
      <c r="S1494" s="17" t="s">
        <v>2236</v>
      </c>
      <c r="T1494" s="17" t="s">
        <v>2236</v>
      </c>
      <c r="U14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5" spans="1:31" hidden="1" x14ac:dyDescent="0.3">
      <c r="A1495" s="14" t="s">
        <v>2422</v>
      </c>
      <c r="B1495" s="14" t="s">
        <v>2371</v>
      </c>
      <c r="C1495" s="14" t="s">
        <v>4199</v>
      </c>
      <c r="D1495" s="14" t="s">
        <v>4200</v>
      </c>
      <c r="E1495" s="14" t="s">
        <v>2236</v>
      </c>
      <c r="F1495" s="8">
        <v>0</v>
      </c>
      <c r="G1495" s="14" t="s">
        <v>2237</v>
      </c>
      <c r="H1495" s="16">
        <v>0</v>
      </c>
      <c r="I1495" s="14" t="s">
        <v>2237</v>
      </c>
      <c r="J1495" s="16">
        <v>0</v>
      </c>
      <c r="K1495" s="14" t="s">
        <v>2237</v>
      </c>
      <c r="L1495" s="16">
        <v>0</v>
      </c>
      <c r="M1495" s="14" t="s">
        <v>2237</v>
      </c>
      <c r="N1495" s="8">
        <v>0</v>
      </c>
      <c r="O1495" s="14" t="s">
        <v>2237</v>
      </c>
      <c r="P1495" s="14" t="s">
        <v>2236</v>
      </c>
      <c r="Q1495" s="17" t="s">
        <v>2236</v>
      </c>
      <c r="R1495" s="17" t="s">
        <v>2236</v>
      </c>
      <c r="S1495" s="17" t="s">
        <v>2236</v>
      </c>
      <c r="T1495" s="17" t="s">
        <v>2236</v>
      </c>
      <c r="U14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6" spans="1:31" hidden="1" x14ac:dyDescent="0.3">
      <c r="A1496" s="14" t="s">
        <v>2423</v>
      </c>
      <c r="B1496" s="14" t="s">
        <v>2371</v>
      </c>
      <c r="C1496" s="14" t="s">
        <v>4201</v>
      </c>
      <c r="D1496" s="14" t="s">
        <v>4202</v>
      </c>
      <c r="E1496" s="14" t="s">
        <v>2236</v>
      </c>
      <c r="F1496" s="8">
        <v>0</v>
      </c>
      <c r="G1496" s="14" t="s">
        <v>2237</v>
      </c>
      <c r="H1496" s="16">
        <v>0</v>
      </c>
      <c r="I1496" s="14" t="s">
        <v>2237</v>
      </c>
      <c r="J1496" s="16">
        <v>0</v>
      </c>
      <c r="K1496" s="14" t="s">
        <v>2237</v>
      </c>
      <c r="L1496" s="16">
        <v>0</v>
      </c>
      <c r="M1496" s="14" t="s">
        <v>2237</v>
      </c>
      <c r="N1496" s="8">
        <v>0</v>
      </c>
      <c r="O1496" s="14" t="s">
        <v>2237</v>
      </c>
      <c r="P1496" s="14" t="s">
        <v>2236</v>
      </c>
      <c r="Q1496" s="17" t="s">
        <v>2236</v>
      </c>
      <c r="R1496" s="17" t="s">
        <v>2236</v>
      </c>
      <c r="S1496" s="17" t="s">
        <v>2236</v>
      </c>
      <c r="T1496" s="17" t="s">
        <v>2236</v>
      </c>
      <c r="U14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7" spans="1:31" hidden="1" x14ac:dyDescent="0.3">
      <c r="A1497" s="14" t="s">
        <v>2424</v>
      </c>
      <c r="B1497" s="14" t="s">
        <v>2371</v>
      </c>
      <c r="C1497" s="14" t="s">
        <v>4203</v>
      </c>
      <c r="D1497" s="14" t="s">
        <v>4204</v>
      </c>
      <c r="E1497" s="14" t="s">
        <v>2236</v>
      </c>
      <c r="F1497" s="8">
        <v>0</v>
      </c>
      <c r="G1497" s="14" t="s">
        <v>2237</v>
      </c>
      <c r="H1497" s="16">
        <v>0</v>
      </c>
      <c r="I1497" s="14" t="s">
        <v>2237</v>
      </c>
      <c r="J1497" s="16">
        <v>0</v>
      </c>
      <c r="K1497" s="14" t="s">
        <v>2237</v>
      </c>
      <c r="L1497" s="16">
        <v>0</v>
      </c>
      <c r="M1497" s="14" t="s">
        <v>2237</v>
      </c>
      <c r="N1497" s="8">
        <v>0</v>
      </c>
      <c r="O1497" s="14" t="s">
        <v>2237</v>
      </c>
      <c r="P1497" s="14" t="s">
        <v>2236</v>
      </c>
      <c r="Q1497" s="17" t="s">
        <v>2236</v>
      </c>
      <c r="R1497" s="17" t="s">
        <v>2236</v>
      </c>
      <c r="S1497" s="17" t="s">
        <v>2236</v>
      </c>
      <c r="T1497" s="17" t="s">
        <v>2236</v>
      </c>
      <c r="U14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8" spans="1:31" hidden="1" x14ac:dyDescent="0.3">
      <c r="A1498" s="14" t="s">
        <v>2425</v>
      </c>
      <c r="B1498" s="14" t="s">
        <v>2371</v>
      </c>
      <c r="C1498" s="14" t="s">
        <v>4205</v>
      </c>
      <c r="D1498" s="14" t="s">
        <v>4206</v>
      </c>
      <c r="E1498" s="14" t="s">
        <v>2236</v>
      </c>
      <c r="F1498" s="8">
        <v>0</v>
      </c>
      <c r="G1498" s="14" t="s">
        <v>2237</v>
      </c>
      <c r="H1498" s="16">
        <v>0</v>
      </c>
      <c r="I1498" s="14" t="s">
        <v>2237</v>
      </c>
      <c r="J1498" s="16">
        <v>0</v>
      </c>
      <c r="K1498" s="14" t="s">
        <v>2237</v>
      </c>
      <c r="L1498" s="16">
        <v>0</v>
      </c>
      <c r="M1498" s="14" t="s">
        <v>2237</v>
      </c>
      <c r="N1498" s="8">
        <v>0</v>
      </c>
      <c r="O1498" s="14" t="s">
        <v>2237</v>
      </c>
      <c r="P1498" s="14" t="s">
        <v>2236</v>
      </c>
      <c r="Q1498" s="17" t="s">
        <v>2236</v>
      </c>
      <c r="R1498" s="17" t="s">
        <v>2236</v>
      </c>
      <c r="S1498" s="17" t="s">
        <v>2236</v>
      </c>
      <c r="T1498" s="17" t="s">
        <v>2236</v>
      </c>
      <c r="U14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499" spans="1:31" hidden="1" x14ac:dyDescent="0.3">
      <c r="A1499" s="14" t="s">
        <v>2426</v>
      </c>
      <c r="B1499" s="14" t="s">
        <v>2371</v>
      </c>
      <c r="C1499" s="14" t="s">
        <v>4207</v>
      </c>
      <c r="D1499" s="14" t="s">
        <v>4208</v>
      </c>
      <c r="E1499" s="14" t="s">
        <v>2236</v>
      </c>
      <c r="F1499" s="8">
        <v>0</v>
      </c>
      <c r="G1499" s="14" t="s">
        <v>2237</v>
      </c>
      <c r="H1499" s="16">
        <v>0</v>
      </c>
      <c r="I1499" s="14" t="s">
        <v>2237</v>
      </c>
      <c r="J1499" s="16">
        <v>0</v>
      </c>
      <c r="K1499" s="14" t="s">
        <v>2237</v>
      </c>
      <c r="L1499" s="16">
        <v>0</v>
      </c>
      <c r="M1499" s="14" t="s">
        <v>2237</v>
      </c>
      <c r="N1499" s="8">
        <v>0</v>
      </c>
      <c r="O1499" s="14" t="s">
        <v>2237</v>
      </c>
      <c r="P1499" s="14" t="s">
        <v>2236</v>
      </c>
      <c r="Q1499" s="17" t="s">
        <v>2236</v>
      </c>
      <c r="R1499" s="17" t="s">
        <v>2236</v>
      </c>
      <c r="S1499" s="17" t="s">
        <v>2236</v>
      </c>
      <c r="T1499" s="17" t="s">
        <v>2236</v>
      </c>
      <c r="U14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4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4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4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4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4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4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4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4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4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4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0" spans="1:31" hidden="1" x14ac:dyDescent="0.3">
      <c r="A1500" s="14" t="s">
        <v>2427</v>
      </c>
      <c r="B1500" s="14" t="s">
        <v>2371</v>
      </c>
      <c r="C1500" s="14" t="s">
        <v>4209</v>
      </c>
      <c r="D1500" s="14" t="s">
        <v>4210</v>
      </c>
      <c r="E1500" s="14" t="s">
        <v>2236</v>
      </c>
      <c r="F1500" s="8">
        <v>0</v>
      </c>
      <c r="G1500" s="14" t="s">
        <v>2237</v>
      </c>
      <c r="H1500" s="16">
        <v>0</v>
      </c>
      <c r="I1500" s="14" t="s">
        <v>2237</v>
      </c>
      <c r="J1500" s="16">
        <v>0</v>
      </c>
      <c r="K1500" s="14" t="s">
        <v>2237</v>
      </c>
      <c r="L1500" s="16">
        <v>0</v>
      </c>
      <c r="M1500" s="14" t="s">
        <v>2237</v>
      </c>
      <c r="N1500" s="8">
        <v>0</v>
      </c>
      <c r="O1500" s="14" t="s">
        <v>2237</v>
      </c>
      <c r="P1500" s="14" t="s">
        <v>2236</v>
      </c>
      <c r="Q1500" s="17" t="s">
        <v>2236</v>
      </c>
      <c r="R1500" s="17" t="s">
        <v>2236</v>
      </c>
      <c r="S1500" s="17" t="s">
        <v>2236</v>
      </c>
      <c r="T1500" s="17" t="s">
        <v>2236</v>
      </c>
      <c r="U15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1" spans="1:31" hidden="1" x14ac:dyDescent="0.3">
      <c r="A1501" s="14" t="s">
        <v>2428</v>
      </c>
      <c r="B1501" s="14" t="s">
        <v>2371</v>
      </c>
      <c r="C1501" s="14" t="s">
        <v>4211</v>
      </c>
      <c r="D1501" s="14" t="s">
        <v>4212</v>
      </c>
      <c r="E1501" s="14" t="s">
        <v>2236</v>
      </c>
      <c r="F1501" s="8">
        <v>0</v>
      </c>
      <c r="G1501" s="14" t="s">
        <v>2237</v>
      </c>
      <c r="H1501" s="16">
        <v>0</v>
      </c>
      <c r="I1501" s="14" t="s">
        <v>2237</v>
      </c>
      <c r="J1501" s="16">
        <v>0</v>
      </c>
      <c r="K1501" s="14" t="s">
        <v>2237</v>
      </c>
      <c r="L1501" s="16">
        <v>0</v>
      </c>
      <c r="M1501" s="14" t="s">
        <v>2237</v>
      </c>
      <c r="N1501" s="8">
        <v>0</v>
      </c>
      <c r="O1501" s="14" t="s">
        <v>2237</v>
      </c>
      <c r="P1501" s="14" t="s">
        <v>2236</v>
      </c>
      <c r="Q1501" s="17" t="s">
        <v>2236</v>
      </c>
      <c r="R1501" s="17" t="s">
        <v>2236</v>
      </c>
      <c r="S1501" s="17" t="s">
        <v>2236</v>
      </c>
      <c r="T1501" s="17" t="s">
        <v>2236</v>
      </c>
      <c r="U15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2" spans="1:31" hidden="1" x14ac:dyDescent="0.3">
      <c r="A1502" s="14" t="s">
        <v>2429</v>
      </c>
      <c r="B1502" s="14" t="s">
        <v>2371</v>
      </c>
      <c r="C1502" s="14" t="s">
        <v>4213</v>
      </c>
      <c r="D1502" s="14" t="s">
        <v>4214</v>
      </c>
      <c r="E1502" s="14" t="s">
        <v>2236</v>
      </c>
      <c r="F1502" s="8">
        <v>0</v>
      </c>
      <c r="G1502" s="14" t="s">
        <v>2237</v>
      </c>
      <c r="H1502" s="16">
        <v>0</v>
      </c>
      <c r="I1502" s="14" t="s">
        <v>2237</v>
      </c>
      <c r="J1502" s="16">
        <v>0</v>
      </c>
      <c r="K1502" s="14" t="s">
        <v>2237</v>
      </c>
      <c r="L1502" s="16">
        <v>0</v>
      </c>
      <c r="M1502" s="14" t="s">
        <v>2237</v>
      </c>
      <c r="N1502" s="8">
        <v>0</v>
      </c>
      <c r="O1502" s="14" t="s">
        <v>2237</v>
      </c>
      <c r="P1502" s="14" t="s">
        <v>2236</v>
      </c>
      <c r="Q1502" s="17" t="s">
        <v>2236</v>
      </c>
      <c r="R1502" s="17" t="s">
        <v>2236</v>
      </c>
      <c r="S1502" s="17" t="s">
        <v>2236</v>
      </c>
      <c r="T1502" s="17" t="s">
        <v>2236</v>
      </c>
      <c r="U15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3" spans="1:31" hidden="1" x14ac:dyDescent="0.3">
      <c r="A1503" s="14" t="s">
        <v>2430</v>
      </c>
      <c r="B1503" s="14" t="s">
        <v>2371</v>
      </c>
      <c r="C1503" s="14" t="s">
        <v>4215</v>
      </c>
      <c r="D1503" s="14" t="s">
        <v>4216</v>
      </c>
      <c r="E1503" s="14" t="s">
        <v>2236</v>
      </c>
      <c r="F1503" s="8">
        <v>0</v>
      </c>
      <c r="G1503" s="14" t="s">
        <v>2237</v>
      </c>
      <c r="H1503" s="16">
        <v>0</v>
      </c>
      <c r="I1503" s="14" t="s">
        <v>2237</v>
      </c>
      <c r="J1503" s="16">
        <v>0</v>
      </c>
      <c r="K1503" s="14" t="s">
        <v>2237</v>
      </c>
      <c r="L1503" s="16">
        <v>0</v>
      </c>
      <c r="M1503" s="14" t="s">
        <v>2237</v>
      </c>
      <c r="N1503" s="8">
        <v>0</v>
      </c>
      <c r="O1503" s="14" t="s">
        <v>2237</v>
      </c>
      <c r="P1503" s="14" t="s">
        <v>2236</v>
      </c>
      <c r="Q1503" s="17" t="s">
        <v>2236</v>
      </c>
      <c r="R1503" s="17" t="s">
        <v>2236</v>
      </c>
      <c r="S1503" s="17" t="s">
        <v>2236</v>
      </c>
      <c r="T1503" s="17" t="s">
        <v>2236</v>
      </c>
      <c r="U15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4" spans="1:31" hidden="1" x14ac:dyDescent="0.3">
      <c r="A1504" s="14" t="s">
        <v>2431</v>
      </c>
      <c r="B1504" s="14" t="s">
        <v>2371</v>
      </c>
      <c r="C1504" s="14" t="s">
        <v>4217</v>
      </c>
      <c r="D1504" s="14" t="s">
        <v>4218</v>
      </c>
      <c r="E1504" s="14" t="s">
        <v>2236</v>
      </c>
      <c r="F1504" s="8">
        <v>0</v>
      </c>
      <c r="G1504" s="14" t="s">
        <v>2237</v>
      </c>
      <c r="H1504" s="16">
        <v>0</v>
      </c>
      <c r="I1504" s="14" t="s">
        <v>2237</v>
      </c>
      <c r="J1504" s="16">
        <v>0</v>
      </c>
      <c r="K1504" s="14" t="s">
        <v>2237</v>
      </c>
      <c r="L1504" s="16">
        <v>0</v>
      </c>
      <c r="M1504" s="14" t="s">
        <v>2237</v>
      </c>
      <c r="N1504" s="8">
        <v>0</v>
      </c>
      <c r="O1504" s="14" t="s">
        <v>2237</v>
      </c>
      <c r="P1504" s="14" t="s">
        <v>2236</v>
      </c>
      <c r="Q1504" s="17" t="s">
        <v>2236</v>
      </c>
      <c r="R1504" s="17" t="s">
        <v>2236</v>
      </c>
      <c r="S1504" s="17" t="s">
        <v>2236</v>
      </c>
      <c r="T1504" s="17" t="s">
        <v>2236</v>
      </c>
      <c r="U15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5" spans="1:31" hidden="1" x14ac:dyDescent="0.3">
      <c r="A1505" s="14" t="s">
        <v>2432</v>
      </c>
      <c r="B1505" s="14" t="s">
        <v>2371</v>
      </c>
      <c r="C1505" s="14" t="s">
        <v>4219</v>
      </c>
      <c r="D1505" s="14" t="s">
        <v>4220</v>
      </c>
      <c r="E1505" s="14" t="s">
        <v>2236</v>
      </c>
      <c r="F1505" s="8">
        <v>0</v>
      </c>
      <c r="G1505" s="14" t="s">
        <v>2237</v>
      </c>
      <c r="H1505" s="16">
        <v>0</v>
      </c>
      <c r="I1505" s="14" t="s">
        <v>2237</v>
      </c>
      <c r="J1505" s="16">
        <v>0</v>
      </c>
      <c r="K1505" s="14" t="s">
        <v>2237</v>
      </c>
      <c r="L1505" s="16">
        <v>0</v>
      </c>
      <c r="M1505" s="14" t="s">
        <v>2237</v>
      </c>
      <c r="N1505" s="8">
        <v>0</v>
      </c>
      <c r="O1505" s="14" t="s">
        <v>2237</v>
      </c>
      <c r="P1505" s="14" t="s">
        <v>2236</v>
      </c>
      <c r="Q1505" s="17" t="s">
        <v>2236</v>
      </c>
      <c r="R1505" s="17" t="s">
        <v>2236</v>
      </c>
      <c r="S1505" s="17" t="s">
        <v>2236</v>
      </c>
      <c r="T1505" s="17" t="s">
        <v>2236</v>
      </c>
      <c r="U15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6" spans="1:31" hidden="1" x14ac:dyDescent="0.3">
      <c r="A1506" s="14" t="s">
        <v>2434</v>
      </c>
      <c r="B1506" s="14" t="s">
        <v>2371</v>
      </c>
      <c r="C1506" s="14" t="s">
        <v>4221</v>
      </c>
      <c r="D1506" s="14" t="s">
        <v>4222</v>
      </c>
      <c r="E1506" s="14" t="s">
        <v>2236</v>
      </c>
      <c r="F1506" s="8">
        <v>0</v>
      </c>
      <c r="G1506" s="14" t="s">
        <v>2237</v>
      </c>
      <c r="H1506" s="16">
        <v>0</v>
      </c>
      <c r="I1506" s="14" t="s">
        <v>2237</v>
      </c>
      <c r="J1506" s="16">
        <v>0</v>
      </c>
      <c r="K1506" s="14" t="s">
        <v>2237</v>
      </c>
      <c r="L1506" s="16">
        <v>0</v>
      </c>
      <c r="M1506" s="14" t="s">
        <v>2237</v>
      </c>
      <c r="N1506" s="8">
        <v>0</v>
      </c>
      <c r="O1506" s="14" t="s">
        <v>2237</v>
      </c>
      <c r="P1506" s="14" t="s">
        <v>2236</v>
      </c>
      <c r="Q1506" s="17" t="s">
        <v>2236</v>
      </c>
      <c r="R1506" s="17" t="s">
        <v>2236</v>
      </c>
      <c r="S1506" s="17" t="s">
        <v>2236</v>
      </c>
      <c r="T1506" s="17" t="s">
        <v>2236</v>
      </c>
      <c r="U15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7" spans="1:31" hidden="1" x14ac:dyDescent="0.3">
      <c r="A1507" s="14" t="s">
        <v>2435</v>
      </c>
      <c r="B1507" s="14" t="s">
        <v>2366</v>
      </c>
      <c r="C1507" s="14" t="s">
        <v>4223</v>
      </c>
      <c r="D1507" s="14" t="s">
        <v>4224</v>
      </c>
      <c r="E1507" s="14" t="s">
        <v>2236</v>
      </c>
      <c r="F1507" s="8">
        <v>0</v>
      </c>
      <c r="G1507" s="14" t="s">
        <v>2237</v>
      </c>
      <c r="H1507" s="16">
        <v>0</v>
      </c>
      <c r="I1507" s="14" t="s">
        <v>2237</v>
      </c>
      <c r="J1507" s="16">
        <v>0</v>
      </c>
      <c r="K1507" s="14" t="s">
        <v>2237</v>
      </c>
      <c r="L1507" s="16">
        <v>0</v>
      </c>
      <c r="M1507" s="14" t="s">
        <v>2237</v>
      </c>
      <c r="N1507" s="8">
        <v>283.86</v>
      </c>
      <c r="O1507" s="14" t="s">
        <v>2237</v>
      </c>
      <c r="P1507" s="14" t="s">
        <v>2236</v>
      </c>
      <c r="Q1507" s="17" t="s">
        <v>2236</v>
      </c>
      <c r="R1507" s="17" t="s">
        <v>2236</v>
      </c>
      <c r="S1507" s="17" t="s">
        <v>2236</v>
      </c>
      <c r="T1507" s="17" t="s">
        <v>2877</v>
      </c>
      <c r="U15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8" spans="1:31" hidden="1" x14ac:dyDescent="0.3">
      <c r="A1508" s="14" t="s">
        <v>2436</v>
      </c>
      <c r="B1508" s="14" t="s">
        <v>2371</v>
      </c>
      <c r="C1508" s="14" t="s">
        <v>4225</v>
      </c>
      <c r="D1508" s="14" t="s">
        <v>4226</v>
      </c>
      <c r="E1508" s="14" t="s">
        <v>2236</v>
      </c>
      <c r="F1508" s="8">
        <v>0</v>
      </c>
      <c r="G1508" s="14" t="s">
        <v>2237</v>
      </c>
      <c r="H1508" s="16">
        <v>0</v>
      </c>
      <c r="I1508" s="14" t="s">
        <v>2237</v>
      </c>
      <c r="J1508" s="16">
        <v>0</v>
      </c>
      <c r="K1508" s="14" t="s">
        <v>2237</v>
      </c>
      <c r="L1508" s="16">
        <v>0</v>
      </c>
      <c r="M1508" s="14" t="s">
        <v>2237</v>
      </c>
      <c r="N1508" s="8">
        <v>0</v>
      </c>
      <c r="O1508" s="14" t="s">
        <v>2237</v>
      </c>
      <c r="P1508" s="14" t="s">
        <v>2236</v>
      </c>
      <c r="Q1508" s="17" t="s">
        <v>2236</v>
      </c>
      <c r="R1508" s="17" t="s">
        <v>2236</v>
      </c>
      <c r="S1508" s="17" t="s">
        <v>2236</v>
      </c>
      <c r="T1508" s="17" t="s">
        <v>2236</v>
      </c>
      <c r="U15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09" spans="1:31" hidden="1" x14ac:dyDescent="0.3">
      <c r="A1509" s="14" t="s">
        <v>2437</v>
      </c>
      <c r="B1509" s="14" t="s">
        <v>2371</v>
      </c>
      <c r="C1509" s="14" t="s">
        <v>4227</v>
      </c>
      <c r="D1509" s="14" t="s">
        <v>4228</v>
      </c>
      <c r="E1509" s="14" t="s">
        <v>2236</v>
      </c>
      <c r="F1509" s="8">
        <v>0</v>
      </c>
      <c r="G1509" s="14" t="s">
        <v>2237</v>
      </c>
      <c r="H1509" s="16">
        <v>0</v>
      </c>
      <c r="I1509" s="14" t="s">
        <v>2237</v>
      </c>
      <c r="J1509" s="16">
        <v>0</v>
      </c>
      <c r="K1509" s="14" t="s">
        <v>2237</v>
      </c>
      <c r="L1509" s="16">
        <v>0</v>
      </c>
      <c r="M1509" s="14" t="s">
        <v>2237</v>
      </c>
      <c r="N1509" s="8">
        <v>0</v>
      </c>
      <c r="O1509" s="14" t="s">
        <v>2237</v>
      </c>
      <c r="P1509" s="14" t="s">
        <v>2236</v>
      </c>
      <c r="Q1509" s="17" t="s">
        <v>2236</v>
      </c>
      <c r="R1509" s="17" t="s">
        <v>2236</v>
      </c>
      <c r="S1509" s="17" t="s">
        <v>2236</v>
      </c>
      <c r="T1509" s="17" t="s">
        <v>2236</v>
      </c>
      <c r="U15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0" spans="1:31" hidden="1" x14ac:dyDescent="0.3">
      <c r="A1510" s="14" t="s">
        <v>2438</v>
      </c>
      <c r="B1510" s="14" t="s">
        <v>2371</v>
      </c>
      <c r="C1510" s="14" t="s">
        <v>4229</v>
      </c>
      <c r="D1510" s="14" t="s">
        <v>4230</v>
      </c>
      <c r="E1510" s="14" t="s">
        <v>2236</v>
      </c>
      <c r="F1510" s="8">
        <v>0</v>
      </c>
      <c r="G1510" s="14" t="s">
        <v>2237</v>
      </c>
      <c r="H1510" s="16">
        <v>0</v>
      </c>
      <c r="I1510" s="14" t="s">
        <v>2237</v>
      </c>
      <c r="J1510" s="16">
        <v>0</v>
      </c>
      <c r="K1510" s="14" t="s">
        <v>2237</v>
      </c>
      <c r="L1510" s="16">
        <v>0</v>
      </c>
      <c r="M1510" s="14" t="s">
        <v>2237</v>
      </c>
      <c r="N1510" s="8">
        <v>0</v>
      </c>
      <c r="O1510" s="14" t="s">
        <v>2237</v>
      </c>
      <c r="P1510" s="14" t="s">
        <v>2236</v>
      </c>
      <c r="Q1510" s="17" t="s">
        <v>2236</v>
      </c>
      <c r="R1510" s="17" t="s">
        <v>2236</v>
      </c>
      <c r="S1510" s="17" t="s">
        <v>2236</v>
      </c>
      <c r="T1510" s="17" t="s">
        <v>2236</v>
      </c>
      <c r="U15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1" spans="1:31" hidden="1" x14ac:dyDescent="0.3">
      <c r="A1511" s="14" t="s">
        <v>2439</v>
      </c>
      <c r="B1511" s="14" t="s">
        <v>2371</v>
      </c>
      <c r="C1511" s="14" t="s">
        <v>4231</v>
      </c>
      <c r="D1511" s="14" t="s">
        <v>4232</v>
      </c>
      <c r="E1511" s="14" t="s">
        <v>2236</v>
      </c>
      <c r="F1511" s="8">
        <v>0</v>
      </c>
      <c r="G1511" s="14" t="s">
        <v>2237</v>
      </c>
      <c r="H1511" s="16">
        <v>0</v>
      </c>
      <c r="I1511" s="14" t="s">
        <v>2237</v>
      </c>
      <c r="J1511" s="16">
        <v>0</v>
      </c>
      <c r="K1511" s="14" t="s">
        <v>2237</v>
      </c>
      <c r="L1511" s="16">
        <v>0</v>
      </c>
      <c r="M1511" s="14" t="s">
        <v>2237</v>
      </c>
      <c r="N1511" s="8">
        <v>0</v>
      </c>
      <c r="O1511" s="14" t="s">
        <v>2237</v>
      </c>
      <c r="P1511" s="14" t="s">
        <v>2236</v>
      </c>
      <c r="Q1511" s="17" t="s">
        <v>2236</v>
      </c>
      <c r="R1511" s="17" t="s">
        <v>2236</v>
      </c>
      <c r="S1511" s="17" t="s">
        <v>2236</v>
      </c>
      <c r="T1511" s="17" t="s">
        <v>2236</v>
      </c>
      <c r="U15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2" spans="1:31" hidden="1" x14ac:dyDescent="0.3">
      <c r="A1512" s="14" t="s">
        <v>2440</v>
      </c>
      <c r="B1512" s="14" t="s">
        <v>2371</v>
      </c>
      <c r="C1512" s="14" t="s">
        <v>4233</v>
      </c>
      <c r="D1512" s="14" t="s">
        <v>4234</v>
      </c>
      <c r="E1512" s="14" t="s">
        <v>2236</v>
      </c>
      <c r="F1512" s="8">
        <v>0</v>
      </c>
      <c r="G1512" s="14" t="s">
        <v>2237</v>
      </c>
      <c r="H1512" s="16">
        <v>0</v>
      </c>
      <c r="I1512" s="14" t="s">
        <v>2237</v>
      </c>
      <c r="J1512" s="16">
        <v>0</v>
      </c>
      <c r="K1512" s="14" t="s">
        <v>2237</v>
      </c>
      <c r="L1512" s="16">
        <v>0</v>
      </c>
      <c r="M1512" s="14" t="s">
        <v>2237</v>
      </c>
      <c r="N1512" s="8">
        <v>0</v>
      </c>
      <c r="O1512" s="14" t="s">
        <v>2237</v>
      </c>
      <c r="P1512" s="14" t="s">
        <v>2236</v>
      </c>
      <c r="Q1512" s="17" t="s">
        <v>2236</v>
      </c>
      <c r="R1512" s="17" t="s">
        <v>2236</v>
      </c>
      <c r="S1512" s="17" t="s">
        <v>2236</v>
      </c>
      <c r="T1512" s="17" t="s">
        <v>2236</v>
      </c>
      <c r="U15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3" spans="1:31" hidden="1" x14ac:dyDescent="0.3">
      <c r="A1513" s="14" t="s">
        <v>2441</v>
      </c>
      <c r="B1513" s="14" t="s">
        <v>2371</v>
      </c>
      <c r="C1513" s="14" t="s">
        <v>4235</v>
      </c>
      <c r="D1513" s="14" t="s">
        <v>4236</v>
      </c>
      <c r="E1513" s="14" t="s">
        <v>2236</v>
      </c>
      <c r="F1513" s="8">
        <v>0</v>
      </c>
      <c r="G1513" s="14" t="s">
        <v>2237</v>
      </c>
      <c r="H1513" s="16">
        <v>0</v>
      </c>
      <c r="I1513" s="14" t="s">
        <v>2237</v>
      </c>
      <c r="J1513" s="16">
        <v>0</v>
      </c>
      <c r="K1513" s="14" t="s">
        <v>2237</v>
      </c>
      <c r="L1513" s="16">
        <v>0</v>
      </c>
      <c r="M1513" s="14" t="s">
        <v>2237</v>
      </c>
      <c r="N1513" s="8">
        <v>0</v>
      </c>
      <c r="O1513" s="14" t="s">
        <v>2237</v>
      </c>
      <c r="P1513" s="14" t="s">
        <v>2236</v>
      </c>
      <c r="Q1513" s="17" t="s">
        <v>2236</v>
      </c>
      <c r="R1513" s="17" t="s">
        <v>2236</v>
      </c>
      <c r="S1513" s="17" t="s">
        <v>2236</v>
      </c>
      <c r="T1513" s="17" t="s">
        <v>2236</v>
      </c>
      <c r="U15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4" spans="1:31" hidden="1" x14ac:dyDescent="0.3">
      <c r="A1514" s="14" t="s">
        <v>2442</v>
      </c>
      <c r="B1514" s="14" t="s">
        <v>2371</v>
      </c>
      <c r="C1514" s="14" t="s">
        <v>4237</v>
      </c>
      <c r="D1514" s="14" t="s">
        <v>4238</v>
      </c>
      <c r="E1514" s="14" t="s">
        <v>2236</v>
      </c>
      <c r="F1514" s="8">
        <v>0</v>
      </c>
      <c r="G1514" s="14" t="s">
        <v>2237</v>
      </c>
      <c r="H1514" s="16">
        <v>0</v>
      </c>
      <c r="I1514" s="14" t="s">
        <v>2237</v>
      </c>
      <c r="J1514" s="16">
        <v>0</v>
      </c>
      <c r="K1514" s="14" t="s">
        <v>2237</v>
      </c>
      <c r="L1514" s="16">
        <v>0</v>
      </c>
      <c r="M1514" s="14" t="s">
        <v>2237</v>
      </c>
      <c r="N1514" s="8">
        <v>0</v>
      </c>
      <c r="O1514" s="14" t="s">
        <v>2237</v>
      </c>
      <c r="P1514" s="14" t="s">
        <v>2236</v>
      </c>
      <c r="Q1514" s="17" t="s">
        <v>2236</v>
      </c>
      <c r="R1514" s="17" t="s">
        <v>2236</v>
      </c>
      <c r="S1514" s="17" t="s">
        <v>2236</v>
      </c>
      <c r="T1514" s="17" t="s">
        <v>2236</v>
      </c>
      <c r="U15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5" spans="1:31" hidden="1" x14ac:dyDescent="0.3">
      <c r="A1515" s="14" t="s">
        <v>2443</v>
      </c>
      <c r="B1515" s="14" t="s">
        <v>2371</v>
      </c>
      <c r="C1515" s="14" t="s">
        <v>4239</v>
      </c>
      <c r="D1515" s="14" t="s">
        <v>4240</v>
      </c>
      <c r="E1515" s="14" t="s">
        <v>2236</v>
      </c>
      <c r="F1515" s="8">
        <v>0</v>
      </c>
      <c r="G1515" s="14" t="s">
        <v>2237</v>
      </c>
      <c r="H1515" s="16">
        <v>0</v>
      </c>
      <c r="I1515" s="14" t="s">
        <v>2237</v>
      </c>
      <c r="J1515" s="16">
        <v>0</v>
      </c>
      <c r="K1515" s="14" t="s">
        <v>2237</v>
      </c>
      <c r="L1515" s="16">
        <v>0</v>
      </c>
      <c r="M1515" s="14" t="s">
        <v>2237</v>
      </c>
      <c r="N1515" s="8">
        <v>0</v>
      </c>
      <c r="O1515" s="14" t="s">
        <v>2237</v>
      </c>
      <c r="P1515" s="14" t="s">
        <v>2236</v>
      </c>
      <c r="Q1515" s="17" t="s">
        <v>2236</v>
      </c>
      <c r="R1515" s="17" t="s">
        <v>2236</v>
      </c>
      <c r="S1515" s="17" t="s">
        <v>2236</v>
      </c>
      <c r="T1515" s="17" t="s">
        <v>2236</v>
      </c>
      <c r="U15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6" spans="1:31" hidden="1" x14ac:dyDescent="0.3">
      <c r="A1516" s="14" t="s">
        <v>2444</v>
      </c>
      <c r="B1516" s="14" t="s">
        <v>2371</v>
      </c>
      <c r="C1516" s="14" t="s">
        <v>4241</v>
      </c>
      <c r="D1516" s="14" t="s">
        <v>4242</v>
      </c>
      <c r="E1516" s="14" t="s">
        <v>2236</v>
      </c>
      <c r="F1516" s="8">
        <v>0</v>
      </c>
      <c r="G1516" s="14" t="s">
        <v>2237</v>
      </c>
      <c r="H1516" s="16">
        <v>0</v>
      </c>
      <c r="I1516" s="14" t="s">
        <v>2237</v>
      </c>
      <c r="J1516" s="16">
        <v>0</v>
      </c>
      <c r="K1516" s="14" t="s">
        <v>2237</v>
      </c>
      <c r="L1516" s="16">
        <v>0</v>
      </c>
      <c r="M1516" s="14" t="s">
        <v>2237</v>
      </c>
      <c r="N1516" s="8">
        <v>0</v>
      </c>
      <c r="O1516" s="14" t="s">
        <v>2237</v>
      </c>
      <c r="P1516" s="14" t="s">
        <v>2236</v>
      </c>
      <c r="Q1516" s="17" t="s">
        <v>2236</v>
      </c>
      <c r="R1516" s="17" t="s">
        <v>2236</v>
      </c>
      <c r="S1516" s="17" t="s">
        <v>2236</v>
      </c>
      <c r="T1516" s="17" t="s">
        <v>2236</v>
      </c>
      <c r="U15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7" spans="1:31" hidden="1" x14ac:dyDescent="0.3">
      <c r="A1517" s="14" t="s">
        <v>2445</v>
      </c>
      <c r="B1517" s="14" t="s">
        <v>2371</v>
      </c>
      <c r="C1517" s="14" t="s">
        <v>4243</v>
      </c>
      <c r="D1517" s="14" t="s">
        <v>4244</v>
      </c>
      <c r="E1517" s="14" t="s">
        <v>2236</v>
      </c>
      <c r="F1517" s="8">
        <v>0</v>
      </c>
      <c r="G1517" s="14" t="s">
        <v>2237</v>
      </c>
      <c r="H1517" s="16">
        <v>0</v>
      </c>
      <c r="I1517" s="14" t="s">
        <v>2237</v>
      </c>
      <c r="J1517" s="16">
        <v>0</v>
      </c>
      <c r="K1517" s="14" t="s">
        <v>2237</v>
      </c>
      <c r="L1517" s="16">
        <v>0</v>
      </c>
      <c r="M1517" s="14" t="s">
        <v>2237</v>
      </c>
      <c r="N1517" s="8">
        <v>0</v>
      </c>
      <c r="O1517" s="14" t="s">
        <v>2237</v>
      </c>
      <c r="P1517" s="14" t="s">
        <v>2236</v>
      </c>
      <c r="Q1517" s="17" t="s">
        <v>2236</v>
      </c>
      <c r="R1517" s="17" t="s">
        <v>2236</v>
      </c>
      <c r="S1517" s="17" t="s">
        <v>2236</v>
      </c>
      <c r="T1517" s="17" t="s">
        <v>2236</v>
      </c>
      <c r="U15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8" spans="1:31" hidden="1" x14ac:dyDescent="0.3">
      <c r="A1518" s="14" t="s">
        <v>2446</v>
      </c>
      <c r="B1518" s="14" t="s">
        <v>2371</v>
      </c>
      <c r="C1518" s="14" t="s">
        <v>4245</v>
      </c>
      <c r="D1518" s="14" t="s">
        <v>4246</v>
      </c>
      <c r="E1518" s="14" t="s">
        <v>2236</v>
      </c>
      <c r="F1518" s="8">
        <v>0</v>
      </c>
      <c r="G1518" s="14" t="s">
        <v>2237</v>
      </c>
      <c r="H1518" s="16">
        <v>0</v>
      </c>
      <c r="I1518" s="14" t="s">
        <v>2237</v>
      </c>
      <c r="J1518" s="16">
        <v>0</v>
      </c>
      <c r="K1518" s="14" t="s">
        <v>2237</v>
      </c>
      <c r="L1518" s="16">
        <v>0</v>
      </c>
      <c r="M1518" s="14" t="s">
        <v>2237</v>
      </c>
      <c r="N1518" s="8">
        <v>0</v>
      </c>
      <c r="O1518" s="14" t="s">
        <v>2237</v>
      </c>
      <c r="P1518" s="14" t="s">
        <v>2236</v>
      </c>
      <c r="Q1518" s="17" t="s">
        <v>2236</v>
      </c>
      <c r="R1518" s="17" t="s">
        <v>2236</v>
      </c>
      <c r="S1518" s="17" t="s">
        <v>2236</v>
      </c>
      <c r="T1518" s="17" t="s">
        <v>2236</v>
      </c>
      <c r="U15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19" spans="1:31" hidden="1" x14ac:dyDescent="0.3">
      <c r="A1519" s="14" t="s">
        <v>2447</v>
      </c>
      <c r="B1519" s="14" t="s">
        <v>2371</v>
      </c>
      <c r="C1519" s="14" t="s">
        <v>4247</v>
      </c>
      <c r="D1519" s="14" t="s">
        <v>4248</v>
      </c>
      <c r="E1519" s="14" t="s">
        <v>2236</v>
      </c>
      <c r="F1519" s="8">
        <v>0</v>
      </c>
      <c r="G1519" s="14" t="s">
        <v>2237</v>
      </c>
      <c r="H1519" s="16">
        <v>0</v>
      </c>
      <c r="I1519" s="14" t="s">
        <v>2237</v>
      </c>
      <c r="J1519" s="16">
        <v>0</v>
      </c>
      <c r="K1519" s="14" t="s">
        <v>2237</v>
      </c>
      <c r="L1519" s="16">
        <v>0</v>
      </c>
      <c r="M1519" s="14" t="s">
        <v>2237</v>
      </c>
      <c r="N1519" s="8">
        <v>0</v>
      </c>
      <c r="O1519" s="14" t="s">
        <v>2237</v>
      </c>
      <c r="P1519" s="14" t="s">
        <v>2236</v>
      </c>
      <c r="Q1519" s="17" t="s">
        <v>2236</v>
      </c>
      <c r="R1519" s="17" t="s">
        <v>2236</v>
      </c>
      <c r="S1519" s="17" t="s">
        <v>2236</v>
      </c>
      <c r="T1519" s="17" t="s">
        <v>2236</v>
      </c>
      <c r="U15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0" spans="1:31" hidden="1" x14ac:dyDescent="0.3">
      <c r="A1520" s="14" t="s">
        <v>2448</v>
      </c>
      <c r="B1520" s="14" t="s">
        <v>2371</v>
      </c>
      <c r="C1520" s="14" t="s">
        <v>4233</v>
      </c>
      <c r="D1520" s="14" t="s">
        <v>4249</v>
      </c>
      <c r="E1520" s="14" t="s">
        <v>2236</v>
      </c>
      <c r="F1520" s="8">
        <v>0</v>
      </c>
      <c r="G1520" s="14" t="s">
        <v>2237</v>
      </c>
      <c r="H1520" s="16">
        <v>0</v>
      </c>
      <c r="I1520" s="14" t="s">
        <v>2237</v>
      </c>
      <c r="J1520" s="16">
        <v>0</v>
      </c>
      <c r="K1520" s="14" t="s">
        <v>2237</v>
      </c>
      <c r="L1520" s="16">
        <v>0</v>
      </c>
      <c r="M1520" s="14" t="s">
        <v>2237</v>
      </c>
      <c r="N1520" s="8">
        <v>0</v>
      </c>
      <c r="O1520" s="14" t="s">
        <v>2237</v>
      </c>
      <c r="P1520" s="14" t="s">
        <v>2236</v>
      </c>
      <c r="Q1520" s="17" t="s">
        <v>2236</v>
      </c>
      <c r="R1520" s="17" t="s">
        <v>2236</v>
      </c>
      <c r="S1520" s="17" t="s">
        <v>2236</v>
      </c>
      <c r="T1520" s="17" t="s">
        <v>2236</v>
      </c>
      <c r="U15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1" spans="1:31" hidden="1" x14ac:dyDescent="0.3">
      <c r="A1521" s="14" t="s">
        <v>2449</v>
      </c>
      <c r="B1521" s="14" t="s">
        <v>2371</v>
      </c>
      <c r="C1521" s="14" t="s">
        <v>4250</v>
      </c>
      <c r="D1521" s="14" t="s">
        <v>4251</v>
      </c>
      <c r="E1521" s="14" t="s">
        <v>2236</v>
      </c>
      <c r="F1521" s="8">
        <v>0</v>
      </c>
      <c r="G1521" s="14" t="s">
        <v>2237</v>
      </c>
      <c r="H1521" s="16">
        <v>0</v>
      </c>
      <c r="I1521" s="14" t="s">
        <v>2237</v>
      </c>
      <c r="J1521" s="16">
        <v>0</v>
      </c>
      <c r="K1521" s="14" t="s">
        <v>2237</v>
      </c>
      <c r="L1521" s="16">
        <v>0</v>
      </c>
      <c r="M1521" s="14" t="s">
        <v>2237</v>
      </c>
      <c r="N1521" s="8">
        <v>0</v>
      </c>
      <c r="O1521" s="14" t="s">
        <v>2237</v>
      </c>
      <c r="P1521" s="14" t="s">
        <v>2236</v>
      </c>
      <c r="Q1521" s="17" t="s">
        <v>2236</v>
      </c>
      <c r="R1521" s="17" t="s">
        <v>2236</v>
      </c>
      <c r="S1521" s="17" t="s">
        <v>2236</v>
      </c>
      <c r="T1521" s="17" t="s">
        <v>2236</v>
      </c>
      <c r="U15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2" spans="1:31" hidden="1" x14ac:dyDescent="0.3">
      <c r="A1522" s="14" t="s">
        <v>2450</v>
      </c>
      <c r="B1522" s="14" t="s">
        <v>2371</v>
      </c>
      <c r="C1522" s="14" t="s">
        <v>4252</v>
      </c>
      <c r="D1522" s="14" t="s">
        <v>4253</v>
      </c>
      <c r="E1522" s="14" t="s">
        <v>2236</v>
      </c>
      <c r="F1522" s="8">
        <v>0</v>
      </c>
      <c r="G1522" s="14" t="s">
        <v>2237</v>
      </c>
      <c r="H1522" s="16">
        <v>0</v>
      </c>
      <c r="I1522" s="14" t="s">
        <v>2237</v>
      </c>
      <c r="J1522" s="16">
        <v>0</v>
      </c>
      <c r="K1522" s="14" t="s">
        <v>2237</v>
      </c>
      <c r="L1522" s="16">
        <v>0</v>
      </c>
      <c r="M1522" s="14" t="s">
        <v>2237</v>
      </c>
      <c r="N1522" s="8">
        <v>0</v>
      </c>
      <c r="O1522" s="14" t="s">
        <v>2237</v>
      </c>
      <c r="P1522" s="14" t="s">
        <v>2236</v>
      </c>
      <c r="Q1522" s="17" t="s">
        <v>2236</v>
      </c>
      <c r="R1522" s="17" t="s">
        <v>2236</v>
      </c>
      <c r="S1522" s="17" t="s">
        <v>2236</v>
      </c>
      <c r="T1522" s="17" t="s">
        <v>2236</v>
      </c>
      <c r="U15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3" spans="1:31" hidden="1" x14ac:dyDescent="0.3">
      <c r="A1523" s="14" t="s">
        <v>2451</v>
      </c>
      <c r="B1523" s="14" t="s">
        <v>2371</v>
      </c>
      <c r="C1523" s="14" t="s">
        <v>4254</v>
      </c>
      <c r="D1523" s="14" t="s">
        <v>4255</v>
      </c>
      <c r="E1523" s="14" t="s">
        <v>2236</v>
      </c>
      <c r="F1523" s="8">
        <v>0</v>
      </c>
      <c r="G1523" s="14" t="s">
        <v>2237</v>
      </c>
      <c r="H1523" s="16">
        <v>0</v>
      </c>
      <c r="I1523" s="14" t="s">
        <v>2237</v>
      </c>
      <c r="J1523" s="16">
        <v>0</v>
      </c>
      <c r="K1523" s="14" t="s">
        <v>2237</v>
      </c>
      <c r="L1523" s="16">
        <v>0</v>
      </c>
      <c r="M1523" s="14" t="s">
        <v>2237</v>
      </c>
      <c r="N1523" s="8">
        <v>0</v>
      </c>
      <c r="O1523" s="14" t="s">
        <v>2237</v>
      </c>
      <c r="P1523" s="14" t="s">
        <v>2236</v>
      </c>
      <c r="Q1523" s="17" t="s">
        <v>2236</v>
      </c>
      <c r="R1523" s="17" t="s">
        <v>2236</v>
      </c>
      <c r="S1523" s="17" t="s">
        <v>2236</v>
      </c>
      <c r="T1523" s="17" t="s">
        <v>2236</v>
      </c>
      <c r="U15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4" spans="1:31" hidden="1" x14ac:dyDescent="0.3">
      <c r="A1524" s="14" t="s">
        <v>2452</v>
      </c>
      <c r="B1524" s="14" t="s">
        <v>2371</v>
      </c>
      <c r="C1524" s="14" t="s">
        <v>4256</v>
      </c>
      <c r="D1524" s="14" t="s">
        <v>4257</v>
      </c>
      <c r="E1524" s="14" t="s">
        <v>2236</v>
      </c>
      <c r="F1524" s="8">
        <v>0</v>
      </c>
      <c r="G1524" s="14" t="s">
        <v>2237</v>
      </c>
      <c r="H1524" s="16">
        <v>0</v>
      </c>
      <c r="I1524" s="14" t="s">
        <v>2237</v>
      </c>
      <c r="J1524" s="16">
        <v>0</v>
      </c>
      <c r="K1524" s="14" t="s">
        <v>2237</v>
      </c>
      <c r="L1524" s="16">
        <v>0</v>
      </c>
      <c r="M1524" s="14" t="s">
        <v>2237</v>
      </c>
      <c r="N1524" s="8">
        <v>0</v>
      </c>
      <c r="O1524" s="14" t="s">
        <v>2237</v>
      </c>
      <c r="P1524" s="14" t="s">
        <v>2236</v>
      </c>
      <c r="Q1524" s="17" t="s">
        <v>2236</v>
      </c>
      <c r="R1524" s="17" t="s">
        <v>2236</v>
      </c>
      <c r="S1524" s="17" t="s">
        <v>2236</v>
      </c>
      <c r="T1524" s="17" t="s">
        <v>2236</v>
      </c>
      <c r="U15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5" spans="1:31" hidden="1" x14ac:dyDescent="0.3">
      <c r="A1525" s="14" t="s">
        <v>2454</v>
      </c>
      <c r="B1525" s="14" t="s">
        <v>2371</v>
      </c>
      <c r="C1525" s="14" t="s">
        <v>2902</v>
      </c>
      <c r="D1525" s="14" t="s">
        <v>4258</v>
      </c>
      <c r="E1525" s="14" t="s">
        <v>2236</v>
      </c>
      <c r="F1525" s="8">
        <v>0</v>
      </c>
      <c r="G1525" s="14" t="s">
        <v>2237</v>
      </c>
      <c r="H1525" s="16">
        <v>0</v>
      </c>
      <c r="I1525" s="14" t="s">
        <v>2237</v>
      </c>
      <c r="J1525" s="16">
        <v>0</v>
      </c>
      <c r="K1525" s="14" t="s">
        <v>2237</v>
      </c>
      <c r="L1525" s="16">
        <v>0</v>
      </c>
      <c r="M1525" s="14" t="s">
        <v>2237</v>
      </c>
      <c r="N1525" s="8">
        <v>0</v>
      </c>
      <c r="O1525" s="14" t="s">
        <v>2237</v>
      </c>
      <c r="P1525" s="14" t="s">
        <v>2236</v>
      </c>
      <c r="Q1525" s="17" t="s">
        <v>2236</v>
      </c>
      <c r="R1525" s="17" t="s">
        <v>2236</v>
      </c>
      <c r="S1525" s="17" t="s">
        <v>2236</v>
      </c>
      <c r="T1525" s="17" t="s">
        <v>2236</v>
      </c>
      <c r="U15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6" spans="1:31" hidden="1" x14ac:dyDescent="0.3">
      <c r="A1526" s="14" t="s">
        <v>2455</v>
      </c>
      <c r="B1526" s="14" t="s">
        <v>2366</v>
      </c>
      <c r="C1526" s="14" t="s">
        <v>4259</v>
      </c>
      <c r="D1526" s="14" t="s">
        <v>4260</v>
      </c>
      <c r="E1526" s="14" t="s">
        <v>2236</v>
      </c>
      <c r="F1526" s="8">
        <v>0</v>
      </c>
      <c r="G1526" s="14" t="s">
        <v>2237</v>
      </c>
      <c r="H1526" s="16">
        <v>0</v>
      </c>
      <c r="I1526" s="14" t="s">
        <v>2237</v>
      </c>
      <c r="J1526" s="16">
        <v>0</v>
      </c>
      <c r="K1526" s="14" t="s">
        <v>2237</v>
      </c>
      <c r="L1526" s="16">
        <v>0</v>
      </c>
      <c r="M1526" s="14" t="s">
        <v>2237</v>
      </c>
      <c r="N1526" s="8">
        <v>3875.66</v>
      </c>
      <c r="O1526" s="14" t="s">
        <v>2237</v>
      </c>
      <c r="P1526" s="14" t="s">
        <v>2236</v>
      </c>
      <c r="Q1526" s="17" t="s">
        <v>2236</v>
      </c>
      <c r="R1526" s="17" t="s">
        <v>2236</v>
      </c>
      <c r="S1526" s="17" t="s">
        <v>2236</v>
      </c>
      <c r="T1526" s="17" t="s">
        <v>2866</v>
      </c>
      <c r="U15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7" spans="1:31" hidden="1" x14ac:dyDescent="0.3">
      <c r="A1527" s="14" t="s">
        <v>2456</v>
      </c>
      <c r="B1527" s="14" t="s">
        <v>2371</v>
      </c>
      <c r="C1527" s="14" t="s">
        <v>4261</v>
      </c>
      <c r="D1527" s="14" t="s">
        <v>4262</v>
      </c>
      <c r="E1527" s="14" t="s">
        <v>2236</v>
      </c>
      <c r="F1527" s="8">
        <v>0</v>
      </c>
      <c r="G1527" s="14" t="s">
        <v>2237</v>
      </c>
      <c r="H1527" s="16">
        <v>0</v>
      </c>
      <c r="I1527" s="14" t="s">
        <v>2237</v>
      </c>
      <c r="J1527" s="16">
        <v>0</v>
      </c>
      <c r="K1527" s="14" t="s">
        <v>2237</v>
      </c>
      <c r="L1527" s="16">
        <v>0</v>
      </c>
      <c r="M1527" s="14" t="s">
        <v>2237</v>
      </c>
      <c r="N1527" s="8">
        <v>0</v>
      </c>
      <c r="O1527" s="14" t="s">
        <v>2237</v>
      </c>
      <c r="P1527" s="14" t="s">
        <v>2236</v>
      </c>
      <c r="Q1527" s="17" t="s">
        <v>2236</v>
      </c>
      <c r="R1527" s="17" t="s">
        <v>2236</v>
      </c>
      <c r="S1527" s="17" t="s">
        <v>2236</v>
      </c>
      <c r="T1527" s="17" t="s">
        <v>2236</v>
      </c>
      <c r="U15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8" spans="1:31" hidden="1" x14ac:dyDescent="0.3">
      <c r="A1528" s="14" t="s">
        <v>2457</v>
      </c>
      <c r="B1528" s="14" t="s">
        <v>2371</v>
      </c>
      <c r="C1528" s="14" t="s">
        <v>4221</v>
      </c>
      <c r="D1528" s="14" t="s">
        <v>4263</v>
      </c>
      <c r="E1528" s="14" t="s">
        <v>2236</v>
      </c>
      <c r="F1528" s="8">
        <v>0</v>
      </c>
      <c r="G1528" s="14" t="s">
        <v>2237</v>
      </c>
      <c r="H1528" s="16">
        <v>0</v>
      </c>
      <c r="I1528" s="14" t="s">
        <v>2237</v>
      </c>
      <c r="J1528" s="16">
        <v>0</v>
      </c>
      <c r="K1528" s="14" t="s">
        <v>2237</v>
      </c>
      <c r="L1528" s="16">
        <v>0</v>
      </c>
      <c r="M1528" s="14" t="s">
        <v>2237</v>
      </c>
      <c r="N1528" s="8">
        <v>0</v>
      </c>
      <c r="O1528" s="14" t="s">
        <v>2237</v>
      </c>
      <c r="P1528" s="14" t="s">
        <v>2236</v>
      </c>
      <c r="Q1528" s="17" t="s">
        <v>2236</v>
      </c>
      <c r="R1528" s="17" t="s">
        <v>2236</v>
      </c>
      <c r="S1528" s="17" t="s">
        <v>2236</v>
      </c>
      <c r="T1528" s="17" t="s">
        <v>2236</v>
      </c>
      <c r="U15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29" spans="1:31" hidden="1" x14ac:dyDescent="0.3">
      <c r="A1529" s="14" t="s">
        <v>2458</v>
      </c>
      <c r="B1529" s="14" t="s">
        <v>2371</v>
      </c>
      <c r="C1529" s="14" t="s">
        <v>4264</v>
      </c>
      <c r="D1529" s="14" t="s">
        <v>4265</v>
      </c>
      <c r="E1529" s="14" t="s">
        <v>2236</v>
      </c>
      <c r="F1529" s="8">
        <v>0</v>
      </c>
      <c r="G1529" s="14" t="s">
        <v>2237</v>
      </c>
      <c r="H1529" s="16">
        <v>0</v>
      </c>
      <c r="I1529" s="14" t="s">
        <v>2237</v>
      </c>
      <c r="J1529" s="16">
        <v>0</v>
      </c>
      <c r="K1529" s="14" t="s">
        <v>2237</v>
      </c>
      <c r="L1529" s="16">
        <v>0</v>
      </c>
      <c r="M1529" s="14" t="s">
        <v>2237</v>
      </c>
      <c r="N1529" s="8">
        <v>0</v>
      </c>
      <c r="O1529" s="14" t="s">
        <v>2237</v>
      </c>
      <c r="P1529" s="14" t="s">
        <v>2236</v>
      </c>
      <c r="Q1529" s="17" t="s">
        <v>2236</v>
      </c>
      <c r="R1529" s="17" t="s">
        <v>2236</v>
      </c>
      <c r="S1529" s="17" t="s">
        <v>2236</v>
      </c>
      <c r="T1529" s="17" t="s">
        <v>2236</v>
      </c>
      <c r="U15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0" spans="1:31" hidden="1" x14ac:dyDescent="0.3">
      <c r="A1530" s="14" t="s">
        <v>2459</v>
      </c>
      <c r="B1530" s="14" t="s">
        <v>2371</v>
      </c>
      <c r="C1530" s="14" t="s">
        <v>4266</v>
      </c>
      <c r="D1530" s="14" t="s">
        <v>4267</v>
      </c>
      <c r="E1530" s="14" t="s">
        <v>2236</v>
      </c>
      <c r="F1530" s="8">
        <v>0</v>
      </c>
      <c r="G1530" s="14" t="s">
        <v>2237</v>
      </c>
      <c r="H1530" s="16">
        <v>0</v>
      </c>
      <c r="I1530" s="14" t="s">
        <v>2237</v>
      </c>
      <c r="J1530" s="16">
        <v>0</v>
      </c>
      <c r="K1530" s="14" t="s">
        <v>2237</v>
      </c>
      <c r="L1530" s="16">
        <v>0</v>
      </c>
      <c r="M1530" s="14" t="s">
        <v>2237</v>
      </c>
      <c r="N1530" s="8">
        <v>0</v>
      </c>
      <c r="O1530" s="14" t="s">
        <v>2237</v>
      </c>
      <c r="P1530" s="14" t="s">
        <v>2236</v>
      </c>
      <c r="Q1530" s="17" t="s">
        <v>2236</v>
      </c>
      <c r="R1530" s="17" t="s">
        <v>2236</v>
      </c>
      <c r="S1530" s="17" t="s">
        <v>2236</v>
      </c>
      <c r="T1530" s="17" t="s">
        <v>2236</v>
      </c>
      <c r="U15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1" spans="1:31" hidden="1" x14ac:dyDescent="0.3">
      <c r="A1531" s="14" t="s">
        <v>2460</v>
      </c>
      <c r="B1531" s="14" t="s">
        <v>2371</v>
      </c>
      <c r="C1531" s="14" t="s">
        <v>4233</v>
      </c>
      <c r="D1531" s="14" t="s">
        <v>4268</v>
      </c>
      <c r="E1531" s="14" t="s">
        <v>2236</v>
      </c>
      <c r="F1531" s="8">
        <v>0</v>
      </c>
      <c r="G1531" s="14" t="s">
        <v>2237</v>
      </c>
      <c r="H1531" s="16">
        <v>0</v>
      </c>
      <c r="I1531" s="14" t="s">
        <v>2237</v>
      </c>
      <c r="J1531" s="16">
        <v>0</v>
      </c>
      <c r="K1531" s="14" t="s">
        <v>2237</v>
      </c>
      <c r="L1531" s="16">
        <v>0</v>
      </c>
      <c r="M1531" s="14" t="s">
        <v>2237</v>
      </c>
      <c r="N1531" s="8">
        <v>0</v>
      </c>
      <c r="O1531" s="14" t="s">
        <v>2237</v>
      </c>
      <c r="P1531" s="14" t="s">
        <v>2236</v>
      </c>
      <c r="Q1531" s="17" t="s">
        <v>2236</v>
      </c>
      <c r="R1531" s="17" t="s">
        <v>2236</v>
      </c>
      <c r="S1531" s="17" t="s">
        <v>2236</v>
      </c>
      <c r="T1531" s="17" t="s">
        <v>2236</v>
      </c>
      <c r="U15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2" spans="1:31" hidden="1" x14ac:dyDescent="0.3">
      <c r="A1532" s="14" t="s">
        <v>2461</v>
      </c>
      <c r="B1532" s="14" t="s">
        <v>2371</v>
      </c>
      <c r="C1532" s="14" t="s">
        <v>4269</v>
      </c>
      <c r="D1532" s="14" t="s">
        <v>4270</v>
      </c>
      <c r="E1532" s="14" t="s">
        <v>2236</v>
      </c>
      <c r="F1532" s="8">
        <v>0</v>
      </c>
      <c r="G1532" s="14" t="s">
        <v>2237</v>
      </c>
      <c r="H1532" s="16">
        <v>0</v>
      </c>
      <c r="I1532" s="14" t="s">
        <v>2237</v>
      </c>
      <c r="J1532" s="16">
        <v>0</v>
      </c>
      <c r="K1532" s="14" t="s">
        <v>2237</v>
      </c>
      <c r="L1532" s="16">
        <v>0</v>
      </c>
      <c r="M1532" s="14" t="s">
        <v>2237</v>
      </c>
      <c r="N1532" s="8">
        <v>0</v>
      </c>
      <c r="O1532" s="14" t="s">
        <v>2237</v>
      </c>
      <c r="P1532" s="14" t="s">
        <v>2236</v>
      </c>
      <c r="Q1532" s="17" t="s">
        <v>2236</v>
      </c>
      <c r="R1532" s="17" t="s">
        <v>2236</v>
      </c>
      <c r="S1532" s="17" t="s">
        <v>2236</v>
      </c>
      <c r="T1532" s="17" t="s">
        <v>2236</v>
      </c>
      <c r="U15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3" spans="1:31" hidden="1" x14ac:dyDescent="0.3">
      <c r="A1533" s="14" t="s">
        <v>2462</v>
      </c>
      <c r="B1533" s="14" t="s">
        <v>2371</v>
      </c>
      <c r="C1533" s="14" t="s">
        <v>2972</v>
      </c>
      <c r="D1533" s="14" t="s">
        <v>4271</v>
      </c>
      <c r="E1533" s="14" t="s">
        <v>2236</v>
      </c>
      <c r="F1533" s="8">
        <v>0</v>
      </c>
      <c r="G1533" s="14" t="s">
        <v>2237</v>
      </c>
      <c r="H1533" s="16">
        <v>0</v>
      </c>
      <c r="I1533" s="14" t="s">
        <v>2237</v>
      </c>
      <c r="J1533" s="16">
        <v>0</v>
      </c>
      <c r="K1533" s="14" t="s">
        <v>2237</v>
      </c>
      <c r="L1533" s="16">
        <v>0</v>
      </c>
      <c r="M1533" s="14" t="s">
        <v>2237</v>
      </c>
      <c r="N1533" s="8">
        <v>0</v>
      </c>
      <c r="O1533" s="14" t="s">
        <v>2237</v>
      </c>
      <c r="P1533" s="14" t="s">
        <v>2236</v>
      </c>
      <c r="Q1533" s="17" t="s">
        <v>2236</v>
      </c>
      <c r="R1533" s="17" t="s">
        <v>2236</v>
      </c>
      <c r="S1533" s="17" t="s">
        <v>2236</v>
      </c>
      <c r="T1533" s="17" t="s">
        <v>2236</v>
      </c>
      <c r="U15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4" spans="1:31" hidden="1" x14ac:dyDescent="0.3">
      <c r="A1534" s="14" t="s">
        <v>2463</v>
      </c>
      <c r="B1534" s="14" t="s">
        <v>2371</v>
      </c>
      <c r="C1534" s="14" t="s">
        <v>4272</v>
      </c>
      <c r="D1534" s="14" t="s">
        <v>4273</v>
      </c>
      <c r="E1534" s="14" t="s">
        <v>2236</v>
      </c>
      <c r="F1534" s="8">
        <v>0</v>
      </c>
      <c r="G1534" s="14" t="s">
        <v>2237</v>
      </c>
      <c r="H1534" s="16">
        <v>0</v>
      </c>
      <c r="I1534" s="14" t="s">
        <v>2237</v>
      </c>
      <c r="J1534" s="16">
        <v>0</v>
      </c>
      <c r="K1534" s="14" t="s">
        <v>2237</v>
      </c>
      <c r="L1534" s="16">
        <v>0</v>
      </c>
      <c r="M1534" s="14" t="s">
        <v>2237</v>
      </c>
      <c r="N1534" s="8">
        <v>0</v>
      </c>
      <c r="O1534" s="14" t="s">
        <v>2237</v>
      </c>
      <c r="P1534" s="14" t="s">
        <v>2236</v>
      </c>
      <c r="Q1534" s="17" t="s">
        <v>2236</v>
      </c>
      <c r="R1534" s="17" t="s">
        <v>2236</v>
      </c>
      <c r="S1534" s="17" t="s">
        <v>2236</v>
      </c>
      <c r="T1534" s="17" t="s">
        <v>2236</v>
      </c>
      <c r="U15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5" spans="1:31" hidden="1" x14ac:dyDescent="0.3">
      <c r="A1535" s="14" t="s">
        <v>2464</v>
      </c>
      <c r="B1535" s="14" t="s">
        <v>2371</v>
      </c>
      <c r="C1535" s="14" t="s">
        <v>4274</v>
      </c>
      <c r="D1535" s="14" t="s">
        <v>4275</v>
      </c>
      <c r="E1535" s="14" t="s">
        <v>2236</v>
      </c>
      <c r="F1535" s="8">
        <v>0</v>
      </c>
      <c r="G1535" s="14" t="s">
        <v>2237</v>
      </c>
      <c r="H1535" s="16">
        <v>0</v>
      </c>
      <c r="I1535" s="14" t="s">
        <v>2237</v>
      </c>
      <c r="J1535" s="16">
        <v>0</v>
      </c>
      <c r="K1535" s="14" t="s">
        <v>2237</v>
      </c>
      <c r="L1535" s="16">
        <v>0</v>
      </c>
      <c r="M1535" s="14" t="s">
        <v>2237</v>
      </c>
      <c r="N1535" s="8">
        <v>0</v>
      </c>
      <c r="O1535" s="14" t="s">
        <v>2237</v>
      </c>
      <c r="P1535" s="14" t="s">
        <v>2236</v>
      </c>
      <c r="Q1535" s="17" t="s">
        <v>2236</v>
      </c>
      <c r="R1535" s="17" t="s">
        <v>2236</v>
      </c>
      <c r="S1535" s="17" t="s">
        <v>2236</v>
      </c>
      <c r="T1535" s="17" t="s">
        <v>2236</v>
      </c>
      <c r="U15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6" spans="1:31" hidden="1" x14ac:dyDescent="0.3">
      <c r="A1536" s="14" t="s">
        <v>2465</v>
      </c>
      <c r="B1536" s="14" t="s">
        <v>2371</v>
      </c>
      <c r="C1536" s="14" t="s">
        <v>4276</v>
      </c>
      <c r="D1536" s="14" t="s">
        <v>4277</v>
      </c>
      <c r="E1536" s="14" t="s">
        <v>2236</v>
      </c>
      <c r="F1536" s="8">
        <v>0</v>
      </c>
      <c r="G1536" s="14" t="s">
        <v>2237</v>
      </c>
      <c r="H1536" s="16">
        <v>0</v>
      </c>
      <c r="I1536" s="14" t="s">
        <v>2237</v>
      </c>
      <c r="J1536" s="16">
        <v>0</v>
      </c>
      <c r="K1536" s="14" t="s">
        <v>2237</v>
      </c>
      <c r="L1536" s="16">
        <v>0</v>
      </c>
      <c r="M1536" s="14" t="s">
        <v>2237</v>
      </c>
      <c r="N1536" s="8">
        <v>0</v>
      </c>
      <c r="O1536" s="14" t="s">
        <v>2237</v>
      </c>
      <c r="P1536" s="14" t="s">
        <v>2236</v>
      </c>
      <c r="Q1536" s="17" t="s">
        <v>2236</v>
      </c>
      <c r="R1536" s="17" t="s">
        <v>2236</v>
      </c>
      <c r="S1536" s="17" t="s">
        <v>2236</v>
      </c>
      <c r="T1536" s="17" t="s">
        <v>2236</v>
      </c>
      <c r="U15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7" spans="1:31" hidden="1" x14ac:dyDescent="0.3">
      <c r="A1537" s="14" t="s">
        <v>2466</v>
      </c>
      <c r="B1537" s="14" t="s">
        <v>2371</v>
      </c>
      <c r="C1537" s="14" t="s">
        <v>4278</v>
      </c>
      <c r="D1537" s="14" t="s">
        <v>4279</v>
      </c>
      <c r="E1537" s="14" t="s">
        <v>2236</v>
      </c>
      <c r="F1537" s="8">
        <v>0</v>
      </c>
      <c r="G1537" s="14" t="s">
        <v>2237</v>
      </c>
      <c r="H1537" s="16">
        <v>0</v>
      </c>
      <c r="I1537" s="14" t="s">
        <v>2237</v>
      </c>
      <c r="J1537" s="16">
        <v>0</v>
      </c>
      <c r="K1537" s="14" t="s">
        <v>2237</v>
      </c>
      <c r="L1537" s="16">
        <v>0</v>
      </c>
      <c r="M1537" s="14" t="s">
        <v>2237</v>
      </c>
      <c r="N1537" s="8">
        <v>0</v>
      </c>
      <c r="O1537" s="14" t="s">
        <v>2237</v>
      </c>
      <c r="P1537" s="14" t="s">
        <v>2236</v>
      </c>
      <c r="Q1537" s="17" t="s">
        <v>2236</v>
      </c>
      <c r="R1537" s="17" t="s">
        <v>2236</v>
      </c>
      <c r="S1537" s="17" t="s">
        <v>2236</v>
      </c>
      <c r="T1537" s="17" t="s">
        <v>2236</v>
      </c>
      <c r="U15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8" spans="1:31" hidden="1" x14ac:dyDescent="0.3">
      <c r="A1538" s="14" t="s">
        <v>2467</v>
      </c>
      <c r="B1538" s="14" t="s">
        <v>2371</v>
      </c>
      <c r="C1538" s="14" t="s">
        <v>4280</v>
      </c>
      <c r="D1538" s="14" t="s">
        <v>4281</v>
      </c>
      <c r="E1538" s="14" t="s">
        <v>2236</v>
      </c>
      <c r="F1538" s="8">
        <v>0</v>
      </c>
      <c r="G1538" s="14" t="s">
        <v>2237</v>
      </c>
      <c r="H1538" s="16">
        <v>0</v>
      </c>
      <c r="I1538" s="14" t="s">
        <v>2237</v>
      </c>
      <c r="J1538" s="16">
        <v>0</v>
      </c>
      <c r="K1538" s="14" t="s">
        <v>2237</v>
      </c>
      <c r="L1538" s="16">
        <v>0</v>
      </c>
      <c r="M1538" s="14" t="s">
        <v>2237</v>
      </c>
      <c r="N1538" s="8">
        <v>0</v>
      </c>
      <c r="O1538" s="14" t="s">
        <v>2237</v>
      </c>
      <c r="P1538" s="14" t="s">
        <v>2236</v>
      </c>
      <c r="Q1538" s="17" t="s">
        <v>2236</v>
      </c>
      <c r="R1538" s="17" t="s">
        <v>2236</v>
      </c>
      <c r="S1538" s="17" t="s">
        <v>2236</v>
      </c>
      <c r="T1538" s="17" t="s">
        <v>2236</v>
      </c>
      <c r="U15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39" spans="1:31" hidden="1" x14ac:dyDescent="0.3">
      <c r="A1539" s="14" t="s">
        <v>2468</v>
      </c>
      <c r="B1539" s="14" t="s">
        <v>2371</v>
      </c>
      <c r="C1539" s="14" t="s">
        <v>4282</v>
      </c>
      <c r="D1539" s="14" t="s">
        <v>4283</v>
      </c>
      <c r="E1539" s="14" t="s">
        <v>2236</v>
      </c>
      <c r="F1539" s="8">
        <v>0</v>
      </c>
      <c r="G1539" s="14" t="s">
        <v>2237</v>
      </c>
      <c r="H1539" s="16">
        <v>0</v>
      </c>
      <c r="I1539" s="14" t="s">
        <v>2237</v>
      </c>
      <c r="J1539" s="16">
        <v>0</v>
      </c>
      <c r="K1539" s="14" t="s">
        <v>2237</v>
      </c>
      <c r="L1539" s="16">
        <v>0</v>
      </c>
      <c r="M1539" s="14" t="s">
        <v>2237</v>
      </c>
      <c r="N1539" s="8">
        <v>0</v>
      </c>
      <c r="O1539" s="14" t="s">
        <v>2237</v>
      </c>
      <c r="P1539" s="14" t="s">
        <v>2236</v>
      </c>
      <c r="Q1539" s="17" t="s">
        <v>2236</v>
      </c>
      <c r="R1539" s="17" t="s">
        <v>2236</v>
      </c>
      <c r="S1539" s="17" t="s">
        <v>2236</v>
      </c>
      <c r="T1539" s="17" t="s">
        <v>2236</v>
      </c>
      <c r="U15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0" spans="1:31" hidden="1" x14ac:dyDescent="0.3">
      <c r="A1540" s="14" t="s">
        <v>2469</v>
      </c>
      <c r="B1540" s="14" t="s">
        <v>2371</v>
      </c>
      <c r="C1540" s="14" t="s">
        <v>4284</v>
      </c>
      <c r="D1540" s="14" t="s">
        <v>4285</v>
      </c>
      <c r="E1540" s="14" t="s">
        <v>2236</v>
      </c>
      <c r="F1540" s="8">
        <v>0</v>
      </c>
      <c r="G1540" s="14" t="s">
        <v>2237</v>
      </c>
      <c r="H1540" s="16">
        <v>0</v>
      </c>
      <c r="I1540" s="14" t="s">
        <v>2237</v>
      </c>
      <c r="J1540" s="16">
        <v>0</v>
      </c>
      <c r="K1540" s="14" t="s">
        <v>2237</v>
      </c>
      <c r="L1540" s="16">
        <v>0</v>
      </c>
      <c r="M1540" s="14" t="s">
        <v>2237</v>
      </c>
      <c r="N1540" s="8">
        <v>0</v>
      </c>
      <c r="O1540" s="14" t="s">
        <v>2237</v>
      </c>
      <c r="P1540" s="14" t="s">
        <v>2236</v>
      </c>
      <c r="Q1540" s="17" t="s">
        <v>2236</v>
      </c>
      <c r="R1540" s="17" t="s">
        <v>2236</v>
      </c>
      <c r="S1540" s="17" t="s">
        <v>2236</v>
      </c>
      <c r="T1540" s="17" t="s">
        <v>2236</v>
      </c>
      <c r="U15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1" spans="1:31" hidden="1" x14ac:dyDescent="0.3">
      <c r="A1541" s="14" t="s">
        <v>2470</v>
      </c>
      <c r="B1541" s="14" t="s">
        <v>2371</v>
      </c>
      <c r="C1541" s="14" t="s">
        <v>4286</v>
      </c>
      <c r="D1541" s="14" t="s">
        <v>4287</v>
      </c>
      <c r="E1541" s="14" t="s">
        <v>2236</v>
      </c>
      <c r="F1541" s="8">
        <v>0</v>
      </c>
      <c r="G1541" s="14" t="s">
        <v>2237</v>
      </c>
      <c r="H1541" s="16">
        <v>0</v>
      </c>
      <c r="I1541" s="14" t="s">
        <v>2237</v>
      </c>
      <c r="J1541" s="16">
        <v>0</v>
      </c>
      <c r="K1541" s="14" t="s">
        <v>2237</v>
      </c>
      <c r="L1541" s="16">
        <v>0</v>
      </c>
      <c r="M1541" s="14" t="s">
        <v>2237</v>
      </c>
      <c r="N1541" s="8">
        <v>0</v>
      </c>
      <c r="O1541" s="14" t="s">
        <v>2237</v>
      </c>
      <c r="P1541" s="14" t="s">
        <v>2236</v>
      </c>
      <c r="Q1541" s="17" t="s">
        <v>2236</v>
      </c>
      <c r="R1541" s="17" t="s">
        <v>2236</v>
      </c>
      <c r="S1541" s="17" t="s">
        <v>2236</v>
      </c>
      <c r="T1541" s="17" t="s">
        <v>2236</v>
      </c>
      <c r="U15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2" spans="1:31" hidden="1" x14ac:dyDescent="0.3">
      <c r="A1542" s="14" t="s">
        <v>2471</v>
      </c>
      <c r="B1542" s="14" t="s">
        <v>2371</v>
      </c>
      <c r="C1542" s="14" t="s">
        <v>4288</v>
      </c>
      <c r="D1542" s="14" t="s">
        <v>4289</v>
      </c>
      <c r="E1542" s="14" t="s">
        <v>2236</v>
      </c>
      <c r="F1542" s="8">
        <v>0</v>
      </c>
      <c r="G1542" s="14" t="s">
        <v>2237</v>
      </c>
      <c r="H1542" s="16">
        <v>0</v>
      </c>
      <c r="I1542" s="14" t="s">
        <v>2237</v>
      </c>
      <c r="J1542" s="16">
        <v>0</v>
      </c>
      <c r="K1542" s="14" t="s">
        <v>2237</v>
      </c>
      <c r="L1542" s="16">
        <v>0</v>
      </c>
      <c r="M1542" s="14" t="s">
        <v>2237</v>
      </c>
      <c r="N1542" s="8">
        <v>0</v>
      </c>
      <c r="O1542" s="14" t="s">
        <v>2237</v>
      </c>
      <c r="P1542" s="14" t="s">
        <v>2236</v>
      </c>
      <c r="Q1542" s="17" t="s">
        <v>2236</v>
      </c>
      <c r="R1542" s="17" t="s">
        <v>2236</v>
      </c>
      <c r="S1542" s="17" t="s">
        <v>2236</v>
      </c>
      <c r="T1542" s="17" t="s">
        <v>2236</v>
      </c>
      <c r="U15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3" spans="1:31" hidden="1" x14ac:dyDescent="0.3">
      <c r="A1543" s="14" t="s">
        <v>2472</v>
      </c>
      <c r="B1543" s="14" t="s">
        <v>2371</v>
      </c>
      <c r="C1543" s="14" t="s">
        <v>4290</v>
      </c>
      <c r="D1543" s="14" t="s">
        <v>4291</v>
      </c>
      <c r="E1543" s="14" t="s">
        <v>2236</v>
      </c>
      <c r="F1543" s="8">
        <v>0</v>
      </c>
      <c r="G1543" s="14" t="s">
        <v>2237</v>
      </c>
      <c r="H1543" s="16">
        <v>0</v>
      </c>
      <c r="I1543" s="14" t="s">
        <v>2237</v>
      </c>
      <c r="J1543" s="16">
        <v>0</v>
      </c>
      <c r="K1543" s="14" t="s">
        <v>2237</v>
      </c>
      <c r="L1543" s="16">
        <v>0</v>
      </c>
      <c r="M1543" s="14" t="s">
        <v>2237</v>
      </c>
      <c r="N1543" s="8">
        <v>0</v>
      </c>
      <c r="O1543" s="14" t="s">
        <v>2237</v>
      </c>
      <c r="P1543" s="14" t="s">
        <v>2236</v>
      </c>
      <c r="Q1543" s="17" t="s">
        <v>2236</v>
      </c>
      <c r="R1543" s="17" t="s">
        <v>2236</v>
      </c>
      <c r="S1543" s="17" t="s">
        <v>2236</v>
      </c>
      <c r="T1543" s="17" t="s">
        <v>2236</v>
      </c>
      <c r="U15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4" spans="1:31" hidden="1" x14ac:dyDescent="0.3">
      <c r="A1544" s="14" t="s">
        <v>2474</v>
      </c>
      <c r="B1544" s="14" t="s">
        <v>2371</v>
      </c>
      <c r="C1544" s="14" t="s">
        <v>4292</v>
      </c>
      <c r="D1544" s="14" t="s">
        <v>4293</v>
      </c>
      <c r="E1544" s="14" t="s">
        <v>2236</v>
      </c>
      <c r="F1544" s="8">
        <v>0</v>
      </c>
      <c r="G1544" s="14" t="s">
        <v>2237</v>
      </c>
      <c r="H1544" s="16">
        <v>0</v>
      </c>
      <c r="I1544" s="14" t="s">
        <v>2237</v>
      </c>
      <c r="J1544" s="16">
        <v>0</v>
      </c>
      <c r="K1544" s="14" t="s">
        <v>2237</v>
      </c>
      <c r="L1544" s="16">
        <v>0</v>
      </c>
      <c r="M1544" s="14" t="s">
        <v>2237</v>
      </c>
      <c r="N1544" s="8">
        <v>0</v>
      </c>
      <c r="O1544" s="14" t="s">
        <v>2237</v>
      </c>
      <c r="P1544" s="14" t="s">
        <v>2236</v>
      </c>
      <c r="Q1544" s="17" t="s">
        <v>2236</v>
      </c>
      <c r="R1544" s="17" t="s">
        <v>2236</v>
      </c>
      <c r="S1544" s="17" t="s">
        <v>2236</v>
      </c>
      <c r="T1544" s="17" t="s">
        <v>2236</v>
      </c>
      <c r="U15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5" spans="1:31" hidden="1" x14ac:dyDescent="0.3">
      <c r="A1545" s="14" t="s">
        <v>2476</v>
      </c>
      <c r="B1545" s="14" t="s">
        <v>2371</v>
      </c>
      <c r="C1545" s="14" t="s">
        <v>4294</v>
      </c>
      <c r="D1545" s="14" t="s">
        <v>4295</v>
      </c>
      <c r="E1545" s="14" t="s">
        <v>2236</v>
      </c>
      <c r="F1545" s="8">
        <v>0</v>
      </c>
      <c r="G1545" s="14" t="s">
        <v>2237</v>
      </c>
      <c r="H1545" s="16">
        <v>0</v>
      </c>
      <c r="I1545" s="14" t="s">
        <v>2237</v>
      </c>
      <c r="J1545" s="16">
        <v>0</v>
      </c>
      <c r="K1545" s="14" t="s">
        <v>2237</v>
      </c>
      <c r="L1545" s="16">
        <v>0</v>
      </c>
      <c r="M1545" s="14" t="s">
        <v>2237</v>
      </c>
      <c r="N1545" s="8">
        <v>0</v>
      </c>
      <c r="O1545" s="14" t="s">
        <v>2237</v>
      </c>
      <c r="P1545" s="14" t="s">
        <v>2236</v>
      </c>
      <c r="Q1545" s="17" t="s">
        <v>2236</v>
      </c>
      <c r="R1545" s="17" t="s">
        <v>2236</v>
      </c>
      <c r="S1545" s="17" t="s">
        <v>2236</v>
      </c>
      <c r="T1545" s="17" t="s">
        <v>2236</v>
      </c>
      <c r="U15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6" spans="1:31" hidden="1" x14ac:dyDescent="0.3">
      <c r="A1546" s="14" t="s">
        <v>2478</v>
      </c>
      <c r="B1546" s="14" t="s">
        <v>2371</v>
      </c>
      <c r="C1546" s="14" t="s">
        <v>4296</v>
      </c>
      <c r="D1546" s="14" t="s">
        <v>4297</v>
      </c>
      <c r="E1546" s="14" t="s">
        <v>2236</v>
      </c>
      <c r="F1546" s="8">
        <v>0</v>
      </c>
      <c r="G1546" s="14" t="s">
        <v>2237</v>
      </c>
      <c r="H1546" s="16">
        <v>0</v>
      </c>
      <c r="I1546" s="14" t="s">
        <v>2237</v>
      </c>
      <c r="J1546" s="16">
        <v>0</v>
      </c>
      <c r="K1546" s="14" t="s">
        <v>2237</v>
      </c>
      <c r="L1546" s="16">
        <v>0</v>
      </c>
      <c r="M1546" s="14" t="s">
        <v>2237</v>
      </c>
      <c r="N1546" s="8">
        <v>0</v>
      </c>
      <c r="O1546" s="14" t="s">
        <v>2237</v>
      </c>
      <c r="P1546" s="14" t="s">
        <v>2236</v>
      </c>
      <c r="Q1546" s="17" t="s">
        <v>2236</v>
      </c>
      <c r="R1546" s="17" t="s">
        <v>2236</v>
      </c>
      <c r="S1546" s="17" t="s">
        <v>2236</v>
      </c>
      <c r="T1546" s="17" t="s">
        <v>2236</v>
      </c>
      <c r="U15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7" spans="1:31" hidden="1" x14ac:dyDescent="0.3">
      <c r="A1547" s="14" t="s">
        <v>2480</v>
      </c>
      <c r="B1547" s="14" t="s">
        <v>2371</v>
      </c>
      <c r="C1547" s="14" t="s">
        <v>2972</v>
      </c>
      <c r="D1547" s="14" t="s">
        <v>4298</v>
      </c>
      <c r="E1547" s="14" t="s">
        <v>2236</v>
      </c>
      <c r="F1547" s="8">
        <v>0</v>
      </c>
      <c r="G1547" s="14" t="s">
        <v>2237</v>
      </c>
      <c r="H1547" s="16">
        <v>0</v>
      </c>
      <c r="I1547" s="14" t="s">
        <v>2237</v>
      </c>
      <c r="J1547" s="16">
        <v>0</v>
      </c>
      <c r="K1547" s="14" t="s">
        <v>2237</v>
      </c>
      <c r="L1547" s="16">
        <v>0</v>
      </c>
      <c r="M1547" s="14" t="s">
        <v>2237</v>
      </c>
      <c r="N1547" s="8">
        <v>0</v>
      </c>
      <c r="O1547" s="14" t="s">
        <v>2237</v>
      </c>
      <c r="P1547" s="14" t="s">
        <v>2236</v>
      </c>
      <c r="Q1547" s="17" t="s">
        <v>2236</v>
      </c>
      <c r="R1547" s="17" t="s">
        <v>2236</v>
      </c>
      <c r="S1547" s="17" t="s">
        <v>2236</v>
      </c>
      <c r="T1547" s="17" t="s">
        <v>2236</v>
      </c>
      <c r="U15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8" spans="1:31" hidden="1" x14ac:dyDescent="0.3">
      <c r="A1548" s="14" t="s">
        <v>2482</v>
      </c>
      <c r="B1548" s="14" t="s">
        <v>2371</v>
      </c>
      <c r="C1548" s="14" t="s">
        <v>4299</v>
      </c>
      <c r="D1548" s="14" t="s">
        <v>4300</v>
      </c>
      <c r="E1548" s="14" t="s">
        <v>2236</v>
      </c>
      <c r="F1548" s="8">
        <v>0</v>
      </c>
      <c r="G1548" s="14" t="s">
        <v>2237</v>
      </c>
      <c r="H1548" s="16">
        <v>0</v>
      </c>
      <c r="I1548" s="14" t="s">
        <v>2237</v>
      </c>
      <c r="J1548" s="16">
        <v>0</v>
      </c>
      <c r="K1548" s="14" t="s">
        <v>2237</v>
      </c>
      <c r="L1548" s="16">
        <v>0</v>
      </c>
      <c r="M1548" s="14" t="s">
        <v>2237</v>
      </c>
      <c r="N1548" s="8">
        <v>0</v>
      </c>
      <c r="O1548" s="14" t="s">
        <v>2237</v>
      </c>
      <c r="P1548" s="14" t="s">
        <v>2236</v>
      </c>
      <c r="Q1548" s="17" t="s">
        <v>2236</v>
      </c>
      <c r="R1548" s="17" t="s">
        <v>2236</v>
      </c>
      <c r="S1548" s="17" t="s">
        <v>2236</v>
      </c>
      <c r="T1548" s="17" t="s">
        <v>2236</v>
      </c>
      <c r="U15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49" spans="1:31" hidden="1" x14ac:dyDescent="0.3">
      <c r="A1549" s="14" t="s">
        <v>2484</v>
      </c>
      <c r="B1549" s="14" t="s">
        <v>2371</v>
      </c>
      <c r="C1549" s="14" t="s">
        <v>4301</v>
      </c>
      <c r="D1549" s="14" t="s">
        <v>4302</v>
      </c>
      <c r="E1549" s="14" t="s">
        <v>2236</v>
      </c>
      <c r="F1549" s="8">
        <v>0</v>
      </c>
      <c r="G1549" s="14" t="s">
        <v>2237</v>
      </c>
      <c r="H1549" s="16">
        <v>0</v>
      </c>
      <c r="I1549" s="14" t="s">
        <v>2237</v>
      </c>
      <c r="J1549" s="16">
        <v>0</v>
      </c>
      <c r="K1549" s="14" t="s">
        <v>2237</v>
      </c>
      <c r="L1549" s="16">
        <v>0</v>
      </c>
      <c r="M1549" s="14" t="s">
        <v>2237</v>
      </c>
      <c r="N1549" s="8">
        <v>0</v>
      </c>
      <c r="O1549" s="14" t="s">
        <v>2237</v>
      </c>
      <c r="P1549" s="14" t="s">
        <v>2236</v>
      </c>
      <c r="Q1549" s="17" t="s">
        <v>2236</v>
      </c>
      <c r="R1549" s="17" t="s">
        <v>2236</v>
      </c>
      <c r="S1549" s="17" t="s">
        <v>2236</v>
      </c>
      <c r="T1549" s="17" t="s">
        <v>2236</v>
      </c>
      <c r="U15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0" spans="1:31" hidden="1" x14ac:dyDescent="0.3">
      <c r="A1550" s="14" t="s">
        <v>2486</v>
      </c>
      <c r="B1550" s="14" t="s">
        <v>2371</v>
      </c>
      <c r="C1550" s="14" t="s">
        <v>3164</v>
      </c>
      <c r="D1550" s="14" t="s">
        <v>4303</v>
      </c>
      <c r="E1550" s="14" t="s">
        <v>2236</v>
      </c>
      <c r="F1550" s="8">
        <v>0</v>
      </c>
      <c r="G1550" s="14" t="s">
        <v>2237</v>
      </c>
      <c r="H1550" s="16">
        <v>0</v>
      </c>
      <c r="I1550" s="14" t="s">
        <v>2237</v>
      </c>
      <c r="J1550" s="16">
        <v>0</v>
      </c>
      <c r="K1550" s="14" t="s">
        <v>2237</v>
      </c>
      <c r="L1550" s="16">
        <v>0</v>
      </c>
      <c r="M1550" s="14" t="s">
        <v>2237</v>
      </c>
      <c r="N1550" s="8">
        <v>0</v>
      </c>
      <c r="O1550" s="14" t="s">
        <v>2237</v>
      </c>
      <c r="P1550" s="14" t="s">
        <v>2236</v>
      </c>
      <c r="Q1550" s="17" t="s">
        <v>2236</v>
      </c>
      <c r="R1550" s="17" t="s">
        <v>2236</v>
      </c>
      <c r="S1550" s="17" t="s">
        <v>2236</v>
      </c>
      <c r="T1550" s="17" t="s">
        <v>2236</v>
      </c>
      <c r="U15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1" spans="1:31" hidden="1" x14ac:dyDescent="0.3">
      <c r="A1551" s="14" t="s">
        <v>2488</v>
      </c>
      <c r="B1551" s="14" t="s">
        <v>2371</v>
      </c>
      <c r="C1551" s="14" t="s">
        <v>4304</v>
      </c>
      <c r="D1551" s="14" t="s">
        <v>4305</v>
      </c>
      <c r="E1551" s="14" t="s">
        <v>2236</v>
      </c>
      <c r="F1551" s="8">
        <v>0</v>
      </c>
      <c r="G1551" s="14" t="s">
        <v>2237</v>
      </c>
      <c r="H1551" s="16">
        <v>0</v>
      </c>
      <c r="I1551" s="14" t="s">
        <v>2237</v>
      </c>
      <c r="J1551" s="16">
        <v>0</v>
      </c>
      <c r="K1551" s="14" t="s">
        <v>2237</v>
      </c>
      <c r="L1551" s="16">
        <v>0</v>
      </c>
      <c r="M1551" s="14" t="s">
        <v>2237</v>
      </c>
      <c r="N1551" s="8">
        <v>0</v>
      </c>
      <c r="O1551" s="14" t="s">
        <v>2237</v>
      </c>
      <c r="P1551" s="14" t="s">
        <v>2236</v>
      </c>
      <c r="Q1551" s="17" t="s">
        <v>2236</v>
      </c>
      <c r="R1551" s="17" t="s">
        <v>2236</v>
      </c>
      <c r="S1551" s="17" t="s">
        <v>2236</v>
      </c>
      <c r="T1551" s="17" t="s">
        <v>2236</v>
      </c>
      <c r="U15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2" spans="1:31" hidden="1" x14ac:dyDescent="0.3">
      <c r="A1552" s="14" t="s">
        <v>2490</v>
      </c>
      <c r="B1552" s="14" t="s">
        <v>2371</v>
      </c>
      <c r="C1552" s="14" t="s">
        <v>2902</v>
      </c>
      <c r="D1552" s="14" t="s">
        <v>4306</v>
      </c>
      <c r="E1552" s="14" t="s">
        <v>2236</v>
      </c>
      <c r="F1552" s="8">
        <v>0</v>
      </c>
      <c r="G1552" s="14" t="s">
        <v>2237</v>
      </c>
      <c r="H1552" s="16">
        <v>0</v>
      </c>
      <c r="I1552" s="14" t="s">
        <v>2237</v>
      </c>
      <c r="J1552" s="16">
        <v>0</v>
      </c>
      <c r="K1552" s="14" t="s">
        <v>2237</v>
      </c>
      <c r="L1552" s="16">
        <v>0</v>
      </c>
      <c r="M1552" s="14" t="s">
        <v>2237</v>
      </c>
      <c r="N1552" s="8">
        <v>0</v>
      </c>
      <c r="O1552" s="14" t="s">
        <v>2237</v>
      </c>
      <c r="P1552" s="14" t="s">
        <v>2236</v>
      </c>
      <c r="Q1552" s="17" t="s">
        <v>2236</v>
      </c>
      <c r="R1552" s="17" t="s">
        <v>2236</v>
      </c>
      <c r="S1552" s="17" t="s">
        <v>2236</v>
      </c>
      <c r="T1552" s="17" t="s">
        <v>2236</v>
      </c>
      <c r="U15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3" spans="1:31" hidden="1" x14ac:dyDescent="0.3">
      <c r="A1553" s="14" t="s">
        <v>2492</v>
      </c>
      <c r="B1553" s="14" t="s">
        <v>2371</v>
      </c>
      <c r="C1553" s="14" t="s">
        <v>4307</v>
      </c>
      <c r="D1553" s="14" t="s">
        <v>4308</v>
      </c>
      <c r="E1553" s="14" t="s">
        <v>2236</v>
      </c>
      <c r="F1553" s="8">
        <v>0</v>
      </c>
      <c r="G1553" s="14" t="s">
        <v>2237</v>
      </c>
      <c r="H1553" s="16">
        <v>0</v>
      </c>
      <c r="I1553" s="14" t="s">
        <v>2237</v>
      </c>
      <c r="J1553" s="16">
        <v>0</v>
      </c>
      <c r="K1553" s="14" t="s">
        <v>2237</v>
      </c>
      <c r="L1553" s="16">
        <v>0</v>
      </c>
      <c r="M1553" s="14" t="s">
        <v>2237</v>
      </c>
      <c r="N1553" s="8">
        <v>0</v>
      </c>
      <c r="O1553" s="14" t="s">
        <v>2237</v>
      </c>
      <c r="P1553" s="14" t="s">
        <v>2236</v>
      </c>
      <c r="Q1553" s="17" t="s">
        <v>2236</v>
      </c>
      <c r="R1553" s="17" t="s">
        <v>2236</v>
      </c>
      <c r="S1553" s="17" t="s">
        <v>2236</v>
      </c>
      <c r="T1553" s="17" t="s">
        <v>2236</v>
      </c>
      <c r="U15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4" spans="1:31" hidden="1" x14ac:dyDescent="0.3">
      <c r="A1554" s="14" t="s">
        <v>2494</v>
      </c>
      <c r="B1554" s="14" t="s">
        <v>2366</v>
      </c>
      <c r="C1554" s="14" t="s">
        <v>4309</v>
      </c>
      <c r="D1554" s="14" t="s">
        <v>4310</v>
      </c>
      <c r="E1554" s="14" t="s">
        <v>2236</v>
      </c>
      <c r="F1554" s="8">
        <v>0</v>
      </c>
      <c r="G1554" s="14" t="s">
        <v>2237</v>
      </c>
      <c r="H1554" s="16">
        <v>0</v>
      </c>
      <c r="I1554" s="14" t="s">
        <v>2237</v>
      </c>
      <c r="J1554" s="16">
        <v>0</v>
      </c>
      <c r="K1554" s="14" t="s">
        <v>2237</v>
      </c>
      <c r="L1554" s="16">
        <v>0</v>
      </c>
      <c r="M1554" s="14" t="s">
        <v>2237</v>
      </c>
      <c r="N1554" s="8">
        <v>3456.29</v>
      </c>
      <c r="O1554" s="14" t="s">
        <v>2237</v>
      </c>
      <c r="P1554" s="14" t="s">
        <v>2236</v>
      </c>
      <c r="Q1554" s="17" t="s">
        <v>2236</v>
      </c>
      <c r="R1554" s="17" t="s">
        <v>2236</v>
      </c>
      <c r="S1554" s="17" t="s">
        <v>2236</v>
      </c>
      <c r="T1554" s="17" t="s">
        <v>2866</v>
      </c>
      <c r="U15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5" spans="1:31" hidden="1" x14ac:dyDescent="0.3">
      <c r="A1555" s="14" t="s">
        <v>2496</v>
      </c>
      <c r="B1555" s="14" t="s">
        <v>2371</v>
      </c>
      <c r="C1555" s="14" t="s">
        <v>4311</v>
      </c>
      <c r="D1555" s="14" t="s">
        <v>4312</v>
      </c>
      <c r="E1555" s="14" t="s">
        <v>2236</v>
      </c>
      <c r="F1555" s="8">
        <v>0</v>
      </c>
      <c r="G1555" s="14" t="s">
        <v>2237</v>
      </c>
      <c r="H1555" s="16">
        <v>0</v>
      </c>
      <c r="I1555" s="14" t="s">
        <v>2237</v>
      </c>
      <c r="J1555" s="16">
        <v>0</v>
      </c>
      <c r="K1555" s="14" t="s">
        <v>2237</v>
      </c>
      <c r="L1555" s="16">
        <v>0</v>
      </c>
      <c r="M1555" s="14" t="s">
        <v>2237</v>
      </c>
      <c r="N1555" s="8">
        <v>0</v>
      </c>
      <c r="O1555" s="14" t="s">
        <v>2237</v>
      </c>
      <c r="P1555" s="14" t="s">
        <v>2236</v>
      </c>
      <c r="Q1555" s="17" t="s">
        <v>2236</v>
      </c>
      <c r="R1555" s="17" t="s">
        <v>2236</v>
      </c>
      <c r="S1555" s="17" t="s">
        <v>2236</v>
      </c>
      <c r="T1555" s="17" t="s">
        <v>2236</v>
      </c>
      <c r="U15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6" spans="1:31" hidden="1" x14ac:dyDescent="0.3">
      <c r="A1556" s="14" t="s">
        <v>2498</v>
      </c>
      <c r="B1556" s="14" t="s">
        <v>2371</v>
      </c>
      <c r="C1556" s="14" t="s">
        <v>4313</v>
      </c>
      <c r="D1556" s="14" t="s">
        <v>4314</v>
      </c>
      <c r="E1556" s="14" t="s">
        <v>2236</v>
      </c>
      <c r="F1556" s="8">
        <v>0</v>
      </c>
      <c r="G1556" s="14" t="s">
        <v>2237</v>
      </c>
      <c r="H1556" s="16">
        <v>0</v>
      </c>
      <c r="I1556" s="14" t="s">
        <v>2237</v>
      </c>
      <c r="J1556" s="16">
        <v>0</v>
      </c>
      <c r="K1556" s="14" t="s">
        <v>2237</v>
      </c>
      <c r="L1556" s="16">
        <v>0</v>
      </c>
      <c r="M1556" s="14" t="s">
        <v>2237</v>
      </c>
      <c r="N1556" s="8">
        <v>0</v>
      </c>
      <c r="O1556" s="14" t="s">
        <v>2237</v>
      </c>
      <c r="P1556" s="14" t="s">
        <v>2236</v>
      </c>
      <c r="Q1556" s="17" t="s">
        <v>2236</v>
      </c>
      <c r="R1556" s="17" t="s">
        <v>2236</v>
      </c>
      <c r="S1556" s="17" t="s">
        <v>2236</v>
      </c>
      <c r="T1556" s="17" t="s">
        <v>2236</v>
      </c>
      <c r="U15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7" spans="1:31" hidden="1" x14ac:dyDescent="0.3">
      <c r="A1557" s="14" t="s">
        <v>2500</v>
      </c>
      <c r="B1557" s="14" t="s">
        <v>2371</v>
      </c>
      <c r="C1557" s="14" t="s">
        <v>4315</v>
      </c>
      <c r="D1557" s="14" t="s">
        <v>4316</v>
      </c>
      <c r="E1557" s="14" t="s">
        <v>2236</v>
      </c>
      <c r="F1557" s="8">
        <v>0</v>
      </c>
      <c r="G1557" s="14" t="s">
        <v>2237</v>
      </c>
      <c r="H1557" s="16">
        <v>0</v>
      </c>
      <c r="I1557" s="14" t="s">
        <v>2237</v>
      </c>
      <c r="J1557" s="16">
        <v>0</v>
      </c>
      <c r="K1557" s="14" t="s">
        <v>2237</v>
      </c>
      <c r="L1557" s="16">
        <v>0</v>
      </c>
      <c r="M1557" s="14" t="s">
        <v>2237</v>
      </c>
      <c r="N1557" s="8">
        <v>0</v>
      </c>
      <c r="O1557" s="14" t="s">
        <v>2237</v>
      </c>
      <c r="P1557" s="14" t="s">
        <v>2236</v>
      </c>
      <c r="Q1557" s="17" t="s">
        <v>2236</v>
      </c>
      <c r="R1557" s="17" t="s">
        <v>2236</v>
      </c>
      <c r="S1557" s="17" t="s">
        <v>2236</v>
      </c>
      <c r="T1557" s="17" t="s">
        <v>2236</v>
      </c>
      <c r="U15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8" spans="1:31" hidden="1" x14ac:dyDescent="0.3">
      <c r="A1558" s="14" t="s">
        <v>2502</v>
      </c>
      <c r="B1558" s="14" t="s">
        <v>2371</v>
      </c>
      <c r="C1558" s="14" t="s">
        <v>4317</v>
      </c>
      <c r="D1558" s="14" t="s">
        <v>4318</v>
      </c>
      <c r="E1558" s="14" t="s">
        <v>2236</v>
      </c>
      <c r="F1558" s="8">
        <v>0</v>
      </c>
      <c r="G1558" s="14" t="s">
        <v>2237</v>
      </c>
      <c r="H1558" s="16">
        <v>0</v>
      </c>
      <c r="I1558" s="14" t="s">
        <v>2237</v>
      </c>
      <c r="J1558" s="16">
        <v>0</v>
      </c>
      <c r="K1558" s="14" t="s">
        <v>2237</v>
      </c>
      <c r="L1558" s="16">
        <v>0</v>
      </c>
      <c r="M1558" s="14" t="s">
        <v>2237</v>
      </c>
      <c r="N1558" s="8">
        <v>0</v>
      </c>
      <c r="O1558" s="14" t="s">
        <v>2237</v>
      </c>
      <c r="P1558" s="14" t="s">
        <v>2236</v>
      </c>
      <c r="Q1558" s="17" t="s">
        <v>2236</v>
      </c>
      <c r="R1558" s="17" t="s">
        <v>2236</v>
      </c>
      <c r="S1558" s="17" t="s">
        <v>2236</v>
      </c>
      <c r="T1558" s="17" t="s">
        <v>2236</v>
      </c>
      <c r="U15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59" spans="1:31" hidden="1" x14ac:dyDescent="0.3">
      <c r="A1559" s="14" t="s">
        <v>2504</v>
      </c>
      <c r="B1559" s="14" t="s">
        <v>2371</v>
      </c>
      <c r="C1559" s="14" t="s">
        <v>4319</v>
      </c>
      <c r="D1559" s="14" t="s">
        <v>4320</v>
      </c>
      <c r="E1559" s="14" t="s">
        <v>2236</v>
      </c>
      <c r="F1559" s="8">
        <v>0</v>
      </c>
      <c r="G1559" s="14" t="s">
        <v>2237</v>
      </c>
      <c r="H1559" s="16">
        <v>0</v>
      </c>
      <c r="I1559" s="14" t="s">
        <v>2237</v>
      </c>
      <c r="J1559" s="16">
        <v>0</v>
      </c>
      <c r="K1559" s="14" t="s">
        <v>2237</v>
      </c>
      <c r="L1559" s="16">
        <v>0</v>
      </c>
      <c r="M1559" s="14" t="s">
        <v>2237</v>
      </c>
      <c r="N1559" s="8">
        <v>0</v>
      </c>
      <c r="O1559" s="14" t="s">
        <v>2237</v>
      </c>
      <c r="P1559" s="14" t="s">
        <v>2236</v>
      </c>
      <c r="Q1559" s="17" t="s">
        <v>2236</v>
      </c>
      <c r="R1559" s="17" t="s">
        <v>2236</v>
      </c>
      <c r="S1559" s="17" t="s">
        <v>2236</v>
      </c>
      <c r="T1559" s="17" t="s">
        <v>2236</v>
      </c>
      <c r="U15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0" spans="1:31" hidden="1" x14ac:dyDescent="0.3">
      <c r="A1560" s="14" t="s">
        <v>2506</v>
      </c>
      <c r="B1560" s="14" t="s">
        <v>2371</v>
      </c>
      <c r="C1560" s="14" t="s">
        <v>4321</v>
      </c>
      <c r="D1560" s="14" t="s">
        <v>4322</v>
      </c>
      <c r="E1560" s="14" t="s">
        <v>2236</v>
      </c>
      <c r="F1560" s="8">
        <v>0</v>
      </c>
      <c r="G1560" s="14" t="s">
        <v>2237</v>
      </c>
      <c r="H1560" s="16">
        <v>0</v>
      </c>
      <c r="I1560" s="14" t="s">
        <v>2237</v>
      </c>
      <c r="J1560" s="16">
        <v>0</v>
      </c>
      <c r="K1560" s="14" t="s">
        <v>2237</v>
      </c>
      <c r="L1560" s="16">
        <v>0</v>
      </c>
      <c r="M1560" s="14" t="s">
        <v>2237</v>
      </c>
      <c r="N1560" s="8">
        <v>0</v>
      </c>
      <c r="O1560" s="14" t="s">
        <v>2237</v>
      </c>
      <c r="P1560" s="14" t="s">
        <v>2236</v>
      </c>
      <c r="Q1560" s="17" t="s">
        <v>2236</v>
      </c>
      <c r="R1560" s="17" t="s">
        <v>2236</v>
      </c>
      <c r="S1560" s="17" t="s">
        <v>2236</v>
      </c>
      <c r="T1560" s="17" t="s">
        <v>2236</v>
      </c>
      <c r="U15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1" spans="1:31" hidden="1" x14ac:dyDescent="0.3">
      <c r="A1561" s="14" t="s">
        <v>2508</v>
      </c>
      <c r="B1561" s="14" t="s">
        <v>2371</v>
      </c>
      <c r="C1561" s="14" t="s">
        <v>4323</v>
      </c>
      <c r="D1561" s="14" t="s">
        <v>4324</v>
      </c>
      <c r="E1561" s="14" t="s">
        <v>2236</v>
      </c>
      <c r="F1561" s="8">
        <v>0</v>
      </c>
      <c r="G1561" s="14" t="s">
        <v>2237</v>
      </c>
      <c r="H1561" s="16">
        <v>0</v>
      </c>
      <c r="I1561" s="14" t="s">
        <v>2237</v>
      </c>
      <c r="J1561" s="16">
        <v>0</v>
      </c>
      <c r="K1561" s="14" t="s">
        <v>2237</v>
      </c>
      <c r="L1561" s="16">
        <v>0</v>
      </c>
      <c r="M1561" s="14" t="s">
        <v>2237</v>
      </c>
      <c r="N1561" s="8">
        <v>0</v>
      </c>
      <c r="O1561" s="14" t="s">
        <v>2237</v>
      </c>
      <c r="P1561" s="14" t="s">
        <v>2236</v>
      </c>
      <c r="Q1561" s="17" t="s">
        <v>2236</v>
      </c>
      <c r="R1561" s="17" t="s">
        <v>2236</v>
      </c>
      <c r="S1561" s="17" t="s">
        <v>2236</v>
      </c>
      <c r="T1561" s="17" t="s">
        <v>2236</v>
      </c>
      <c r="U15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2" spans="1:31" hidden="1" x14ac:dyDescent="0.3">
      <c r="A1562" s="14" t="s">
        <v>2510</v>
      </c>
      <c r="B1562" s="14" t="s">
        <v>2371</v>
      </c>
      <c r="C1562" s="14" t="s">
        <v>4284</v>
      </c>
      <c r="D1562" s="14" t="s">
        <v>4325</v>
      </c>
      <c r="E1562" s="14" t="s">
        <v>2236</v>
      </c>
      <c r="F1562" s="8">
        <v>0</v>
      </c>
      <c r="G1562" s="14" t="s">
        <v>2237</v>
      </c>
      <c r="H1562" s="16">
        <v>0</v>
      </c>
      <c r="I1562" s="14" t="s">
        <v>2237</v>
      </c>
      <c r="J1562" s="16">
        <v>0</v>
      </c>
      <c r="K1562" s="14" t="s">
        <v>2237</v>
      </c>
      <c r="L1562" s="16">
        <v>0</v>
      </c>
      <c r="M1562" s="14" t="s">
        <v>2237</v>
      </c>
      <c r="N1562" s="8">
        <v>0</v>
      </c>
      <c r="O1562" s="14" t="s">
        <v>2237</v>
      </c>
      <c r="P1562" s="14" t="s">
        <v>2236</v>
      </c>
      <c r="Q1562" s="17" t="s">
        <v>2236</v>
      </c>
      <c r="R1562" s="17" t="s">
        <v>2236</v>
      </c>
      <c r="S1562" s="17" t="s">
        <v>2236</v>
      </c>
      <c r="T1562" s="17" t="s">
        <v>2236</v>
      </c>
      <c r="U15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3" spans="1:31" hidden="1" x14ac:dyDescent="0.3">
      <c r="A1563" s="14" t="s">
        <v>2512</v>
      </c>
      <c r="B1563" s="14" t="s">
        <v>2371</v>
      </c>
      <c r="C1563" s="14" t="s">
        <v>2902</v>
      </c>
      <c r="D1563" s="14" t="s">
        <v>4326</v>
      </c>
      <c r="E1563" s="14" t="s">
        <v>2236</v>
      </c>
      <c r="F1563" s="8">
        <v>0</v>
      </c>
      <c r="G1563" s="14" t="s">
        <v>2237</v>
      </c>
      <c r="H1563" s="16">
        <v>0</v>
      </c>
      <c r="I1563" s="14" t="s">
        <v>2237</v>
      </c>
      <c r="J1563" s="16">
        <v>0</v>
      </c>
      <c r="K1563" s="14" t="s">
        <v>2237</v>
      </c>
      <c r="L1563" s="16">
        <v>0</v>
      </c>
      <c r="M1563" s="14" t="s">
        <v>2237</v>
      </c>
      <c r="N1563" s="8">
        <v>0</v>
      </c>
      <c r="O1563" s="14" t="s">
        <v>2237</v>
      </c>
      <c r="P1563" s="14" t="s">
        <v>2236</v>
      </c>
      <c r="Q1563" s="17" t="s">
        <v>2236</v>
      </c>
      <c r="R1563" s="17" t="s">
        <v>2236</v>
      </c>
      <c r="S1563" s="17" t="s">
        <v>2236</v>
      </c>
      <c r="T1563" s="17" t="s">
        <v>2236</v>
      </c>
      <c r="U15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4" spans="1:31" hidden="1" x14ac:dyDescent="0.3">
      <c r="A1564" s="14" t="s">
        <v>2514</v>
      </c>
      <c r="B1564" s="14" t="s">
        <v>2371</v>
      </c>
      <c r="C1564" s="14" t="s">
        <v>4327</v>
      </c>
      <c r="D1564" s="14" t="s">
        <v>4328</v>
      </c>
      <c r="E1564" s="14" t="s">
        <v>2236</v>
      </c>
      <c r="F1564" s="8">
        <v>0</v>
      </c>
      <c r="G1564" s="14" t="s">
        <v>2237</v>
      </c>
      <c r="H1564" s="16">
        <v>0</v>
      </c>
      <c r="I1564" s="14" t="s">
        <v>2237</v>
      </c>
      <c r="J1564" s="16">
        <v>0</v>
      </c>
      <c r="K1564" s="14" t="s">
        <v>2237</v>
      </c>
      <c r="L1564" s="16">
        <v>0</v>
      </c>
      <c r="M1564" s="14" t="s">
        <v>2237</v>
      </c>
      <c r="N1564" s="8">
        <v>0</v>
      </c>
      <c r="O1564" s="14" t="s">
        <v>2237</v>
      </c>
      <c r="P1564" s="14" t="s">
        <v>2236</v>
      </c>
      <c r="Q1564" s="17" t="s">
        <v>2236</v>
      </c>
      <c r="R1564" s="17" t="s">
        <v>2236</v>
      </c>
      <c r="S1564" s="17" t="s">
        <v>2236</v>
      </c>
      <c r="T1564" s="17" t="s">
        <v>2236</v>
      </c>
      <c r="U15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5" spans="1:31" hidden="1" x14ac:dyDescent="0.3">
      <c r="A1565" s="14" t="s">
        <v>2516</v>
      </c>
      <c r="B1565" s="14" t="s">
        <v>2371</v>
      </c>
      <c r="C1565" s="14" t="s">
        <v>4329</v>
      </c>
      <c r="D1565" s="14" t="s">
        <v>4330</v>
      </c>
      <c r="E1565" s="14" t="s">
        <v>2236</v>
      </c>
      <c r="F1565" s="8">
        <v>0</v>
      </c>
      <c r="G1565" s="14" t="s">
        <v>2237</v>
      </c>
      <c r="H1565" s="16">
        <v>0</v>
      </c>
      <c r="I1565" s="14" t="s">
        <v>2237</v>
      </c>
      <c r="J1565" s="16">
        <v>0</v>
      </c>
      <c r="K1565" s="14" t="s">
        <v>2237</v>
      </c>
      <c r="L1565" s="16">
        <v>0</v>
      </c>
      <c r="M1565" s="14" t="s">
        <v>2237</v>
      </c>
      <c r="N1565" s="8">
        <v>0</v>
      </c>
      <c r="O1565" s="14" t="s">
        <v>2237</v>
      </c>
      <c r="P1565" s="14" t="s">
        <v>2236</v>
      </c>
      <c r="Q1565" s="17" t="s">
        <v>2236</v>
      </c>
      <c r="R1565" s="17" t="s">
        <v>2236</v>
      </c>
      <c r="S1565" s="17" t="s">
        <v>2236</v>
      </c>
      <c r="T1565" s="17" t="s">
        <v>2236</v>
      </c>
      <c r="U15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6" spans="1:31" hidden="1" x14ac:dyDescent="0.3">
      <c r="A1566" s="14" t="s">
        <v>2518</v>
      </c>
      <c r="B1566" s="14" t="s">
        <v>2371</v>
      </c>
      <c r="C1566" s="14" t="s">
        <v>4331</v>
      </c>
      <c r="D1566" s="14" t="s">
        <v>4332</v>
      </c>
      <c r="E1566" s="14" t="s">
        <v>2236</v>
      </c>
      <c r="F1566" s="8">
        <v>0</v>
      </c>
      <c r="G1566" s="14" t="s">
        <v>2237</v>
      </c>
      <c r="H1566" s="16">
        <v>0</v>
      </c>
      <c r="I1566" s="14" t="s">
        <v>2237</v>
      </c>
      <c r="J1566" s="16">
        <v>0</v>
      </c>
      <c r="K1566" s="14" t="s">
        <v>2237</v>
      </c>
      <c r="L1566" s="16">
        <v>0</v>
      </c>
      <c r="M1566" s="14" t="s">
        <v>2237</v>
      </c>
      <c r="N1566" s="8">
        <v>0</v>
      </c>
      <c r="O1566" s="14" t="s">
        <v>2237</v>
      </c>
      <c r="P1566" s="14" t="s">
        <v>2236</v>
      </c>
      <c r="Q1566" s="17" t="s">
        <v>2236</v>
      </c>
      <c r="R1566" s="17" t="s">
        <v>2236</v>
      </c>
      <c r="S1566" s="17" t="s">
        <v>2236</v>
      </c>
      <c r="T1566" s="17" t="s">
        <v>2236</v>
      </c>
      <c r="U15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7" spans="1:31" hidden="1" x14ac:dyDescent="0.3">
      <c r="A1567" s="14" t="s">
        <v>2520</v>
      </c>
      <c r="B1567" s="14" t="s">
        <v>2371</v>
      </c>
      <c r="C1567" s="14" t="s">
        <v>4333</v>
      </c>
      <c r="D1567" s="14" t="s">
        <v>4334</v>
      </c>
      <c r="E1567" s="14" t="s">
        <v>2236</v>
      </c>
      <c r="F1567" s="8">
        <v>0</v>
      </c>
      <c r="G1567" s="14" t="s">
        <v>2237</v>
      </c>
      <c r="H1567" s="16">
        <v>0</v>
      </c>
      <c r="I1567" s="14" t="s">
        <v>2237</v>
      </c>
      <c r="J1567" s="16">
        <v>0</v>
      </c>
      <c r="K1567" s="14" t="s">
        <v>2237</v>
      </c>
      <c r="L1567" s="16">
        <v>0</v>
      </c>
      <c r="M1567" s="14" t="s">
        <v>2237</v>
      </c>
      <c r="N1567" s="8">
        <v>0</v>
      </c>
      <c r="O1567" s="14" t="s">
        <v>2237</v>
      </c>
      <c r="P1567" s="14" t="s">
        <v>2236</v>
      </c>
      <c r="Q1567" s="17" t="s">
        <v>2236</v>
      </c>
      <c r="R1567" s="17" t="s">
        <v>2236</v>
      </c>
      <c r="S1567" s="17" t="s">
        <v>2236</v>
      </c>
      <c r="T1567" s="17" t="s">
        <v>2236</v>
      </c>
      <c r="U15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8" spans="1:31" hidden="1" x14ac:dyDescent="0.3">
      <c r="A1568" s="14" t="s">
        <v>2522</v>
      </c>
      <c r="B1568" s="14" t="s">
        <v>2371</v>
      </c>
      <c r="C1568" s="14" t="s">
        <v>2972</v>
      </c>
      <c r="D1568" s="14" t="s">
        <v>4335</v>
      </c>
      <c r="E1568" s="14" t="s">
        <v>2236</v>
      </c>
      <c r="F1568" s="8">
        <v>0</v>
      </c>
      <c r="G1568" s="14" t="s">
        <v>2237</v>
      </c>
      <c r="H1568" s="16">
        <v>0</v>
      </c>
      <c r="I1568" s="14" t="s">
        <v>2237</v>
      </c>
      <c r="J1568" s="16">
        <v>0</v>
      </c>
      <c r="K1568" s="14" t="s">
        <v>2237</v>
      </c>
      <c r="L1568" s="16">
        <v>0</v>
      </c>
      <c r="M1568" s="14" t="s">
        <v>2237</v>
      </c>
      <c r="N1568" s="8">
        <v>0</v>
      </c>
      <c r="O1568" s="14" t="s">
        <v>2237</v>
      </c>
      <c r="P1568" s="14" t="s">
        <v>2236</v>
      </c>
      <c r="Q1568" s="17" t="s">
        <v>2236</v>
      </c>
      <c r="R1568" s="17" t="s">
        <v>2236</v>
      </c>
      <c r="S1568" s="17" t="s">
        <v>2236</v>
      </c>
      <c r="T1568" s="17" t="s">
        <v>2236</v>
      </c>
      <c r="U15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69" spans="1:31" hidden="1" x14ac:dyDescent="0.3">
      <c r="A1569" s="14" t="s">
        <v>2524</v>
      </c>
      <c r="B1569" s="14" t="s">
        <v>2366</v>
      </c>
      <c r="C1569" s="14" t="s">
        <v>4336</v>
      </c>
      <c r="D1569" s="14" t="s">
        <v>4337</v>
      </c>
      <c r="E1569" s="14" t="s">
        <v>2236</v>
      </c>
      <c r="F1569" s="8">
        <v>0</v>
      </c>
      <c r="G1569" s="14" t="s">
        <v>2237</v>
      </c>
      <c r="H1569" s="16">
        <v>0</v>
      </c>
      <c r="I1569" s="14" t="s">
        <v>2237</v>
      </c>
      <c r="J1569" s="16">
        <v>0</v>
      </c>
      <c r="K1569" s="14" t="s">
        <v>2237</v>
      </c>
      <c r="L1569" s="16">
        <v>0</v>
      </c>
      <c r="M1569" s="14" t="s">
        <v>2237</v>
      </c>
      <c r="N1569" s="8">
        <v>395.48</v>
      </c>
      <c r="O1569" s="14" t="s">
        <v>2237</v>
      </c>
      <c r="P1569" s="14" t="s">
        <v>2236</v>
      </c>
      <c r="Q1569" s="17" t="s">
        <v>2236</v>
      </c>
      <c r="R1569" s="17" t="s">
        <v>2236</v>
      </c>
      <c r="S1569" s="17" t="s">
        <v>2236</v>
      </c>
      <c r="T1569" s="17" t="s">
        <v>4338</v>
      </c>
      <c r="U15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0" spans="1:31" hidden="1" x14ac:dyDescent="0.3">
      <c r="A1570" s="14" t="s">
        <v>2526</v>
      </c>
      <c r="B1570" s="14" t="s">
        <v>2371</v>
      </c>
      <c r="C1570" s="14" t="s">
        <v>4339</v>
      </c>
      <c r="D1570" s="14" t="s">
        <v>4340</v>
      </c>
      <c r="E1570" s="14" t="s">
        <v>2236</v>
      </c>
      <c r="F1570" s="8">
        <v>0</v>
      </c>
      <c r="G1570" s="14" t="s">
        <v>2237</v>
      </c>
      <c r="H1570" s="16">
        <v>0</v>
      </c>
      <c r="I1570" s="14" t="s">
        <v>2237</v>
      </c>
      <c r="J1570" s="16">
        <v>0</v>
      </c>
      <c r="K1570" s="14" t="s">
        <v>2237</v>
      </c>
      <c r="L1570" s="16">
        <v>0</v>
      </c>
      <c r="M1570" s="14" t="s">
        <v>2237</v>
      </c>
      <c r="N1570" s="8">
        <v>0</v>
      </c>
      <c r="O1570" s="14" t="s">
        <v>2237</v>
      </c>
      <c r="P1570" s="14" t="s">
        <v>2236</v>
      </c>
      <c r="Q1570" s="17" t="s">
        <v>2236</v>
      </c>
      <c r="R1570" s="17" t="s">
        <v>2236</v>
      </c>
      <c r="S1570" s="17" t="s">
        <v>2236</v>
      </c>
      <c r="T1570" s="17" t="s">
        <v>2236</v>
      </c>
      <c r="U15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1" spans="1:31" hidden="1" x14ac:dyDescent="0.3">
      <c r="A1571" s="14" t="s">
        <v>2528</v>
      </c>
      <c r="B1571" s="14" t="s">
        <v>2371</v>
      </c>
      <c r="C1571" s="14" t="s">
        <v>4254</v>
      </c>
      <c r="D1571" s="14" t="s">
        <v>4341</v>
      </c>
      <c r="E1571" s="14" t="s">
        <v>2236</v>
      </c>
      <c r="F1571" s="8">
        <v>0</v>
      </c>
      <c r="G1571" s="14" t="s">
        <v>2237</v>
      </c>
      <c r="H1571" s="16">
        <v>0</v>
      </c>
      <c r="I1571" s="14" t="s">
        <v>2237</v>
      </c>
      <c r="J1571" s="16">
        <v>0</v>
      </c>
      <c r="K1571" s="14" t="s">
        <v>2237</v>
      </c>
      <c r="L1571" s="16">
        <v>0</v>
      </c>
      <c r="M1571" s="14" t="s">
        <v>2237</v>
      </c>
      <c r="N1571" s="8">
        <v>0</v>
      </c>
      <c r="O1571" s="14" t="s">
        <v>2237</v>
      </c>
      <c r="P1571" s="14" t="s">
        <v>2236</v>
      </c>
      <c r="Q1571" s="17" t="s">
        <v>2236</v>
      </c>
      <c r="R1571" s="17" t="s">
        <v>2236</v>
      </c>
      <c r="S1571" s="17" t="s">
        <v>2236</v>
      </c>
      <c r="T1571" s="17" t="s">
        <v>2236</v>
      </c>
      <c r="U15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2" spans="1:31" hidden="1" x14ac:dyDescent="0.3">
      <c r="A1572" s="14" t="s">
        <v>2530</v>
      </c>
      <c r="B1572" s="14" t="s">
        <v>2371</v>
      </c>
      <c r="C1572" s="14" t="s">
        <v>4323</v>
      </c>
      <c r="D1572" s="14" t="s">
        <v>4342</v>
      </c>
      <c r="E1572" s="14" t="s">
        <v>2236</v>
      </c>
      <c r="F1572" s="8">
        <v>0</v>
      </c>
      <c r="G1572" s="14" t="s">
        <v>2237</v>
      </c>
      <c r="H1572" s="16">
        <v>0</v>
      </c>
      <c r="I1572" s="14" t="s">
        <v>2237</v>
      </c>
      <c r="J1572" s="16">
        <v>0</v>
      </c>
      <c r="K1572" s="14" t="s">
        <v>2237</v>
      </c>
      <c r="L1572" s="16">
        <v>0</v>
      </c>
      <c r="M1572" s="14" t="s">
        <v>2237</v>
      </c>
      <c r="N1572" s="8">
        <v>0</v>
      </c>
      <c r="O1572" s="14" t="s">
        <v>2237</v>
      </c>
      <c r="P1572" s="14" t="s">
        <v>2236</v>
      </c>
      <c r="Q1572" s="17" t="s">
        <v>2236</v>
      </c>
      <c r="R1572" s="17" t="s">
        <v>2236</v>
      </c>
      <c r="S1572" s="17" t="s">
        <v>2236</v>
      </c>
      <c r="T1572" s="17" t="s">
        <v>2236</v>
      </c>
      <c r="U15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3" spans="1:31" hidden="1" x14ac:dyDescent="0.3">
      <c r="A1573" s="14" t="s">
        <v>2532</v>
      </c>
      <c r="B1573" s="14" t="s">
        <v>2371</v>
      </c>
      <c r="C1573" s="14" t="s">
        <v>4343</v>
      </c>
      <c r="D1573" s="14" t="s">
        <v>4344</v>
      </c>
      <c r="E1573" s="14" t="s">
        <v>2236</v>
      </c>
      <c r="F1573" s="8">
        <v>0</v>
      </c>
      <c r="G1573" s="14" t="s">
        <v>2237</v>
      </c>
      <c r="H1573" s="16">
        <v>0</v>
      </c>
      <c r="I1573" s="14" t="s">
        <v>2237</v>
      </c>
      <c r="J1573" s="16">
        <v>0</v>
      </c>
      <c r="K1573" s="14" t="s">
        <v>2237</v>
      </c>
      <c r="L1573" s="16">
        <v>0</v>
      </c>
      <c r="M1573" s="14" t="s">
        <v>2237</v>
      </c>
      <c r="N1573" s="8">
        <v>0</v>
      </c>
      <c r="O1573" s="14" t="s">
        <v>2237</v>
      </c>
      <c r="P1573" s="14" t="s">
        <v>2236</v>
      </c>
      <c r="Q1573" s="17" t="s">
        <v>2236</v>
      </c>
      <c r="R1573" s="17" t="s">
        <v>2236</v>
      </c>
      <c r="S1573" s="17" t="s">
        <v>2236</v>
      </c>
      <c r="T1573" s="17" t="s">
        <v>2236</v>
      </c>
      <c r="U15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4" spans="1:31" hidden="1" x14ac:dyDescent="0.3">
      <c r="A1574" s="14" t="s">
        <v>2534</v>
      </c>
      <c r="B1574" s="14" t="s">
        <v>2371</v>
      </c>
      <c r="C1574" s="14" t="s">
        <v>2972</v>
      </c>
      <c r="D1574" s="14" t="s">
        <v>4345</v>
      </c>
      <c r="E1574" s="14" t="s">
        <v>2236</v>
      </c>
      <c r="F1574" s="8">
        <v>0</v>
      </c>
      <c r="G1574" s="14" t="s">
        <v>2237</v>
      </c>
      <c r="H1574" s="16">
        <v>0</v>
      </c>
      <c r="I1574" s="14" t="s">
        <v>2237</v>
      </c>
      <c r="J1574" s="16">
        <v>0</v>
      </c>
      <c r="K1574" s="14" t="s">
        <v>2237</v>
      </c>
      <c r="L1574" s="16">
        <v>0</v>
      </c>
      <c r="M1574" s="14" t="s">
        <v>2237</v>
      </c>
      <c r="N1574" s="8">
        <v>0</v>
      </c>
      <c r="O1574" s="14" t="s">
        <v>2237</v>
      </c>
      <c r="P1574" s="14" t="s">
        <v>2236</v>
      </c>
      <c r="Q1574" s="17" t="s">
        <v>2236</v>
      </c>
      <c r="R1574" s="17" t="s">
        <v>2236</v>
      </c>
      <c r="S1574" s="17" t="s">
        <v>2236</v>
      </c>
      <c r="T1574" s="17" t="s">
        <v>2236</v>
      </c>
      <c r="U15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5" spans="1:31" hidden="1" x14ac:dyDescent="0.3">
      <c r="A1575" s="14" t="s">
        <v>2536</v>
      </c>
      <c r="B1575" s="14" t="s">
        <v>2371</v>
      </c>
      <c r="C1575" s="14" t="s">
        <v>4346</v>
      </c>
      <c r="D1575" s="14" t="s">
        <v>4347</v>
      </c>
      <c r="E1575" s="14" t="s">
        <v>2236</v>
      </c>
      <c r="F1575" s="8">
        <v>0</v>
      </c>
      <c r="G1575" s="14" t="s">
        <v>2237</v>
      </c>
      <c r="H1575" s="16">
        <v>0</v>
      </c>
      <c r="I1575" s="14" t="s">
        <v>2237</v>
      </c>
      <c r="J1575" s="16">
        <v>0</v>
      </c>
      <c r="K1575" s="14" t="s">
        <v>2237</v>
      </c>
      <c r="L1575" s="16">
        <v>0</v>
      </c>
      <c r="M1575" s="14" t="s">
        <v>2237</v>
      </c>
      <c r="N1575" s="8">
        <v>0</v>
      </c>
      <c r="O1575" s="14" t="s">
        <v>2237</v>
      </c>
      <c r="P1575" s="14" t="s">
        <v>2236</v>
      </c>
      <c r="Q1575" s="17" t="s">
        <v>2236</v>
      </c>
      <c r="R1575" s="17" t="s">
        <v>2236</v>
      </c>
      <c r="S1575" s="17" t="s">
        <v>2236</v>
      </c>
      <c r="T1575" s="17" t="s">
        <v>2236</v>
      </c>
      <c r="U15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6" spans="1:31" hidden="1" x14ac:dyDescent="0.3">
      <c r="A1576" s="14" t="s">
        <v>2537</v>
      </c>
      <c r="B1576" s="14" t="s">
        <v>2371</v>
      </c>
      <c r="C1576" s="14" t="s">
        <v>4348</v>
      </c>
      <c r="D1576" s="14" t="s">
        <v>4349</v>
      </c>
      <c r="E1576" s="14" t="s">
        <v>2236</v>
      </c>
      <c r="F1576" s="8">
        <v>0</v>
      </c>
      <c r="G1576" s="14" t="s">
        <v>2237</v>
      </c>
      <c r="H1576" s="16">
        <v>0</v>
      </c>
      <c r="I1576" s="14" t="s">
        <v>2237</v>
      </c>
      <c r="J1576" s="16">
        <v>0</v>
      </c>
      <c r="K1576" s="14" t="s">
        <v>2237</v>
      </c>
      <c r="L1576" s="16">
        <v>0</v>
      </c>
      <c r="M1576" s="14" t="s">
        <v>2237</v>
      </c>
      <c r="N1576" s="8">
        <v>0</v>
      </c>
      <c r="O1576" s="14" t="s">
        <v>2237</v>
      </c>
      <c r="P1576" s="14" t="s">
        <v>2236</v>
      </c>
      <c r="Q1576" s="17" t="s">
        <v>2236</v>
      </c>
      <c r="R1576" s="17" t="s">
        <v>2236</v>
      </c>
      <c r="S1576" s="17" t="s">
        <v>2236</v>
      </c>
      <c r="T1576" s="17" t="s">
        <v>2236</v>
      </c>
      <c r="U15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7" spans="1:31" hidden="1" x14ac:dyDescent="0.3">
      <c r="A1577" s="14" t="s">
        <v>2538</v>
      </c>
      <c r="B1577" s="14" t="s">
        <v>2366</v>
      </c>
      <c r="C1577" s="14" t="s">
        <v>4350</v>
      </c>
      <c r="D1577" s="14" t="s">
        <v>4351</v>
      </c>
      <c r="E1577" s="14" t="s">
        <v>2236</v>
      </c>
      <c r="F1577" s="8">
        <v>0</v>
      </c>
      <c r="G1577" s="14" t="s">
        <v>2237</v>
      </c>
      <c r="H1577" s="16">
        <v>0</v>
      </c>
      <c r="I1577" s="14" t="s">
        <v>2237</v>
      </c>
      <c r="J1577" s="16">
        <v>0</v>
      </c>
      <c r="K1577" s="14" t="s">
        <v>2237</v>
      </c>
      <c r="L1577" s="16">
        <v>0</v>
      </c>
      <c r="M1577" s="14" t="s">
        <v>2237</v>
      </c>
      <c r="N1577" s="8">
        <v>196.39</v>
      </c>
      <c r="O1577" s="14" t="s">
        <v>2237</v>
      </c>
      <c r="P1577" s="14" t="s">
        <v>2236</v>
      </c>
      <c r="Q1577" s="17" t="s">
        <v>2236</v>
      </c>
      <c r="R1577" s="17" t="s">
        <v>2236</v>
      </c>
      <c r="S1577" s="17" t="s">
        <v>2236</v>
      </c>
      <c r="T1577" s="17" t="s">
        <v>2877</v>
      </c>
      <c r="U15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8" spans="1:31" hidden="1" x14ac:dyDescent="0.3">
      <c r="A1578" s="14" t="s">
        <v>2539</v>
      </c>
      <c r="B1578" s="14" t="s">
        <v>2371</v>
      </c>
      <c r="C1578" s="14" t="s">
        <v>4352</v>
      </c>
      <c r="D1578" s="14" t="s">
        <v>4353</v>
      </c>
      <c r="E1578" s="14" t="s">
        <v>2236</v>
      </c>
      <c r="F1578" s="8">
        <v>0</v>
      </c>
      <c r="G1578" s="14" t="s">
        <v>2237</v>
      </c>
      <c r="H1578" s="16">
        <v>0</v>
      </c>
      <c r="I1578" s="14" t="s">
        <v>2237</v>
      </c>
      <c r="J1578" s="16">
        <v>0</v>
      </c>
      <c r="K1578" s="14" t="s">
        <v>2237</v>
      </c>
      <c r="L1578" s="16">
        <v>0</v>
      </c>
      <c r="M1578" s="14" t="s">
        <v>2237</v>
      </c>
      <c r="N1578" s="8">
        <v>0</v>
      </c>
      <c r="O1578" s="14" t="s">
        <v>2237</v>
      </c>
      <c r="P1578" s="14" t="s">
        <v>2236</v>
      </c>
      <c r="Q1578" s="17" t="s">
        <v>2236</v>
      </c>
      <c r="R1578" s="17" t="s">
        <v>2236</v>
      </c>
      <c r="S1578" s="17" t="s">
        <v>2236</v>
      </c>
      <c r="T1578" s="17" t="s">
        <v>2236</v>
      </c>
      <c r="U15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79" spans="1:31" hidden="1" x14ac:dyDescent="0.3">
      <c r="A1579" s="14" t="s">
        <v>2540</v>
      </c>
      <c r="B1579" s="14" t="s">
        <v>2371</v>
      </c>
      <c r="C1579" s="14" t="s">
        <v>4354</v>
      </c>
      <c r="D1579" s="14" t="s">
        <v>4355</v>
      </c>
      <c r="E1579" s="14" t="s">
        <v>2236</v>
      </c>
      <c r="F1579" s="8">
        <v>0</v>
      </c>
      <c r="G1579" s="14" t="s">
        <v>2237</v>
      </c>
      <c r="H1579" s="16">
        <v>0</v>
      </c>
      <c r="I1579" s="14" t="s">
        <v>2237</v>
      </c>
      <c r="J1579" s="16">
        <v>0</v>
      </c>
      <c r="K1579" s="14" t="s">
        <v>2237</v>
      </c>
      <c r="L1579" s="16">
        <v>0</v>
      </c>
      <c r="M1579" s="14" t="s">
        <v>2237</v>
      </c>
      <c r="N1579" s="8">
        <v>0</v>
      </c>
      <c r="O1579" s="14" t="s">
        <v>2237</v>
      </c>
      <c r="P1579" s="14" t="s">
        <v>2236</v>
      </c>
      <c r="Q1579" s="17" t="s">
        <v>2236</v>
      </c>
      <c r="R1579" s="17" t="s">
        <v>2236</v>
      </c>
      <c r="S1579" s="17" t="s">
        <v>2236</v>
      </c>
      <c r="T1579" s="17" t="s">
        <v>2236</v>
      </c>
      <c r="U15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0" spans="1:31" hidden="1" x14ac:dyDescent="0.3">
      <c r="A1580" s="14" t="s">
        <v>2541</v>
      </c>
      <c r="B1580" s="14" t="s">
        <v>2371</v>
      </c>
      <c r="C1580" s="14" t="s">
        <v>2902</v>
      </c>
      <c r="D1580" s="14" t="s">
        <v>4356</v>
      </c>
      <c r="E1580" s="14" t="s">
        <v>2236</v>
      </c>
      <c r="F1580" s="8">
        <v>0</v>
      </c>
      <c r="G1580" s="14" t="s">
        <v>2237</v>
      </c>
      <c r="H1580" s="16">
        <v>0</v>
      </c>
      <c r="I1580" s="14" t="s">
        <v>2237</v>
      </c>
      <c r="J1580" s="16">
        <v>0</v>
      </c>
      <c r="K1580" s="14" t="s">
        <v>2237</v>
      </c>
      <c r="L1580" s="16">
        <v>0</v>
      </c>
      <c r="M1580" s="14" t="s">
        <v>2237</v>
      </c>
      <c r="N1580" s="8">
        <v>0</v>
      </c>
      <c r="O1580" s="14" t="s">
        <v>2237</v>
      </c>
      <c r="P1580" s="14" t="s">
        <v>2236</v>
      </c>
      <c r="Q1580" s="17" t="s">
        <v>2236</v>
      </c>
      <c r="R1580" s="17" t="s">
        <v>2236</v>
      </c>
      <c r="S1580" s="17" t="s">
        <v>2236</v>
      </c>
      <c r="T1580" s="17" t="s">
        <v>2236</v>
      </c>
      <c r="U15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1" spans="1:31" hidden="1" x14ac:dyDescent="0.3">
      <c r="A1581" s="14" t="s">
        <v>2542</v>
      </c>
      <c r="B1581" s="14" t="s">
        <v>2371</v>
      </c>
      <c r="C1581" s="14" t="s">
        <v>4357</v>
      </c>
      <c r="D1581" s="14" t="s">
        <v>4358</v>
      </c>
      <c r="E1581" s="14" t="s">
        <v>2236</v>
      </c>
      <c r="F1581" s="8">
        <v>0</v>
      </c>
      <c r="G1581" s="14" t="s">
        <v>2237</v>
      </c>
      <c r="H1581" s="16">
        <v>0</v>
      </c>
      <c r="I1581" s="14" t="s">
        <v>2237</v>
      </c>
      <c r="J1581" s="16">
        <v>0</v>
      </c>
      <c r="K1581" s="14" t="s">
        <v>2237</v>
      </c>
      <c r="L1581" s="16">
        <v>0</v>
      </c>
      <c r="M1581" s="14" t="s">
        <v>2237</v>
      </c>
      <c r="N1581" s="8">
        <v>0</v>
      </c>
      <c r="O1581" s="14" t="s">
        <v>2237</v>
      </c>
      <c r="P1581" s="14" t="s">
        <v>2236</v>
      </c>
      <c r="Q1581" s="17" t="s">
        <v>2236</v>
      </c>
      <c r="R1581" s="17" t="s">
        <v>2236</v>
      </c>
      <c r="S1581" s="17" t="s">
        <v>2236</v>
      </c>
      <c r="T1581" s="17" t="s">
        <v>2236</v>
      </c>
      <c r="U15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2" spans="1:31" hidden="1" x14ac:dyDescent="0.3">
      <c r="A1582" s="14" t="s">
        <v>2543</v>
      </c>
      <c r="B1582" s="14" t="s">
        <v>2371</v>
      </c>
      <c r="C1582" s="14" t="s">
        <v>4359</v>
      </c>
      <c r="D1582" s="14" t="s">
        <v>4360</v>
      </c>
      <c r="E1582" s="14" t="s">
        <v>2236</v>
      </c>
      <c r="F1582" s="8">
        <v>0</v>
      </c>
      <c r="G1582" s="14" t="s">
        <v>2237</v>
      </c>
      <c r="H1582" s="16">
        <v>0</v>
      </c>
      <c r="I1582" s="14" t="s">
        <v>2237</v>
      </c>
      <c r="J1582" s="16">
        <v>0</v>
      </c>
      <c r="K1582" s="14" t="s">
        <v>2237</v>
      </c>
      <c r="L1582" s="16">
        <v>0</v>
      </c>
      <c r="M1582" s="14" t="s">
        <v>2237</v>
      </c>
      <c r="N1582" s="8">
        <v>0</v>
      </c>
      <c r="O1582" s="14" t="s">
        <v>2237</v>
      </c>
      <c r="P1582" s="14" t="s">
        <v>2236</v>
      </c>
      <c r="Q1582" s="17" t="s">
        <v>2236</v>
      </c>
      <c r="R1582" s="17" t="s">
        <v>2236</v>
      </c>
      <c r="S1582" s="17" t="s">
        <v>2236</v>
      </c>
      <c r="T1582" s="17" t="s">
        <v>2236</v>
      </c>
      <c r="U15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3" spans="1:31" hidden="1" x14ac:dyDescent="0.3">
      <c r="A1583" s="14" t="s">
        <v>2544</v>
      </c>
      <c r="B1583" s="14" t="s">
        <v>2371</v>
      </c>
      <c r="C1583" s="14" t="s">
        <v>4361</v>
      </c>
      <c r="D1583" s="14" t="s">
        <v>4362</v>
      </c>
      <c r="E1583" s="14" t="s">
        <v>2236</v>
      </c>
      <c r="F1583" s="8">
        <v>0</v>
      </c>
      <c r="G1583" s="14" t="s">
        <v>2237</v>
      </c>
      <c r="H1583" s="16">
        <v>0</v>
      </c>
      <c r="I1583" s="14" t="s">
        <v>2237</v>
      </c>
      <c r="J1583" s="16">
        <v>0</v>
      </c>
      <c r="K1583" s="14" t="s">
        <v>2237</v>
      </c>
      <c r="L1583" s="16">
        <v>0</v>
      </c>
      <c r="M1583" s="14" t="s">
        <v>2237</v>
      </c>
      <c r="N1583" s="8">
        <v>0</v>
      </c>
      <c r="O1583" s="14" t="s">
        <v>2237</v>
      </c>
      <c r="P1583" s="14" t="s">
        <v>2236</v>
      </c>
      <c r="Q1583" s="17" t="s">
        <v>2236</v>
      </c>
      <c r="R1583" s="17" t="s">
        <v>2236</v>
      </c>
      <c r="S1583" s="17" t="s">
        <v>2236</v>
      </c>
      <c r="T1583" s="17" t="s">
        <v>2236</v>
      </c>
      <c r="U15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4" spans="1:31" hidden="1" x14ac:dyDescent="0.3">
      <c r="A1584" s="14" t="s">
        <v>2545</v>
      </c>
      <c r="B1584" s="14" t="s">
        <v>2371</v>
      </c>
      <c r="C1584" s="14" t="s">
        <v>4323</v>
      </c>
      <c r="D1584" s="14" t="s">
        <v>4363</v>
      </c>
      <c r="E1584" s="14" t="s">
        <v>2236</v>
      </c>
      <c r="F1584" s="8">
        <v>0</v>
      </c>
      <c r="G1584" s="14" t="s">
        <v>2237</v>
      </c>
      <c r="H1584" s="16">
        <v>0</v>
      </c>
      <c r="I1584" s="14" t="s">
        <v>2237</v>
      </c>
      <c r="J1584" s="16">
        <v>0</v>
      </c>
      <c r="K1584" s="14" t="s">
        <v>2237</v>
      </c>
      <c r="L1584" s="16">
        <v>0</v>
      </c>
      <c r="M1584" s="14" t="s">
        <v>2237</v>
      </c>
      <c r="N1584" s="8">
        <v>0</v>
      </c>
      <c r="O1584" s="14" t="s">
        <v>2237</v>
      </c>
      <c r="P1584" s="14" t="s">
        <v>2236</v>
      </c>
      <c r="Q1584" s="17" t="s">
        <v>2236</v>
      </c>
      <c r="R1584" s="17" t="s">
        <v>2236</v>
      </c>
      <c r="S1584" s="17" t="s">
        <v>2236</v>
      </c>
      <c r="T1584" s="17" t="s">
        <v>2236</v>
      </c>
      <c r="U15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5" spans="1:31" hidden="1" x14ac:dyDescent="0.3">
      <c r="A1585" s="14" t="s">
        <v>2547</v>
      </c>
      <c r="B1585" s="14" t="s">
        <v>2371</v>
      </c>
      <c r="C1585" s="14" t="s">
        <v>4348</v>
      </c>
      <c r="D1585" s="14" t="s">
        <v>4364</v>
      </c>
      <c r="E1585" s="14" t="s">
        <v>2236</v>
      </c>
      <c r="F1585" s="8">
        <v>0</v>
      </c>
      <c r="G1585" s="14" t="s">
        <v>2237</v>
      </c>
      <c r="H1585" s="16">
        <v>0</v>
      </c>
      <c r="I1585" s="14" t="s">
        <v>2237</v>
      </c>
      <c r="J1585" s="16">
        <v>0</v>
      </c>
      <c r="K1585" s="14" t="s">
        <v>2237</v>
      </c>
      <c r="L1585" s="16">
        <v>0</v>
      </c>
      <c r="M1585" s="14" t="s">
        <v>2237</v>
      </c>
      <c r="N1585" s="8">
        <v>0</v>
      </c>
      <c r="O1585" s="14" t="s">
        <v>2237</v>
      </c>
      <c r="P1585" s="14" t="s">
        <v>2236</v>
      </c>
      <c r="Q1585" s="17" t="s">
        <v>2236</v>
      </c>
      <c r="R1585" s="17" t="s">
        <v>2236</v>
      </c>
      <c r="S1585" s="17" t="s">
        <v>2236</v>
      </c>
      <c r="T1585" s="17" t="s">
        <v>2236</v>
      </c>
      <c r="U15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6" spans="1:31" hidden="1" x14ac:dyDescent="0.3">
      <c r="A1586" s="14" t="s">
        <v>2548</v>
      </c>
      <c r="B1586" s="14" t="s">
        <v>2371</v>
      </c>
      <c r="C1586" s="14" t="s">
        <v>3704</v>
      </c>
      <c r="D1586" s="14" t="s">
        <v>4365</v>
      </c>
      <c r="E1586" s="14" t="s">
        <v>2236</v>
      </c>
      <c r="F1586" s="8">
        <v>0</v>
      </c>
      <c r="G1586" s="14" t="s">
        <v>2237</v>
      </c>
      <c r="H1586" s="16">
        <v>0</v>
      </c>
      <c r="I1586" s="14" t="s">
        <v>2237</v>
      </c>
      <c r="J1586" s="16">
        <v>0</v>
      </c>
      <c r="K1586" s="14" t="s">
        <v>2237</v>
      </c>
      <c r="L1586" s="16">
        <v>0</v>
      </c>
      <c r="M1586" s="14" t="s">
        <v>2237</v>
      </c>
      <c r="N1586" s="8">
        <v>0</v>
      </c>
      <c r="O1586" s="14" t="s">
        <v>2237</v>
      </c>
      <c r="P1586" s="14" t="s">
        <v>2236</v>
      </c>
      <c r="Q1586" s="17" t="s">
        <v>2236</v>
      </c>
      <c r="R1586" s="17" t="s">
        <v>2236</v>
      </c>
      <c r="S1586" s="17" t="s">
        <v>2236</v>
      </c>
      <c r="T1586" s="17" t="s">
        <v>2236</v>
      </c>
      <c r="U15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7" spans="1:31" hidden="1" x14ac:dyDescent="0.3">
      <c r="A1587" s="14" t="s">
        <v>2549</v>
      </c>
      <c r="B1587" s="14" t="s">
        <v>2371</v>
      </c>
      <c r="C1587" s="14" t="s">
        <v>4366</v>
      </c>
      <c r="D1587" s="14" t="s">
        <v>4367</v>
      </c>
      <c r="E1587" s="14" t="s">
        <v>2236</v>
      </c>
      <c r="F1587" s="8">
        <v>0</v>
      </c>
      <c r="G1587" s="14" t="s">
        <v>2237</v>
      </c>
      <c r="H1587" s="16">
        <v>0</v>
      </c>
      <c r="I1587" s="14" t="s">
        <v>2237</v>
      </c>
      <c r="J1587" s="16">
        <v>0</v>
      </c>
      <c r="K1587" s="14" t="s">
        <v>2237</v>
      </c>
      <c r="L1587" s="16">
        <v>0</v>
      </c>
      <c r="M1587" s="14" t="s">
        <v>2237</v>
      </c>
      <c r="N1587" s="8">
        <v>0</v>
      </c>
      <c r="O1587" s="14" t="s">
        <v>2237</v>
      </c>
      <c r="P1587" s="14" t="s">
        <v>2236</v>
      </c>
      <c r="Q1587" s="17" t="s">
        <v>2236</v>
      </c>
      <c r="R1587" s="17" t="s">
        <v>2236</v>
      </c>
      <c r="S1587" s="17" t="s">
        <v>2236</v>
      </c>
      <c r="T1587" s="17" t="s">
        <v>2236</v>
      </c>
      <c r="U15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8" spans="1:31" hidden="1" x14ac:dyDescent="0.3">
      <c r="A1588" s="14" t="s">
        <v>2550</v>
      </c>
      <c r="B1588" s="14" t="s">
        <v>2371</v>
      </c>
      <c r="C1588" s="14" t="s">
        <v>4261</v>
      </c>
      <c r="D1588" s="14" t="s">
        <v>4368</v>
      </c>
      <c r="E1588" s="14" t="s">
        <v>2236</v>
      </c>
      <c r="F1588" s="8">
        <v>0</v>
      </c>
      <c r="G1588" s="14" t="s">
        <v>2237</v>
      </c>
      <c r="H1588" s="16">
        <v>0</v>
      </c>
      <c r="I1588" s="14" t="s">
        <v>2237</v>
      </c>
      <c r="J1588" s="16">
        <v>0</v>
      </c>
      <c r="K1588" s="14" t="s">
        <v>2237</v>
      </c>
      <c r="L1588" s="16">
        <v>0</v>
      </c>
      <c r="M1588" s="14" t="s">
        <v>2237</v>
      </c>
      <c r="N1588" s="8">
        <v>0</v>
      </c>
      <c r="O1588" s="14" t="s">
        <v>2237</v>
      </c>
      <c r="P1588" s="14" t="s">
        <v>2236</v>
      </c>
      <c r="Q1588" s="17" t="s">
        <v>2236</v>
      </c>
      <c r="R1588" s="17" t="s">
        <v>2236</v>
      </c>
      <c r="S1588" s="17" t="s">
        <v>2236</v>
      </c>
      <c r="T1588" s="17" t="s">
        <v>2236</v>
      </c>
      <c r="U15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89" spans="1:31" hidden="1" x14ac:dyDescent="0.3">
      <c r="A1589" s="14" t="s">
        <v>2551</v>
      </c>
      <c r="B1589" s="14" t="s">
        <v>2371</v>
      </c>
      <c r="C1589" s="14" t="s">
        <v>4369</v>
      </c>
      <c r="D1589" s="14" t="s">
        <v>4370</v>
      </c>
      <c r="E1589" s="14" t="s">
        <v>2236</v>
      </c>
      <c r="F1589" s="8">
        <v>0</v>
      </c>
      <c r="G1589" s="14" t="s">
        <v>2237</v>
      </c>
      <c r="H1589" s="16">
        <v>0</v>
      </c>
      <c r="I1589" s="14" t="s">
        <v>2237</v>
      </c>
      <c r="J1589" s="16">
        <v>0</v>
      </c>
      <c r="K1589" s="14" t="s">
        <v>2237</v>
      </c>
      <c r="L1589" s="16">
        <v>0</v>
      </c>
      <c r="M1589" s="14" t="s">
        <v>2237</v>
      </c>
      <c r="N1589" s="8">
        <v>0</v>
      </c>
      <c r="O1589" s="14" t="s">
        <v>2237</v>
      </c>
      <c r="P1589" s="14" t="s">
        <v>2236</v>
      </c>
      <c r="Q1589" s="17" t="s">
        <v>2236</v>
      </c>
      <c r="R1589" s="17" t="s">
        <v>2236</v>
      </c>
      <c r="S1589" s="17" t="s">
        <v>2236</v>
      </c>
      <c r="T1589" s="17" t="s">
        <v>2236</v>
      </c>
      <c r="U15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0" spans="1:31" hidden="1" x14ac:dyDescent="0.3">
      <c r="A1590" s="14" t="s">
        <v>2552</v>
      </c>
      <c r="B1590" s="14" t="s">
        <v>2371</v>
      </c>
      <c r="C1590" s="14" t="s">
        <v>2902</v>
      </c>
      <c r="D1590" s="14" t="s">
        <v>4371</v>
      </c>
      <c r="E1590" s="14" t="s">
        <v>2236</v>
      </c>
      <c r="F1590" s="8">
        <v>0</v>
      </c>
      <c r="G1590" s="14" t="s">
        <v>2237</v>
      </c>
      <c r="H1590" s="16">
        <v>0</v>
      </c>
      <c r="I1590" s="14" t="s">
        <v>2237</v>
      </c>
      <c r="J1590" s="16">
        <v>0</v>
      </c>
      <c r="K1590" s="14" t="s">
        <v>2237</v>
      </c>
      <c r="L1590" s="16">
        <v>0</v>
      </c>
      <c r="M1590" s="14" t="s">
        <v>2237</v>
      </c>
      <c r="N1590" s="8">
        <v>0</v>
      </c>
      <c r="O1590" s="14" t="s">
        <v>2237</v>
      </c>
      <c r="P1590" s="14" t="s">
        <v>2236</v>
      </c>
      <c r="Q1590" s="17" t="s">
        <v>2236</v>
      </c>
      <c r="R1590" s="17" t="s">
        <v>2236</v>
      </c>
      <c r="S1590" s="17" t="s">
        <v>2236</v>
      </c>
      <c r="T1590" s="17" t="s">
        <v>2236</v>
      </c>
      <c r="U15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1" spans="1:31" hidden="1" x14ac:dyDescent="0.3">
      <c r="A1591" s="14" t="s">
        <v>2553</v>
      </c>
      <c r="B1591" s="14" t="s">
        <v>2371</v>
      </c>
      <c r="C1591" s="14" t="s">
        <v>4372</v>
      </c>
      <c r="D1591" s="14" t="s">
        <v>4373</v>
      </c>
      <c r="E1591" s="14" t="s">
        <v>2236</v>
      </c>
      <c r="F1591" s="8">
        <v>0</v>
      </c>
      <c r="G1591" s="14" t="s">
        <v>2237</v>
      </c>
      <c r="H1591" s="16">
        <v>0</v>
      </c>
      <c r="I1591" s="14" t="s">
        <v>2237</v>
      </c>
      <c r="J1591" s="16">
        <v>0</v>
      </c>
      <c r="K1591" s="14" t="s">
        <v>2237</v>
      </c>
      <c r="L1591" s="16">
        <v>0</v>
      </c>
      <c r="M1591" s="14" t="s">
        <v>2237</v>
      </c>
      <c r="N1591" s="8">
        <v>0</v>
      </c>
      <c r="O1591" s="14" t="s">
        <v>2237</v>
      </c>
      <c r="P1591" s="14" t="s">
        <v>2236</v>
      </c>
      <c r="Q1591" s="17" t="s">
        <v>2236</v>
      </c>
      <c r="R1591" s="17" t="s">
        <v>2236</v>
      </c>
      <c r="S1591" s="17" t="s">
        <v>2236</v>
      </c>
      <c r="T1591" s="17" t="s">
        <v>2236</v>
      </c>
      <c r="U15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2" spans="1:31" hidden="1" x14ac:dyDescent="0.3">
      <c r="A1592" s="14" t="s">
        <v>2554</v>
      </c>
      <c r="B1592" s="14" t="s">
        <v>2371</v>
      </c>
      <c r="C1592" s="14" t="s">
        <v>4374</v>
      </c>
      <c r="D1592" s="14" t="s">
        <v>4375</v>
      </c>
      <c r="E1592" s="14" t="s">
        <v>2236</v>
      </c>
      <c r="F1592" s="8">
        <v>0</v>
      </c>
      <c r="G1592" s="14" t="s">
        <v>2237</v>
      </c>
      <c r="H1592" s="16">
        <v>0</v>
      </c>
      <c r="I1592" s="14" t="s">
        <v>2237</v>
      </c>
      <c r="J1592" s="16">
        <v>0</v>
      </c>
      <c r="K1592" s="14" t="s">
        <v>2237</v>
      </c>
      <c r="L1592" s="16">
        <v>0</v>
      </c>
      <c r="M1592" s="14" t="s">
        <v>2237</v>
      </c>
      <c r="N1592" s="8">
        <v>0</v>
      </c>
      <c r="O1592" s="14" t="s">
        <v>2237</v>
      </c>
      <c r="P1592" s="14" t="s">
        <v>2236</v>
      </c>
      <c r="Q1592" s="17" t="s">
        <v>2236</v>
      </c>
      <c r="R1592" s="17" t="s">
        <v>2236</v>
      </c>
      <c r="S1592" s="17" t="s">
        <v>2236</v>
      </c>
      <c r="T1592" s="17" t="s">
        <v>2236</v>
      </c>
      <c r="U15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3" spans="1:31" hidden="1" x14ac:dyDescent="0.3">
      <c r="A1593" s="14" t="s">
        <v>2555</v>
      </c>
      <c r="B1593" s="14" t="s">
        <v>2371</v>
      </c>
      <c r="C1593" s="14" t="s">
        <v>4376</v>
      </c>
      <c r="D1593" s="14" t="s">
        <v>4377</v>
      </c>
      <c r="E1593" s="14" t="s">
        <v>2236</v>
      </c>
      <c r="F1593" s="8">
        <v>0</v>
      </c>
      <c r="G1593" s="14" t="s">
        <v>2237</v>
      </c>
      <c r="H1593" s="16">
        <v>0</v>
      </c>
      <c r="I1593" s="14" t="s">
        <v>2237</v>
      </c>
      <c r="J1593" s="16">
        <v>0</v>
      </c>
      <c r="K1593" s="14" t="s">
        <v>2237</v>
      </c>
      <c r="L1593" s="16">
        <v>0</v>
      </c>
      <c r="M1593" s="14" t="s">
        <v>2237</v>
      </c>
      <c r="N1593" s="8">
        <v>0</v>
      </c>
      <c r="O1593" s="14" t="s">
        <v>2237</v>
      </c>
      <c r="P1593" s="14" t="s">
        <v>2236</v>
      </c>
      <c r="Q1593" s="17" t="s">
        <v>2236</v>
      </c>
      <c r="R1593" s="17" t="s">
        <v>2236</v>
      </c>
      <c r="S1593" s="17" t="s">
        <v>2236</v>
      </c>
      <c r="T1593" s="17" t="s">
        <v>2236</v>
      </c>
      <c r="U15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4" spans="1:31" hidden="1" x14ac:dyDescent="0.3">
      <c r="A1594" s="14" t="s">
        <v>2556</v>
      </c>
      <c r="B1594" s="14" t="s">
        <v>2371</v>
      </c>
      <c r="C1594" s="14" t="s">
        <v>2972</v>
      </c>
      <c r="D1594" s="14" t="s">
        <v>4378</v>
      </c>
      <c r="E1594" s="14" t="s">
        <v>2236</v>
      </c>
      <c r="F1594" s="8">
        <v>0</v>
      </c>
      <c r="G1594" s="14" t="s">
        <v>2237</v>
      </c>
      <c r="H1594" s="16">
        <v>0</v>
      </c>
      <c r="I1594" s="14" t="s">
        <v>2237</v>
      </c>
      <c r="J1594" s="16">
        <v>0</v>
      </c>
      <c r="K1594" s="14" t="s">
        <v>2237</v>
      </c>
      <c r="L1594" s="16">
        <v>0</v>
      </c>
      <c r="M1594" s="14" t="s">
        <v>2237</v>
      </c>
      <c r="N1594" s="8">
        <v>0</v>
      </c>
      <c r="O1594" s="14" t="s">
        <v>2237</v>
      </c>
      <c r="P1594" s="14" t="s">
        <v>2236</v>
      </c>
      <c r="Q1594" s="17" t="s">
        <v>2236</v>
      </c>
      <c r="R1594" s="17" t="s">
        <v>2236</v>
      </c>
      <c r="S1594" s="17" t="s">
        <v>2236</v>
      </c>
      <c r="T1594" s="17" t="s">
        <v>2236</v>
      </c>
      <c r="U15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5" spans="1:31" hidden="1" x14ac:dyDescent="0.3">
      <c r="A1595" s="14" t="s">
        <v>2557</v>
      </c>
      <c r="B1595" s="14" t="s">
        <v>2366</v>
      </c>
      <c r="C1595" s="14" t="s">
        <v>4379</v>
      </c>
      <c r="D1595" s="14" t="s">
        <v>4380</v>
      </c>
      <c r="E1595" s="14" t="s">
        <v>2236</v>
      </c>
      <c r="F1595" s="8">
        <v>0</v>
      </c>
      <c r="G1595" s="14" t="s">
        <v>2237</v>
      </c>
      <c r="H1595" s="16">
        <v>0</v>
      </c>
      <c r="I1595" s="14" t="s">
        <v>2237</v>
      </c>
      <c r="J1595" s="16">
        <v>0</v>
      </c>
      <c r="K1595" s="14" t="s">
        <v>2237</v>
      </c>
      <c r="L1595" s="16">
        <v>0</v>
      </c>
      <c r="M1595" s="14" t="s">
        <v>2237</v>
      </c>
      <c r="N1595" s="8">
        <v>747.53</v>
      </c>
      <c r="O1595" s="14" t="s">
        <v>2237</v>
      </c>
      <c r="P1595" s="14" t="s">
        <v>2236</v>
      </c>
      <c r="Q1595" s="17" t="s">
        <v>2236</v>
      </c>
      <c r="R1595" s="17" t="s">
        <v>2236</v>
      </c>
      <c r="S1595" s="17" t="s">
        <v>2236</v>
      </c>
      <c r="T1595" s="17" t="s">
        <v>4381</v>
      </c>
      <c r="U15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6" spans="1:31" hidden="1" x14ac:dyDescent="0.3">
      <c r="A1596" s="14" t="s">
        <v>2558</v>
      </c>
      <c r="B1596" s="14" t="s">
        <v>2371</v>
      </c>
      <c r="C1596" s="14" t="s">
        <v>4382</v>
      </c>
      <c r="D1596" s="14" t="s">
        <v>4383</v>
      </c>
      <c r="E1596" s="14" t="s">
        <v>2236</v>
      </c>
      <c r="F1596" s="8">
        <v>0</v>
      </c>
      <c r="G1596" s="14" t="s">
        <v>2237</v>
      </c>
      <c r="H1596" s="16">
        <v>0</v>
      </c>
      <c r="I1596" s="14" t="s">
        <v>2237</v>
      </c>
      <c r="J1596" s="16">
        <v>0</v>
      </c>
      <c r="K1596" s="14" t="s">
        <v>2237</v>
      </c>
      <c r="L1596" s="16">
        <v>0</v>
      </c>
      <c r="M1596" s="14" t="s">
        <v>2237</v>
      </c>
      <c r="N1596" s="8">
        <v>0</v>
      </c>
      <c r="O1596" s="14" t="s">
        <v>2237</v>
      </c>
      <c r="P1596" s="14" t="s">
        <v>2236</v>
      </c>
      <c r="Q1596" s="17" t="s">
        <v>2236</v>
      </c>
      <c r="R1596" s="17" t="s">
        <v>2236</v>
      </c>
      <c r="S1596" s="17" t="s">
        <v>2236</v>
      </c>
      <c r="T1596" s="17" t="s">
        <v>2236</v>
      </c>
      <c r="U15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7" spans="1:31" hidden="1" x14ac:dyDescent="0.3">
      <c r="A1597" s="14" t="s">
        <v>2559</v>
      </c>
      <c r="B1597" s="14" t="s">
        <v>2371</v>
      </c>
      <c r="C1597" s="14" t="s">
        <v>4384</v>
      </c>
      <c r="D1597" s="14" t="s">
        <v>4385</v>
      </c>
      <c r="E1597" s="14" t="s">
        <v>2236</v>
      </c>
      <c r="F1597" s="8">
        <v>0</v>
      </c>
      <c r="G1597" s="14" t="s">
        <v>2237</v>
      </c>
      <c r="H1597" s="16">
        <v>0</v>
      </c>
      <c r="I1597" s="14" t="s">
        <v>2237</v>
      </c>
      <c r="J1597" s="16">
        <v>0</v>
      </c>
      <c r="K1597" s="14" t="s">
        <v>2237</v>
      </c>
      <c r="L1597" s="16">
        <v>0</v>
      </c>
      <c r="M1597" s="14" t="s">
        <v>2237</v>
      </c>
      <c r="N1597" s="8">
        <v>0</v>
      </c>
      <c r="O1597" s="14" t="s">
        <v>2237</v>
      </c>
      <c r="P1597" s="14" t="s">
        <v>2236</v>
      </c>
      <c r="Q1597" s="17" t="s">
        <v>2236</v>
      </c>
      <c r="R1597" s="17" t="s">
        <v>2236</v>
      </c>
      <c r="S1597" s="17" t="s">
        <v>2236</v>
      </c>
      <c r="T1597" s="17" t="s">
        <v>2236</v>
      </c>
      <c r="U15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8" spans="1:31" hidden="1" x14ac:dyDescent="0.3">
      <c r="A1598" s="14" t="s">
        <v>2560</v>
      </c>
      <c r="B1598" s="14" t="s">
        <v>2371</v>
      </c>
      <c r="C1598" s="14" t="s">
        <v>4386</v>
      </c>
      <c r="D1598" s="14" t="s">
        <v>4387</v>
      </c>
      <c r="E1598" s="14" t="s">
        <v>2236</v>
      </c>
      <c r="F1598" s="8">
        <v>0</v>
      </c>
      <c r="G1598" s="14" t="s">
        <v>2237</v>
      </c>
      <c r="H1598" s="16">
        <v>0</v>
      </c>
      <c r="I1598" s="14" t="s">
        <v>2237</v>
      </c>
      <c r="J1598" s="16">
        <v>0</v>
      </c>
      <c r="K1598" s="14" t="s">
        <v>2237</v>
      </c>
      <c r="L1598" s="16">
        <v>0</v>
      </c>
      <c r="M1598" s="14" t="s">
        <v>2237</v>
      </c>
      <c r="N1598" s="8">
        <v>0</v>
      </c>
      <c r="O1598" s="14" t="s">
        <v>2237</v>
      </c>
      <c r="P1598" s="14" t="s">
        <v>2236</v>
      </c>
      <c r="Q1598" s="17" t="s">
        <v>2236</v>
      </c>
      <c r="R1598" s="17" t="s">
        <v>2236</v>
      </c>
      <c r="S1598" s="17" t="s">
        <v>2236</v>
      </c>
      <c r="T1598" s="17" t="s">
        <v>2236</v>
      </c>
      <c r="U15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599" spans="1:31" hidden="1" x14ac:dyDescent="0.3">
      <c r="A1599" s="14" t="s">
        <v>2561</v>
      </c>
      <c r="B1599" s="14" t="s">
        <v>2371</v>
      </c>
      <c r="C1599" s="14" t="s">
        <v>4388</v>
      </c>
      <c r="D1599" s="14" t="s">
        <v>4389</v>
      </c>
      <c r="E1599" s="14" t="s">
        <v>2236</v>
      </c>
      <c r="F1599" s="8">
        <v>0</v>
      </c>
      <c r="G1599" s="14" t="s">
        <v>2237</v>
      </c>
      <c r="H1599" s="16">
        <v>0</v>
      </c>
      <c r="I1599" s="14" t="s">
        <v>2237</v>
      </c>
      <c r="J1599" s="16">
        <v>0</v>
      </c>
      <c r="K1599" s="14" t="s">
        <v>2237</v>
      </c>
      <c r="L1599" s="16">
        <v>0</v>
      </c>
      <c r="M1599" s="14" t="s">
        <v>2237</v>
      </c>
      <c r="N1599" s="8">
        <v>0</v>
      </c>
      <c r="O1599" s="14" t="s">
        <v>2237</v>
      </c>
      <c r="P1599" s="14" t="s">
        <v>2236</v>
      </c>
      <c r="Q1599" s="17" t="s">
        <v>2236</v>
      </c>
      <c r="R1599" s="17" t="s">
        <v>2236</v>
      </c>
      <c r="S1599" s="17" t="s">
        <v>2236</v>
      </c>
      <c r="T1599" s="17" t="s">
        <v>2236</v>
      </c>
      <c r="U15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5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5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5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5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5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5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5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5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5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5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0" spans="1:31" hidden="1" x14ac:dyDescent="0.3">
      <c r="A1600" s="14" t="s">
        <v>2562</v>
      </c>
      <c r="B1600" s="14" t="s">
        <v>2371</v>
      </c>
      <c r="C1600" s="14" t="s">
        <v>4390</v>
      </c>
      <c r="D1600" s="14" t="s">
        <v>4391</v>
      </c>
      <c r="E1600" s="14" t="s">
        <v>2236</v>
      </c>
      <c r="F1600" s="8">
        <v>0</v>
      </c>
      <c r="G1600" s="14" t="s">
        <v>2237</v>
      </c>
      <c r="H1600" s="16">
        <v>0</v>
      </c>
      <c r="I1600" s="14" t="s">
        <v>2237</v>
      </c>
      <c r="J1600" s="16">
        <v>0</v>
      </c>
      <c r="K1600" s="14" t="s">
        <v>2237</v>
      </c>
      <c r="L1600" s="16">
        <v>0</v>
      </c>
      <c r="M1600" s="14" t="s">
        <v>2237</v>
      </c>
      <c r="N1600" s="8">
        <v>0</v>
      </c>
      <c r="O1600" s="14" t="s">
        <v>2237</v>
      </c>
      <c r="P1600" s="14" t="s">
        <v>2236</v>
      </c>
      <c r="Q1600" s="17" t="s">
        <v>2236</v>
      </c>
      <c r="R1600" s="17" t="s">
        <v>2236</v>
      </c>
      <c r="S1600" s="17" t="s">
        <v>2236</v>
      </c>
      <c r="T1600" s="17" t="s">
        <v>2236</v>
      </c>
      <c r="U16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1" spans="1:31" hidden="1" x14ac:dyDescent="0.3">
      <c r="A1601" s="14" t="s">
        <v>2563</v>
      </c>
      <c r="B1601" s="14" t="s">
        <v>2371</v>
      </c>
      <c r="C1601" s="14" t="s">
        <v>4392</v>
      </c>
      <c r="D1601" s="14" t="s">
        <v>4393</v>
      </c>
      <c r="E1601" s="14" t="s">
        <v>2236</v>
      </c>
      <c r="F1601" s="8">
        <v>0</v>
      </c>
      <c r="G1601" s="14" t="s">
        <v>2237</v>
      </c>
      <c r="H1601" s="16">
        <v>0</v>
      </c>
      <c r="I1601" s="14" t="s">
        <v>2237</v>
      </c>
      <c r="J1601" s="16">
        <v>0</v>
      </c>
      <c r="K1601" s="14" t="s">
        <v>2237</v>
      </c>
      <c r="L1601" s="16">
        <v>0</v>
      </c>
      <c r="M1601" s="14" t="s">
        <v>2237</v>
      </c>
      <c r="N1601" s="8">
        <v>0</v>
      </c>
      <c r="O1601" s="14" t="s">
        <v>2237</v>
      </c>
      <c r="P1601" s="14" t="s">
        <v>2236</v>
      </c>
      <c r="Q1601" s="17" t="s">
        <v>2236</v>
      </c>
      <c r="R1601" s="17" t="s">
        <v>2236</v>
      </c>
      <c r="S1601" s="17" t="s">
        <v>2236</v>
      </c>
      <c r="T1601" s="17" t="s">
        <v>2236</v>
      </c>
      <c r="U16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2" spans="1:31" hidden="1" x14ac:dyDescent="0.3">
      <c r="A1602" s="14" t="s">
        <v>2564</v>
      </c>
      <c r="B1602" s="14" t="s">
        <v>2371</v>
      </c>
      <c r="C1602" s="14" t="s">
        <v>4394</v>
      </c>
      <c r="D1602" s="14" t="s">
        <v>4395</v>
      </c>
      <c r="E1602" s="14" t="s">
        <v>2236</v>
      </c>
      <c r="F1602" s="8">
        <v>0</v>
      </c>
      <c r="G1602" s="14" t="s">
        <v>2237</v>
      </c>
      <c r="H1602" s="16">
        <v>0</v>
      </c>
      <c r="I1602" s="14" t="s">
        <v>2237</v>
      </c>
      <c r="J1602" s="16">
        <v>0</v>
      </c>
      <c r="K1602" s="14" t="s">
        <v>2237</v>
      </c>
      <c r="L1602" s="16">
        <v>0</v>
      </c>
      <c r="M1602" s="14" t="s">
        <v>2237</v>
      </c>
      <c r="N1602" s="8">
        <v>0</v>
      </c>
      <c r="O1602" s="14" t="s">
        <v>2237</v>
      </c>
      <c r="P1602" s="14" t="s">
        <v>2236</v>
      </c>
      <c r="Q1602" s="17" t="s">
        <v>2236</v>
      </c>
      <c r="R1602" s="17" t="s">
        <v>2236</v>
      </c>
      <c r="S1602" s="17" t="s">
        <v>2236</v>
      </c>
      <c r="T1602" s="17" t="s">
        <v>2236</v>
      </c>
      <c r="U16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3" spans="1:31" hidden="1" x14ac:dyDescent="0.3">
      <c r="A1603" s="14" t="s">
        <v>2565</v>
      </c>
      <c r="B1603" s="14" t="s">
        <v>2371</v>
      </c>
      <c r="C1603" s="14" t="s">
        <v>4396</v>
      </c>
      <c r="D1603" s="14" t="s">
        <v>4397</v>
      </c>
      <c r="E1603" s="14" t="s">
        <v>2236</v>
      </c>
      <c r="F1603" s="8">
        <v>0</v>
      </c>
      <c r="G1603" s="14" t="s">
        <v>2237</v>
      </c>
      <c r="H1603" s="16">
        <v>0</v>
      </c>
      <c r="I1603" s="14" t="s">
        <v>2237</v>
      </c>
      <c r="J1603" s="16">
        <v>0</v>
      </c>
      <c r="K1603" s="14" t="s">
        <v>2237</v>
      </c>
      <c r="L1603" s="16">
        <v>0</v>
      </c>
      <c r="M1603" s="14" t="s">
        <v>2237</v>
      </c>
      <c r="N1603" s="8">
        <v>0</v>
      </c>
      <c r="O1603" s="14" t="s">
        <v>2237</v>
      </c>
      <c r="P1603" s="14" t="s">
        <v>2236</v>
      </c>
      <c r="Q1603" s="17" t="s">
        <v>2236</v>
      </c>
      <c r="R1603" s="17" t="s">
        <v>2236</v>
      </c>
      <c r="S1603" s="17" t="s">
        <v>2236</v>
      </c>
      <c r="T1603" s="17" t="s">
        <v>2236</v>
      </c>
      <c r="U16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4" spans="1:31" hidden="1" x14ac:dyDescent="0.3">
      <c r="A1604" s="14" t="s">
        <v>2566</v>
      </c>
      <c r="B1604" s="14" t="s">
        <v>2371</v>
      </c>
      <c r="C1604" s="14" t="s">
        <v>2902</v>
      </c>
      <c r="D1604" s="14" t="s">
        <v>4398</v>
      </c>
      <c r="E1604" s="14" t="s">
        <v>2236</v>
      </c>
      <c r="F1604" s="8">
        <v>0</v>
      </c>
      <c r="G1604" s="14" t="s">
        <v>2237</v>
      </c>
      <c r="H1604" s="16">
        <v>0</v>
      </c>
      <c r="I1604" s="14" t="s">
        <v>2237</v>
      </c>
      <c r="J1604" s="16">
        <v>0</v>
      </c>
      <c r="K1604" s="14" t="s">
        <v>2237</v>
      </c>
      <c r="L1604" s="16">
        <v>0</v>
      </c>
      <c r="M1604" s="14" t="s">
        <v>2237</v>
      </c>
      <c r="N1604" s="8">
        <v>0</v>
      </c>
      <c r="O1604" s="14" t="s">
        <v>2237</v>
      </c>
      <c r="P1604" s="14" t="s">
        <v>2236</v>
      </c>
      <c r="Q1604" s="17" t="s">
        <v>2236</v>
      </c>
      <c r="R1604" s="17" t="s">
        <v>2236</v>
      </c>
      <c r="S1604" s="17" t="s">
        <v>2236</v>
      </c>
      <c r="T1604" s="17" t="s">
        <v>2236</v>
      </c>
      <c r="U16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5" spans="1:31" hidden="1" x14ac:dyDescent="0.3">
      <c r="A1605" s="14" t="s">
        <v>2567</v>
      </c>
      <c r="B1605" s="14" t="s">
        <v>2371</v>
      </c>
      <c r="C1605" s="14" t="s">
        <v>4399</v>
      </c>
      <c r="D1605" s="14" t="s">
        <v>4400</v>
      </c>
      <c r="E1605" s="14" t="s">
        <v>2236</v>
      </c>
      <c r="F1605" s="8">
        <v>0</v>
      </c>
      <c r="G1605" s="14" t="s">
        <v>2237</v>
      </c>
      <c r="H1605" s="16">
        <v>0</v>
      </c>
      <c r="I1605" s="14" t="s">
        <v>2237</v>
      </c>
      <c r="J1605" s="16">
        <v>0</v>
      </c>
      <c r="K1605" s="14" t="s">
        <v>2237</v>
      </c>
      <c r="L1605" s="16">
        <v>0</v>
      </c>
      <c r="M1605" s="14" t="s">
        <v>2237</v>
      </c>
      <c r="N1605" s="8">
        <v>0</v>
      </c>
      <c r="O1605" s="14" t="s">
        <v>2237</v>
      </c>
      <c r="P1605" s="14" t="s">
        <v>2236</v>
      </c>
      <c r="Q1605" s="17" t="s">
        <v>2236</v>
      </c>
      <c r="R1605" s="17" t="s">
        <v>2236</v>
      </c>
      <c r="S1605" s="17" t="s">
        <v>2236</v>
      </c>
      <c r="T1605" s="17" t="s">
        <v>2236</v>
      </c>
      <c r="U16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6" spans="1:31" hidden="1" x14ac:dyDescent="0.3">
      <c r="A1606" s="14" t="s">
        <v>2568</v>
      </c>
      <c r="B1606" s="14" t="s">
        <v>2371</v>
      </c>
      <c r="C1606" s="14" t="s">
        <v>4401</v>
      </c>
      <c r="D1606" s="14" t="s">
        <v>4402</v>
      </c>
      <c r="E1606" s="14" t="s">
        <v>2236</v>
      </c>
      <c r="F1606" s="8">
        <v>0</v>
      </c>
      <c r="G1606" s="14" t="s">
        <v>2237</v>
      </c>
      <c r="H1606" s="16">
        <v>0</v>
      </c>
      <c r="I1606" s="14" t="s">
        <v>2237</v>
      </c>
      <c r="J1606" s="16">
        <v>0</v>
      </c>
      <c r="K1606" s="14" t="s">
        <v>2237</v>
      </c>
      <c r="L1606" s="16">
        <v>0</v>
      </c>
      <c r="M1606" s="14" t="s">
        <v>2237</v>
      </c>
      <c r="N1606" s="8">
        <v>0</v>
      </c>
      <c r="O1606" s="14" t="s">
        <v>2237</v>
      </c>
      <c r="P1606" s="14" t="s">
        <v>2236</v>
      </c>
      <c r="Q1606" s="17" t="s">
        <v>2236</v>
      </c>
      <c r="R1606" s="17" t="s">
        <v>2236</v>
      </c>
      <c r="S1606" s="17" t="s">
        <v>2236</v>
      </c>
      <c r="T1606" s="17" t="s">
        <v>2236</v>
      </c>
      <c r="U16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7" spans="1:31" hidden="1" x14ac:dyDescent="0.3">
      <c r="A1607" s="14" t="s">
        <v>2569</v>
      </c>
      <c r="B1607" s="14" t="s">
        <v>2371</v>
      </c>
      <c r="C1607" s="14" t="s">
        <v>4403</v>
      </c>
      <c r="D1607" s="14" t="s">
        <v>4404</v>
      </c>
      <c r="E1607" s="14" t="s">
        <v>2236</v>
      </c>
      <c r="F1607" s="8">
        <v>0</v>
      </c>
      <c r="G1607" s="14" t="s">
        <v>2237</v>
      </c>
      <c r="H1607" s="16">
        <v>0</v>
      </c>
      <c r="I1607" s="14" t="s">
        <v>2237</v>
      </c>
      <c r="J1607" s="16">
        <v>0</v>
      </c>
      <c r="K1607" s="14" t="s">
        <v>2237</v>
      </c>
      <c r="L1607" s="16">
        <v>0</v>
      </c>
      <c r="M1607" s="14" t="s">
        <v>2237</v>
      </c>
      <c r="N1607" s="8">
        <v>0</v>
      </c>
      <c r="O1607" s="14" t="s">
        <v>2237</v>
      </c>
      <c r="P1607" s="14" t="s">
        <v>2236</v>
      </c>
      <c r="Q1607" s="17" t="s">
        <v>2236</v>
      </c>
      <c r="R1607" s="17" t="s">
        <v>2236</v>
      </c>
      <c r="S1607" s="17" t="s">
        <v>2236</v>
      </c>
      <c r="T1607" s="17" t="s">
        <v>2236</v>
      </c>
      <c r="U16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8" spans="1:31" hidden="1" x14ac:dyDescent="0.3">
      <c r="A1608" s="14" t="s">
        <v>2570</v>
      </c>
      <c r="B1608" s="14" t="s">
        <v>2371</v>
      </c>
      <c r="C1608" s="14" t="s">
        <v>2902</v>
      </c>
      <c r="D1608" s="14" t="s">
        <v>4405</v>
      </c>
      <c r="E1608" s="14" t="s">
        <v>2236</v>
      </c>
      <c r="F1608" s="8">
        <v>0</v>
      </c>
      <c r="G1608" s="14" t="s">
        <v>2237</v>
      </c>
      <c r="H1608" s="16">
        <v>0</v>
      </c>
      <c r="I1608" s="14" t="s">
        <v>2237</v>
      </c>
      <c r="J1608" s="16">
        <v>0</v>
      </c>
      <c r="K1608" s="14" t="s">
        <v>2237</v>
      </c>
      <c r="L1608" s="16">
        <v>0</v>
      </c>
      <c r="M1608" s="14" t="s">
        <v>2237</v>
      </c>
      <c r="N1608" s="8">
        <v>0</v>
      </c>
      <c r="O1608" s="14" t="s">
        <v>2237</v>
      </c>
      <c r="P1608" s="14" t="s">
        <v>2236</v>
      </c>
      <c r="Q1608" s="17" t="s">
        <v>2236</v>
      </c>
      <c r="R1608" s="17" t="s">
        <v>2236</v>
      </c>
      <c r="S1608" s="17" t="s">
        <v>2236</v>
      </c>
      <c r="T1608" s="17" t="s">
        <v>2236</v>
      </c>
      <c r="U16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09" spans="1:31" hidden="1" x14ac:dyDescent="0.3">
      <c r="A1609" s="14" t="s">
        <v>2571</v>
      </c>
      <c r="B1609" s="14" t="s">
        <v>2371</v>
      </c>
      <c r="C1609" s="14" t="s">
        <v>4406</v>
      </c>
      <c r="D1609" s="14" t="s">
        <v>4407</v>
      </c>
      <c r="E1609" s="14" t="s">
        <v>2236</v>
      </c>
      <c r="F1609" s="8">
        <v>0</v>
      </c>
      <c r="G1609" s="14" t="s">
        <v>2237</v>
      </c>
      <c r="H1609" s="16">
        <v>0</v>
      </c>
      <c r="I1609" s="14" t="s">
        <v>2237</v>
      </c>
      <c r="J1609" s="16">
        <v>0</v>
      </c>
      <c r="K1609" s="14" t="s">
        <v>2237</v>
      </c>
      <c r="L1609" s="16">
        <v>0</v>
      </c>
      <c r="M1609" s="14" t="s">
        <v>2237</v>
      </c>
      <c r="N1609" s="8">
        <v>0</v>
      </c>
      <c r="O1609" s="14" t="s">
        <v>2237</v>
      </c>
      <c r="P1609" s="14" t="s">
        <v>2236</v>
      </c>
      <c r="Q1609" s="17" t="s">
        <v>2236</v>
      </c>
      <c r="R1609" s="17" t="s">
        <v>2236</v>
      </c>
      <c r="S1609" s="17" t="s">
        <v>2236</v>
      </c>
      <c r="T1609" s="17" t="s">
        <v>2236</v>
      </c>
      <c r="U16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0" spans="1:31" hidden="1" x14ac:dyDescent="0.3">
      <c r="A1610" s="14" t="s">
        <v>2572</v>
      </c>
      <c r="B1610" s="14" t="s">
        <v>2371</v>
      </c>
      <c r="C1610" s="14" t="s">
        <v>4408</v>
      </c>
      <c r="D1610" s="14" t="s">
        <v>4409</v>
      </c>
      <c r="E1610" s="14" t="s">
        <v>2236</v>
      </c>
      <c r="F1610" s="8">
        <v>0</v>
      </c>
      <c r="G1610" s="14" t="s">
        <v>2237</v>
      </c>
      <c r="H1610" s="16">
        <v>0</v>
      </c>
      <c r="I1610" s="14" t="s">
        <v>2237</v>
      </c>
      <c r="J1610" s="16">
        <v>0</v>
      </c>
      <c r="K1610" s="14" t="s">
        <v>2237</v>
      </c>
      <c r="L1610" s="16">
        <v>0</v>
      </c>
      <c r="M1610" s="14" t="s">
        <v>2237</v>
      </c>
      <c r="N1610" s="8">
        <v>0</v>
      </c>
      <c r="O1610" s="14" t="s">
        <v>2237</v>
      </c>
      <c r="P1610" s="14" t="s">
        <v>2236</v>
      </c>
      <c r="Q1610" s="17" t="s">
        <v>2236</v>
      </c>
      <c r="R1610" s="17" t="s">
        <v>2236</v>
      </c>
      <c r="S1610" s="17" t="s">
        <v>2236</v>
      </c>
      <c r="T1610" s="17" t="s">
        <v>2236</v>
      </c>
      <c r="U16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1" spans="1:31" hidden="1" x14ac:dyDescent="0.3">
      <c r="A1611" s="14" t="s">
        <v>2573</v>
      </c>
      <c r="B1611" s="14" t="s">
        <v>2371</v>
      </c>
      <c r="C1611" s="14" t="s">
        <v>4410</v>
      </c>
      <c r="D1611" s="14" t="s">
        <v>4411</v>
      </c>
      <c r="E1611" s="14" t="s">
        <v>2236</v>
      </c>
      <c r="F1611" s="8">
        <v>0</v>
      </c>
      <c r="G1611" s="14" t="s">
        <v>2237</v>
      </c>
      <c r="H1611" s="16">
        <v>0</v>
      </c>
      <c r="I1611" s="14" t="s">
        <v>2237</v>
      </c>
      <c r="J1611" s="16">
        <v>0</v>
      </c>
      <c r="K1611" s="14" t="s">
        <v>2237</v>
      </c>
      <c r="L1611" s="16">
        <v>0</v>
      </c>
      <c r="M1611" s="14" t="s">
        <v>2237</v>
      </c>
      <c r="N1611" s="8">
        <v>0</v>
      </c>
      <c r="O1611" s="14" t="s">
        <v>2237</v>
      </c>
      <c r="P1611" s="14" t="s">
        <v>2236</v>
      </c>
      <c r="Q1611" s="17" t="s">
        <v>2236</v>
      </c>
      <c r="R1611" s="17" t="s">
        <v>2236</v>
      </c>
      <c r="S1611" s="17" t="s">
        <v>2236</v>
      </c>
      <c r="T1611" s="17" t="s">
        <v>2236</v>
      </c>
      <c r="U16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2" spans="1:31" hidden="1" x14ac:dyDescent="0.3">
      <c r="A1612" s="14" t="s">
        <v>2574</v>
      </c>
      <c r="B1612" s="14" t="s">
        <v>2371</v>
      </c>
      <c r="C1612" s="14" t="s">
        <v>4412</v>
      </c>
      <c r="D1612" s="14" t="s">
        <v>4413</v>
      </c>
      <c r="E1612" s="14" t="s">
        <v>2236</v>
      </c>
      <c r="F1612" s="8">
        <v>0</v>
      </c>
      <c r="G1612" s="14" t="s">
        <v>2237</v>
      </c>
      <c r="H1612" s="16">
        <v>0</v>
      </c>
      <c r="I1612" s="14" t="s">
        <v>2237</v>
      </c>
      <c r="J1612" s="16">
        <v>0</v>
      </c>
      <c r="K1612" s="14" t="s">
        <v>2237</v>
      </c>
      <c r="L1612" s="16">
        <v>0</v>
      </c>
      <c r="M1612" s="14" t="s">
        <v>2237</v>
      </c>
      <c r="N1612" s="8">
        <v>0</v>
      </c>
      <c r="O1612" s="14" t="s">
        <v>2237</v>
      </c>
      <c r="P1612" s="14" t="s">
        <v>2236</v>
      </c>
      <c r="Q1612" s="17" t="s">
        <v>2236</v>
      </c>
      <c r="R1612" s="17" t="s">
        <v>2236</v>
      </c>
      <c r="S1612" s="17" t="s">
        <v>2236</v>
      </c>
      <c r="T1612" s="17" t="s">
        <v>2236</v>
      </c>
      <c r="U16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3" spans="1:31" hidden="1" x14ac:dyDescent="0.3">
      <c r="A1613" s="14" t="s">
        <v>2575</v>
      </c>
      <c r="B1613" s="14" t="s">
        <v>2371</v>
      </c>
      <c r="C1613" s="14" t="s">
        <v>4414</v>
      </c>
      <c r="D1613" s="14" t="s">
        <v>4415</v>
      </c>
      <c r="E1613" s="14" t="s">
        <v>2236</v>
      </c>
      <c r="F1613" s="8">
        <v>0</v>
      </c>
      <c r="G1613" s="14" t="s">
        <v>2237</v>
      </c>
      <c r="H1613" s="16">
        <v>0</v>
      </c>
      <c r="I1613" s="14" t="s">
        <v>2237</v>
      </c>
      <c r="J1613" s="16">
        <v>0</v>
      </c>
      <c r="K1613" s="14" t="s">
        <v>2237</v>
      </c>
      <c r="L1613" s="16">
        <v>0</v>
      </c>
      <c r="M1613" s="14" t="s">
        <v>2237</v>
      </c>
      <c r="N1613" s="8">
        <v>0</v>
      </c>
      <c r="O1613" s="14" t="s">
        <v>2237</v>
      </c>
      <c r="P1613" s="14" t="s">
        <v>2236</v>
      </c>
      <c r="Q1613" s="17" t="s">
        <v>2236</v>
      </c>
      <c r="R1613" s="17" t="s">
        <v>2236</v>
      </c>
      <c r="S1613" s="17" t="s">
        <v>2236</v>
      </c>
      <c r="T1613" s="17" t="s">
        <v>2236</v>
      </c>
      <c r="U16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4" spans="1:31" hidden="1" x14ac:dyDescent="0.3">
      <c r="A1614" s="14" t="s">
        <v>2576</v>
      </c>
      <c r="B1614" s="14" t="s">
        <v>2371</v>
      </c>
      <c r="C1614" s="14" t="s">
        <v>4416</v>
      </c>
      <c r="D1614" s="14" t="s">
        <v>4417</v>
      </c>
      <c r="E1614" s="14" t="s">
        <v>2236</v>
      </c>
      <c r="F1614" s="8">
        <v>0</v>
      </c>
      <c r="G1614" s="14" t="s">
        <v>2237</v>
      </c>
      <c r="H1614" s="16">
        <v>0</v>
      </c>
      <c r="I1614" s="14" t="s">
        <v>2237</v>
      </c>
      <c r="J1614" s="16">
        <v>0</v>
      </c>
      <c r="K1614" s="14" t="s">
        <v>2237</v>
      </c>
      <c r="L1614" s="16">
        <v>0</v>
      </c>
      <c r="M1614" s="14" t="s">
        <v>2237</v>
      </c>
      <c r="N1614" s="8">
        <v>0</v>
      </c>
      <c r="O1614" s="14" t="s">
        <v>2237</v>
      </c>
      <c r="P1614" s="14" t="s">
        <v>2236</v>
      </c>
      <c r="Q1614" s="17" t="s">
        <v>2236</v>
      </c>
      <c r="R1614" s="17" t="s">
        <v>2236</v>
      </c>
      <c r="S1614" s="17" t="s">
        <v>2236</v>
      </c>
      <c r="T1614" s="17" t="s">
        <v>2236</v>
      </c>
      <c r="U16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5" spans="1:31" hidden="1" x14ac:dyDescent="0.3">
      <c r="A1615" s="14" t="s">
        <v>2577</v>
      </c>
      <c r="B1615" s="14" t="s">
        <v>2371</v>
      </c>
      <c r="C1615" s="14" t="s">
        <v>4418</v>
      </c>
      <c r="D1615" s="14" t="s">
        <v>4419</v>
      </c>
      <c r="E1615" s="14" t="s">
        <v>2236</v>
      </c>
      <c r="F1615" s="8">
        <v>0</v>
      </c>
      <c r="G1615" s="14" t="s">
        <v>2237</v>
      </c>
      <c r="H1615" s="16">
        <v>0</v>
      </c>
      <c r="I1615" s="14" t="s">
        <v>2237</v>
      </c>
      <c r="J1615" s="16">
        <v>0</v>
      </c>
      <c r="K1615" s="14" t="s">
        <v>2237</v>
      </c>
      <c r="L1615" s="16">
        <v>0</v>
      </c>
      <c r="M1615" s="14" t="s">
        <v>2237</v>
      </c>
      <c r="N1615" s="8">
        <v>0</v>
      </c>
      <c r="O1615" s="14" t="s">
        <v>2237</v>
      </c>
      <c r="P1615" s="14" t="s">
        <v>2236</v>
      </c>
      <c r="Q1615" s="17" t="s">
        <v>2236</v>
      </c>
      <c r="R1615" s="17" t="s">
        <v>2236</v>
      </c>
      <c r="S1615" s="17" t="s">
        <v>2236</v>
      </c>
      <c r="T1615" s="17" t="s">
        <v>2236</v>
      </c>
      <c r="U16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6" spans="1:31" hidden="1" x14ac:dyDescent="0.3">
      <c r="A1616" s="14" t="s">
        <v>2578</v>
      </c>
      <c r="B1616" s="14" t="s">
        <v>2371</v>
      </c>
      <c r="C1616" s="14" t="s">
        <v>2902</v>
      </c>
      <c r="D1616" s="14" t="s">
        <v>4420</v>
      </c>
      <c r="E1616" s="14" t="s">
        <v>2236</v>
      </c>
      <c r="F1616" s="8">
        <v>0</v>
      </c>
      <c r="G1616" s="14" t="s">
        <v>2237</v>
      </c>
      <c r="H1616" s="16">
        <v>0</v>
      </c>
      <c r="I1616" s="14" t="s">
        <v>2237</v>
      </c>
      <c r="J1616" s="16">
        <v>0</v>
      </c>
      <c r="K1616" s="14" t="s">
        <v>2237</v>
      </c>
      <c r="L1616" s="16">
        <v>0</v>
      </c>
      <c r="M1616" s="14" t="s">
        <v>2237</v>
      </c>
      <c r="N1616" s="8">
        <v>0</v>
      </c>
      <c r="O1616" s="14" t="s">
        <v>2237</v>
      </c>
      <c r="P1616" s="14" t="s">
        <v>2236</v>
      </c>
      <c r="Q1616" s="17" t="s">
        <v>2236</v>
      </c>
      <c r="R1616" s="17" t="s">
        <v>2236</v>
      </c>
      <c r="S1616" s="17" t="s">
        <v>2236</v>
      </c>
      <c r="T1616" s="17" t="s">
        <v>2236</v>
      </c>
      <c r="U16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7" spans="1:31" hidden="1" x14ac:dyDescent="0.3">
      <c r="A1617" s="14" t="s">
        <v>2580</v>
      </c>
      <c r="B1617" s="14" t="s">
        <v>2371</v>
      </c>
      <c r="C1617" s="14" t="s">
        <v>4421</v>
      </c>
      <c r="D1617" s="14" t="s">
        <v>4422</v>
      </c>
      <c r="E1617" s="14" t="s">
        <v>2236</v>
      </c>
      <c r="F1617" s="8">
        <v>0</v>
      </c>
      <c r="G1617" s="14" t="s">
        <v>2237</v>
      </c>
      <c r="H1617" s="16">
        <v>0</v>
      </c>
      <c r="I1617" s="14" t="s">
        <v>2237</v>
      </c>
      <c r="J1617" s="16">
        <v>0</v>
      </c>
      <c r="K1617" s="14" t="s">
        <v>2237</v>
      </c>
      <c r="L1617" s="16">
        <v>0</v>
      </c>
      <c r="M1617" s="14" t="s">
        <v>2237</v>
      </c>
      <c r="N1617" s="8">
        <v>0</v>
      </c>
      <c r="O1617" s="14" t="s">
        <v>2237</v>
      </c>
      <c r="P1617" s="14" t="s">
        <v>2236</v>
      </c>
      <c r="Q1617" s="17" t="s">
        <v>2236</v>
      </c>
      <c r="R1617" s="17" t="s">
        <v>2236</v>
      </c>
      <c r="S1617" s="17" t="s">
        <v>2236</v>
      </c>
      <c r="T1617" s="17" t="s">
        <v>2236</v>
      </c>
      <c r="U16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8" spans="1:31" hidden="1" x14ac:dyDescent="0.3">
      <c r="A1618" s="14" t="s">
        <v>2581</v>
      </c>
      <c r="B1618" s="14" t="s">
        <v>2371</v>
      </c>
      <c r="C1618" s="14" t="s">
        <v>4423</v>
      </c>
      <c r="D1618" s="14" t="s">
        <v>4424</v>
      </c>
      <c r="E1618" s="14" t="s">
        <v>2236</v>
      </c>
      <c r="F1618" s="8">
        <v>0</v>
      </c>
      <c r="G1618" s="14" t="s">
        <v>2237</v>
      </c>
      <c r="H1618" s="16">
        <v>0</v>
      </c>
      <c r="I1618" s="14" t="s">
        <v>2237</v>
      </c>
      <c r="J1618" s="16">
        <v>0</v>
      </c>
      <c r="K1618" s="14" t="s">
        <v>2237</v>
      </c>
      <c r="L1618" s="16">
        <v>0</v>
      </c>
      <c r="M1618" s="14" t="s">
        <v>2237</v>
      </c>
      <c r="N1618" s="8">
        <v>0</v>
      </c>
      <c r="O1618" s="14" t="s">
        <v>2237</v>
      </c>
      <c r="P1618" s="14" t="s">
        <v>2236</v>
      </c>
      <c r="Q1618" s="17" t="s">
        <v>2236</v>
      </c>
      <c r="R1618" s="17" t="s">
        <v>2236</v>
      </c>
      <c r="S1618" s="17" t="s">
        <v>2236</v>
      </c>
      <c r="T1618" s="17" t="s">
        <v>2236</v>
      </c>
      <c r="U16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19" spans="1:31" hidden="1" x14ac:dyDescent="0.3">
      <c r="A1619" s="14" t="s">
        <v>2582</v>
      </c>
      <c r="B1619" s="14" t="s">
        <v>2371</v>
      </c>
      <c r="C1619" s="14" t="s">
        <v>4425</v>
      </c>
      <c r="D1619" s="14" t="s">
        <v>4426</v>
      </c>
      <c r="E1619" s="14" t="s">
        <v>2236</v>
      </c>
      <c r="F1619" s="8">
        <v>0</v>
      </c>
      <c r="G1619" s="14" t="s">
        <v>2237</v>
      </c>
      <c r="H1619" s="16">
        <v>0</v>
      </c>
      <c r="I1619" s="14" t="s">
        <v>2237</v>
      </c>
      <c r="J1619" s="16">
        <v>0</v>
      </c>
      <c r="K1619" s="14" t="s">
        <v>2237</v>
      </c>
      <c r="L1619" s="16">
        <v>0</v>
      </c>
      <c r="M1619" s="14" t="s">
        <v>2237</v>
      </c>
      <c r="N1619" s="8">
        <v>0</v>
      </c>
      <c r="O1619" s="14" t="s">
        <v>2237</v>
      </c>
      <c r="P1619" s="14" t="s">
        <v>2236</v>
      </c>
      <c r="Q1619" s="17" t="s">
        <v>2236</v>
      </c>
      <c r="R1619" s="17" t="s">
        <v>2236</v>
      </c>
      <c r="S1619" s="17" t="s">
        <v>2236</v>
      </c>
      <c r="T1619" s="17" t="s">
        <v>2236</v>
      </c>
      <c r="U16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0" spans="1:31" hidden="1" x14ac:dyDescent="0.3">
      <c r="A1620" s="14" t="s">
        <v>2583</v>
      </c>
      <c r="B1620" s="14" t="s">
        <v>2371</v>
      </c>
      <c r="C1620" s="14" t="s">
        <v>2902</v>
      </c>
      <c r="D1620" s="14" t="s">
        <v>4427</v>
      </c>
      <c r="E1620" s="14" t="s">
        <v>2236</v>
      </c>
      <c r="F1620" s="8">
        <v>0</v>
      </c>
      <c r="G1620" s="14" t="s">
        <v>2237</v>
      </c>
      <c r="H1620" s="16">
        <v>0</v>
      </c>
      <c r="I1620" s="14" t="s">
        <v>2237</v>
      </c>
      <c r="J1620" s="16">
        <v>0</v>
      </c>
      <c r="K1620" s="14" t="s">
        <v>2237</v>
      </c>
      <c r="L1620" s="16">
        <v>0</v>
      </c>
      <c r="M1620" s="14" t="s">
        <v>2237</v>
      </c>
      <c r="N1620" s="8">
        <v>0</v>
      </c>
      <c r="O1620" s="14" t="s">
        <v>2237</v>
      </c>
      <c r="P1620" s="14" t="s">
        <v>2236</v>
      </c>
      <c r="Q1620" s="17" t="s">
        <v>2236</v>
      </c>
      <c r="R1620" s="17" t="s">
        <v>2236</v>
      </c>
      <c r="S1620" s="17" t="s">
        <v>2236</v>
      </c>
      <c r="T1620" s="17" t="s">
        <v>2236</v>
      </c>
      <c r="U16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1" spans="1:31" hidden="1" x14ac:dyDescent="0.3">
      <c r="A1621" s="14" t="s">
        <v>2584</v>
      </c>
      <c r="B1621" s="14" t="s">
        <v>2371</v>
      </c>
      <c r="C1621" s="14" t="s">
        <v>4428</v>
      </c>
      <c r="D1621" s="14" t="s">
        <v>4429</v>
      </c>
      <c r="E1621" s="14" t="s">
        <v>2236</v>
      </c>
      <c r="F1621" s="8">
        <v>0</v>
      </c>
      <c r="G1621" s="14" t="s">
        <v>2237</v>
      </c>
      <c r="H1621" s="16">
        <v>0</v>
      </c>
      <c r="I1621" s="14" t="s">
        <v>2237</v>
      </c>
      <c r="J1621" s="16">
        <v>0</v>
      </c>
      <c r="K1621" s="14" t="s">
        <v>2237</v>
      </c>
      <c r="L1621" s="16">
        <v>0</v>
      </c>
      <c r="M1621" s="14" t="s">
        <v>2237</v>
      </c>
      <c r="N1621" s="8">
        <v>0</v>
      </c>
      <c r="O1621" s="14" t="s">
        <v>2237</v>
      </c>
      <c r="P1621" s="14" t="s">
        <v>2236</v>
      </c>
      <c r="Q1621" s="17" t="s">
        <v>2236</v>
      </c>
      <c r="R1621" s="17" t="s">
        <v>2236</v>
      </c>
      <c r="S1621" s="17" t="s">
        <v>2236</v>
      </c>
      <c r="T1621" s="17" t="s">
        <v>2236</v>
      </c>
      <c r="U16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2" spans="1:31" hidden="1" x14ac:dyDescent="0.3">
      <c r="A1622" s="14" t="s">
        <v>2585</v>
      </c>
      <c r="B1622" s="14" t="s">
        <v>2371</v>
      </c>
      <c r="C1622" s="14" t="s">
        <v>4430</v>
      </c>
      <c r="D1622" s="14" t="s">
        <v>4431</v>
      </c>
      <c r="E1622" s="14" t="s">
        <v>2236</v>
      </c>
      <c r="F1622" s="8">
        <v>0</v>
      </c>
      <c r="G1622" s="14" t="s">
        <v>2237</v>
      </c>
      <c r="H1622" s="16">
        <v>0</v>
      </c>
      <c r="I1622" s="14" t="s">
        <v>2237</v>
      </c>
      <c r="J1622" s="16">
        <v>0</v>
      </c>
      <c r="K1622" s="14" t="s">
        <v>2237</v>
      </c>
      <c r="L1622" s="16">
        <v>0</v>
      </c>
      <c r="M1622" s="14" t="s">
        <v>2237</v>
      </c>
      <c r="N1622" s="8">
        <v>0</v>
      </c>
      <c r="O1622" s="14" t="s">
        <v>2237</v>
      </c>
      <c r="P1622" s="14" t="s">
        <v>2236</v>
      </c>
      <c r="Q1622" s="17" t="s">
        <v>2236</v>
      </c>
      <c r="R1622" s="17" t="s">
        <v>2236</v>
      </c>
      <c r="S1622" s="17" t="s">
        <v>2236</v>
      </c>
      <c r="T1622" s="17" t="s">
        <v>2236</v>
      </c>
      <c r="U16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3" spans="1:31" hidden="1" x14ac:dyDescent="0.3">
      <c r="A1623" s="14" t="s">
        <v>2586</v>
      </c>
      <c r="B1623" s="14" t="s">
        <v>2371</v>
      </c>
      <c r="C1623" s="14" t="s">
        <v>4432</v>
      </c>
      <c r="D1623" s="14" t="s">
        <v>4433</v>
      </c>
      <c r="E1623" s="14" t="s">
        <v>2236</v>
      </c>
      <c r="F1623" s="8">
        <v>0</v>
      </c>
      <c r="G1623" s="14" t="s">
        <v>2237</v>
      </c>
      <c r="H1623" s="16">
        <v>0</v>
      </c>
      <c r="I1623" s="14" t="s">
        <v>2237</v>
      </c>
      <c r="J1623" s="16">
        <v>0</v>
      </c>
      <c r="K1623" s="14" t="s">
        <v>2237</v>
      </c>
      <c r="L1623" s="16">
        <v>0</v>
      </c>
      <c r="M1623" s="14" t="s">
        <v>2237</v>
      </c>
      <c r="N1623" s="8">
        <v>0</v>
      </c>
      <c r="O1623" s="14" t="s">
        <v>2237</v>
      </c>
      <c r="P1623" s="14" t="s">
        <v>2236</v>
      </c>
      <c r="Q1623" s="17" t="s">
        <v>2236</v>
      </c>
      <c r="R1623" s="17" t="s">
        <v>2236</v>
      </c>
      <c r="S1623" s="17" t="s">
        <v>2236</v>
      </c>
      <c r="T1623" s="17" t="s">
        <v>2236</v>
      </c>
      <c r="U16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4" spans="1:31" hidden="1" x14ac:dyDescent="0.3">
      <c r="A1624" s="14" t="s">
        <v>2587</v>
      </c>
      <c r="B1624" s="14" t="s">
        <v>2371</v>
      </c>
      <c r="C1624" s="14" t="s">
        <v>4434</v>
      </c>
      <c r="D1624" s="14" t="s">
        <v>4435</v>
      </c>
      <c r="E1624" s="14" t="s">
        <v>2236</v>
      </c>
      <c r="F1624" s="8">
        <v>0</v>
      </c>
      <c r="G1624" s="14" t="s">
        <v>2237</v>
      </c>
      <c r="H1624" s="16">
        <v>0</v>
      </c>
      <c r="I1624" s="14" t="s">
        <v>2237</v>
      </c>
      <c r="J1624" s="16">
        <v>0</v>
      </c>
      <c r="K1624" s="14" t="s">
        <v>2237</v>
      </c>
      <c r="L1624" s="16">
        <v>0</v>
      </c>
      <c r="M1624" s="14" t="s">
        <v>2237</v>
      </c>
      <c r="N1624" s="8">
        <v>0</v>
      </c>
      <c r="O1624" s="14" t="s">
        <v>2237</v>
      </c>
      <c r="P1624" s="14" t="s">
        <v>2236</v>
      </c>
      <c r="Q1624" s="17" t="s">
        <v>2236</v>
      </c>
      <c r="R1624" s="17" t="s">
        <v>2236</v>
      </c>
      <c r="S1624" s="17" t="s">
        <v>2236</v>
      </c>
      <c r="T1624" s="17" t="s">
        <v>2236</v>
      </c>
      <c r="U16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5" spans="1:31" hidden="1" x14ac:dyDescent="0.3">
      <c r="A1625" s="14" t="s">
        <v>2588</v>
      </c>
      <c r="B1625" s="14" t="s">
        <v>2371</v>
      </c>
      <c r="C1625" s="14" t="s">
        <v>2902</v>
      </c>
      <c r="D1625" s="14" t="s">
        <v>4436</v>
      </c>
      <c r="E1625" s="14" t="s">
        <v>2236</v>
      </c>
      <c r="F1625" s="8">
        <v>0</v>
      </c>
      <c r="G1625" s="14" t="s">
        <v>2237</v>
      </c>
      <c r="H1625" s="16">
        <v>0</v>
      </c>
      <c r="I1625" s="14" t="s">
        <v>2237</v>
      </c>
      <c r="J1625" s="16">
        <v>0</v>
      </c>
      <c r="K1625" s="14" t="s">
        <v>2237</v>
      </c>
      <c r="L1625" s="16">
        <v>0</v>
      </c>
      <c r="M1625" s="14" t="s">
        <v>2237</v>
      </c>
      <c r="N1625" s="8">
        <v>0</v>
      </c>
      <c r="O1625" s="14" t="s">
        <v>2237</v>
      </c>
      <c r="P1625" s="14" t="s">
        <v>2236</v>
      </c>
      <c r="Q1625" s="17" t="s">
        <v>2236</v>
      </c>
      <c r="R1625" s="17" t="s">
        <v>2236</v>
      </c>
      <c r="S1625" s="17" t="s">
        <v>2236</v>
      </c>
      <c r="T1625" s="17" t="s">
        <v>2236</v>
      </c>
      <c r="U16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6" spans="1:31" hidden="1" x14ac:dyDescent="0.3">
      <c r="A1626" s="14" t="s">
        <v>2589</v>
      </c>
      <c r="B1626" s="14" t="s">
        <v>2371</v>
      </c>
      <c r="C1626" s="14" t="s">
        <v>4437</v>
      </c>
      <c r="D1626" s="14" t="s">
        <v>4438</v>
      </c>
      <c r="E1626" s="14" t="s">
        <v>2236</v>
      </c>
      <c r="F1626" s="8">
        <v>0</v>
      </c>
      <c r="G1626" s="14" t="s">
        <v>2237</v>
      </c>
      <c r="H1626" s="16">
        <v>0</v>
      </c>
      <c r="I1626" s="14" t="s">
        <v>2237</v>
      </c>
      <c r="J1626" s="16">
        <v>0</v>
      </c>
      <c r="K1626" s="14" t="s">
        <v>2237</v>
      </c>
      <c r="L1626" s="16">
        <v>0</v>
      </c>
      <c r="M1626" s="14" t="s">
        <v>2237</v>
      </c>
      <c r="N1626" s="8">
        <v>0</v>
      </c>
      <c r="O1626" s="14" t="s">
        <v>2237</v>
      </c>
      <c r="P1626" s="14" t="s">
        <v>2236</v>
      </c>
      <c r="Q1626" s="17" t="s">
        <v>2236</v>
      </c>
      <c r="R1626" s="17" t="s">
        <v>2236</v>
      </c>
      <c r="S1626" s="17" t="s">
        <v>2236</v>
      </c>
      <c r="T1626" s="17" t="s">
        <v>2236</v>
      </c>
      <c r="U16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7" spans="1:31" hidden="1" x14ac:dyDescent="0.3">
      <c r="A1627" s="14" t="s">
        <v>2590</v>
      </c>
      <c r="B1627" s="14" t="s">
        <v>2371</v>
      </c>
      <c r="C1627" s="14" t="s">
        <v>4439</v>
      </c>
      <c r="D1627" s="14" t="s">
        <v>4440</v>
      </c>
      <c r="E1627" s="14" t="s">
        <v>2236</v>
      </c>
      <c r="F1627" s="8">
        <v>0</v>
      </c>
      <c r="G1627" s="14" t="s">
        <v>2237</v>
      </c>
      <c r="H1627" s="16">
        <v>0</v>
      </c>
      <c r="I1627" s="14" t="s">
        <v>2237</v>
      </c>
      <c r="J1627" s="16">
        <v>0</v>
      </c>
      <c r="K1627" s="14" t="s">
        <v>2237</v>
      </c>
      <c r="L1627" s="16">
        <v>0</v>
      </c>
      <c r="M1627" s="14" t="s">
        <v>2237</v>
      </c>
      <c r="N1627" s="8">
        <v>0</v>
      </c>
      <c r="O1627" s="14" t="s">
        <v>2237</v>
      </c>
      <c r="P1627" s="14" t="s">
        <v>2236</v>
      </c>
      <c r="Q1627" s="17" t="s">
        <v>2236</v>
      </c>
      <c r="R1627" s="17" t="s">
        <v>2236</v>
      </c>
      <c r="S1627" s="17" t="s">
        <v>2236</v>
      </c>
      <c r="T1627" s="17" t="s">
        <v>2236</v>
      </c>
      <c r="U16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8" spans="1:31" hidden="1" x14ac:dyDescent="0.3">
      <c r="A1628" s="14" t="s">
        <v>2591</v>
      </c>
      <c r="B1628" s="14" t="s">
        <v>2371</v>
      </c>
      <c r="C1628" s="14" t="s">
        <v>4441</v>
      </c>
      <c r="D1628" s="14" t="s">
        <v>4442</v>
      </c>
      <c r="E1628" s="14" t="s">
        <v>2236</v>
      </c>
      <c r="F1628" s="8">
        <v>0</v>
      </c>
      <c r="G1628" s="14" t="s">
        <v>2237</v>
      </c>
      <c r="H1628" s="16">
        <v>0</v>
      </c>
      <c r="I1628" s="14" t="s">
        <v>2237</v>
      </c>
      <c r="J1628" s="16">
        <v>0</v>
      </c>
      <c r="K1628" s="14" t="s">
        <v>2237</v>
      </c>
      <c r="L1628" s="16">
        <v>0</v>
      </c>
      <c r="M1628" s="14" t="s">
        <v>2237</v>
      </c>
      <c r="N1628" s="8">
        <v>0</v>
      </c>
      <c r="O1628" s="14" t="s">
        <v>2237</v>
      </c>
      <c r="P1628" s="14" t="s">
        <v>2236</v>
      </c>
      <c r="Q1628" s="17" t="s">
        <v>2236</v>
      </c>
      <c r="R1628" s="17" t="s">
        <v>2236</v>
      </c>
      <c r="S1628" s="17" t="s">
        <v>2236</v>
      </c>
      <c r="T1628" s="17" t="s">
        <v>2236</v>
      </c>
      <c r="U16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29" spans="1:31" hidden="1" x14ac:dyDescent="0.3">
      <c r="A1629" s="14" t="s">
        <v>2592</v>
      </c>
      <c r="B1629" s="14" t="s">
        <v>2371</v>
      </c>
      <c r="C1629" s="14" t="s">
        <v>2932</v>
      </c>
      <c r="D1629" s="14" t="s">
        <v>4443</v>
      </c>
      <c r="E1629" s="14" t="s">
        <v>2236</v>
      </c>
      <c r="F1629" s="8">
        <v>0</v>
      </c>
      <c r="G1629" s="14" t="s">
        <v>2237</v>
      </c>
      <c r="H1629" s="16">
        <v>0</v>
      </c>
      <c r="I1629" s="14" t="s">
        <v>2237</v>
      </c>
      <c r="J1629" s="16">
        <v>0</v>
      </c>
      <c r="K1629" s="14" t="s">
        <v>2237</v>
      </c>
      <c r="L1629" s="16">
        <v>0</v>
      </c>
      <c r="M1629" s="14" t="s">
        <v>2237</v>
      </c>
      <c r="N1629" s="8">
        <v>0</v>
      </c>
      <c r="O1629" s="14" t="s">
        <v>2237</v>
      </c>
      <c r="P1629" s="14" t="s">
        <v>2236</v>
      </c>
      <c r="Q1629" s="17" t="s">
        <v>2236</v>
      </c>
      <c r="R1629" s="17" t="s">
        <v>2236</v>
      </c>
      <c r="S1629" s="17" t="s">
        <v>2236</v>
      </c>
      <c r="T1629" s="17" t="s">
        <v>2236</v>
      </c>
      <c r="U16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0" spans="1:31" hidden="1" x14ac:dyDescent="0.3">
      <c r="A1630" s="14" t="s">
        <v>2593</v>
      </c>
      <c r="B1630" s="14" t="s">
        <v>2371</v>
      </c>
      <c r="C1630" s="14" t="s">
        <v>4444</v>
      </c>
      <c r="D1630" s="14" t="s">
        <v>4445</v>
      </c>
      <c r="E1630" s="14" t="s">
        <v>2236</v>
      </c>
      <c r="F1630" s="8">
        <v>0</v>
      </c>
      <c r="G1630" s="14" t="s">
        <v>2237</v>
      </c>
      <c r="H1630" s="16">
        <v>0</v>
      </c>
      <c r="I1630" s="14" t="s">
        <v>2237</v>
      </c>
      <c r="J1630" s="16">
        <v>0</v>
      </c>
      <c r="K1630" s="14" t="s">
        <v>2237</v>
      </c>
      <c r="L1630" s="16">
        <v>0</v>
      </c>
      <c r="M1630" s="14" t="s">
        <v>2237</v>
      </c>
      <c r="N1630" s="8">
        <v>0</v>
      </c>
      <c r="O1630" s="14" t="s">
        <v>2237</v>
      </c>
      <c r="P1630" s="14" t="s">
        <v>2236</v>
      </c>
      <c r="Q1630" s="17" t="s">
        <v>2236</v>
      </c>
      <c r="R1630" s="17" t="s">
        <v>2236</v>
      </c>
      <c r="S1630" s="17" t="s">
        <v>2236</v>
      </c>
      <c r="T1630" s="17" t="s">
        <v>2236</v>
      </c>
      <c r="U16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1" spans="1:31" hidden="1" x14ac:dyDescent="0.3">
      <c r="A1631" s="14" t="s">
        <v>2594</v>
      </c>
      <c r="B1631" s="14" t="s">
        <v>2371</v>
      </c>
      <c r="C1631" s="14" t="s">
        <v>4446</v>
      </c>
      <c r="D1631" s="14" t="s">
        <v>4447</v>
      </c>
      <c r="E1631" s="14" t="s">
        <v>2236</v>
      </c>
      <c r="F1631" s="8">
        <v>0</v>
      </c>
      <c r="G1631" s="14" t="s">
        <v>2237</v>
      </c>
      <c r="H1631" s="16">
        <v>0</v>
      </c>
      <c r="I1631" s="14" t="s">
        <v>2237</v>
      </c>
      <c r="J1631" s="16">
        <v>0</v>
      </c>
      <c r="K1631" s="14" t="s">
        <v>2237</v>
      </c>
      <c r="L1631" s="16">
        <v>0</v>
      </c>
      <c r="M1631" s="14" t="s">
        <v>2237</v>
      </c>
      <c r="N1631" s="8">
        <v>0</v>
      </c>
      <c r="O1631" s="14" t="s">
        <v>2237</v>
      </c>
      <c r="P1631" s="14" t="s">
        <v>2236</v>
      </c>
      <c r="Q1631" s="17" t="s">
        <v>2236</v>
      </c>
      <c r="R1631" s="17" t="s">
        <v>2236</v>
      </c>
      <c r="S1631" s="17" t="s">
        <v>2236</v>
      </c>
      <c r="T1631" s="17" t="s">
        <v>2236</v>
      </c>
      <c r="U16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2" spans="1:31" hidden="1" x14ac:dyDescent="0.3">
      <c r="A1632" s="14" t="s">
        <v>2595</v>
      </c>
      <c r="B1632" s="14" t="s">
        <v>2371</v>
      </c>
      <c r="C1632" s="14" t="s">
        <v>4448</v>
      </c>
      <c r="D1632" s="14" t="s">
        <v>4449</v>
      </c>
      <c r="E1632" s="14" t="s">
        <v>2236</v>
      </c>
      <c r="F1632" s="8">
        <v>0</v>
      </c>
      <c r="G1632" s="14" t="s">
        <v>2237</v>
      </c>
      <c r="H1632" s="16">
        <v>0</v>
      </c>
      <c r="I1632" s="14" t="s">
        <v>2237</v>
      </c>
      <c r="J1632" s="16">
        <v>0</v>
      </c>
      <c r="K1632" s="14" t="s">
        <v>2237</v>
      </c>
      <c r="L1632" s="16">
        <v>0</v>
      </c>
      <c r="M1632" s="14" t="s">
        <v>2237</v>
      </c>
      <c r="N1632" s="8">
        <v>0</v>
      </c>
      <c r="O1632" s="14" t="s">
        <v>2237</v>
      </c>
      <c r="P1632" s="14" t="s">
        <v>2236</v>
      </c>
      <c r="Q1632" s="17" t="s">
        <v>2236</v>
      </c>
      <c r="R1632" s="17" t="s">
        <v>2236</v>
      </c>
      <c r="S1632" s="17" t="s">
        <v>2236</v>
      </c>
      <c r="T1632" s="17" t="s">
        <v>2236</v>
      </c>
      <c r="U16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3" spans="1:31" hidden="1" x14ac:dyDescent="0.3">
      <c r="A1633" s="14" t="s">
        <v>2596</v>
      </c>
      <c r="B1633" s="14" t="s">
        <v>2371</v>
      </c>
      <c r="C1633" s="14" t="s">
        <v>4450</v>
      </c>
      <c r="D1633" s="14" t="s">
        <v>4451</v>
      </c>
      <c r="E1633" s="14" t="s">
        <v>2236</v>
      </c>
      <c r="F1633" s="8">
        <v>0</v>
      </c>
      <c r="G1633" s="14" t="s">
        <v>2237</v>
      </c>
      <c r="H1633" s="16">
        <v>0</v>
      </c>
      <c r="I1633" s="14" t="s">
        <v>2237</v>
      </c>
      <c r="J1633" s="16">
        <v>0</v>
      </c>
      <c r="K1633" s="14" t="s">
        <v>2237</v>
      </c>
      <c r="L1633" s="16">
        <v>0</v>
      </c>
      <c r="M1633" s="14" t="s">
        <v>2237</v>
      </c>
      <c r="N1633" s="8">
        <v>0</v>
      </c>
      <c r="O1633" s="14" t="s">
        <v>2237</v>
      </c>
      <c r="P1633" s="14" t="s">
        <v>2236</v>
      </c>
      <c r="Q1633" s="17" t="s">
        <v>2236</v>
      </c>
      <c r="R1633" s="17" t="s">
        <v>2236</v>
      </c>
      <c r="S1633" s="17" t="s">
        <v>2236</v>
      </c>
      <c r="T1633" s="17" t="s">
        <v>2236</v>
      </c>
      <c r="U16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4" spans="1:31" hidden="1" x14ac:dyDescent="0.3">
      <c r="A1634" s="14" t="s">
        <v>2597</v>
      </c>
      <c r="B1634" s="14" t="s">
        <v>2371</v>
      </c>
      <c r="C1634" s="14" t="s">
        <v>4452</v>
      </c>
      <c r="D1634" s="14" t="s">
        <v>4453</v>
      </c>
      <c r="E1634" s="14" t="s">
        <v>2236</v>
      </c>
      <c r="F1634" s="8">
        <v>0</v>
      </c>
      <c r="G1634" s="14" t="s">
        <v>2237</v>
      </c>
      <c r="H1634" s="16">
        <v>0</v>
      </c>
      <c r="I1634" s="14" t="s">
        <v>2237</v>
      </c>
      <c r="J1634" s="16">
        <v>0</v>
      </c>
      <c r="K1634" s="14" t="s">
        <v>2237</v>
      </c>
      <c r="L1634" s="16">
        <v>0</v>
      </c>
      <c r="M1634" s="14" t="s">
        <v>2237</v>
      </c>
      <c r="N1634" s="8">
        <v>0</v>
      </c>
      <c r="O1634" s="14" t="s">
        <v>2237</v>
      </c>
      <c r="P1634" s="14" t="s">
        <v>2236</v>
      </c>
      <c r="Q1634" s="17" t="s">
        <v>2236</v>
      </c>
      <c r="R1634" s="17" t="s">
        <v>2236</v>
      </c>
      <c r="S1634" s="17" t="s">
        <v>2236</v>
      </c>
      <c r="T1634" s="17" t="s">
        <v>2236</v>
      </c>
      <c r="U16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5" spans="1:31" hidden="1" x14ac:dyDescent="0.3">
      <c r="A1635" s="14" t="s">
        <v>2598</v>
      </c>
      <c r="B1635" s="14" t="s">
        <v>2371</v>
      </c>
      <c r="C1635" s="14" t="s">
        <v>4454</v>
      </c>
      <c r="D1635" s="14" t="s">
        <v>4455</v>
      </c>
      <c r="E1635" s="14" t="s">
        <v>2236</v>
      </c>
      <c r="F1635" s="8">
        <v>0</v>
      </c>
      <c r="G1635" s="14" t="s">
        <v>2237</v>
      </c>
      <c r="H1635" s="16">
        <v>0</v>
      </c>
      <c r="I1635" s="14" t="s">
        <v>2237</v>
      </c>
      <c r="J1635" s="16">
        <v>0</v>
      </c>
      <c r="K1635" s="14" t="s">
        <v>2237</v>
      </c>
      <c r="L1635" s="16">
        <v>0</v>
      </c>
      <c r="M1635" s="14" t="s">
        <v>2237</v>
      </c>
      <c r="N1635" s="8">
        <v>0</v>
      </c>
      <c r="O1635" s="14" t="s">
        <v>2237</v>
      </c>
      <c r="P1635" s="14" t="s">
        <v>2236</v>
      </c>
      <c r="Q1635" s="17" t="s">
        <v>2236</v>
      </c>
      <c r="R1635" s="17" t="s">
        <v>2236</v>
      </c>
      <c r="S1635" s="17" t="s">
        <v>2236</v>
      </c>
      <c r="T1635" s="17" t="s">
        <v>2236</v>
      </c>
      <c r="U16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6" spans="1:31" hidden="1" x14ac:dyDescent="0.3">
      <c r="A1636" s="14" t="s">
        <v>2599</v>
      </c>
      <c r="B1636" s="14" t="s">
        <v>2371</v>
      </c>
      <c r="C1636" s="14" t="s">
        <v>4456</v>
      </c>
      <c r="D1636" s="14" t="s">
        <v>4457</v>
      </c>
      <c r="E1636" s="14" t="s">
        <v>2236</v>
      </c>
      <c r="F1636" s="8">
        <v>0</v>
      </c>
      <c r="G1636" s="14" t="s">
        <v>2237</v>
      </c>
      <c r="H1636" s="16">
        <v>0</v>
      </c>
      <c r="I1636" s="14" t="s">
        <v>2237</v>
      </c>
      <c r="J1636" s="16">
        <v>0</v>
      </c>
      <c r="K1636" s="14" t="s">
        <v>2237</v>
      </c>
      <c r="L1636" s="16">
        <v>0</v>
      </c>
      <c r="M1636" s="14" t="s">
        <v>2237</v>
      </c>
      <c r="N1636" s="8">
        <v>0</v>
      </c>
      <c r="O1636" s="14" t="s">
        <v>2237</v>
      </c>
      <c r="P1636" s="14" t="s">
        <v>2236</v>
      </c>
      <c r="Q1636" s="17" t="s">
        <v>2236</v>
      </c>
      <c r="R1636" s="17" t="s">
        <v>2236</v>
      </c>
      <c r="S1636" s="17" t="s">
        <v>2236</v>
      </c>
      <c r="T1636" s="17" t="s">
        <v>2236</v>
      </c>
      <c r="U16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7" spans="1:31" hidden="1" x14ac:dyDescent="0.3">
      <c r="A1637" s="14" t="s">
        <v>2600</v>
      </c>
      <c r="B1637" s="14" t="s">
        <v>2366</v>
      </c>
      <c r="C1637" s="14" t="s">
        <v>4458</v>
      </c>
      <c r="D1637" s="14" t="s">
        <v>4459</v>
      </c>
      <c r="E1637" s="14" t="s">
        <v>2236</v>
      </c>
      <c r="F1637" s="8">
        <v>0</v>
      </c>
      <c r="G1637" s="14" t="s">
        <v>2237</v>
      </c>
      <c r="H1637" s="16">
        <v>0</v>
      </c>
      <c r="I1637" s="14" t="s">
        <v>2237</v>
      </c>
      <c r="J1637" s="16">
        <v>0</v>
      </c>
      <c r="K1637" s="14" t="s">
        <v>2237</v>
      </c>
      <c r="L1637" s="16">
        <v>0</v>
      </c>
      <c r="M1637" s="14" t="s">
        <v>2237</v>
      </c>
      <c r="N1637" s="8">
        <v>3.6</v>
      </c>
      <c r="O1637" s="14" t="s">
        <v>2237</v>
      </c>
      <c r="P1637" s="14" t="s">
        <v>2236</v>
      </c>
      <c r="Q1637" s="17" t="s">
        <v>2236</v>
      </c>
      <c r="R1637" s="17" t="s">
        <v>2236</v>
      </c>
      <c r="S1637" s="17" t="s">
        <v>2236</v>
      </c>
      <c r="T1637" s="17" t="s">
        <v>4460</v>
      </c>
      <c r="U16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8" spans="1:31" hidden="1" x14ac:dyDescent="0.3">
      <c r="A1638" s="14" t="s">
        <v>2601</v>
      </c>
      <c r="B1638" s="14" t="s">
        <v>2371</v>
      </c>
      <c r="C1638" s="14" t="s">
        <v>4461</v>
      </c>
      <c r="D1638" s="14" t="s">
        <v>4462</v>
      </c>
      <c r="E1638" s="14" t="s">
        <v>2236</v>
      </c>
      <c r="F1638" s="8">
        <v>0</v>
      </c>
      <c r="G1638" s="14" t="s">
        <v>2237</v>
      </c>
      <c r="H1638" s="16">
        <v>0</v>
      </c>
      <c r="I1638" s="14" t="s">
        <v>2237</v>
      </c>
      <c r="J1638" s="16">
        <v>0</v>
      </c>
      <c r="K1638" s="14" t="s">
        <v>2237</v>
      </c>
      <c r="L1638" s="16">
        <v>0</v>
      </c>
      <c r="M1638" s="14" t="s">
        <v>2237</v>
      </c>
      <c r="N1638" s="8">
        <v>0</v>
      </c>
      <c r="O1638" s="14" t="s">
        <v>2237</v>
      </c>
      <c r="P1638" s="14" t="s">
        <v>2236</v>
      </c>
      <c r="Q1638" s="17" t="s">
        <v>2236</v>
      </c>
      <c r="R1638" s="17" t="s">
        <v>2236</v>
      </c>
      <c r="S1638" s="17" t="s">
        <v>2236</v>
      </c>
      <c r="T1638" s="17" t="s">
        <v>2236</v>
      </c>
      <c r="U16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39" spans="1:31" hidden="1" x14ac:dyDescent="0.3">
      <c r="A1639" s="14" t="s">
        <v>2602</v>
      </c>
      <c r="B1639" s="14" t="s">
        <v>2371</v>
      </c>
      <c r="C1639" s="14" t="s">
        <v>4463</v>
      </c>
      <c r="D1639" s="14" t="s">
        <v>4464</v>
      </c>
      <c r="E1639" s="14" t="s">
        <v>2236</v>
      </c>
      <c r="F1639" s="8">
        <v>0</v>
      </c>
      <c r="G1639" s="14" t="s">
        <v>2237</v>
      </c>
      <c r="H1639" s="16">
        <v>0</v>
      </c>
      <c r="I1639" s="14" t="s">
        <v>2237</v>
      </c>
      <c r="J1639" s="16">
        <v>0</v>
      </c>
      <c r="K1639" s="14" t="s">
        <v>2237</v>
      </c>
      <c r="L1639" s="16">
        <v>0</v>
      </c>
      <c r="M1639" s="14" t="s">
        <v>2237</v>
      </c>
      <c r="N1639" s="8">
        <v>0</v>
      </c>
      <c r="O1639" s="14" t="s">
        <v>2237</v>
      </c>
      <c r="P1639" s="14" t="s">
        <v>2236</v>
      </c>
      <c r="Q1639" s="17" t="s">
        <v>2236</v>
      </c>
      <c r="R1639" s="17" t="s">
        <v>2236</v>
      </c>
      <c r="S1639" s="17" t="s">
        <v>2236</v>
      </c>
      <c r="T1639" s="17" t="s">
        <v>2236</v>
      </c>
      <c r="U16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0" spans="1:31" hidden="1" x14ac:dyDescent="0.3">
      <c r="A1640" s="14" t="s">
        <v>2603</v>
      </c>
      <c r="B1640" s="14" t="s">
        <v>2371</v>
      </c>
      <c r="C1640" s="14" t="s">
        <v>4465</v>
      </c>
      <c r="D1640" s="14" t="s">
        <v>4466</v>
      </c>
      <c r="E1640" s="14" t="s">
        <v>2236</v>
      </c>
      <c r="F1640" s="8">
        <v>0</v>
      </c>
      <c r="G1640" s="14" t="s">
        <v>2237</v>
      </c>
      <c r="H1640" s="16">
        <v>0</v>
      </c>
      <c r="I1640" s="14" t="s">
        <v>2237</v>
      </c>
      <c r="J1640" s="16">
        <v>0</v>
      </c>
      <c r="K1640" s="14" t="s">
        <v>2237</v>
      </c>
      <c r="L1640" s="16">
        <v>0</v>
      </c>
      <c r="M1640" s="14" t="s">
        <v>2237</v>
      </c>
      <c r="N1640" s="8">
        <v>0</v>
      </c>
      <c r="O1640" s="14" t="s">
        <v>2237</v>
      </c>
      <c r="P1640" s="14" t="s">
        <v>2236</v>
      </c>
      <c r="Q1640" s="17" t="s">
        <v>2236</v>
      </c>
      <c r="R1640" s="17" t="s">
        <v>2236</v>
      </c>
      <c r="S1640" s="17" t="s">
        <v>2236</v>
      </c>
      <c r="T1640" s="17" t="s">
        <v>2236</v>
      </c>
      <c r="U16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1" spans="1:31" hidden="1" x14ac:dyDescent="0.3">
      <c r="A1641" s="14" t="s">
        <v>2604</v>
      </c>
      <c r="B1641" s="14" t="s">
        <v>2371</v>
      </c>
      <c r="C1641" s="14" t="s">
        <v>4467</v>
      </c>
      <c r="D1641" s="14" t="s">
        <v>4468</v>
      </c>
      <c r="E1641" s="14" t="s">
        <v>2236</v>
      </c>
      <c r="F1641" s="8">
        <v>0</v>
      </c>
      <c r="G1641" s="14" t="s">
        <v>2237</v>
      </c>
      <c r="H1641" s="16">
        <v>0</v>
      </c>
      <c r="I1641" s="14" t="s">
        <v>2237</v>
      </c>
      <c r="J1641" s="16">
        <v>0</v>
      </c>
      <c r="K1641" s="14" t="s">
        <v>2237</v>
      </c>
      <c r="L1641" s="16">
        <v>0</v>
      </c>
      <c r="M1641" s="14" t="s">
        <v>2237</v>
      </c>
      <c r="N1641" s="8">
        <v>0</v>
      </c>
      <c r="O1641" s="14" t="s">
        <v>2237</v>
      </c>
      <c r="P1641" s="14" t="s">
        <v>2236</v>
      </c>
      <c r="Q1641" s="17" t="s">
        <v>2236</v>
      </c>
      <c r="R1641" s="17" t="s">
        <v>2236</v>
      </c>
      <c r="S1641" s="17" t="s">
        <v>2236</v>
      </c>
      <c r="T1641" s="17" t="s">
        <v>2236</v>
      </c>
      <c r="U16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2" spans="1:31" hidden="1" x14ac:dyDescent="0.3">
      <c r="A1642" s="14" t="s">
        <v>2605</v>
      </c>
      <c r="B1642" s="14" t="s">
        <v>2371</v>
      </c>
      <c r="C1642" s="14" t="s">
        <v>4469</v>
      </c>
      <c r="D1642" s="14" t="s">
        <v>4470</v>
      </c>
      <c r="E1642" s="14" t="s">
        <v>2236</v>
      </c>
      <c r="F1642" s="8">
        <v>0</v>
      </c>
      <c r="G1642" s="14" t="s">
        <v>2237</v>
      </c>
      <c r="H1642" s="16">
        <v>0</v>
      </c>
      <c r="I1642" s="14" t="s">
        <v>2237</v>
      </c>
      <c r="J1642" s="16">
        <v>0</v>
      </c>
      <c r="K1642" s="14" t="s">
        <v>2237</v>
      </c>
      <c r="L1642" s="16">
        <v>0</v>
      </c>
      <c r="M1642" s="14" t="s">
        <v>2237</v>
      </c>
      <c r="N1642" s="8">
        <v>0</v>
      </c>
      <c r="O1642" s="14" t="s">
        <v>2237</v>
      </c>
      <c r="P1642" s="14" t="s">
        <v>2236</v>
      </c>
      <c r="Q1642" s="17" t="s">
        <v>2236</v>
      </c>
      <c r="R1642" s="17" t="s">
        <v>2236</v>
      </c>
      <c r="S1642" s="17" t="s">
        <v>2236</v>
      </c>
      <c r="T1642" s="17" t="s">
        <v>2236</v>
      </c>
      <c r="U16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3" spans="1:31" hidden="1" x14ac:dyDescent="0.3">
      <c r="A1643" s="14" t="s">
        <v>2606</v>
      </c>
      <c r="B1643" s="14" t="s">
        <v>2371</v>
      </c>
      <c r="C1643" s="14" t="s">
        <v>4471</v>
      </c>
      <c r="D1643" s="14" t="s">
        <v>4472</v>
      </c>
      <c r="E1643" s="14" t="s">
        <v>2236</v>
      </c>
      <c r="F1643" s="8">
        <v>0</v>
      </c>
      <c r="G1643" s="14" t="s">
        <v>2237</v>
      </c>
      <c r="H1643" s="16">
        <v>0</v>
      </c>
      <c r="I1643" s="14" t="s">
        <v>2237</v>
      </c>
      <c r="J1643" s="16">
        <v>0</v>
      </c>
      <c r="K1643" s="14" t="s">
        <v>2237</v>
      </c>
      <c r="L1643" s="16">
        <v>0</v>
      </c>
      <c r="M1643" s="14" t="s">
        <v>2237</v>
      </c>
      <c r="N1643" s="8">
        <v>0</v>
      </c>
      <c r="O1643" s="14" t="s">
        <v>2237</v>
      </c>
      <c r="P1643" s="14" t="s">
        <v>2236</v>
      </c>
      <c r="Q1643" s="17" t="s">
        <v>2236</v>
      </c>
      <c r="R1643" s="17" t="s">
        <v>2236</v>
      </c>
      <c r="S1643" s="17" t="s">
        <v>2236</v>
      </c>
      <c r="T1643" s="17" t="s">
        <v>2236</v>
      </c>
      <c r="U16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4" spans="1:31" hidden="1" x14ac:dyDescent="0.3">
      <c r="A1644" s="14" t="s">
        <v>2607</v>
      </c>
      <c r="B1644" s="14" t="s">
        <v>2371</v>
      </c>
      <c r="C1644" s="14" t="s">
        <v>4473</v>
      </c>
      <c r="D1644" s="14" t="s">
        <v>4474</v>
      </c>
      <c r="E1644" s="14" t="s">
        <v>2236</v>
      </c>
      <c r="F1644" s="8">
        <v>0</v>
      </c>
      <c r="G1644" s="14" t="s">
        <v>2237</v>
      </c>
      <c r="H1644" s="16">
        <v>0</v>
      </c>
      <c r="I1644" s="14" t="s">
        <v>2237</v>
      </c>
      <c r="J1644" s="16">
        <v>0</v>
      </c>
      <c r="K1644" s="14" t="s">
        <v>2237</v>
      </c>
      <c r="L1644" s="16">
        <v>0</v>
      </c>
      <c r="M1644" s="14" t="s">
        <v>2237</v>
      </c>
      <c r="N1644" s="8">
        <v>0</v>
      </c>
      <c r="O1644" s="14" t="s">
        <v>2237</v>
      </c>
      <c r="P1644" s="14" t="s">
        <v>2236</v>
      </c>
      <c r="Q1644" s="17" t="s">
        <v>2236</v>
      </c>
      <c r="R1644" s="17" t="s">
        <v>2236</v>
      </c>
      <c r="S1644" s="17" t="s">
        <v>2236</v>
      </c>
      <c r="T1644" s="17" t="s">
        <v>2236</v>
      </c>
      <c r="U16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5" spans="1:31" hidden="1" x14ac:dyDescent="0.3">
      <c r="A1645" s="14" t="s">
        <v>2608</v>
      </c>
      <c r="B1645" s="14" t="s">
        <v>2371</v>
      </c>
      <c r="C1645" s="14" t="s">
        <v>4475</v>
      </c>
      <c r="D1645" s="14" t="s">
        <v>4476</v>
      </c>
      <c r="E1645" s="14" t="s">
        <v>2236</v>
      </c>
      <c r="F1645" s="8">
        <v>0</v>
      </c>
      <c r="G1645" s="14" t="s">
        <v>2237</v>
      </c>
      <c r="H1645" s="16">
        <v>0</v>
      </c>
      <c r="I1645" s="14" t="s">
        <v>2237</v>
      </c>
      <c r="J1645" s="16">
        <v>0</v>
      </c>
      <c r="K1645" s="14" t="s">
        <v>2237</v>
      </c>
      <c r="L1645" s="16">
        <v>0</v>
      </c>
      <c r="M1645" s="14" t="s">
        <v>2237</v>
      </c>
      <c r="N1645" s="8">
        <v>0</v>
      </c>
      <c r="O1645" s="14" t="s">
        <v>2237</v>
      </c>
      <c r="P1645" s="14" t="s">
        <v>2236</v>
      </c>
      <c r="Q1645" s="17" t="s">
        <v>2236</v>
      </c>
      <c r="R1645" s="17" t="s">
        <v>2236</v>
      </c>
      <c r="S1645" s="17" t="s">
        <v>2236</v>
      </c>
      <c r="T1645" s="17" t="s">
        <v>2236</v>
      </c>
      <c r="U16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6" spans="1:31" hidden="1" x14ac:dyDescent="0.3">
      <c r="A1646" s="14" t="s">
        <v>2609</v>
      </c>
      <c r="B1646" s="14" t="s">
        <v>2366</v>
      </c>
      <c r="C1646" s="14" t="s">
        <v>4477</v>
      </c>
      <c r="D1646" s="14" t="s">
        <v>4478</v>
      </c>
      <c r="E1646" s="14" t="s">
        <v>2236</v>
      </c>
      <c r="F1646" s="8">
        <v>0</v>
      </c>
      <c r="G1646" s="14" t="s">
        <v>2237</v>
      </c>
      <c r="H1646" s="16">
        <v>0</v>
      </c>
      <c r="I1646" s="14" t="s">
        <v>2237</v>
      </c>
      <c r="J1646" s="16">
        <v>0</v>
      </c>
      <c r="K1646" s="14" t="s">
        <v>2237</v>
      </c>
      <c r="L1646" s="16">
        <v>0</v>
      </c>
      <c r="M1646" s="14" t="s">
        <v>2237</v>
      </c>
      <c r="N1646" s="8">
        <v>9231.8700000000008</v>
      </c>
      <c r="O1646" s="14" t="s">
        <v>2237</v>
      </c>
      <c r="P1646" s="14" t="s">
        <v>2236</v>
      </c>
      <c r="Q1646" s="17" t="s">
        <v>2236</v>
      </c>
      <c r="R1646" s="17" t="s">
        <v>2236</v>
      </c>
      <c r="S1646" s="17" t="s">
        <v>2236</v>
      </c>
      <c r="T1646" s="17" t="s">
        <v>2866</v>
      </c>
      <c r="U16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7" spans="1:31" hidden="1" x14ac:dyDescent="0.3">
      <c r="A1647" s="14" t="s">
        <v>2610</v>
      </c>
      <c r="B1647" s="14" t="s">
        <v>2371</v>
      </c>
      <c r="C1647" s="14" t="s">
        <v>4477</v>
      </c>
      <c r="D1647" s="14" t="s">
        <v>4479</v>
      </c>
      <c r="E1647" s="14" t="s">
        <v>2236</v>
      </c>
      <c r="F1647" s="8">
        <v>0</v>
      </c>
      <c r="G1647" s="14" t="s">
        <v>2237</v>
      </c>
      <c r="H1647" s="16">
        <v>0</v>
      </c>
      <c r="I1647" s="14" t="s">
        <v>2237</v>
      </c>
      <c r="J1647" s="16">
        <v>0</v>
      </c>
      <c r="K1647" s="14" t="s">
        <v>2237</v>
      </c>
      <c r="L1647" s="16">
        <v>0</v>
      </c>
      <c r="M1647" s="14" t="s">
        <v>2237</v>
      </c>
      <c r="N1647" s="8">
        <v>0</v>
      </c>
      <c r="O1647" s="14" t="s">
        <v>2237</v>
      </c>
      <c r="P1647" s="14" t="s">
        <v>2236</v>
      </c>
      <c r="Q1647" s="17" t="s">
        <v>2236</v>
      </c>
      <c r="R1647" s="17" t="s">
        <v>2236</v>
      </c>
      <c r="S1647" s="17" t="s">
        <v>2236</v>
      </c>
      <c r="T1647" s="17" t="s">
        <v>2236</v>
      </c>
      <c r="U16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8" spans="1:31" hidden="1" x14ac:dyDescent="0.3">
      <c r="A1648" s="14" t="s">
        <v>2611</v>
      </c>
      <c r="B1648" s="14" t="s">
        <v>2371</v>
      </c>
      <c r="C1648" s="14" t="s">
        <v>4480</v>
      </c>
      <c r="D1648" s="14" t="s">
        <v>4481</v>
      </c>
      <c r="E1648" s="14" t="s">
        <v>2236</v>
      </c>
      <c r="F1648" s="8">
        <v>0</v>
      </c>
      <c r="G1648" s="14" t="s">
        <v>2237</v>
      </c>
      <c r="H1648" s="16">
        <v>0</v>
      </c>
      <c r="I1648" s="14" t="s">
        <v>2237</v>
      </c>
      <c r="J1648" s="16">
        <v>0</v>
      </c>
      <c r="K1648" s="14" t="s">
        <v>2237</v>
      </c>
      <c r="L1648" s="16">
        <v>0</v>
      </c>
      <c r="M1648" s="14" t="s">
        <v>2237</v>
      </c>
      <c r="N1648" s="8">
        <v>0</v>
      </c>
      <c r="O1648" s="14" t="s">
        <v>2237</v>
      </c>
      <c r="P1648" s="14" t="s">
        <v>2236</v>
      </c>
      <c r="Q1648" s="17" t="s">
        <v>2236</v>
      </c>
      <c r="R1648" s="17" t="s">
        <v>2236</v>
      </c>
      <c r="S1648" s="17" t="s">
        <v>2236</v>
      </c>
      <c r="T1648" s="17" t="s">
        <v>2236</v>
      </c>
      <c r="U16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49" spans="1:31" hidden="1" x14ac:dyDescent="0.3">
      <c r="A1649" s="14" t="s">
        <v>2613</v>
      </c>
      <c r="B1649" s="14" t="s">
        <v>2371</v>
      </c>
      <c r="C1649" s="14" t="s">
        <v>4482</v>
      </c>
      <c r="D1649" s="14" t="s">
        <v>4483</v>
      </c>
      <c r="E1649" s="14" t="s">
        <v>2236</v>
      </c>
      <c r="F1649" s="8">
        <v>0</v>
      </c>
      <c r="G1649" s="14" t="s">
        <v>2237</v>
      </c>
      <c r="H1649" s="16">
        <v>0</v>
      </c>
      <c r="I1649" s="14" t="s">
        <v>2237</v>
      </c>
      <c r="J1649" s="16">
        <v>0</v>
      </c>
      <c r="K1649" s="14" t="s">
        <v>2237</v>
      </c>
      <c r="L1649" s="16">
        <v>0</v>
      </c>
      <c r="M1649" s="14" t="s">
        <v>2237</v>
      </c>
      <c r="N1649" s="8">
        <v>0</v>
      </c>
      <c r="O1649" s="14" t="s">
        <v>2237</v>
      </c>
      <c r="P1649" s="14" t="s">
        <v>2236</v>
      </c>
      <c r="Q1649" s="17" t="s">
        <v>2236</v>
      </c>
      <c r="R1649" s="17" t="s">
        <v>2236</v>
      </c>
      <c r="S1649" s="17" t="s">
        <v>2236</v>
      </c>
      <c r="T1649" s="17" t="s">
        <v>2236</v>
      </c>
      <c r="U16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0" spans="1:31" hidden="1" x14ac:dyDescent="0.3">
      <c r="A1650" s="14" t="s">
        <v>2614</v>
      </c>
      <c r="B1650" s="14" t="s">
        <v>2371</v>
      </c>
      <c r="C1650" s="14" t="s">
        <v>4484</v>
      </c>
      <c r="D1650" s="14" t="s">
        <v>4485</v>
      </c>
      <c r="E1650" s="14" t="s">
        <v>2236</v>
      </c>
      <c r="F1650" s="8">
        <v>0</v>
      </c>
      <c r="G1650" s="14" t="s">
        <v>2237</v>
      </c>
      <c r="H1650" s="16">
        <v>0</v>
      </c>
      <c r="I1650" s="14" t="s">
        <v>2237</v>
      </c>
      <c r="J1650" s="16">
        <v>0</v>
      </c>
      <c r="K1650" s="14" t="s">
        <v>2237</v>
      </c>
      <c r="L1650" s="16">
        <v>0</v>
      </c>
      <c r="M1650" s="14" t="s">
        <v>2237</v>
      </c>
      <c r="N1650" s="8">
        <v>0</v>
      </c>
      <c r="O1650" s="14" t="s">
        <v>2237</v>
      </c>
      <c r="P1650" s="14" t="s">
        <v>2236</v>
      </c>
      <c r="Q1650" s="17" t="s">
        <v>2236</v>
      </c>
      <c r="R1650" s="17" t="s">
        <v>2236</v>
      </c>
      <c r="S1650" s="17" t="s">
        <v>2236</v>
      </c>
      <c r="T1650" s="17" t="s">
        <v>2236</v>
      </c>
      <c r="U16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1" spans="1:31" hidden="1" x14ac:dyDescent="0.3">
      <c r="A1651" s="14" t="s">
        <v>2615</v>
      </c>
      <c r="B1651" s="14" t="s">
        <v>2371</v>
      </c>
      <c r="C1651" s="14" t="s">
        <v>4486</v>
      </c>
      <c r="D1651" s="14" t="s">
        <v>4487</v>
      </c>
      <c r="E1651" s="14" t="s">
        <v>2236</v>
      </c>
      <c r="F1651" s="8">
        <v>0</v>
      </c>
      <c r="G1651" s="14" t="s">
        <v>2237</v>
      </c>
      <c r="H1651" s="16">
        <v>0</v>
      </c>
      <c r="I1651" s="14" t="s">
        <v>2237</v>
      </c>
      <c r="J1651" s="16">
        <v>0</v>
      </c>
      <c r="K1651" s="14" t="s">
        <v>2237</v>
      </c>
      <c r="L1651" s="16">
        <v>0</v>
      </c>
      <c r="M1651" s="14" t="s">
        <v>2237</v>
      </c>
      <c r="N1651" s="8">
        <v>0</v>
      </c>
      <c r="O1651" s="14" t="s">
        <v>2237</v>
      </c>
      <c r="P1651" s="14" t="s">
        <v>2236</v>
      </c>
      <c r="Q1651" s="17" t="s">
        <v>2236</v>
      </c>
      <c r="R1651" s="17" t="s">
        <v>2236</v>
      </c>
      <c r="S1651" s="17" t="s">
        <v>2236</v>
      </c>
      <c r="T1651" s="17" t="s">
        <v>2236</v>
      </c>
      <c r="U16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2" spans="1:31" hidden="1" x14ac:dyDescent="0.3">
      <c r="A1652" s="14" t="s">
        <v>2616</v>
      </c>
      <c r="B1652" s="14" t="s">
        <v>2371</v>
      </c>
      <c r="C1652" s="14" t="s">
        <v>4488</v>
      </c>
      <c r="D1652" s="14" t="s">
        <v>4489</v>
      </c>
      <c r="E1652" s="14" t="s">
        <v>2236</v>
      </c>
      <c r="F1652" s="8">
        <v>0</v>
      </c>
      <c r="G1652" s="14" t="s">
        <v>2237</v>
      </c>
      <c r="H1652" s="16">
        <v>0</v>
      </c>
      <c r="I1652" s="14" t="s">
        <v>2237</v>
      </c>
      <c r="J1652" s="16">
        <v>0</v>
      </c>
      <c r="K1652" s="14" t="s">
        <v>2237</v>
      </c>
      <c r="L1652" s="16">
        <v>0</v>
      </c>
      <c r="M1652" s="14" t="s">
        <v>2237</v>
      </c>
      <c r="N1652" s="8">
        <v>0</v>
      </c>
      <c r="O1652" s="14" t="s">
        <v>2237</v>
      </c>
      <c r="P1652" s="14" t="s">
        <v>2236</v>
      </c>
      <c r="Q1652" s="17" t="s">
        <v>2236</v>
      </c>
      <c r="R1652" s="17" t="s">
        <v>2236</v>
      </c>
      <c r="S1652" s="17" t="s">
        <v>2236</v>
      </c>
      <c r="T1652" s="17" t="s">
        <v>2236</v>
      </c>
      <c r="U16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3" spans="1:31" hidden="1" x14ac:dyDescent="0.3">
      <c r="A1653" s="14" t="s">
        <v>2617</v>
      </c>
      <c r="B1653" s="14" t="s">
        <v>2371</v>
      </c>
      <c r="C1653" s="14" t="s">
        <v>4490</v>
      </c>
      <c r="D1653" s="14" t="s">
        <v>4491</v>
      </c>
      <c r="E1653" s="14" t="s">
        <v>2236</v>
      </c>
      <c r="F1653" s="8">
        <v>0</v>
      </c>
      <c r="G1653" s="14" t="s">
        <v>2237</v>
      </c>
      <c r="H1653" s="16">
        <v>0</v>
      </c>
      <c r="I1653" s="14" t="s">
        <v>2237</v>
      </c>
      <c r="J1653" s="16">
        <v>0</v>
      </c>
      <c r="K1653" s="14" t="s">
        <v>2237</v>
      </c>
      <c r="L1653" s="16">
        <v>0</v>
      </c>
      <c r="M1653" s="14" t="s">
        <v>2237</v>
      </c>
      <c r="N1653" s="8">
        <v>0</v>
      </c>
      <c r="O1653" s="14" t="s">
        <v>2237</v>
      </c>
      <c r="P1653" s="14" t="s">
        <v>2236</v>
      </c>
      <c r="Q1653" s="17" t="s">
        <v>2236</v>
      </c>
      <c r="R1653" s="17" t="s">
        <v>2236</v>
      </c>
      <c r="S1653" s="17" t="s">
        <v>2236</v>
      </c>
      <c r="T1653" s="17" t="s">
        <v>2236</v>
      </c>
      <c r="U16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4" spans="1:31" hidden="1" x14ac:dyDescent="0.3">
      <c r="A1654" s="14" t="s">
        <v>2618</v>
      </c>
      <c r="B1654" s="14" t="s">
        <v>2371</v>
      </c>
      <c r="C1654" s="14" t="s">
        <v>4492</v>
      </c>
      <c r="D1654" s="14" t="s">
        <v>4493</v>
      </c>
      <c r="E1654" s="14" t="s">
        <v>2236</v>
      </c>
      <c r="F1654" s="8">
        <v>0</v>
      </c>
      <c r="G1654" s="14" t="s">
        <v>2237</v>
      </c>
      <c r="H1654" s="16">
        <v>0</v>
      </c>
      <c r="I1654" s="14" t="s">
        <v>2237</v>
      </c>
      <c r="J1654" s="16">
        <v>0</v>
      </c>
      <c r="K1654" s="14" t="s">
        <v>2237</v>
      </c>
      <c r="L1654" s="16">
        <v>0</v>
      </c>
      <c r="M1654" s="14" t="s">
        <v>2237</v>
      </c>
      <c r="N1654" s="8">
        <v>0</v>
      </c>
      <c r="O1654" s="14" t="s">
        <v>2237</v>
      </c>
      <c r="P1654" s="14" t="s">
        <v>2236</v>
      </c>
      <c r="Q1654" s="17" t="s">
        <v>2236</v>
      </c>
      <c r="R1654" s="17" t="s">
        <v>2236</v>
      </c>
      <c r="S1654" s="17" t="s">
        <v>2236</v>
      </c>
      <c r="T1654" s="17" t="s">
        <v>2236</v>
      </c>
      <c r="U16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5" spans="1:31" hidden="1" x14ac:dyDescent="0.3">
      <c r="A1655" s="14" t="s">
        <v>2619</v>
      </c>
      <c r="B1655" s="14" t="s">
        <v>2371</v>
      </c>
      <c r="C1655" s="14" t="s">
        <v>4494</v>
      </c>
      <c r="D1655" s="14" t="s">
        <v>4495</v>
      </c>
      <c r="E1655" s="14" t="s">
        <v>2236</v>
      </c>
      <c r="F1655" s="8">
        <v>0</v>
      </c>
      <c r="G1655" s="14" t="s">
        <v>2237</v>
      </c>
      <c r="H1655" s="16">
        <v>0</v>
      </c>
      <c r="I1655" s="14" t="s">
        <v>2237</v>
      </c>
      <c r="J1655" s="16">
        <v>0</v>
      </c>
      <c r="K1655" s="14" t="s">
        <v>2237</v>
      </c>
      <c r="L1655" s="16">
        <v>0</v>
      </c>
      <c r="M1655" s="14" t="s">
        <v>2237</v>
      </c>
      <c r="N1655" s="8">
        <v>0</v>
      </c>
      <c r="O1655" s="14" t="s">
        <v>2237</v>
      </c>
      <c r="P1655" s="14" t="s">
        <v>2236</v>
      </c>
      <c r="Q1655" s="17" t="s">
        <v>2236</v>
      </c>
      <c r="R1655" s="17" t="s">
        <v>2236</v>
      </c>
      <c r="S1655" s="17" t="s">
        <v>2236</v>
      </c>
      <c r="T1655" s="17" t="s">
        <v>2236</v>
      </c>
      <c r="U16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6" spans="1:31" hidden="1" x14ac:dyDescent="0.3">
      <c r="A1656" s="14" t="s">
        <v>2620</v>
      </c>
      <c r="B1656" s="14" t="s">
        <v>2371</v>
      </c>
      <c r="C1656" s="14" t="s">
        <v>4496</v>
      </c>
      <c r="D1656" s="14" t="s">
        <v>4497</v>
      </c>
      <c r="E1656" s="14" t="s">
        <v>2236</v>
      </c>
      <c r="F1656" s="8">
        <v>0</v>
      </c>
      <c r="G1656" s="14" t="s">
        <v>2237</v>
      </c>
      <c r="H1656" s="16">
        <v>0</v>
      </c>
      <c r="I1656" s="14" t="s">
        <v>2237</v>
      </c>
      <c r="J1656" s="16">
        <v>0</v>
      </c>
      <c r="K1656" s="14" t="s">
        <v>2237</v>
      </c>
      <c r="L1656" s="16">
        <v>0</v>
      </c>
      <c r="M1656" s="14" t="s">
        <v>2237</v>
      </c>
      <c r="N1656" s="8">
        <v>0</v>
      </c>
      <c r="O1656" s="14" t="s">
        <v>2237</v>
      </c>
      <c r="P1656" s="14" t="s">
        <v>2236</v>
      </c>
      <c r="Q1656" s="17" t="s">
        <v>2236</v>
      </c>
      <c r="R1656" s="17" t="s">
        <v>2236</v>
      </c>
      <c r="S1656" s="17" t="s">
        <v>2236</v>
      </c>
      <c r="T1656" s="17" t="s">
        <v>2236</v>
      </c>
      <c r="U16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7" spans="1:31" hidden="1" x14ac:dyDescent="0.3">
      <c r="A1657" s="14" t="s">
        <v>2621</v>
      </c>
      <c r="B1657" s="14" t="s">
        <v>2371</v>
      </c>
      <c r="C1657" s="14" t="s">
        <v>4498</v>
      </c>
      <c r="D1657" s="14" t="s">
        <v>4499</v>
      </c>
      <c r="E1657" s="14" t="s">
        <v>2236</v>
      </c>
      <c r="F1657" s="8">
        <v>0</v>
      </c>
      <c r="G1657" s="14" t="s">
        <v>2237</v>
      </c>
      <c r="H1657" s="16">
        <v>0</v>
      </c>
      <c r="I1657" s="14" t="s">
        <v>2237</v>
      </c>
      <c r="J1657" s="16">
        <v>0</v>
      </c>
      <c r="K1657" s="14" t="s">
        <v>2237</v>
      </c>
      <c r="L1657" s="16">
        <v>0</v>
      </c>
      <c r="M1657" s="14" t="s">
        <v>2237</v>
      </c>
      <c r="N1657" s="8">
        <v>0</v>
      </c>
      <c r="O1657" s="14" t="s">
        <v>2237</v>
      </c>
      <c r="P1657" s="14" t="s">
        <v>2236</v>
      </c>
      <c r="Q1657" s="17" t="s">
        <v>2236</v>
      </c>
      <c r="R1657" s="17" t="s">
        <v>2236</v>
      </c>
      <c r="S1657" s="17" t="s">
        <v>2236</v>
      </c>
      <c r="T1657" s="17" t="s">
        <v>2236</v>
      </c>
      <c r="U16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8" spans="1:31" hidden="1" x14ac:dyDescent="0.3">
      <c r="A1658" s="14" t="s">
        <v>2622</v>
      </c>
      <c r="B1658" s="14" t="s">
        <v>2371</v>
      </c>
      <c r="C1658" s="14" t="s">
        <v>4500</v>
      </c>
      <c r="D1658" s="14" t="s">
        <v>4501</v>
      </c>
      <c r="E1658" s="14" t="s">
        <v>2236</v>
      </c>
      <c r="F1658" s="8">
        <v>0</v>
      </c>
      <c r="G1658" s="14" t="s">
        <v>2237</v>
      </c>
      <c r="H1658" s="16">
        <v>0</v>
      </c>
      <c r="I1658" s="14" t="s">
        <v>2237</v>
      </c>
      <c r="J1658" s="16">
        <v>0</v>
      </c>
      <c r="K1658" s="14" t="s">
        <v>2237</v>
      </c>
      <c r="L1658" s="16">
        <v>0</v>
      </c>
      <c r="M1658" s="14" t="s">
        <v>2237</v>
      </c>
      <c r="N1658" s="8">
        <v>0</v>
      </c>
      <c r="O1658" s="14" t="s">
        <v>2237</v>
      </c>
      <c r="P1658" s="14" t="s">
        <v>2236</v>
      </c>
      <c r="Q1658" s="17" t="s">
        <v>2236</v>
      </c>
      <c r="R1658" s="17" t="s">
        <v>2236</v>
      </c>
      <c r="S1658" s="17" t="s">
        <v>2236</v>
      </c>
      <c r="T1658" s="17" t="s">
        <v>2236</v>
      </c>
      <c r="U16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59" spans="1:31" hidden="1" x14ac:dyDescent="0.3">
      <c r="A1659" s="14" t="s">
        <v>2623</v>
      </c>
      <c r="B1659" s="14" t="s">
        <v>2371</v>
      </c>
      <c r="C1659" s="14" t="s">
        <v>4502</v>
      </c>
      <c r="D1659" s="14" t="s">
        <v>4503</v>
      </c>
      <c r="E1659" s="14" t="s">
        <v>2236</v>
      </c>
      <c r="F1659" s="8">
        <v>0</v>
      </c>
      <c r="G1659" s="14" t="s">
        <v>2237</v>
      </c>
      <c r="H1659" s="16">
        <v>0</v>
      </c>
      <c r="I1659" s="14" t="s">
        <v>2237</v>
      </c>
      <c r="J1659" s="16">
        <v>0</v>
      </c>
      <c r="K1659" s="14" t="s">
        <v>2237</v>
      </c>
      <c r="L1659" s="16">
        <v>0</v>
      </c>
      <c r="M1659" s="14" t="s">
        <v>2237</v>
      </c>
      <c r="N1659" s="8">
        <v>0</v>
      </c>
      <c r="O1659" s="14" t="s">
        <v>2237</v>
      </c>
      <c r="P1659" s="14" t="s">
        <v>2236</v>
      </c>
      <c r="Q1659" s="17" t="s">
        <v>2236</v>
      </c>
      <c r="R1659" s="17" t="s">
        <v>2236</v>
      </c>
      <c r="S1659" s="17" t="s">
        <v>2236</v>
      </c>
      <c r="T1659" s="17" t="s">
        <v>2236</v>
      </c>
      <c r="U16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0" spans="1:31" hidden="1" x14ac:dyDescent="0.3">
      <c r="A1660" s="14" t="s">
        <v>2624</v>
      </c>
      <c r="B1660" s="14" t="s">
        <v>2371</v>
      </c>
      <c r="C1660" s="14" t="s">
        <v>4504</v>
      </c>
      <c r="D1660" s="14" t="s">
        <v>4505</v>
      </c>
      <c r="E1660" s="14" t="s">
        <v>2236</v>
      </c>
      <c r="F1660" s="8">
        <v>0</v>
      </c>
      <c r="G1660" s="14" t="s">
        <v>2237</v>
      </c>
      <c r="H1660" s="16">
        <v>0</v>
      </c>
      <c r="I1660" s="14" t="s">
        <v>2237</v>
      </c>
      <c r="J1660" s="16">
        <v>0</v>
      </c>
      <c r="K1660" s="14" t="s">
        <v>2237</v>
      </c>
      <c r="L1660" s="16">
        <v>0</v>
      </c>
      <c r="M1660" s="14" t="s">
        <v>2237</v>
      </c>
      <c r="N1660" s="8">
        <v>0</v>
      </c>
      <c r="O1660" s="14" t="s">
        <v>2237</v>
      </c>
      <c r="P1660" s="14" t="s">
        <v>2236</v>
      </c>
      <c r="Q1660" s="17" t="s">
        <v>2236</v>
      </c>
      <c r="R1660" s="17" t="s">
        <v>2236</v>
      </c>
      <c r="S1660" s="17" t="s">
        <v>2236</v>
      </c>
      <c r="T1660" s="17" t="s">
        <v>2236</v>
      </c>
      <c r="U16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1" spans="1:31" hidden="1" x14ac:dyDescent="0.3">
      <c r="A1661" s="14" t="s">
        <v>2625</v>
      </c>
      <c r="B1661" s="14" t="s">
        <v>2371</v>
      </c>
      <c r="C1661" s="14" t="s">
        <v>4506</v>
      </c>
      <c r="D1661" s="14" t="s">
        <v>4507</v>
      </c>
      <c r="E1661" s="14" t="s">
        <v>2236</v>
      </c>
      <c r="F1661" s="8">
        <v>0</v>
      </c>
      <c r="G1661" s="14" t="s">
        <v>2237</v>
      </c>
      <c r="H1661" s="16">
        <v>0</v>
      </c>
      <c r="I1661" s="14" t="s">
        <v>2237</v>
      </c>
      <c r="J1661" s="16">
        <v>0</v>
      </c>
      <c r="K1661" s="14" t="s">
        <v>2237</v>
      </c>
      <c r="L1661" s="16">
        <v>0</v>
      </c>
      <c r="M1661" s="14" t="s">
        <v>2237</v>
      </c>
      <c r="N1661" s="8">
        <v>0</v>
      </c>
      <c r="O1661" s="14" t="s">
        <v>2237</v>
      </c>
      <c r="P1661" s="14" t="s">
        <v>2236</v>
      </c>
      <c r="Q1661" s="17" t="s">
        <v>2236</v>
      </c>
      <c r="R1661" s="17" t="s">
        <v>2236</v>
      </c>
      <c r="S1661" s="17" t="s">
        <v>2236</v>
      </c>
      <c r="T1661" s="17" t="s">
        <v>2236</v>
      </c>
      <c r="U16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2" spans="1:31" hidden="1" x14ac:dyDescent="0.3">
      <c r="A1662" s="14" t="s">
        <v>2626</v>
      </c>
      <c r="B1662" s="14" t="s">
        <v>2371</v>
      </c>
      <c r="C1662" s="14" t="s">
        <v>4508</v>
      </c>
      <c r="D1662" s="14" t="s">
        <v>4509</v>
      </c>
      <c r="E1662" s="14" t="s">
        <v>2236</v>
      </c>
      <c r="F1662" s="8">
        <v>0</v>
      </c>
      <c r="G1662" s="14" t="s">
        <v>2237</v>
      </c>
      <c r="H1662" s="16">
        <v>0</v>
      </c>
      <c r="I1662" s="14" t="s">
        <v>2237</v>
      </c>
      <c r="J1662" s="16">
        <v>0</v>
      </c>
      <c r="K1662" s="14" t="s">
        <v>2237</v>
      </c>
      <c r="L1662" s="16">
        <v>0</v>
      </c>
      <c r="M1662" s="14" t="s">
        <v>2237</v>
      </c>
      <c r="N1662" s="8">
        <v>0</v>
      </c>
      <c r="O1662" s="14" t="s">
        <v>2237</v>
      </c>
      <c r="P1662" s="14" t="s">
        <v>2236</v>
      </c>
      <c r="Q1662" s="17" t="s">
        <v>2236</v>
      </c>
      <c r="R1662" s="17" t="s">
        <v>2236</v>
      </c>
      <c r="S1662" s="17" t="s">
        <v>2236</v>
      </c>
      <c r="T1662" s="17" t="s">
        <v>2236</v>
      </c>
      <c r="U16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3" spans="1:31" hidden="1" x14ac:dyDescent="0.3">
      <c r="A1663" s="14" t="s">
        <v>2627</v>
      </c>
      <c r="B1663" s="14" t="s">
        <v>2371</v>
      </c>
      <c r="C1663" s="14" t="s">
        <v>4510</v>
      </c>
      <c r="D1663" s="14" t="s">
        <v>4511</v>
      </c>
      <c r="E1663" s="14" t="s">
        <v>2236</v>
      </c>
      <c r="F1663" s="8">
        <v>0</v>
      </c>
      <c r="G1663" s="14" t="s">
        <v>2237</v>
      </c>
      <c r="H1663" s="16">
        <v>0</v>
      </c>
      <c r="I1663" s="14" t="s">
        <v>2237</v>
      </c>
      <c r="J1663" s="16">
        <v>0</v>
      </c>
      <c r="K1663" s="14" t="s">
        <v>2237</v>
      </c>
      <c r="L1663" s="16">
        <v>0</v>
      </c>
      <c r="M1663" s="14" t="s">
        <v>2237</v>
      </c>
      <c r="N1663" s="8">
        <v>0</v>
      </c>
      <c r="O1663" s="14" t="s">
        <v>2237</v>
      </c>
      <c r="P1663" s="14" t="s">
        <v>2236</v>
      </c>
      <c r="Q1663" s="17" t="s">
        <v>2236</v>
      </c>
      <c r="R1663" s="17" t="s">
        <v>2236</v>
      </c>
      <c r="S1663" s="17" t="s">
        <v>2236</v>
      </c>
      <c r="T1663" s="17" t="s">
        <v>2236</v>
      </c>
      <c r="U16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4" spans="1:31" hidden="1" x14ac:dyDescent="0.3">
      <c r="A1664" s="14" t="s">
        <v>2628</v>
      </c>
      <c r="B1664" s="14" t="s">
        <v>2371</v>
      </c>
      <c r="C1664" s="14" t="s">
        <v>4512</v>
      </c>
      <c r="D1664" s="14" t="s">
        <v>4513</v>
      </c>
      <c r="E1664" s="14" t="s">
        <v>2236</v>
      </c>
      <c r="F1664" s="8">
        <v>0</v>
      </c>
      <c r="G1664" s="14" t="s">
        <v>2237</v>
      </c>
      <c r="H1664" s="16">
        <v>0</v>
      </c>
      <c r="I1664" s="14" t="s">
        <v>2237</v>
      </c>
      <c r="J1664" s="16">
        <v>0</v>
      </c>
      <c r="K1664" s="14" t="s">
        <v>2237</v>
      </c>
      <c r="L1664" s="16">
        <v>0</v>
      </c>
      <c r="M1664" s="14" t="s">
        <v>2237</v>
      </c>
      <c r="N1664" s="8">
        <v>0</v>
      </c>
      <c r="O1664" s="14" t="s">
        <v>2237</v>
      </c>
      <c r="P1664" s="14" t="s">
        <v>2236</v>
      </c>
      <c r="Q1664" s="17" t="s">
        <v>2236</v>
      </c>
      <c r="R1664" s="17" t="s">
        <v>2236</v>
      </c>
      <c r="S1664" s="17" t="s">
        <v>2236</v>
      </c>
      <c r="T1664" s="17" t="s">
        <v>2236</v>
      </c>
      <c r="U16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5" spans="1:31" hidden="1" x14ac:dyDescent="0.3">
      <c r="A1665" s="14" t="s">
        <v>2629</v>
      </c>
      <c r="B1665" s="14" t="s">
        <v>2371</v>
      </c>
      <c r="C1665" s="14" t="s">
        <v>4514</v>
      </c>
      <c r="D1665" s="14" t="s">
        <v>4515</v>
      </c>
      <c r="E1665" s="14" t="s">
        <v>2236</v>
      </c>
      <c r="F1665" s="8">
        <v>0</v>
      </c>
      <c r="G1665" s="14" t="s">
        <v>2237</v>
      </c>
      <c r="H1665" s="16">
        <v>0</v>
      </c>
      <c r="I1665" s="14" t="s">
        <v>2237</v>
      </c>
      <c r="J1665" s="16">
        <v>0</v>
      </c>
      <c r="K1665" s="14" t="s">
        <v>2237</v>
      </c>
      <c r="L1665" s="16">
        <v>0</v>
      </c>
      <c r="M1665" s="14" t="s">
        <v>2237</v>
      </c>
      <c r="N1665" s="8">
        <v>0</v>
      </c>
      <c r="O1665" s="14" t="s">
        <v>2237</v>
      </c>
      <c r="P1665" s="14" t="s">
        <v>2236</v>
      </c>
      <c r="Q1665" s="17" t="s">
        <v>2236</v>
      </c>
      <c r="R1665" s="17" t="s">
        <v>2236</v>
      </c>
      <c r="S1665" s="17" t="s">
        <v>2236</v>
      </c>
      <c r="T1665" s="17" t="s">
        <v>2236</v>
      </c>
      <c r="U16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6" spans="1:31" hidden="1" x14ac:dyDescent="0.3">
      <c r="A1666" s="14" t="s">
        <v>2630</v>
      </c>
      <c r="B1666" s="14" t="s">
        <v>2371</v>
      </c>
      <c r="C1666" s="14" t="s">
        <v>4516</v>
      </c>
      <c r="D1666" s="14" t="s">
        <v>4517</v>
      </c>
      <c r="E1666" s="14" t="s">
        <v>2236</v>
      </c>
      <c r="F1666" s="8">
        <v>0</v>
      </c>
      <c r="G1666" s="14" t="s">
        <v>2237</v>
      </c>
      <c r="H1666" s="16">
        <v>0</v>
      </c>
      <c r="I1666" s="14" t="s">
        <v>2237</v>
      </c>
      <c r="J1666" s="16">
        <v>0</v>
      </c>
      <c r="K1666" s="14" t="s">
        <v>2237</v>
      </c>
      <c r="L1666" s="16">
        <v>0</v>
      </c>
      <c r="M1666" s="14" t="s">
        <v>2237</v>
      </c>
      <c r="N1666" s="8">
        <v>0</v>
      </c>
      <c r="O1666" s="14" t="s">
        <v>2237</v>
      </c>
      <c r="P1666" s="14" t="s">
        <v>2236</v>
      </c>
      <c r="Q1666" s="17" t="s">
        <v>2236</v>
      </c>
      <c r="R1666" s="17" t="s">
        <v>2236</v>
      </c>
      <c r="S1666" s="17" t="s">
        <v>2236</v>
      </c>
      <c r="T1666" s="17" t="s">
        <v>2236</v>
      </c>
      <c r="U16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7" spans="1:31" hidden="1" x14ac:dyDescent="0.3">
      <c r="A1667" s="14" t="s">
        <v>2631</v>
      </c>
      <c r="B1667" s="14" t="s">
        <v>2371</v>
      </c>
      <c r="C1667" s="14" t="s">
        <v>4518</v>
      </c>
      <c r="D1667" s="14" t="s">
        <v>4519</v>
      </c>
      <c r="E1667" s="14" t="s">
        <v>2236</v>
      </c>
      <c r="F1667" s="8">
        <v>0</v>
      </c>
      <c r="G1667" s="14" t="s">
        <v>2237</v>
      </c>
      <c r="H1667" s="16">
        <v>0</v>
      </c>
      <c r="I1667" s="14" t="s">
        <v>2237</v>
      </c>
      <c r="J1667" s="16">
        <v>0</v>
      </c>
      <c r="K1667" s="14" t="s">
        <v>2237</v>
      </c>
      <c r="L1667" s="16">
        <v>0</v>
      </c>
      <c r="M1667" s="14" t="s">
        <v>2237</v>
      </c>
      <c r="N1667" s="8">
        <v>0</v>
      </c>
      <c r="O1667" s="14" t="s">
        <v>2237</v>
      </c>
      <c r="P1667" s="14" t="s">
        <v>2236</v>
      </c>
      <c r="Q1667" s="17" t="s">
        <v>2236</v>
      </c>
      <c r="R1667" s="17" t="s">
        <v>2236</v>
      </c>
      <c r="S1667" s="17" t="s">
        <v>2236</v>
      </c>
      <c r="T1667" s="17" t="s">
        <v>2236</v>
      </c>
      <c r="U16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8" spans="1:31" hidden="1" x14ac:dyDescent="0.3">
      <c r="A1668" s="14" t="s">
        <v>2632</v>
      </c>
      <c r="B1668" s="14" t="s">
        <v>2371</v>
      </c>
      <c r="C1668" s="14" t="s">
        <v>4520</v>
      </c>
      <c r="D1668" s="14" t="s">
        <v>4521</v>
      </c>
      <c r="E1668" s="14" t="s">
        <v>2236</v>
      </c>
      <c r="F1668" s="8">
        <v>0</v>
      </c>
      <c r="G1668" s="14" t="s">
        <v>2237</v>
      </c>
      <c r="H1668" s="16">
        <v>0</v>
      </c>
      <c r="I1668" s="14" t="s">
        <v>2237</v>
      </c>
      <c r="J1668" s="16">
        <v>0</v>
      </c>
      <c r="K1668" s="14" t="s">
        <v>2237</v>
      </c>
      <c r="L1668" s="16">
        <v>0</v>
      </c>
      <c r="M1668" s="14" t="s">
        <v>2237</v>
      </c>
      <c r="N1668" s="8">
        <v>0</v>
      </c>
      <c r="O1668" s="14" t="s">
        <v>2237</v>
      </c>
      <c r="P1668" s="14" t="s">
        <v>2236</v>
      </c>
      <c r="Q1668" s="17" t="s">
        <v>2236</v>
      </c>
      <c r="R1668" s="17" t="s">
        <v>2236</v>
      </c>
      <c r="S1668" s="17" t="s">
        <v>2236</v>
      </c>
      <c r="T1668" s="17" t="s">
        <v>2236</v>
      </c>
      <c r="U16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69" spans="1:31" hidden="1" x14ac:dyDescent="0.3">
      <c r="A1669" s="14" t="s">
        <v>2633</v>
      </c>
      <c r="B1669" s="14" t="s">
        <v>2371</v>
      </c>
      <c r="C1669" s="14" t="s">
        <v>4522</v>
      </c>
      <c r="D1669" s="14" t="s">
        <v>4523</v>
      </c>
      <c r="E1669" s="14" t="s">
        <v>2236</v>
      </c>
      <c r="F1669" s="8">
        <v>0</v>
      </c>
      <c r="G1669" s="14" t="s">
        <v>2237</v>
      </c>
      <c r="H1669" s="16">
        <v>0</v>
      </c>
      <c r="I1669" s="14" t="s">
        <v>2237</v>
      </c>
      <c r="J1669" s="16">
        <v>0</v>
      </c>
      <c r="K1669" s="14" t="s">
        <v>2237</v>
      </c>
      <c r="L1669" s="16">
        <v>0</v>
      </c>
      <c r="M1669" s="14" t="s">
        <v>2237</v>
      </c>
      <c r="N1669" s="8">
        <v>0</v>
      </c>
      <c r="O1669" s="14" t="s">
        <v>2237</v>
      </c>
      <c r="P1669" s="14" t="s">
        <v>2236</v>
      </c>
      <c r="Q1669" s="17" t="s">
        <v>2236</v>
      </c>
      <c r="R1669" s="17" t="s">
        <v>2236</v>
      </c>
      <c r="S1669" s="17" t="s">
        <v>2236</v>
      </c>
      <c r="T1669" s="17" t="s">
        <v>2236</v>
      </c>
      <c r="U16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0" spans="1:31" hidden="1" x14ac:dyDescent="0.3">
      <c r="A1670" s="14" t="s">
        <v>2634</v>
      </c>
      <c r="B1670" s="14" t="s">
        <v>2371</v>
      </c>
      <c r="C1670" s="14" t="s">
        <v>4524</v>
      </c>
      <c r="D1670" s="14" t="s">
        <v>4525</v>
      </c>
      <c r="E1670" s="14" t="s">
        <v>2236</v>
      </c>
      <c r="F1670" s="8">
        <v>0</v>
      </c>
      <c r="G1670" s="14" t="s">
        <v>2237</v>
      </c>
      <c r="H1670" s="16">
        <v>0</v>
      </c>
      <c r="I1670" s="14" t="s">
        <v>2237</v>
      </c>
      <c r="J1670" s="16">
        <v>0</v>
      </c>
      <c r="K1670" s="14" t="s">
        <v>2237</v>
      </c>
      <c r="L1670" s="16">
        <v>0</v>
      </c>
      <c r="M1670" s="14" t="s">
        <v>2237</v>
      </c>
      <c r="N1670" s="8">
        <v>0</v>
      </c>
      <c r="O1670" s="14" t="s">
        <v>2237</v>
      </c>
      <c r="P1670" s="14" t="s">
        <v>2236</v>
      </c>
      <c r="Q1670" s="17" t="s">
        <v>2236</v>
      </c>
      <c r="R1670" s="17" t="s">
        <v>2236</v>
      </c>
      <c r="S1670" s="17" t="s">
        <v>2236</v>
      </c>
      <c r="T1670" s="17" t="s">
        <v>2236</v>
      </c>
      <c r="U16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1" spans="1:31" hidden="1" x14ac:dyDescent="0.3">
      <c r="A1671" s="14" t="s">
        <v>2635</v>
      </c>
      <c r="B1671" s="14" t="s">
        <v>2371</v>
      </c>
      <c r="C1671" s="14" t="s">
        <v>4526</v>
      </c>
      <c r="D1671" s="14" t="s">
        <v>4527</v>
      </c>
      <c r="E1671" s="14" t="s">
        <v>2236</v>
      </c>
      <c r="F1671" s="8">
        <v>0</v>
      </c>
      <c r="G1671" s="14" t="s">
        <v>2237</v>
      </c>
      <c r="H1671" s="16">
        <v>0</v>
      </c>
      <c r="I1671" s="14" t="s">
        <v>2237</v>
      </c>
      <c r="J1671" s="16">
        <v>0</v>
      </c>
      <c r="K1671" s="14" t="s">
        <v>2237</v>
      </c>
      <c r="L1671" s="16">
        <v>0</v>
      </c>
      <c r="M1671" s="14" t="s">
        <v>2237</v>
      </c>
      <c r="N1671" s="8">
        <v>0</v>
      </c>
      <c r="O1671" s="14" t="s">
        <v>2237</v>
      </c>
      <c r="P1671" s="14" t="s">
        <v>2236</v>
      </c>
      <c r="Q1671" s="17" t="s">
        <v>2236</v>
      </c>
      <c r="R1671" s="17" t="s">
        <v>2236</v>
      </c>
      <c r="S1671" s="17" t="s">
        <v>2236</v>
      </c>
      <c r="T1671" s="17" t="s">
        <v>2236</v>
      </c>
      <c r="U16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2" spans="1:31" hidden="1" x14ac:dyDescent="0.3">
      <c r="A1672" s="14" t="s">
        <v>2636</v>
      </c>
      <c r="B1672" s="14" t="s">
        <v>2371</v>
      </c>
      <c r="C1672" s="14" t="s">
        <v>4528</v>
      </c>
      <c r="D1672" s="14" t="s">
        <v>4529</v>
      </c>
      <c r="E1672" s="14" t="s">
        <v>2236</v>
      </c>
      <c r="F1672" s="8">
        <v>0</v>
      </c>
      <c r="G1672" s="14" t="s">
        <v>2237</v>
      </c>
      <c r="H1672" s="16">
        <v>0</v>
      </c>
      <c r="I1672" s="14" t="s">
        <v>2237</v>
      </c>
      <c r="J1672" s="16">
        <v>0</v>
      </c>
      <c r="K1672" s="14" t="s">
        <v>2237</v>
      </c>
      <c r="L1672" s="16">
        <v>0</v>
      </c>
      <c r="M1672" s="14" t="s">
        <v>2237</v>
      </c>
      <c r="N1672" s="8">
        <v>0</v>
      </c>
      <c r="O1672" s="14" t="s">
        <v>2237</v>
      </c>
      <c r="P1672" s="14" t="s">
        <v>2236</v>
      </c>
      <c r="Q1672" s="17" t="s">
        <v>2236</v>
      </c>
      <c r="R1672" s="17" t="s">
        <v>2236</v>
      </c>
      <c r="S1672" s="17" t="s">
        <v>2236</v>
      </c>
      <c r="T1672" s="17" t="s">
        <v>2236</v>
      </c>
      <c r="U16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3" spans="1:31" hidden="1" x14ac:dyDescent="0.3">
      <c r="A1673" s="14" t="s">
        <v>2637</v>
      </c>
      <c r="B1673" s="14" t="s">
        <v>2371</v>
      </c>
      <c r="C1673" s="14" t="s">
        <v>4530</v>
      </c>
      <c r="D1673" s="14" t="s">
        <v>4531</v>
      </c>
      <c r="E1673" s="14" t="s">
        <v>2236</v>
      </c>
      <c r="F1673" s="8">
        <v>0</v>
      </c>
      <c r="G1673" s="14" t="s">
        <v>2237</v>
      </c>
      <c r="H1673" s="16">
        <v>0</v>
      </c>
      <c r="I1673" s="14" t="s">
        <v>2237</v>
      </c>
      <c r="J1673" s="16">
        <v>0</v>
      </c>
      <c r="K1673" s="14" t="s">
        <v>2237</v>
      </c>
      <c r="L1673" s="16">
        <v>0</v>
      </c>
      <c r="M1673" s="14" t="s">
        <v>2237</v>
      </c>
      <c r="N1673" s="8">
        <v>0</v>
      </c>
      <c r="O1673" s="14" t="s">
        <v>2237</v>
      </c>
      <c r="P1673" s="14" t="s">
        <v>2236</v>
      </c>
      <c r="Q1673" s="17" t="s">
        <v>2236</v>
      </c>
      <c r="R1673" s="17" t="s">
        <v>2236</v>
      </c>
      <c r="S1673" s="17" t="s">
        <v>2236</v>
      </c>
      <c r="T1673" s="17" t="s">
        <v>2236</v>
      </c>
      <c r="U16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4" spans="1:31" hidden="1" x14ac:dyDescent="0.3">
      <c r="A1674" s="14" t="s">
        <v>2638</v>
      </c>
      <c r="B1674" s="14" t="s">
        <v>2371</v>
      </c>
      <c r="C1674" s="14" t="s">
        <v>4532</v>
      </c>
      <c r="D1674" s="14" t="s">
        <v>4533</v>
      </c>
      <c r="E1674" s="14" t="s">
        <v>2236</v>
      </c>
      <c r="F1674" s="8">
        <v>0</v>
      </c>
      <c r="G1674" s="14" t="s">
        <v>2237</v>
      </c>
      <c r="H1674" s="16">
        <v>0</v>
      </c>
      <c r="I1674" s="14" t="s">
        <v>2237</v>
      </c>
      <c r="J1674" s="16">
        <v>0</v>
      </c>
      <c r="K1674" s="14" t="s">
        <v>2237</v>
      </c>
      <c r="L1674" s="16">
        <v>0</v>
      </c>
      <c r="M1674" s="14" t="s">
        <v>2237</v>
      </c>
      <c r="N1674" s="8">
        <v>0</v>
      </c>
      <c r="O1674" s="14" t="s">
        <v>2237</v>
      </c>
      <c r="P1674" s="14" t="s">
        <v>2236</v>
      </c>
      <c r="Q1674" s="17" t="s">
        <v>2236</v>
      </c>
      <c r="R1674" s="17" t="s">
        <v>2236</v>
      </c>
      <c r="S1674" s="17" t="s">
        <v>2236</v>
      </c>
      <c r="T1674" s="17" t="s">
        <v>2236</v>
      </c>
      <c r="U16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5" spans="1:31" hidden="1" x14ac:dyDescent="0.3">
      <c r="A1675" s="14" t="s">
        <v>2639</v>
      </c>
      <c r="B1675" s="14" t="s">
        <v>2371</v>
      </c>
      <c r="C1675" s="14" t="s">
        <v>4534</v>
      </c>
      <c r="D1675" s="14" t="s">
        <v>4535</v>
      </c>
      <c r="E1675" s="14" t="s">
        <v>2236</v>
      </c>
      <c r="F1675" s="8">
        <v>0</v>
      </c>
      <c r="G1675" s="14" t="s">
        <v>2237</v>
      </c>
      <c r="H1675" s="16">
        <v>0</v>
      </c>
      <c r="I1675" s="14" t="s">
        <v>2237</v>
      </c>
      <c r="J1675" s="16">
        <v>0</v>
      </c>
      <c r="K1675" s="14" t="s">
        <v>2237</v>
      </c>
      <c r="L1675" s="16">
        <v>0</v>
      </c>
      <c r="M1675" s="14" t="s">
        <v>2237</v>
      </c>
      <c r="N1675" s="8">
        <v>0</v>
      </c>
      <c r="O1675" s="14" t="s">
        <v>2237</v>
      </c>
      <c r="P1675" s="14" t="s">
        <v>2236</v>
      </c>
      <c r="Q1675" s="17" t="s">
        <v>2236</v>
      </c>
      <c r="R1675" s="17" t="s">
        <v>2236</v>
      </c>
      <c r="S1675" s="17" t="s">
        <v>2236</v>
      </c>
      <c r="T1675" s="17" t="s">
        <v>2236</v>
      </c>
      <c r="U16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6" spans="1:31" hidden="1" x14ac:dyDescent="0.3">
      <c r="A1676" s="14" t="s">
        <v>2640</v>
      </c>
      <c r="B1676" s="14" t="s">
        <v>2371</v>
      </c>
      <c r="C1676" s="14" t="s">
        <v>4536</v>
      </c>
      <c r="D1676" s="14" t="s">
        <v>4537</v>
      </c>
      <c r="E1676" s="14" t="s">
        <v>2236</v>
      </c>
      <c r="F1676" s="8">
        <v>0</v>
      </c>
      <c r="G1676" s="14" t="s">
        <v>2237</v>
      </c>
      <c r="H1676" s="16">
        <v>0</v>
      </c>
      <c r="I1676" s="14" t="s">
        <v>2237</v>
      </c>
      <c r="J1676" s="16">
        <v>0</v>
      </c>
      <c r="K1676" s="14" t="s">
        <v>2237</v>
      </c>
      <c r="L1676" s="16">
        <v>0</v>
      </c>
      <c r="M1676" s="14" t="s">
        <v>2237</v>
      </c>
      <c r="N1676" s="8">
        <v>0</v>
      </c>
      <c r="O1676" s="14" t="s">
        <v>2237</v>
      </c>
      <c r="P1676" s="14" t="s">
        <v>2236</v>
      </c>
      <c r="Q1676" s="17" t="s">
        <v>2236</v>
      </c>
      <c r="R1676" s="17" t="s">
        <v>2236</v>
      </c>
      <c r="S1676" s="17" t="s">
        <v>2236</v>
      </c>
      <c r="T1676" s="17" t="s">
        <v>2236</v>
      </c>
      <c r="U16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7" spans="1:31" hidden="1" x14ac:dyDescent="0.3">
      <c r="A1677" s="14" t="s">
        <v>2641</v>
      </c>
      <c r="B1677" s="14" t="s">
        <v>2371</v>
      </c>
      <c r="C1677" s="14" t="s">
        <v>4538</v>
      </c>
      <c r="D1677" s="14" t="s">
        <v>4539</v>
      </c>
      <c r="E1677" s="14" t="s">
        <v>2236</v>
      </c>
      <c r="F1677" s="8">
        <v>0</v>
      </c>
      <c r="G1677" s="14" t="s">
        <v>2237</v>
      </c>
      <c r="H1677" s="16">
        <v>0</v>
      </c>
      <c r="I1677" s="14" t="s">
        <v>2237</v>
      </c>
      <c r="J1677" s="16">
        <v>0</v>
      </c>
      <c r="K1677" s="14" t="s">
        <v>2237</v>
      </c>
      <c r="L1677" s="16">
        <v>0</v>
      </c>
      <c r="M1677" s="14" t="s">
        <v>2237</v>
      </c>
      <c r="N1677" s="8">
        <v>0</v>
      </c>
      <c r="O1677" s="14" t="s">
        <v>2237</v>
      </c>
      <c r="P1677" s="14" t="s">
        <v>2236</v>
      </c>
      <c r="Q1677" s="17" t="s">
        <v>2236</v>
      </c>
      <c r="R1677" s="17" t="s">
        <v>2236</v>
      </c>
      <c r="S1677" s="17" t="s">
        <v>2236</v>
      </c>
      <c r="T1677" s="17" t="s">
        <v>2236</v>
      </c>
      <c r="U16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8" spans="1:31" hidden="1" x14ac:dyDescent="0.3">
      <c r="A1678" s="14" t="s">
        <v>2643</v>
      </c>
      <c r="B1678" s="14" t="s">
        <v>2371</v>
      </c>
      <c r="C1678" s="14" t="s">
        <v>4540</v>
      </c>
      <c r="D1678" s="14" t="s">
        <v>4541</v>
      </c>
      <c r="E1678" s="14" t="s">
        <v>2236</v>
      </c>
      <c r="F1678" s="8">
        <v>0</v>
      </c>
      <c r="G1678" s="14" t="s">
        <v>2237</v>
      </c>
      <c r="H1678" s="16">
        <v>0</v>
      </c>
      <c r="I1678" s="14" t="s">
        <v>2237</v>
      </c>
      <c r="J1678" s="16">
        <v>0</v>
      </c>
      <c r="K1678" s="14" t="s">
        <v>2237</v>
      </c>
      <c r="L1678" s="16">
        <v>0</v>
      </c>
      <c r="M1678" s="14" t="s">
        <v>2237</v>
      </c>
      <c r="N1678" s="8">
        <v>0</v>
      </c>
      <c r="O1678" s="14" t="s">
        <v>2237</v>
      </c>
      <c r="P1678" s="14" t="s">
        <v>2236</v>
      </c>
      <c r="Q1678" s="17" t="s">
        <v>2236</v>
      </c>
      <c r="R1678" s="17" t="s">
        <v>2236</v>
      </c>
      <c r="S1678" s="17" t="s">
        <v>2236</v>
      </c>
      <c r="T1678" s="17" t="s">
        <v>2236</v>
      </c>
      <c r="U16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79" spans="1:31" hidden="1" x14ac:dyDescent="0.3">
      <c r="A1679" s="14" t="s">
        <v>2644</v>
      </c>
      <c r="B1679" s="14" t="s">
        <v>2371</v>
      </c>
      <c r="C1679" s="14" t="s">
        <v>4542</v>
      </c>
      <c r="D1679" s="14" t="s">
        <v>4543</v>
      </c>
      <c r="E1679" s="14" t="s">
        <v>2236</v>
      </c>
      <c r="F1679" s="8">
        <v>0</v>
      </c>
      <c r="G1679" s="14" t="s">
        <v>2237</v>
      </c>
      <c r="H1679" s="16">
        <v>0</v>
      </c>
      <c r="I1679" s="14" t="s">
        <v>2237</v>
      </c>
      <c r="J1679" s="16">
        <v>0</v>
      </c>
      <c r="K1679" s="14" t="s">
        <v>2237</v>
      </c>
      <c r="L1679" s="16">
        <v>0</v>
      </c>
      <c r="M1679" s="14" t="s">
        <v>2237</v>
      </c>
      <c r="N1679" s="8">
        <v>0</v>
      </c>
      <c r="O1679" s="14" t="s">
        <v>2237</v>
      </c>
      <c r="P1679" s="14" t="s">
        <v>2236</v>
      </c>
      <c r="Q1679" s="17" t="s">
        <v>2236</v>
      </c>
      <c r="R1679" s="17" t="s">
        <v>2236</v>
      </c>
      <c r="S1679" s="17" t="s">
        <v>2236</v>
      </c>
      <c r="T1679" s="17" t="s">
        <v>2236</v>
      </c>
      <c r="U16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0" spans="1:31" hidden="1" x14ac:dyDescent="0.3">
      <c r="A1680" s="14" t="s">
        <v>2646</v>
      </c>
      <c r="B1680" s="14" t="s">
        <v>2371</v>
      </c>
      <c r="C1680" s="14" t="s">
        <v>4544</v>
      </c>
      <c r="D1680" s="14" t="s">
        <v>4545</v>
      </c>
      <c r="E1680" s="14" t="s">
        <v>2236</v>
      </c>
      <c r="F1680" s="8">
        <v>0</v>
      </c>
      <c r="G1680" s="14" t="s">
        <v>2237</v>
      </c>
      <c r="H1680" s="16">
        <v>0</v>
      </c>
      <c r="I1680" s="14" t="s">
        <v>2237</v>
      </c>
      <c r="J1680" s="16">
        <v>0</v>
      </c>
      <c r="K1680" s="14" t="s">
        <v>2237</v>
      </c>
      <c r="L1680" s="16">
        <v>0</v>
      </c>
      <c r="M1680" s="14" t="s">
        <v>2237</v>
      </c>
      <c r="N1680" s="8">
        <v>0</v>
      </c>
      <c r="O1680" s="14" t="s">
        <v>2237</v>
      </c>
      <c r="P1680" s="14" t="s">
        <v>2236</v>
      </c>
      <c r="Q1680" s="17" t="s">
        <v>2236</v>
      </c>
      <c r="R1680" s="17" t="s">
        <v>2236</v>
      </c>
      <c r="S1680" s="17" t="s">
        <v>2236</v>
      </c>
      <c r="T1680" s="17" t="s">
        <v>2236</v>
      </c>
      <c r="U16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1" spans="1:31" hidden="1" x14ac:dyDescent="0.3">
      <c r="A1681" s="14" t="s">
        <v>2647</v>
      </c>
      <c r="B1681" s="14" t="s">
        <v>2371</v>
      </c>
      <c r="C1681" s="14" t="s">
        <v>4546</v>
      </c>
      <c r="D1681" s="14" t="s">
        <v>4547</v>
      </c>
      <c r="E1681" s="14" t="s">
        <v>2236</v>
      </c>
      <c r="F1681" s="8">
        <v>0</v>
      </c>
      <c r="G1681" s="14" t="s">
        <v>2237</v>
      </c>
      <c r="H1681" s="16">
        <v>0</v>
      </c>
      <c r="I1681" s="14" t="s">
        <v>2237</v>
      </c>
      <c r="J1681" s="16">
        <v>0</v>
      </c>
      <c r="K1681" s="14" t="s">
        <v>2237</v>
      </c>
      <c r="L1681" s="16">
        <v>0</v>
      </c>
      <c r="M1681" s="14" t="s">
        <v>2237</v>
      </c>
      <c r="N1681" s="8">
        <v>0</v>
      </c>
      <c r="O1681" s="14" t="s">
        <v>2237</v>
      </c>
      <c r="P1681" s="14" t="s">
        <v>2236</v>
      </c>
      <c r="Q1681" s="17" t="s">
        <v>2236</v>
      </c>
      <c r="R1681" s="17" t="s">
        <v>2236</v>
      </c>
      <c r="S1681" s="17" t="s">
        <v>2236</v>
      </c>
      <c r="T1681" s="17" t="s">
        <v>2236</v>
      </c>
      <c r="U16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2" spans="1:31" hidden="1" x14ac:dyDescent="0.3">
      <c r="A1682" s="14" t="s">
        <v>2648</v>
      </c>
      <c r="B1682" s="14" t="s">
        <v>2371</v>
      </c>
      <c r="C1682" s="14" t="s">
        <v>4548</v>
      </c>
      <c r="D1682" s="14" t="s">
        <v>4549</v>
      </c>
      <c r="E1682" s="14" t="s">
        <v>2236</v>
      </c>
      <c r="F1682" s="8">
        <v>0</v>
      </c>
      <c r="G1682" s="14" t="s">
        <v>2237</v>
      </c>
      <c r="H1682" s="16">
        <v>0</v>
      </c>
      <c r="I1682" s="14" t="s">
        <v>2237</v>
      </c>
      <c r="J1682" s="16">
        <v>0</v>
      </c>
      <c r="K1682" s="14" t="s">
        <v>2237</v>
      </c>
      <c r="L1682" s="16">
        <v>0</v>
      </c>
      <c r="M1682" s="14" t="s">
        <v>2237</v>
      </c>
      <c r="N1682" s="8">
        <v>0</v>
      </c>
      <c r="O1682" s="14" t="s">
        <v>2237</v>
      </c>
      <c r="P1682" s="14" t="s">
        <v>2236</v>
      </c>
      <c r="Q1682" s="17" t="s">
        <v>2236</v>
      </c>
      <c r="R1682" s="17" t="s">
        <v>2236</v>
      </c>
      <c r="S1682" s="17" t="s">
        <v>2236</v>
      </c>
      <c r="T1682" s="17" t="s">
        <v>2236</v>
      </c>
      <c r="U16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3" spans="1:31" hidden="1" x14ac:dyDescent="0.3">
      <c r="A1683" s="14" t="s">
        <v>2649</v>
      </c>
      <c r="B1683" s="14" t="s">
        <v>2371</v>
      </c>
      <c r="C1683" s="14" t="s">
        <v>4550</v>
      </c>
      <c r="D1683" s="14" t="s">
        <v>4551</v>
      </c>
      <c r="E1683" s="14" t="s">
        <v>2236</v>
      </c>
      <c r="F1683" s="8">
        <v>0</v>
      </c>
      <c r="G1683" s="14" t="s">
        <v>2237</v>
      </c>
      <c r="H1683" s="16">
        <v>0</v>
      </c>
      <c r="I1683" s="14" t="s">
        <v>2237</v>
      </c>
      <c r="J1683" s="16">
        <v>0</v>
      </c>
      <c r="K1683" s="14" t="s">
        <v>2237</v>
      </c>
      <c r="L1683" s="16">
        <v>0</v>
      </c>
      <c r="M1683" s="14" t="s">
        <v>2237</v>
      </c>
      <c r="N1683" s="8">
        <v>0</v>
      </c>
      <c r="O1683" s="14" t="s">
        <v>2237</v>
      </c>
      <c r="P1683" s="14" t="s">
        <v>2236</v>
      </c>
      <c r="Q1683" s="17" t="s">
        <v>2236</v>
      </c>
      <c r="R1683" s="17" t="s">
        <v>2236</v>
      </c>
      <c r="S1683" s="17" t="s">
        <v>2236</v>
      </c>
      <c r="T1683" s="17" t="s">
        <v>2236</v>
      </c>
      <c r="U16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4" spans="1:31" hidden="1" x14ac:dyDescent="0.3">
      <c r="A1684" s="14" t="s">
        <v>2650</v>
      </c>
      <c r="B1684" s="14" t="s">
        <v>2371</v>
      </c>
      <c r="C1684" s="14" t="s">
        <v>4552</v>
      </c>
      <c r="D1684" s="14" t="s">
        <v>4553</v>
      </c>
      <c r="E1684" s="14" t="s">
        <v>2236</v>
      </c>
      <c r="F1684" s="8">
        <v>0</v>
      </c>
      <c r="G1684" s="14" t="s">
        <v>2237</v>
      </c>
      <c r="H1684" s="16">
        <v>0</v>
      </c>
      <c r="I1684" s="14" t="s">
        <v>2237</v>
      </c>
      <c r="J1684" s="16">
        <v>0</v>
      </c>
      <c r="K1684" s="14" t="s">
        <v>2237</v>
      </c>
      <c r="L1684" s="16">
        <v>0</v>
      </c>
      <c r="M1684" s="14" t="s">
        <v>2237</v>
      </c>
      <c r="N1684" s="8">
        <v>0</v>
      </c>
      <c r="O1684" s="14" t="s">
        <v>2237</v>
      </c>
      <c r="P1684" s="14" t="s">
        <v>2236</v>
      </c>
      <c r="Q1684" s="17" t="s">
        <v>2236</v>
      </c>
      <c r="R1684" s="17" t="s">
        <v>2236</v>
      </c>
      <c r="S1684" s="17" t="s">
        <v>2236</v>
      </c>
      <c r="T1684" s="17" t="s">
        <v>2236</v>
      </c>
      <c r="U16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5" spans="1:31" hidden="1" x14ac:dyDescent="0.3">
      <c r="A1685" s="14" t="s">
        <v>2651</v>
      </c>
      <c r="B1685" s="14" t="s">
        <v>2371</v>
      </c>
      <c r="C1685" s="14" t="s">
        <v>4554</v>
      </c>
      <c r="D1685" s="14" t="s">
        <v>4555</v>
      </c>
      <c r="E1685" s="14" t="s">
        <v>2236</v>
      </c>
      <c r="F1685" s="8">
        <v>0</v>
      </c>
      <c r="G1685" s="14" t="s">
        <v>2237</v>
      </c>
      <c r="H1685" s="16">
        <v>0</v>
      </c>
      <c r="I1685" s="14" t="s">
        <v>2237</v>
      </c>
      <c r="J1685" s="16">
        <v>0</v>
      </c>
      <c r="K1685" s="14" t="s">
        <v>2237</v>
      </c>
      <c r="L1685" s="16">
        <v>0</v>
      </c>
      <c r="M1685" s="14" t="s">
        <v>2237</v>
      </c>
      <c r="N1685" s="8">
        <v>0</v>
      </c>
      <c r="O1685" s="14" t="s">
        <v>2237</v>
      </c>
      <c r="P1685" s="14" t="s">
        <v>2236</v>
      </c>
      <c r="Q1685" s="17" t="s">
        <v>2236</v>
      </c>
      <c r="R1685" s="17" t="s">
        <v>2236</v>
      </c>
      <c r="S1685" s="17" t="s">
        <v>2236</v>
      </c>
      <c r="T1685" s="17" t="s">
        <v>2236</v>
      </c>
      <c r="U16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6" spans="1:31" hidden="1" x14ac:dyDescent="0.3">
      <c r="A1686" s="14" t="s">
        <v>2652</v>
      </c>
      <c r="B1686" s="14" t="s">
        <v>2371</v>
      </c>
      <c r="C1686" s="14" t="s">
        <v>4556</v>
      </c>
      <c r="D1686" s="14" t="s">
        <v>4557</v>
      </c>
      <c r="E1686" s="14" t="s">
        <v>2236</v>
      </c>
      <c r="F1686" s="8">
        <v>0</v>
      </c>
      <c r="G1686" s="14" t="s">
        <v>2237</v>
      </c>
      <c r="H1686" s="16">
        <v>0</v>
      </c>
      <c r="I1686" s="14" t="s">
        <v>2237</v>
      </c>
      <c r="J1686" s="16">
        <v>0</v>
      </c>
      <c r="K1686" s="14" t="s">
        <v>2237</v>
      </c>
      <c r="L1686" s="16">
        <v>0</v>
      </c>
      <c r="M1686" s="14" t="s">
        <v>2237</v>
      </c>
      <c r="N1686" s="8">
        <v>0</v>
      </c>
      <c r="O1686" s="14" t="s">
        <v>2237</v>
      </c>
      <c r="P1686" s="14" t="s">
        <v>2236</v>
      </c>
      <c r="Q1686" s="17" t="s">
        <v>2236</v>
      </c>
      <c r="R1686" s="17" t="s">
        <v>2236</v>
      </c>
      <c r="S1686" s="17" t="s">
        <v>2236</v>
      </c>
      <c r="T1686" s="17" t="s">
        <v>2236</v>
      </c>
      <c r="U16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7" spans="1:31" hidden="1" x14ac:dyDescent="0.3">
      <c r="A1687" s="14" t="s">
        <v>2653</v>
      </c>
      <c r="B1687" s="14" t="s">
        <v>2371</v>
      </c>
      <c r="C1687" s="14" t="s">
        <v>4558</v>
      </c>
      <c r="D1687" s="14" t="s">
        <v>4559</v>
      </c>
      <c r="E1687" s="14" t="s">
        <v>2236</v>
      </c>
      <c r="F1687" s="8">
        <v>0</v>
      </c>
      <c r="G1687" s="14" t="s">
        <v>2237</v>
      </c>
      <c r="H1687" s="16">
        <v>0</v>
      </c>
      <c r="I1687" s="14" t="s">
        <v>2237</v>
      </c>
      <c r="J1687" s="16">
        <v>0</v>
      </c>
      <c r="K1687" s="14" t="s">
        <v>2237</v>
      </c>
      <c r="L1687" s="16">
        <v>0</v>
      </c>
      <c r="M1687" s="14" t="s">
        <v>2237</v>
      </c>
      <c r="N1687" s="8">
        <v>0</v>
      </c>
      <c r="O1687" s="14" t="s">
        <v>2237</v>
      </c>
      <c r="P1687" s="14" t="s">
        <v>2236</v>
      </c>
      <c r="Q1687" s="17" t="s">
        <v>2236</v>
      </c>
      <c r="R1687" s="17" t="s">
        <v>2236</v>
      </c>
      <c r="S1687" s="17" t="s">
        <v>2236</v>
      </c>
      <c r="T1687" s="17" t="s">
        <v>2236</v>
      </c>
      <c r="U16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8" spans="1:31" hidden="1" x14ac:dyDescent="0.3">
      <c r="A1688" s="14" t="s">
        <v>2654</v>
      </c>
      <c r="B1688" s="14" t="s">
        <v>2371</v>
      </c>
      <c r="C1688" s="14" t="s">
        <v>4560</v>
      </c>
      <c r="D1688" s="14" t="s">
        <v>4561</v>
      </c>
      <c r="E1688" s="14" t="s">
        <v>2236</v>
      </c>
      <c r="F1688" s="8">
        <v>0</v>
      </c>
      <c r="G1688" s="14" t="s">
        <v>2237</v>
      </c>
      <c r="H1688" s="16">
        <v>0</v>
      </c>
      <c r="I1688" s="14" t="s">
        <v>2237</v>
      </c>
      <c r="J1688" s="16">
        <v>0</v>
      </c>
      <c r="K1688" s="14" t="s">
        <v>2237</v>
      </c>
      <c r="L1688" s="16">
        <v>0</v>
      </c>
      <c r="M1688" s="14" t="s">
        <v>2237</v>
      </c>
      <c r="N1688" s="8">
        <v>0</v>
      </c>
      <c r="O1688" s="14" t="s">
        <v>2237</v>
      </c>
      <c r="P1688" s="14" t="s">
        <v>2236</v>
      </c>
      <c r="Q1688" s="17" t="s">
        <v>2236</v>
      </c>
      <c r="R1688" s="17" t="s">
        <v>2236</v>
      </c>
      <c r="S1688" s="17" t="s">
        <v>2236</v>
      </c>
      <c r="T1688" s="17" t="s">
        <v>2236</v>
      </c>
      <c r="U16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89" spans="1:31" hidden="1" x14ac:dyDescent="0.3">
      <c r="A1689" s="14" t="s">
        <v>2655</v>
      </c>
      <c r="B1689" s="14" t="s">
        <v>2371</v>
      </c>
      <c r="C1689" s="14" t="s">
        <v>4562</v>
      </c>
      <c r="D1689" s="14" t="s">
        <v>4563</v>
      </c>
      <c r="E1689" s="14" t="s">
        <v>2236</v>
      </c>
      <c r="F1689" s="8">
        <v>0</v>
      </c>
      <c r="G1689" s="14" t="s">
        <v>2237</v>
      </c>
      <c r="H1689" s="16">
        <v>0</v>
      </c>
      <c r="I1689" s="14" t="s">
        <v>2237</v>
      </c>
      <c r="J1689" s="16">
        <v>0</v>
      </c>
      <c r="K1689" s="14" t="s">
        <v>2237</v>
      </c>
      <c r="L1689" s="16">
        <v>0</v>
      </c>
      <c r="M1689" s="14" t="s">
        <v>2237</v>
      </c>
      <c r="N1689" s="8">
        <v>0</v>
      </c>
      <c r="O1689" s="14" t="s">
        <v>2237</v>
      </c>
      <c r="P1689" s="14" t="s">
        <v>2236</v>
      </c>
      <c r="Q1689" s="17" t="s">
        <v>2236</v>
      </c>
      <c r="R1689" s="17" t="s">
        <v>2236</v>
      </c>
      <c r="S1689" s="17" t="s">
        <v>2236</v>
      </c>
      <c r="T1689" s="17" t="s">
        <v>2236</v>
      </c>
      <c r="U16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0" spans="1:31" hidden="1" x14ac:dyDescent="0.3">
      <c r="A1690" s="14" t="s">
        <v>2657</v>
      </c>
      <c r="B1690" s="14" t="s">
        <v>2371</v>
      </c>
      <c r="C1690" s="14" t="s">
        <v>4564</v>
      </c>
      <c r="D1690" s="14" t="s">
        <v>4565</v>
      </c>
      <c r="E1690" s="14" t="s">
        <v>2236</v>
      </c>
      <c r="F1690" s="8">
        <v>0</v>
      </c>
      <c r="G1690" s="14" t="s">
        <v>2237</v>
      </c>
      <c r="H1690" s="16">
        <v>0</v>
      </c>
      <c r="I1690" s="14" t="s">
        <v>2237</v>
      </c>
      <c r="J1690" s="16">
        <v>0</v>
      </c>
      <c r="K1690" s="14" t="s">
        <v>2237</v>
      </c>
      <c r="L1690" s="16">
        <v>0</v>
      </c>
      <c r="M1690" s="14" t="s">
        <v>2237</v>
      </c>
      <c r="N1690" s="8">
        <v>0</v>
      </c>
      <c r="O1690" s="14" t="s">
        <v>2237</v>
      </c>
      <c r="P1690" s="14" t="s">
        <v>2236</v>
      </c>
      <c r="Q1690" s="17" t="s">
        <v>2236</v>
      </c>
      <c r="R1690" s="17" t="s">
        <v>2236</v>
      </c>
      <c r="S1690" s="17" t="s">
        <v>2236</v>
      </c>
      <c r="T1690" s="17" t="s">
        <v>2236</v>
      </c>
      <c r="U16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1" spans="1:31" hidden="1" x14ac:dyDescent="0.3">
      <c r="A1691" s="14" t="s">
        <v>2658</v>
      </c>
      <c r="B1691" s="14" t="s">
        <v>2371</v>
      </c>
      <c r="C1691" s="14" t="s">
        <v>4566</v>
      </c>
      <c r="D1691" s="14" t="s">
        <v>4567</v>
      </c>
      <c r="E1691" s="14" t="s">
        <v>2236</v>
      </c>
      <c r="F1691" s="8">
        <v>0</v>
      </c>
      <c r="G1691" s="14" t="s">
        <v>2237</v>
      </c>
      <c r="H1691" s="16">
        <v>0</v>
      </c>
      <c r="I1691" s="14" t="s">
        <v>2237</v>
      </c>
      <c r="J1691" s="16">
        <v>0</v>
      </c>
      <c r="K1691" s="14" t="s">
        <v>2237</v>
      </c>
      <c r="L1691" s="16">
        <v>0</v>
      </c>
      <c r="M1691" s="14" t="s">
        <v>2237</v>
      </c>
      <c r="N1691" s="8">
        <v>0</v>
      </c>
      <c r="O1691" s="14" t="s">
        <v>2237</v>
      </c>
      <c r="P1691" s="14" t="s">
        <v>2236</v>
      </c>
      <c r="Q1691" s="17" t="s">
        <v>2236</v>
      </c>
      <c r="R1691" s="17" t="s">
        <v>2236</v>
      </c>
      <c r="S1691" s="17" t="s">
        <v>2236</v>
      </c>
      <c r="T1691" s="17" t="s">
        <v>2236</v>
      </c>
      <c r="U16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2" spans="1:31" hidden="1" x14ac:dyDescent="0.3">
      <c r="A1692" s="14" t="s">
        <v>2659</v>
      </c>
      <c r="B1692" s="14" t="s">
        <v>2371</v>
      </c>
      <c r="C1692" s="14" t="s">
        <v>4568</v>
      </c>
      <c r="D1692" s="14" t="s">
        <v>4569</v>
      </c>
      <c r="E1692" s="14" t="s">
        <v>2236</v>
      </c>
      <c r="F1692" s="8">
        <v>0</v>
      </c>
      <c r="G1692" s="14" t="s">
        <v>2237</v>
      </c>
      <c r="H1692" s="16">
        <v>0</v>
      </c>
      <c r="I1692" s="14" t="s">
        <v>2237</v>
      </c>
      <c r="J1692" s="16">
        <v>0</v>
      </c>
      <c r="K1692" s="14" t="s">
        <v>2237</v>
      </c>
      <c r="L1692" s="16">
        <v>0</v>
      </c>
      <c r="M1692" s="14" t="s">
        <v>2237</v>
      </c>
      <c r="N1692" s="8">
        <v>0</v>
      </c>
      <c r="O1692" s="14" t="s">
        <v>2237</v>
      </c>
      <c r="P1692" s="14" t="s">
        <v>2236</v>
      </c>
      <c r="Q1692" s="17" t="s">
        <v>2236</v>
      </c>
      <c r="R1692" s="17" t="s">
        <v>2236</v>
      </c>
      <c r="S1692" s="17" t="s">
        <v>2236</v>
      </c>
      <c r="T1692" s="17" t="s">
        <v>2236</v>
      </c>
      <c r="U16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3" spans="1:31" hidden="1" x14ac:dyDescent="0.3">
      <c r="A1693" s="14" t="s">
        <v>2660</v>
      </c>
      <c r="B1693" s="14" t="s">
        <v>2371</v>
      </c>
      <c r="C1693" s="14" t="s">
        <v>4570</v>
      </c>
      <c r="D1693" s="14" t="s">
        <v>4571</v>
      </c>
      <c r="E1693" s="14" t="s">
        <v>2236</v>
      </c>
      <c r="F1693" s="8">
        <v>0</v>
      </c>
      <c r="G1693" s="14" t="s">
        <v>2237</v>
      </c>
      <c r="H1693" s="16">
        <v>0</v>
      </c>
      <c r="I1693" s="14" t="s">
        <v>2237</v>
      </c>
      <c r="J1693" s="16">
        <v>0</v>
      </c>
      <c r="K1693" s="14" t="s">
        <v>2237</v>
      </c>
      <c r="L1693" s="16">
        <v>0</v>
      </c>
      <c r="M1693" s="14" t="s">
        <v>2237</v>
      </c>
      <c r="N1693" s="8">
        <v>0</v>
      </c>
      <c r="O1693" s="14" t="s">
        <v>2237</v>
      </c>
      <c r="P1693" s="14" t="s">
        <v>2236</v>
      </c>
      <c r="Q1693" s="17" t="s">
        <v>2236</v>
      </c>
      <c r="R1693" s="17" t="s">
        <v>2236</v>
      </c>
      <c r="S1693" s="17" t="s">
        <v>2236</v>
      </c>
      <c r="T1693" s="17" t="s">
        <v>2236</v>
      </c>
      <c r="U16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4" spans="1:31" hidden="1" x14ac:dyDescent="0.3">
      <c r="A1694" s="14" t="s">
        <v>2661</v>
      </c>
      <c r="B1694" s="14" t="s">
        <v>2371</v>
      </c>
      <c r="C1694" s="14" t="s">
        <v>4572</v>
      </c>
      <c r="D1694" s="14" t="s">
        <v>4573</v>
      </c>
      <c r="E1694" s="14" t="s">
        <v>2236</v>
      </c>
      <c r="F1694" s="8">
        <v>0</v>
      </c>
      <c r="G1694" s="14" t="s">
        <v>2237</v>
      </c>
      <c r="H1694" s="16">
        <v>0</v>
      </c>
      <c r="I1694" s="14" t="s">
        <v>2237</v>
      </c>
      <c r="J1694" s="16">
        <v>0</v>
      </c>
      <c r="K1694" s="14" t="s">
        <v>2237</v>
      </c>
      <c r="L1694" s="16">
        <v>0</v>
      </c>
      <c r="M1694" s="14" t="s">
        <v>2237</v>
      </c>
      <c r="N1694" s="8">
        <v>0</v>
      </c>
      <c r="O1694" s="14" t="s">
        <v>2237</v>
      </c>
      <c r="P1694" s="14" t="s">
        <v>2236</v>
      </c>
      <c r="Q1694" s="17" t="s">
        <v>2236</v>
      </c>
      <c r="R1694" s="17" t="s">
        <v>2236</v>
      </c>
      <c r="S1694" s="17" t="s">
        <v>2236</v>
      </c>
      <c r="T1694" s="17" t="s">
        <v>2236</v>
      </c>
      <c r="U16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5" spans="1:31" hidden="1" x14ac:dyDescent="0.3">
      <c r="A1695" s="14" t="s">
        <v>2662</v>
      </c>
      <c r="B1695" s="14" t="s">
        <v>2366</v>
      </c>
      <c r="C1695" s="14" t="s">
        <v>4574</v>
      </c>
      <c r="D1695" s="14" t="s">
        <v>4575</v>
      </c>
      <c r="E1695" s="14" t="s">
        <v>2236</v>
      </c>
      <c r="F1695" s="8">
        <v>0</v>
      </c>
      <c r="G1695" s="14" t="s">
        <v>2237</v>
      </c>
      <c r="H1695" s="16">
        <v>0</v>
      </c>
      <c r="I1695" s="14" t="s">
        <v>2237</v>
      </c>
      <c r="J1695" s="16">
        <v>0</v>
      </c>
      <c r="K1695" s="14" t="s">
        <v>2237</v>
      </c>
      <c r="L1695" s="16">
        <v>0</v>
      </c>
      <c r="M1695" s="14" t="s">
        <v>2237</v>
      </c>
      <c r="N1695" s="8">
        <v>22.94</v>
      </c>
      <c r="O1695" s="14" t="s">
        <v>2237</v>
      </c>
      <c r="P1695" s="14" t="s">
        <v>2236</v>
      </c>
      <c r="Q1695" s="17" t="s">
        <v>2236</v>
      </c>
      <c r="R1695" s="17" t="s">
        <v>2236</v>
      </c>
      <c r="S1695" s="17" t="s">
        <v>2236</v>
      </c>
      <c r="T1695" s="17" t="s">
        <v>2866</v>
      </c>
      <c r="U16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6" spans="1:31" hidden="1" x14ac:dyDescent="0.3">
      <c r="A1696" s="14" t="s">
        <v>2663</v>
      </c>
      <c r="B1696" s="14" t="s">
        <v>2371</v>
      </c>
      <c r="C1696" s="14" t="s">
        <v>4576</v>
      </c>
      <c r="D1696" s="14" t="s">
        <v>4577</v>
      </c>
      <c r="E1696" s="14" t="s">
        <v>2236</v>
      </c>
      <c r="F1696" s="8">
        <v>0</v>
      </c>
      <c r="G1696" s="14" t="s">
        <v>2237</v>
      </c>
      <c r="H1696" s="16">
        <v>0</v>
      </c>
      <c r="I1696" s="14" t="s">
        <v>2237</v>
      </c>
      <c r="J1696" s="16">
        <v>0</v>
      </c>
      <c r="K1696" s="14" t="s">
        <v>2237</v>
      </c>
      <c r="L1696" s="16">
        <v>0</v>
      </c>
      <c r="M1696" s="14" t="s">
        <v>2237</v>
      </c>
      <c r="N1696" s="8">
        <v>0</v>
      </c>
      <c r="O1696" s="14" t="s">
        <v>2237</v>
      </c>
      <c r="P1696" s="14" t="s">
        <v>2236</v>
      </c>
      <c r="Q1696" s="17" t="s">
        <v>2236</v>
      </c>
      <c r="R1696" s="17" t="s">
        <v>2236</v>
      </c>
      <c r="S1696" s="17" t="s">
        <v>2236</v>
      </c>
      <c r="T1696" s="17" t="s">
        <v>2236</v>
      </c>
      <c r="U16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7" spans="1:31" hidden="1" x14ac:dyDescent="0.3">
      <c r="A1697" s="14" t="s">
        <v>2664</v>
      </c>
      <c r="B1697" s="14" t="s">
        <v>2371</v>
      </c>
      <c r="C1697" s="14" t="s">
        <v>4578</v>
      </c>
      <c r="D1697" s="14" t="s">
        <v>4579</v>
      </c>
      <c r="E1697" s="14" t="s">
        <v>2236</v>
      </c>
      <c r="F1697" s="8">
        <v>0</v>
      </c>
      <c r="G1697" s="14" t="s">
        <v>2237</v>
      </c>
      <c r="H1697" s="16">
        <v>0</v>
      </c>
      <c r="I1697" s="14" t="s">
        <v>2237</v>
      </c>
      <c r="J1697" s="16">
        <v>0</v>
      </c>
      <c r="K1697" s="14" t="s">
        <v>2237</v>
      </c>
      <c r="L1697" s="16">
        <v>0</v>
      </c>
      <c r="M1697" s="14" t="s">
        <v>2237</v>
      </c>
      <c r="N1697" s="8">
        <v>0</v>
      </c>
      <c r="O1697" s="14" t="s">
        <v>2237</v>
      </c>
      <c r="P1697" s="14" t="s">
        <v>2236</v>
      </c>
      <c r="Q1697" s="17" t="s">
        <v>2236</v>
      </c>
      <c r="R1697" s="17" t="s">
        <v>2236</v>
      </c>
      <c r="S1697" s="17" t="s">
        <v>2236</v>
      </c>
      <c r="T1697" s="17" t="s">
        <v>2236</v>
      </c>
      <c r="U16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8" spans="1:31" hidden="1" x14ac:dyDescent="0.3">
      <c r="A1698" s="14" t="s">
        <v>2665</v>
      </c>
      <c r="B1698" s="14" t="s">
        <v>2371</v>
      </c>
      <c r="C1698" s="14" t="s">
        <v>4580</v>
      </c>
      <c r="D1698" s="14" t="s">
        <v>4581</v>
      </c>
      <c r="E1698" s="14" t="s">
        <v>2236</v>
      </c>
      <c r="F1698" s="8">
        <v>0</v>
      </c>
      <c r="G1698" s="14" t="s">
        <v>2237</v>
      </c>
      <c r="H1698" s="16">
        <v>0</v>
      </c>
      <c r="I1698" s="14" t="s">
        <v>2237</v>
      </c>
      <c r="J1698" s="16">
        <v>0</v>
      </c>
      <c r="K1698" s="14" t="s">
        <v>2237</v>
      </c>
      <c r="L1698" s="16">
        <v>0</v>
      </c>
      <c r="M1698" s="14" t="s">
        <v>2237</v>
      </c>
      <c r="N1698" s="8">
        <v>0</v>
      </c>
      <c r="O1698" s="14" t="s">
        <v>2237</v>
      </c>
      <c r="P1698" s="14" t="s">
        <v>2236</v>
      </c>
      <c r="Q1698" s="17" t="s">
        <v>2236</v>
      </c>
      <c r="R1698" s="17" t="s">
        <v>2236</v>
      </c>
      <c r="S1698" s="17" t="s">
        <v>2236</v>
      </c>
      <c r="T1698" s="17" t="s">
        <v>2236</v>
      </c>
      <c r="U16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699" spans="1:31" hidden="1" x14ac:dyDescent="0.3">
      <c r="A1699" s="14" t="s">
        <v>2666</v>
      </c>
      <c r="B1699" s="14" t="s">
        <v>2371</v>
      </c>
      <c r="C1699" s="14" t="s">
        <v>4582</v>
      </c>
      <c r="D1699" s="14" t="s">
        <v>4583</v>
      </c>
      <c r="E1699" s="14" t="s">
        <v>2236</v>
      </c>
      <c r="F1699" s="8">
        <v>0</v>
      </c>
      <c r="G1699" s="14" t="s">
        <v>2237</v>
      </c>
      <c r="H1699" s="16">
        <v>0</v>
      </c>
      <c r="I1699" s="14" t="s">
        <v>2237</v>
      </c>
      <c r="J1699" s="16">
        <v>0</v>
      </c>
      <c r="K1699" s="14" t="s">
        <v>2237</v>
      </c>
      <c r="L1699" s="16">
        <v>0</v>
      </c>
      <c r="M1699" s="14" t="s">
        <v>2237</v>
      </c>
      <c r="N1699" s="8">
        <v>0</v>
      </c>
      <c r="O1699" s="14" t="s">
        <v>2237</v>
      </c>
      <c r="P1699" s="14" t="s">
        <v>2236</v>
      </c>
      <c r="Q1699" s="17" t="s">
        <v>2236</v>
      </c>
      <c r="R1699" s="17" t="s">
        <v>2236</v>
      </c>
      <c r="S1699" s="17" t="s">
        <v>2236</v>
      </c>
      <c r="T1699" s="17" t="s">
        <v>2236</v>
      </c>
      <c r="U16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6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6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6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6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6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6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6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6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6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6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0" spans="1:31" hidden="1" x14ac:dyDescent="0.3">
      <c r="A1700" s="14" t="s">
        <v>2667</v>
      </c>
      <c r="B1700" s="14" t="s">
        <v>2371</v>
      </c>
      <c r="C1700" s="14" t="s">
        <v>4584</v>
      </c>
      <c r="D1700" s="14" t="s">
        <v>4585</v>
      </c>
      <c r="E1700" s="14" t="s">
        <v>2236</v>
      </c>
      <c r="F1700" s="8">
        <v>0</v>
      </c>
      <c r="G1700" s="14" t="s">
        <v>2237</v>
      </c>
      <c r="H1700" s="16">
        <v>0</v>
      </c>
      <c r="I1700" s="14" t="s">
        <v>2237</v>
      </c>
      <c r="J1700" s="16">
        <v>0</v>
      </c>
      <c r="K1700" s="14" t="s">
        <v>2237</v>
      </c>
      <c r="L1700" s="16">
        <v>0</v>
      </c>
      <c r="M1700" s="14" t="s">
        <v>2237</v>
      </c>
      <c r="N1700" s="8">
        <v>0</v>
      </c>
      <c r="O1700" s="14" t="s">
        <v>2237</v>
      </c>
      <c r="P1700" s="14" t="s">
        <v>2236</v>
      </c>
      <c r="Q1700" s="17" t="s">
        <v>2236</v>
      </c>
      <c r="R1700" s="17" t="s">
        <v>2236</v>
      </c>
      <c r="S1700" s="17" t="s">
        <v>2236</v>
      </c>
      <c r="T1700" s="17" t="s">
        <v>2236</v>
      </c>
      <c r="U17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1" spans="1:31" hidden="1" x14ac:dyDescent="0.3">
      <c r="A1701" s="14" t="s">
        <v>2668</v>
      </c>
      <c r="B1701" s="14" t="s">
        <v>2371</v>
      </c>
      <c r="C1701" s="14" t="s">
        <v>4586</v>
      </c>
      <c r="D1701" s="14" t="s">
        <v>4587</v>
      </c>
      <c r="E1701" s="14" t="s">
        <v>2236</v>
      </c>
      <c r="F1701" s="8">
        <v>0</v>
      </c>
      <c r="G1701" s="14" t="s">
        <v>2237</v>
      </c>
      <c r="H1701" s="16">
        <v>0</v>
      </c>
      <c r="I1701" s="14" t="s">
        <v>2237</v>
      </c>
      <c r="J1701" s="16">
        <v>0</v>
      </c>
      <c r="K1701" s="14" t="s">
        <v>2237</v>
      </c>
      <c r="L1701" s="16">
        <v>0</v>
      </c>
      <c r="M1701" s="14" t="s">
        <v>2237</v>
      </c>
      <c r="N1701" s="8">
        <v>0</v>
      </c>
      <c r="O1701" s="14" t="s">
        <v>2237</v>
      </c>
      <c r="P1701" s="14" t="s">
        <v>2236</v>
      </c>
      <c r="Q1701" s="17" t="s">
        <v>2236</v>
      </c>
      <c r="R1701" s="17" t="s">
        <v>2236</v>
      </c>
      <c r="S1701" s="17" t="s">
        <v>2236</v>
      </c>
      <c r="T1701" s="17" t="s">
        <v>2236</v>
      </c>
      <c r="U17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2" spans="1:31" hidden="1" x14ac:dyDescent="0.3">
      <c r="A1702" s="14" t="s">
        <v>2669</v>
      </c>
      <c r="B1702" s="14" t="s">
        <v>2371</v>
      </c>
      <c r="C1702" s="14" t="s">
        <v>4588</v>
      </c>
      <c r="D1702" s="14" t="s">
        <v>4589</v>
      </c>
      <c r="E1702" s="14" t="s">
        <v>2236</v>
      </c>
      <c r="F1702" s="8">
        <v>0</v>
      </c>
      <c r="G1702" s="14" t="s">
        <v>2237</v>
      </c>
      <c r="H1702" s="16">
        <v>0</v>
      </c>
      <c r="I1702" s="14" t="s">
        <v>2237</v>
      </c>
      <c r="J1702" s="16">
        <v>0</v>
      </c>
      <c r="K1702" s="14" t="s">
        <v>2237</v>
      </c>
      <c r="L1702" s="16">
        <v>0</v>
      </c>
      <c r="M1702" s="14" t="s">
        <v>2237</v>
      </c>
      <c r="N1702" s="8">
        <v>0</v>
      </c>
      <c r="O1702" s="14" t="s">
        <v>2237</v>
      </c>
      <c r="P1702" s="14" t="s">
        <v>2236</v>
      </c>
      <c r="Q1702" s="17" t="s">
        <v>2236</v>
      </c>
      <c r="R1702" s="17" t="s">
        <v>2236</v>
      </c>
      <c r="S1702" s="17" t="s">
        <v>2236</v>
      </c>
      <c r="T1702" s="17" t="s">
        <v>2236</v>
      </c>
      <c r="U17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3" spans="1:31" hidden="1" x14ac:dyDescent="0.3">
      <c r="A1703" s="14" t="s">
        <v>2670</v>
      </c>
      <c r="B1703" s="14" t="s">
        <v>2371</v>
      </c>
      <c r="C1703" s="14" t="s">
        <v>4590</v>
      </c>
      <c r="D1703" s="14" t="s">
        <v>4591</v>
      </c>
      <c r="E1703" s="14" t="s">
        <v>2236</v>
      </c>
      <c r="F1703" s="8">
        <v>0</v>
      </c>
      <c r="G1703" s="14" t="s">
        <v>2237</v>
      </c>
      <c r="H1703" s="16">
        <v>0</v>
      </c>
      <c r="I1703" s="14" t="s">
        <v>2237</v>
      </c>
      <c r="J1703" s="16">
        <v>0</v>
      </c>
      <c r="K1703" s="14" t="s">
        <v>2237</v>
      </c>
      <c r="L1703" s="16">
        <v>0</v>
      </c>
      <c r="M1703" s="14" t="s">
        <v>2237</v>
      </c>
      <c r="N1703" s="8">
        <v>0</v>
      </c>
      <c r="O1703" s="14" t="s">
        <v>2237</v>
      </c>
      <c r="P1703" s="14" t="s">
        <v>2236</v>
      </c>
      <c r="Q1703" s="17" t="s">
        <v>2236</v>
      </c>
      <c r="R1703" s="17" t="s">
        <v>2236</v>
      </c>
      <c r="S1703" s="17" t="s">
        <v>2236</v>
      </c>
      <c r="T1703" s="17" t="s">
        <v>2236</v>
      </c>
      <c r="U17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4" spans="1:31" hidden="1" x14ac:dyDescent="0.3">
      <c r="A1704" s="14" t="s">
        <v>2671</v>
      </c>
      <c r="B1704" s="14" t="s">
        <v>2371</v>
      </c>
      <c r="C1704" s="14" t="s">
        <v>4592</v>
      </c>
      <c r="D1704" s="14" t="s">
        <v>4593</v>
      </c>
      <c r="E1704" s="14" t="s">
        <v>2236</v>
      </c>
      <c r="F1704" s="8">
        <v>0</v>
      </c>
      <c r="G1704" s="14" t="s">
        <v>2237</v>
      </c>
      <c r="H1704" s="16">
        <v>0</v>
      </c>
      <c r="I1704" s="14" t="s">
        <v>2237</v>
      </c>
      <c r="J1704" s="16">
        <v>0</v>
      </c>
      <c r="K1704" s="14" t="s">
        <v>2237</v>
      </c>
      <c r="L1704" s="16">
        <v>0</v>
      </c>
      <c r="M1704" s="14" t="s">
        <v>2237</v>
      </c>
      <c r="N1704" s="8">
        <v>0</v>
      </c>
      <c r="O1704" s="14" t="s">
        <v>2237</v>
      </c>
      <c r="P1704" s="14" t="s">
        <v>2236</v>
      </c>
      <c r="Q1704" s="17" t="s">
        <v>2236</v>
      </c>
      <c r="R1704" s="17" t="s">
        <v>2236</v>
      </c>
      <c r="S1704" s="17" t="s">
        <v>2236</v>
      </c>
      <c r="T1704" s="17" t="s">
        <v>2236</v>
      </c>
      <c r="U17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5" spans="1:31" hidden="1" x14ac:dyDescent="0.3">
      <c r="A1705" s="14" t="s">
        <v>2672</v>
      </c>
      <c r="B1705" s="14" t="s">
        <v>2371</v>
      </c>
      <c r="C1705" s="14" t="s">
        <v>4594</v>
      </c>
      <c r="D1705" s="14" t="s">
        <v>4595</v>
      </c>
      <c r="E1705" s="14" t="s">
        <v>2236</v>
      </c>
      <c r="F1705" s="8">
        <v>0</v>
      </c>
      <c r="G1705" s="14" t="s">
        <v>2237</v>
      </c>
      <c r="H1705" s="16">
        <v>0</v>
      </c>
      <c r="I1705" s="14" t="s">
        <v>2237</v>
      </c>
      <c r="J1705" s="16">
        <v>0</v>
      </c>
      <c r="K1705" s="14" t="s">
        <v>2237</v>
      </c>
      <c r="L1705" s="16">
        <v>0</v>
      </c>
      <c r="M1705" s="14" t="s">
        <v>2237</v>
      </c>
      <c r="N1705" s="8">
        <v>0</v>
      </c>
      <c r="O1705" s="14" t="s">
        <v>2237</v>
      </c>
      <c r="P1705" s="14" t="s">
        <v>2236</v>
      </c>
      <c r="Q1705" s="17" t="s">
        <v>2236</v>
      </c>
      <c r="R1705" s="17" t="s">
        <v>2236</v>
      </c>
      <c r="S1705" s="17" t="s">
        <v>2236</v>
      </c>
      <c r="T1705" s="17" t="s">
        <v>2236</v>
      </c>
      <c r="U17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6" spans="1:31" hidden="1" x14ac:dyDescent="0.3">
      <c r="A1706" s="14" t="s">
        <v>2673</v>
      </c>
      <c r="B1706" s="14" t="s">
        <v>2371</v>
      </c>
      <c r="C1706" s="14" t="s">
        <v>4596</v>
      </c>
      <c r="D1706" s="14" t="s">
        <v>4597</v>
      </c>
      <c r="E1706" s="14" t="s">
        <v>2236</v>
      </c>
      <c r="F1706" s="8">
        <v>0</v>
      </c>
      <c r="G1706" s="14" t="s">
        <v>2237</v>
      </c>
      <c r="H1706" s="16">
        <v>0</v>
      </c>
      <c r="I1706" s="14" t="s">
        <v>2237</v>
      </c>
      <c r="J1706" s="16">
        <v>0</v>
      </c>
      <c r="K1706" s="14" t="s">
        <v>2237</v>
      </c>
      <c r="L1706" s="16">
        <v>0</v>
      </c>
      <c r="M1706" s="14" t="s">
        <v>2237</v>
      </c>
      <c r="N1706" s="8">
        <v>0</v>
      </c>
      <c r="O1706" s="14" t="s">
        <v>2237</v>
      </c>
      <c r="P1706" s="14" t="s">
        <v>2236</v>
      </c>
      <c r="Q1706" s="17" t="s">
        <v>2236</v>
      </c>
      <c r="R1706" s="17" t="s">
        <v>2236</v>
      </c>
      <c r="S1706" s="17" t="s">
        <v>2236</v>
      </c>
      <c r="T1706" s="17" t="s">
        <v>2236</v>
      </c>
      <c r="U17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7" spans="1:31" hidden="1" x14ac:dyDescent="0.3">
      <c r="A1707" s="14" t="s">
        <v>2674</v>
      </c>
      <c r="B1707" s="14" t="s">
        <v>2371</v>
      </c>
      <c r="C1707" s="14" t="s">
        <v>4598</v>
      </c>
      <c r="D1707" s="14" t="s">
        <v>4599</v>
      </c>
      <c r="E1707" s="14" t="s">
        <v>2236</v>
      </c>
      <c r="F1707" s="8">
        <v>0</v>
      </c>
      <c r="G1707" s="14" t="s">
        <v>2237</v>
      </c>
      <c r="H1707" s="16">
        <v>0</v>
      </c>
      <c r="I1707" s="14" t="s">
        <v>2237</v>
      </c>
      <c r="J1707" s="16">
        <v>0</v>
      </c>
      <c r="K1707" s="14" t="s">
        <v>2237</v>
      </c>
      <c r="L1707" s="16">
        <v>0</v>
      </c>
      <c r="M1707" s="14" t="s">
        <v>2237</v>
      </c>
      <c r="N1707" s="8">
        <v>0</v>
      </c>
      <c r="O1707" s="14" t="s">
        <v>2237</v>
      </c>
      <c r="P1707" s="14" t="s">
        <v>2236</v>
      </c>
      <c r="Q1707" s="17" t="s">
        <v>2236</v>
      </c>
      <c r="R1707" s="17" t="s">
        <v>2236</v>
      </c>
      <c r="S1707" s="17" t="s">
        <v>2236</v>
      </c>
      <c r="T1707" s="17" t="s">
        <v>2236</v>
      </c>
      <c r="U17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8" spans="1:31" hidden="1" x14ac:dyDescent="0.3">
      <c r="A1708" s="14" t="s">
        <v>2675</v>
      </c>
      <c r="B1708" s="14" t="s">
        <v>2371</v>
      </c>
      <c r="C1708" s="14" t="s">
        <v>4600</v>
      </c>
      <c r="D1708" s="14" t="s">
        <v>4601</v>
      </c>
      <c r="E1708" s="14" t="s">
        <v>2236</v>
      </c>
      <c r="F1708" s="8">
        <v>0</v>
      </c>
      <c r="G1708" s="14" t="s">
        <v>2237</v>
      </c>
      <c r="H1708" s="16">
        <v>0</v>
      </c>
      <c r="I1708" s="14" t="s">
        <v>2237</v>
      </c>
      <c r="J1708" s="16">
        <v>0</v>
      </c>
      <c r="K1708" s="14" t="s">
        <v>2237</v>
      </c>
      <c r="L1708" s="16">
        <v>0</v>
      </c>
      <c r="M1708" s="14" t="s">
        <v>2237</v>
      </c>
      <c r="N1708" s="8">
        <v>0</v>
      </c>
      <c r="O1708" s="14" t="s">
        <v>2237</v>
      </c>
      <c r="P1708" s="14" t="s">
        <v>2236</v>
      </c>
      <c r="Q1708" s="17" t="s">
        <v>2236</v>
      </c>
      <c r="R1708" s="17" t="s">
        <v>2236</v>
      </c>
      <c r="S1708" s="17" t="s">
        <v>2236</v>
      </c>
      <c r="T1708" s="17" t="s">
        <v>2236</v>
      </c>
      <c r="U17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09" spans="1:31" hidden="1" x14ac:dyDescent="0.3">
      <c r="A1709" s="14" t="s">
        <v>2676</v>
      </c>
      <c r="B1709" s="14" t="s">
        <v>2371</v>
      </c>
      <c r="C1709" s="14" t="s">
        <v>4602</v>
      </c>
      <c r="D1709" s="14" t="s">
        <v>4603</v>
      </c>
      <c r="E1709" s="14" t="s">
        <v>2236</v>
      </c>
      <c r="F1709" s="8">
        <v>0</v>
      </c>
      <c r="G1709" s="14" t="s">
        <v>2237</v>
      </c>
      <c r="H1709" s="16">
        <v>0</v>
      </c>
      <c r="I1709" s="14" t="s">
        <v>2237</v>
      </c>
      <c r="J1709" s="16">
        <v>0</v>
      </c>
      <c r="K1709" s="14" t="s">
        <v>2237</v>
      </c>
      <c r="L1709" s="16">
        <v>0</v>
      </c>
      <c r="M1709" s="14" t="s">
        <v>2237</v>
      </c>
      <c r="N1709" s="8">
        <v>0</v>
      </c>
      <c r="O1709" s="14" t="s">
        <v>2237</v>
      </c>
      <c r="P1709" s="14" t="s">
        <v>2236</v>
      </c>
      <c r="Q1709" s="17" t="s">
        <v>2236</v>
      </c>
      <c r="R1709" s="17" t="s">
        <v>2236</v>
      </c>
      <c r="S1709" s="17" t="s">
        <v>2236</v>
      </c>
      <c r="T1709" s="17" t="s">
        <v>2236</v>
      </c>
      <c r="U17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0" spans="1:31" hidden="1" x14ac:dyDescent="0.3">
      <c r="A1710" s="14" t="s">
        <v>2677</v>
      </c>
      <c r="B1710" s="14" t="s">
        <v>2366</v>
      </c>
      <c r="C1710" s="14" t="s">
        <v>4604</v>
      </c>
      <c r="D1710" s="14" t="s">
        <v>4605</v>
      </c>
      <c r="E1710" s="14" t="s">
        <v>2236</v>
      </c>
      <c r="F1710" s="8">
        <v>0</v>
      </c>
      <c r="G1710" s="14" t="s">
        <v>2237</v>
      </c>
      <c r="H1710" s="16">
        <v>0</v>
      </c>
      <c r="I1710" s="14" t="s">
        <v>2237</v>
      </c>
      <c r="J1710" s="16">
        <v>0</v>
      </c>
      <c r="K1710" s="14" t="s">
        <v>2237</v>
      </c>
      <c r="L1710" s="16">
        <v>0</v>
      </c>
      <c r="M1710" s="14" t="s">
        <v>2237</v>
      </c>
      <c r="N1710" s="8">
        <v>0.91</v>
      </c>
      <c r="O1710" s="14" t="s">
        <v>2237</v>
      </c>
      <c r="P1710" s="14" t="s">
        <v>2236</v>
      </c>
      <c r="Q1710" s="17" t="s">
        <v>2236</v>
      </c>
      <c r="R1710" s="17" t="s">
        <v>2236</v>
      </c>
      <c r="S1710" s="17" t="s">
        <v>2236</v>
      </c>
      <c r="T1710" s="17" t="s">
        <v>4606</v>
      </c>
      <c r="U17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1" spans="1:31" hidden="1" x14ac:dyDescent="0.3">
      <c r="A1711" s="14" t="s">
        <v>2678</v>
      </c>
      <c r="B1711" s="14" t="s">
        <v>2371</v>
      </c>
      <c r="C1711" s="14" t="s">
        <v>4607</v>
      </c>
      <c r="D1711" s="14" t="s">
        <v>4608</v>
      </c>
      <c r="E1711" s="14" t="s">
        <v>2236</v>
      </c>
      <c r="F1711" s="8">
        <v>0</v>
      </c>
      <c r="G1711" s="14" t="s">
        <v>2237</v>
      </c>
      <c r="H1711" s="16">
        <v>0</v>
      </c>
      <c r="I1711" s="14" t="s">
        <v>2237</v>
      </c>
      <c r="J1711" s="16">
        <v>0</v>
      </c>
      <c r="K1711" s="14" t="s">
        <v>2237</v>
      </c>
      <c r="L1711" s="16">
        <v>0</v>
      </c>
      <c r="M1711" s="14" t="s">
        <v>2237</v>
      </c>
      <c r="N1711" s="8">
        <v>0</v>
      </c>
      <c r="O1711" s="14" t="s">
        <v>2237</v>
      </c>
      <c r="P1711" s="14" t="s">
        <v>2236</v>
      </c>
      <c r="Q1711" s="17" t="s">
        <v>2236</v>
      </c>
      <c r="R1711" s="17" t="s">
        <v>2236</v>
      </c>
      <c r="S1711" s="17" t="s">
        <v>2236</v>
      </c>
      <c r="T1711" s="17" t="s">
        <v>2236</v>
      </c>
      <c r="U17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2" spans="1:31" hidden="1" x14ac:dyDescent="0.3">
      <c r="A1712" s="14" t="s">
        <v>2679</v>
      </c>
      <c r="B1712" s="14" t="s">
        <v>2371</v>
      </c>
      <c r="C1712" s="14" t="s">
        <v>4609</v>
      </c>
      <c r="D1712" s="14" t="s">
        <v>4610</v>
      </c>
      <c r="E1712" s="14" t="s">
        <v>2236</v>
      </c>
      <c r="F1712" s="8">
        <v>0</v>
      </c>
      <c r="G1712" s="14" t="s">
        <v>2237</v>
      </c>
      <c r="H1712" s="16">
        <v>0</v>
      </c>
      <c r="I1712" s="14" t="s">
        <v>2237</v>
      </c>
      <c r="J1712" s="16">
        <v>0</v>
      </c>
      <c r="K1712" s="14" t="s">
        <v>2237</v>
      </c>
      <c r="L1712" s="16">
        <v>0</v>
      </c>
      <c r="M1712" s="14" t="s">
        <v>2237</v>
      </c>
      <c r="N1712" s="8">
        <v>0</v>
      </c>
      <c r="O1712" s="14" t="s">
        <v>2237</v>
      </c>
      <c r="P1712" s="14" t="s">
        <v>2236</v>
      </c>
      <c r="Q1712" s="17" t="s">
        <v>2236</v>
      </c>
      <c r="R1712" s="17" t="s">
        <v>2236</v>
      </c>
      <c r="S1712" s="17" t="s">
        <v>2236</v>
      </c>
      <c r="T1712" s="17" t="s">
        <v>2236</v>
      </c>
      <c r="U17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3" spans="1:31" hidden="1" x14ac:dyDescent="0.3">
      <c r="A1713" s="14" t="s">
        <v>2680</v>
      </c>
      <c r="B1713" s="14" t="s">
        <v>2371</v>
      </c>
      <c r="C1713" s="14" t="s">
        <v>3253</v>
      </c>
      <c r="D1713" s="14" t="s">
        <v>4611</v>
      </c>
      <c r="E1713" s="14" t="s">
        <v>2236</v>
      </c>
      <c r="F1713" s="8">
        <v>0</v>
      </c>
      <c r="G1713" s="14" t="s">
        <v>2237</v>
      </c>
      <c r="H1713" s="16">
        <v>0</v>
      </c>
      <c r="I1713" s="14" t="s">
        <v>2237</v>
      </c>
      <c r="J1713" s="16">
        <v>0</v>
      </c>
      <c r="K1713" s="14" t="s">
        <v>2237</v>
      </c>
      <c r="L1713" s="16">
        <v>0</v>
      </c>
      <c r="M1713" s="14" t="s">
        <v>2237</v>
      </c>
      <c r="N1713" s="8">
        <v>0</v>
      </c>
      <c r="O1713" s="14" t="s">
        <v>2237</v>
      </c>
      <c r="P1713" s="14" t="s">
        <v>2236</v>
      </c>
      <c r="Q1713" s="17" t="s">
        <v>2236</v>
      </c>
      <c r="R1713" s="17" t="s">
        <v>2236</v>
      </c>
      <c r="S1713" s="17" t="s">
        <v>2236</v>
      </c>
      <c r="T1713" s="17" t="s">
        <v>2236</v>
      </c>
      <c r="U17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4" spans="1:31" hidden="1" x14ac:dyDescent="0.3">
      <c r="A1714" s="14" t="s">
        <v>2681</v>
      </c>
      <c r="B1714" s="14" t="s">
        <v>2371</v>
      </c>
      <c r="C1714" s="14" t="s">
        <v>4612</v>
      </c>
      <c r="D1714" s="14" t="s">
        <v>4613</v>
      </c>
      <c r="E1714" s="14" t="s">
        <v>2236</v>
      </c>
      <c r="F1714" s="8">
        <v>0</v>
      </c>
      <c r="G1714" s="14" t="s">
        <v>2237</v>
      </c>
      <c r="H1714" s="16">
        <v>0</v>
      </c>
      <c r="I1714" s="14" t="s">
        <v>2237</v>
      </c>
      <c r="J1714" s="16">
        <v>0</v>
      </c>
      <c r="K1714" s="14" t="s">
        <v>2237</v>
      </c>
      <c r="L1714" s="16">
        <v>0</v>
      </c>
      <c r="M1714" s="14" t="s">
        <v>2237</v>
      </c>
      <c r="N1714" s="8">
        <v>0</v>
      </c>
      <c r="O1714" s="14" t="s">
        <v>2237</v>
      </c>
      <c r="P1714" s="14" t="s">
        <v>2236</v>
      </c>
      <c r="Q1714" s="17" t="s">
        <v>2236</v>
      </c>
      <c r="R1714" s="17" t="s">
        <v>2236</v>
      </c>
      <c r="S1714" s="17" t="s">
        <v>2236</v>
      </c>
      <c r="T1714" s="17" t="s">
        <v>2236</v>
      </c>
      <c r="U17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5" spans="1:31" hidden="1" x14ac:dyDescent="0.3">
      <c r="A1715" s="14" t="s">
        <v>2682</v>
      </c>
      <c r="B1715" s="14" t="s">
        <v>2371</v>
      </c>
      <c r="C1715" s="14" t="s">
        <v>4614</v>
      </c>
      <c r="D1715" s="14" t="s">
        <v>4615</v>
      </c>
      <c r="E1715" s="14" t="s">
        <v>2236</v>
      </c>
      <c r="F1715" s="8">
        <v>0</v>
      </c>
      <c r="G1715" s="14" t="s">
        <v>2237</v>
      </c>
      <c r="H1715" s="16">
        <v>0</v>
      </c>
      <c r="I1715" s="14" t="s">
        <v>2237</v>
      </c>
      <c r="J1715" s="16">
        <v>0</v>
      </c>
      <c r="K1715" s="14" t="s">
        <v>2237</v>
      </c>
      <c r="L1715" s="16">
        <v>0</v>
      </c>
      <c r="M1715" s="14" t="s">
        <v>2237</v>
      </c>
      <c r="N1715" s="8">
        <v>0</v>
      </c>
      <c r="O1715" s="14" t="s">
        <v>2237</v>
      </c>
      <c r="P1715" s="14" t="s">
        <v>2236</v>
      </c>
      <c r="Q1715" s="17" t="s">
        <v>2236</v>
      </c>
      <c r="R1715" s="17" t="s">
        <v>2236</v>
      </c>
      <c r="S1715" s="17" t="s">
        <v>2236</v>
      </c>
      <c r="T1715" s="17" t="s">
        <v>2236</v>
      </c>
      <c r="U17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6" spans="1:31" hidden="1" x14ac:dyDescent="0.3">
      <c r="A1716" s="14" t="s">
        <v>2683</v>
      </c>
      <c r="B1716" s="14" t="s">
        <v>2366</v>
      </c>
      <c r="C1716" s="14" t="s">
        <v>4616</v>
      </c>
      <c r="D1716" s="14" t="s">
        <v>4617</v>
      </c>
      <c r="E1716" s="14" t="s">
        <v>2236</v>
      </c>
      <c r="F1716" s="8">
        <v>0</v>
      </c>
      <c r="G1716" s="14" t="s">
        <v>2237</v>
      </c>
      <c r="H1716" s="16">
        <v>0</v>
      </c>
      <c r="I1716" s="14" t="s">
        <v>2237</v>
      </c>
      <c r="J1716" s="16">
        <v>0</v>
      </c>
      <c r="K1716" s="14" t="s">
        <v>2237</v>
      </c>
      <c r="L1716" s="16">
        <v>0</v>
      </c>
      <c r="M1716" s="14" t="s">
        <v>2237</v>
      </c>
      <c r="N1716" s="8">
        <v>46.68</v>
      </c>
      <c r="O1716" s="14" t="s">
        <v>2237</v>
      </c>
      <c r="P1716" s="14" t="s">
        <v>2236</v>
      </c>
      <c r="Q1716" s="17" t="s">
        <v>2236</v>
      </c>
      <c r="R1716" s="17" t="s">
        <v>2236</v>
      </c>
      <c r="S1716" s="17" t="s">
        <v>2236</v>
      </c>
      <c r="T1716" s="17" t="s">
        <v>2929</v>
      </c>
      <c r="U17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7" spans="1:31" hidden="1" x14ac:dyDescent="0.3">
      <c r="A1717" s="14" t="s">
        <v>2684</v>
      </c>
      <c r="B1717" s="14" t="s">
        <v>2371</v>
      </c>
      <c r="C1717" s="14" t="s">
        <v>4618</v>
      </c>
      <c r="D1717" s="14" t="s">
        <v>4619</v>
      </c>
      <c r="E1717" s="14" t="s">
        <v>2236</v>
      </c>
      <c r="F1717" s="8">
        <v>0</v>
      </c>
      <c r="G1717" s="14" t="s">
        <v>2237</v>
      </c>
      <c r="H1717" s="16">
        <v>0</v>
      </c>
      <c r="I1717" s="14" t="s">
        <v>2237</v>
      </c>
      <c r="J1717" s="16">
        <v>0</v>
      </c>
      <c r="K1717" s="14" t="s">
        <v>2237</v>
      </c>
      <c r="L1717" s="16">
        <v>0</v>
      </c>
      <c r="M1717" s="14" t="s">
        <v>2237</v>
      </c>
      <c r="N1717" s="8">
        <v>0</v>
      </c>
      <c r="O1717" s="14" t="s">
        <v>2237</v>
      </c>
      <c r="P1717" s="14" t="s">
        <v>2236</v>
      </c>
      <c r="Q1717" s="17" t="s">
        <v>2236</v>
      </c>
      <c r="R1717" s="17" t="s">
        <v>2236</v>
      </c>
      <c r="S1717" s="17" t="s">
        <v>2236</v>
      </c>
      <c r="T1717" s="17" t="s">
        <v>2236</v>
      </c>
      <c r="U17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8" spans="1:31" hidden="1" x14ac:dyDescent="0.3">
      <c r="A1718" s="14" t="s">
        <v>2685</v>
      </c>
      <c r="B1718" s="14" t="s">
        <v>2371</v>
      </c>
      <c r="C1718" s="14" t="s">
        <v>4620</v>
      </c>
      <c r="D1718" s="14" t="s">
        <v>4621</v>
      </c>
      <c r="E1718" s="14" t="s">
        <v>2236</v>
      </c>
      <c r="F1718" s="8">
        <v>0</v>
      </c>
      <c r="G1718" s="14" t="s">
        <v>2237</v>
      </c>
      <c r="H1718" s="16">
        <v>0</v>
      </c>
      <c r="I1718" s="14" t="s">
        <v>2237</v>
      </c>
      <c r="J1718" s="16">
        <v>0</v>
      </c>
      <c r="K1718" s="14" t="s">
        <v>2237</v>
      </c>
      <c r="L1718" s="16">
        <v>0</v>
      </c>
      <c r="M1718" s="14" t="s">
        <v>2237</v>
      </c>
      <c r="N1718" s="8">
        <v>0</v>
      </c>
      <c r="O1718" s="14" t="s">
        <v>2237</v>
      </c>
      <c r="P1718" s="14" t="s">
        <v>2236</v>
      </c>
      <c r="Q1718" s="17" t="s">
        <v>2236</v>
      </c>
      <c r="R1718" s="17" t="s">
        <v>2236</v>
      </c>
      <c r="S1718" s="17" t="s">
        <v>2236</v>
      </c>
      <c r="T1718" s="17" t="s">
        <v>2236</v>
      </c>
      <c r="U17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19" spans="1:31" hidden="1" x14ac:dyDescent="0.3">
      <c r="A1719" s="14" t="s">
        <v>2686</v>
      </c>
      <c r="B1719" s="14" t="s">
        <v>2371</v>
      </c>
      <c r="C1719" s="14" t="s">
        <v>4622</v>
      </c>
      <c r="D1719" s="14" t="s">
        <v>4623</v>
      </c>
      <c r="E1719" s="14" t="s">
        <v>2236</v>
      </c>
      <c r="F1719" s="8">
        <v>0</v>
      </c>
      <c r="G1719" s="14" t="s">
        <v>2237</v>
      </c>
      <c r="H1719" s="16">
        <v>0</v>
      </c>
      <c r="I1719" s="14" t="s">
        <v>2237</v>
      </c>
      <c r="J1719" s="16">
        <v>0</v>
      </c>
      <c r="K1719" s="14" t="s">
        <v>2237</v>
      </c>
      <c r="L1719" s="16">
        <v>0</v>
      </c>
      <c r="M1719" s="14" t="s">
        <v>2237</v>
      </c>
      <c r="N1719" s="8">
        <v>0</v>
      </c>
      <c r="O1719" s="14" t="s">
        <v>2237</v>
      </c>
      <c r="P1719" s="14" t="s">
        <v>2236</v>
      </c>
      <c r="Q1719" s="17" t="s">
        <v>2236</v>
      </c>
      <c r="R1719" s="17" t="s">
        <v>2236</v>
      </c>
      <c r="S1719" s="17" t="s">
        <v>2236</v>
      </c>
      <c r="T1719" s="17" t="s">
        <v>2236</v>
      </c>
      <c r="U17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0" spans="1:31" hidden="1" x14ac:dyDescent="0.3">
      <c r="A1720" s="14" t="s">
        <v>2687</v>
      </c>
      <c r="B1720" s="14" t="s">
        <v>2371</v>
      </c>
      <c r="C1720" s="14" t="s">
        <v>4624</v>
      </c>
      <c r="D1720" s="14" t="s">
        <v>4625</v>
      </c>
      <c r="E1720" s="14" t="s">
        <v>2236</v>
      </c>
      <c r="F1720" s="8">
        <v>0</v>
      </c>
      <c r="G1720" s="14" t="s">
        <v>2237</v>
      </c>
      <c r="H1720" s="16">
        <v>0</v>
      </c>
      <c r="I1720" s="14" t="s">
        <v>2237</v>
      </c>
      <c r="J1720" s="16">
        <v>0</v>
      </c>
      <c r="K1720" s="14" t="s">
        <v>2237</v>
      </c>
      <c r="L1720" s="16">
        <v>0</v>
      </c>
      <c r="M1720" s="14" t="s">
        <v>2237</v>
      </c>
      <c r="N1720" s="8">
        <v>0</v>
      </c>
      <c r="O1720" s="14" t="s">
        <v>2237</v>
      </c>
      <c r="P1720" s="14" t="s">
        <v>2236</v>
      </c>
      <c r="Q1720" s="17" t="s">
        <v>2236</v>
      </c>
      <c r="R1720" s="17" t="s">
        <v>2236</v>
      </c>
      <c r="S1720" s="17" t="s">
        <v>2236</v>
      </c>
      <c r="T1720" s="17" t="s">
        <v>2236</v>
      </c>
      <c r="U17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1" spans="1:31" hidden="1" x14ac:dyDescent="0.3">
      <c r="A1721" s="14" t="s">
        <v>2688</v>
      </c>
      <c r="B1721" s="14" t="s">
        <v>2371</v>
      </c>
      <c r="C1721" s="14" t="s">
        <v>4626</v>
      </c>
      <c r="D1721" s="14" t="s">
        <v>4627</v>
      </c>
      <c r="E1721" s="14" t="s">
        <v>2236</v>
      </c>
      <c r="F1721" s="8">
        <v>0</v>
      </c>
      <c r="G1721" s="14" t="s">
        <v>2237</v>
      </c>
      <c r="H1721" s="16">
        <v>0</v>
      </c>
      <c r="I1721" s="14" t="s">
        <v>2237</v>
      </c>
      <c r="J1721" s="16">
        <v>0</v>
      </c>
      <c r="K1721" s="14" t="s">
        <v>2237</v>
      </c>
      <c r="L1721" s="16">
        <v>0</v>
      </c>
      <c r="M1721" s="14" t="s">
        <v>2237</v>
      </c>
      <c r="N1721" s="8">
        <v>0</v>
      </c>
      <c r="O1721" s="14" t="s">
        <v>2237</v>
      </c>
      <c r="P1721" s="14" t="s">
        <v>2236</v>
      </c>
      <c r="Q1721" s="17" t="s">
        <v>2236</v>
      </c>
      <c r="R1721" s="17" t="s">
        <v>2236</v>
      </c>
      <c r="S1721" s="17" t="s">
        <v>2236</v>
      </c>
      <c r="T1721" s="17" t="s">
        <v>2236</v>
      </c>
      <c r="U17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2" spans="1:31" hidden="1" x14ac:dyDescent="0.3">
      <c r="A1722" s="14" t="s">
        <v>2690</v>
      </c>
      <c r="B1722" s="14" t="s">
        <v>2371</v>
      </c>
      <c r="C1722" s="14" t="s">
        <v>4628</v>
      </c>
      <c r="D1722" s="14" t="s">
        <v>4629</v>
      </c>
      <c r="E1722" s="14" t="s">
        <v>2236</v>
      </c>
      <c r="F1722" s="8">
        <v>0</v>
      </c>
      <c r="G1722" s="14" t="s">
        <v>2237</v>
      </c>
      <c r="H1722" s="16">
        <v>0</v>
      </c>
      <c r="I1722" s="14" t="s">
        <v>2237</v>
      </c>
      <c r="J1722" s="16">
        <v>0</v>
      </c>
      <c r="K1722" s="14" t="s">
        <v>2237</v>
      </c>
      <c r="L1722" s="16">
        <v>0</v>
      </c>
      <c r="M1722" s="14" t="s">
        <v>2237</v>
      </c>
      <c r="N1722" s="8">
        <v>0</v>
      </c>
      <c r="O1722" s="14" t="s">
        <v>2237</v>
      </c>
      <c r="P1722" s="14" t="s">
        <v>2236</v>
      </c>
      <c r="Q1722" s="17" t="s">
        <v>2236</v>
      </c>
      <c r="R1722" s="17" t="s">
        <v>2236</v>
      </c>
      <c r="S1722" s="17" t="s">
        <v>2236</v>
      </c>
      <c r="T1722" s="17" t="s">
        <v>2236</v>
      </c>
      <c r="U17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3" spans="1:31" hidden="1" x14ac:dyDescent="0.3">
      <c r="A1723" s="14" t="s">
        <v>2691</v>
      </c>
      <c r="B1723" s="14" t="s">
        <v>2371</v>
      </c>
      <c r="C1723" s="14" t="s">
        <v>4630</v>
      </c>
      <c r="D1723" s="14" t="s">
        <v>4631</v>
      </c>
      <c r="E1723" s="14" t="s">
        <v>2236</v>
      </c>
      <c r="F1723" s="8">
        <v>0</v>
      </c>
      <c r="G1723" s="14" t="s">
        <v>2237</v>
      </c>
      <c r="H1723" s="16">
        <v>0</v>
      </c>
      <c r="I1723" s="14" t="s">
        <v>2237</v>
      </c>
      <c r="J1723" s="16">
        <v>0</v>
      </c>
      <c r="K1723" s="14" t="s">
        <v>2237</v>
      </c>
      <c r="L1723" s="16">
        <v>0</v>
      </c>
      <c r="M1723" s="14" t="s">
        <v>2237</v>
      </c>
      <c r="N1723" s="8">
        <v>0</v>
      </c>
      <c r="O1723" s="14" t="s">
        <v>2237</v>
      </c>
      <c r="P1723" s="14" t="s">
        <v>2236</v>
      </c>
      <c r="Q1723" s="17" t="s">
        <v>2236</v>
      </c>
      <c r="R1723" s="17" t="s">
        <v>2236</v>
      </c>
      <c r="S1723" s="17" t="s">
        <v>2236</v>
      </c>
      <c r="T1723" s="17" t="s">
        <v>2236</v>
      </c>
      <c r="U17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4" spans="1:31" hidden="1" x14ac:dyDescent="0.3">
      <c r="A1724" s="14" t="s">
        <v>2692</v>
      </c>
      <c r="B1724" s="14" t="s">
        <v>2371</v>
      </c>
      <c r="C1724" s="14" t="s">
        <v>4632</v>
      </c>
      <c r="D1724" s="14" t="s">
        <v>4633</v>
      </c>
      <c r="E1724" s="14" t="s">
        <v>2236</v>
      </c>
      <c r="F1724" s="8">
        <v>0</v>
      </c>
      <c r="G1724" s="14" t="s">
        <v>2237</v>
      </c>
      <c r="H1724" s="16">
        <v>0</v>
      </c>
      <c r="I1724" s="14" t="s">
        <v>2237</v>
      </c>
      <c r="J1724" s="16">
        <v>0</v>
      </c>
      <c r="K1724" s="14" t="s">
        <v>2237</v>
      </c>
      <c r="L1724" s="16">
        <v>0</v>
      </c>
      <c r="M1724" s="14" t="s">
        <v>2237</v>
      </c>
      <c r="N1724" s="8">
        <v>0</v>
      </c>
      <c r="O1724" s="14" t="s">
        <v>2237</v>
      </c>
      <c r="P1724" s="14" t="s">
        <v>2236</v>
      </c>
      <c r="Q1724" s="17" t="s">
        <v>2236</v>
      </c>
      <c r="R1724" s="17" t="s">
        <v>2236</v>
      </c>
      <c r="S1724" s="17" t="s">
        <v>2236</v>
      </c>
      <c r="T1724" s="17" t="s">
        <v>2236</v>
      </c>
      <c r="U17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5" spans="1:31" hidden="1" x14ac:dyDescent="0.3">
      <c r="A1725" s="14" t="s">
        <v>2693</v>
      </c>
      <c r="B1725" s="14" t="s">
        <v>2371</v>
      </c>
      <c r="C1725" s="14" t="s">
        <v>4634</v>
      </c>
      <c r="D1725" s="14" t="s">
        <v>4635</v>
      </c>
      <c r="E1725" s="14" t="s">
        <v>2236</v>
      </c>
      <c r="F1725" s="8">
        <v>0</v>
      </c>
      <c r="G1725" s="14" t="s">
        <v>2237</v>
      </c>
      <c r="H1725" s="16">
        <v>0</v>
      </c>
      <c r="I1725" s="14" t="s">
        <v>2237</v>
      </c>
      <c r="J1725" s="16">
        <v>0</v>
      </c>
      <c r="K1725" s="14" t="s">
        <v>2237</v>
      </c>
      <c r="L1725" s="16">
        <v>0</v>
      </c>
      <c r="M1725" s="14" t="s">
        <v>2237</v>
      </c>
      <c r="N1725" s="8">
        <v>0</v>
      </c>
      <c r="O1725" s="14" t="s">
        <v>2237</v>
      </c>
      <c r="P1725" s="14" t="s">
        <v>2236</v>
      </c>
      <c r="Q1725" s="17" t="s">
        <v>2236</v>
      </c>
      <c r="R1725" s="17" t="s">
        <v>2236</v>
      </c>
      <c r="S1725" s="17" t="s">
        <v>2236</v>
      </c>
      <c r="T1725" s="17" t="s">
        <v>2236</v>
      </c>
      <c r="U17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6" spans="1:31" hidden="1" x14ac:dyDescent="0.3">
      <c r="A1726" s="14" t="s">
        <v>2694</v>
      </c>
      <c r="B1726" s="14" t="s">
        <v>2371</v>
      </c>
      <c r="C1726" s="14" t="s">
        <v>4636</v>
      </c>
      <c r="D1726" s="14" t="s">
        <v>4637</v>
      </c>
      <c r="E1726" s="14" t="s">
        <v>2236</v>
      </c>
      <c r="F1726" s="8">
        <v>0</v>
      </c>
      <c r="G1726" s="14" t="s">
        <v>2237</v>
      </c>
      <c r="H1726" s="16">
        <v>0</v>
      </c>
      <c r="I1726" s="14" t="s">
        <v>2237</v>
      </c>
      <c r="J1726" s="16">
        <v>0</v>
      </c>
      <c r="K1726" s="14" t="s">
        <v>2237</v>
      </c>
      <c r="L1726" s="16">
        <v>0</v>
      </c>
      <c r="M1726" s="14" t="s">
        <v>2237</v>
      </c>
      <c r="N1726" s="8">
        <v>0</v>
      </c>
      <c r="O1726" s="14" t="s">
        <v>2237</v>
      </c>
      <c r="P1726" s="14" t="s">
        <v>2236</v>
      </c>
      <c r="Q1726" s="17" t="s">
        <v>2236</v>
      </c>
      <c r="R1726" s="17" t="s">
        <v>2236</v>
      </c>
      <c r="S1726" s="17" t="s">
        <v>2236</v>
      </c>
      <c r="T1726" s="17" t="s">
        <v>2236</v>
      </c>
      <c r="U17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7" spans="1:31" hidden="1" x14ac:dyDescent="0.3">
      <c r="A1727" s="14" t="s">
        <v>2695</v>
      </c>
      <c r="B1727" s="14" t="s">
        <v>2371</v>
      </c>
      <c r="C1727" s="14" t="s">
        <v>4638</v>
      </c>
      <c r="D1727" s="14" t="s">
        <v>4639</v>
      </c>
      <c r="E1727" s="14" t="s">
        <v>2236</v>
      </c>
      <c r="F1727" s="8">
        <v>0</v>
      </c>
      <c r="G1727" s="14" t="s">
        <v>2237</v>
      </c>
      <c r="H1727" s="16">
        <v>0</v>
      </c>
      <c r="I1727" s="14" t="s">
        <v>2237</v>
      </c>
      <c r="J1727" s="16">
        <v>0</v>
      </c>
      <c r="K1727" s="14" t="s">
        <v>2237</v>
      </c>
      <c r="L1727" s="16">
        <v>0</v>
      </c>
      <c r="M1727" s="14" t="s">
        <v>2237</v>
      </c>
      <c r="N1727" s="8">
        <v>0</v>
      </c>
      <c r="O1727" s="14" t="s">
        <v>2237</v>
      </c>
      <c r="P1727" s="14" t="s">
        <v>2236</v>
      </c>
      <c r="Q1727" s="17" t="s">
        <v>2236</v>
      </c>
      <c r="R1727" s="17" t="s">
        <v>2236</v>
      </c>
      <c r="S1727" s="17" t="s">
        <v>2236</v>
      </c>
      <c r="T1727" s="17" t="s">
        <v>2236</v>
      </c>
      <c r="U17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8" spans="1:31" hidden="1" x14ac:dyDescent="0.3">
      <c r="A1728" s="14" t="s">
        <v>2696</v>
      </c>
      <c r="B1728" s="14" t="s">
        <v>2371</v>
      </c>
      <c r="C1728" s="14" t="s">
        <v>4640</v>
      </c>
      <c r="D1728" s="14" t="s">
        <v>4641</v>
      </c>
      <c r="E1728" s="14" t="s">
        <v>2236</v>
      </c>
      <c r="F1728" s="8">
        <v>0</v>
      </c>
      <c r="G1728" s="14" t="s">
        <v>2237</v>
      </c>
      <c r="H1728" s="16">
        <v>0</v>
      </c>
      <c r="I1728" s="14" t="s">
        <v>2237</v>
      </c>
      <c r="J1728" s="16">
        <v>0</v>
      </c>
      <c r="K1728" s="14" t="s">
        <v>2237</v>
      </c>
      <c r="L1728" s="16">
        <v>0</v>
      </c>
      <c r="M1728" s="14" t="s">
        <v>2237</v>
      </c>
      <c r="N1728" s="8">
        <v>0</v>
      </c>
      <c r="O1728" s="14" t="s">
        <v>2237</v>
      </c>
      <c r="P1728" s="14" t="s">
        <v>2236</v>
      </c>
      <c r="Q1728" s="17" t="s">
        <v>2236</v>
      </c>
      <c r="R1728" s="17" t="s">
        <v>2236</v>
      </c>
      <c r="S1728" s="17" t="s">
        <v>2236</v>
      </c>
      <c r="T1728" s="17" t="s">
        <v>2236</v>
      </c>
      <c r="U17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29" spans="1:31" hidden="1" x14ac:dyDescent="0.3">
      <c r="A1729" s="14" t="s">
        <v>2697</v>
      </c>
      <c r="B1729" s="14" t="s">
        <v>2371</v>
      </c>
      <c r="C1729" s="14" t="s">
        <v>4642</v>
      </c>
      <c r="D1729" s="14" t="s">
        <v>4643</v>
      </c>
      <c r="E1729" s="14" t="s">
        <v>2236</v>
      </c>
      <c r="F1729" s="8">
        <v>0</v>
      </c>
      <c r="G1729" s="14" t="s">
        <v>2237</v>
      </c>
      <c r="H1729" s="16">
        <v>0</v>
      </c>
      <c r="I1729" s="14" t="s">
        <v>2237</v>
      </c>
      <c r="J1729" s="16">
        <v>0</v>
      </c>
      <c r="K1729" s="14" t="s">
        <v>2237</v>
      </c>
      <c r="L1729" s="16">
        <v>0</v>
      </c>
      <c r="M1729" s="14" t="s">
        <v>2237</v>
      </c>
      <c r="N1729" s="8">
        <v>0</v>
      </c>
      <c r="O1729" s="14" t="s">
        <v>2237</v>
      </c>
      <c r="P1729" s="14" t="s">
        <v>2236</v>
      </c>
      <c r="Q1729" s="17" t="s">
        <v>2236</v>
      </c>
      <c r="R1729" s="17" t="s">
        <v>2236</v>
      </c>
      <c r="S1729" s="17" t="s">
        <v>2236</v>
      </c>
      <c r="T1729" s="17" t="s">
        <v>2236</v>
      </c>
      <c r="U17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0" spans="1:31" hidden="1" x14ac:dyDescent="0.3">
      <c r="A1730" s="14" t="s">
        <v>2698</v>
      </c>
      <c r="B1730" s="14" t="s">
        <v>2371</v>
      </c>
      <c r="C1730" s="14" t="s">
        <v>4644</v>
      </c>
      <c r="D1730" s="14" t="s">
        <v>4645</v>
      </c>
      <c r="E1730" s="14" t="s">
        <v>2236</v>
      </c>
      <c r="F1730" s="8">
        <v>0</v>
      </c>
      <c r="G1730" s="14" t="s">
        <v>2237</v>
      </c>
      <c r="H1730" s="16">
        <v>0</v>
      </c>
      <c r="I1730" s="14" t="s">
        <v>2237</v>
      </c>
      <c r="J1730" s="16">
        <v>0</v>
      </c>
      <c r="K1730" s="14" t="s">
        <v>2237</v>
      </c>
      <c r="L1730" s="16">
        <v>0</v>
      </c>
      <c r="M1730" s="14" t="s">
        <v>2237</v>
      </c>
      <c r="N1730" s="8">
        <v>0</v>
      </c>
      <c r="O1730" s="14" t="s">
        <v>2237</v>
      </c>
      <c r="P1730" s="14" t="s">
        <v>2236</v>
      </c>
      <c r="Q1730" s="17" t="s">
        <v>2236</v>
      </c>
      <c r="R1730" s="17" t="s">
        <v>2236</v>
      </c>
      <c r="S1730" s="17" t="s">
        <v>2236</v>
      </c>
      <c r="T1730" s="17" t="s">
        <v>2236</v>
      </c>
      <c r="U17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1" spans="1:31" hidden="1" x14ac:dyDescent="0.3">
      <c r="A1731" s="14" t="s">
        <v>2699</v>
      </c>
      <c r="B1731" s="14" t="s">
        <v>2371</v>
      </c>
      <c r="C1731" s="14" t="s">
        <v>4646</v>
      </c>
      <c r="D1731" s="14" t="s">
        <v>4647</v>
      </c>
      <c r="E1731" s="14" t="s">
        <v>2236</v>
      </c>
      <c r="F1731" s="8">
        <v>0</v>
      </c>
      <c r="G1731" s="14" t="s">
        <v>2237</v>
      </c>
      <c r="H1731" s="16">
        <v>0</v>
      </c>
      <c r="I1731" s="14" t="s">
        <v>2237</v>
      </c>
      <c r="J1731" s="16">
        <v>0</v>
      </c>
      <c r="K1731" s="14" t="s">
        <v>2237</v>
      </c>
      <c r="L1731" s="16">
        <v>0</v>
      </c>
      <c r="M1731" s="14" t="s">
        <v>2237</v>
      </c>
      <c r="N1731" s="8">
        <v>0</v>
      </c>
      <c r="O1731" s="14" t="s">
        <v>2237</v>
      </c>
      <c r="P1731" s="14" t="s">
        <v>2236</v>
      </c>
      <c r="Q1731" s="17" t="s">
        <v>2236</v>
      </c>
      <c r="R1731" s="17" t="s">
        <v>2236</v>
      </c>
      <c r="S1731" s="17" t="s">
        <v>2236</v>
      </c>
      <c r="T1731" s="17" t="s">
        <v>2236</v>
      </c>
      <c r="U17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2" spans="1:31" hidden="1" x14ac:dyDescent="0.3">
      <c r="A1732" s="14" t="s">
        <v>2700</v>
      </c>
      <c r="B1732" s="14" t="s">
        <v>2371</v>
      </c>
      <c r="C1732" s="14" t="s">
        <v>4648</v>
      </c>
      <c r="D1732" s="14" t="s">
        <v>4649</v>
      </c>
      <c r="E1732" s="14" t="s">
        <v>2236</v>
      </c>
      <c r="F1732" s="8">
        <v>0</v>
      </c>
      <c r="G1732" s="14" t="s">
        <v>2237</v>
      </c>
      <c r="H1732" s="16">
        <v>0</v>
      </c>
      <c r="I1732" s="14" t="s">
        <v>2237</v>
      </c>
      <c r="J1732" s="16">
        <v>0</v>
      </c>
      <c r="K1732" s="14" t="s">
        <v>2237</v>
      </c>
      <c r="L1732" s="16">
        <v>0</v>
      </c>
      <c r="M1732" s="14" t="s">
        <v>2237</v>
      </c>
      <c r="N1732" s="8">
        <v>0</v>
      </c>
      <c r="O1732" s="14" t="s">
        <v>2237</v>
      </c>
      <c r="P1732" s="14" t="s">
        <v>2236</v>
      </c>
      <c r="Q1732" s="17" t="s">
        <v>2236</v>
      </c>
      <c r="R1732" s="17" t="s">
        <v>2236</v>
      </c>
      <c r="S1732" s="17" t="s">
        <v>2236</v>
      </c>
      <c r="T1732" s="17" t="s">
        <v>2236</v>
      </c>
      <c r="U17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3" spans="1:31" hidden="1" x14ac:dyDescent="0.3">
      <c r="A1733" s="14" t="s">
        <v>2701</v>
      </c>
      <c r="B1733" s="14" t="s">
        <v>2371</v>
      </c>
      <c r="C1733" s="14" t="s">
        <v>4650</v>
      </c>
      <c r="D1733" s="14" t="s">
        <v>4651</v>
      </c>
      <c r="E1733" s="14" t="s">
        <v>2236</v>
      </c>
      <c r="F1733" s="8">
        <v>0</v>
      </c>
      <c r="G1733" s="14" t="s">
        <v>2237</v>
      </c>
      <c r="H1733" s="16">
        <v>0</v>
      </c>
      <c r="I1733" s="14" t="s">
        <v>2237</v>
      </c>
      <c r="J1733" s="16">
        <v>0</v>
      </c>
      <c r="K1733" s="14" t="s">
        <v>2237</v>
      </c>
      <c r="L1733" s="16">
        <v>0</v>
      </c>
      <c r="M1733" s="14" t="s">
        <v>2237</v>
      </c>
      <c r="N1733" s="8">
        <v>0</v>
      </c>
      <c r="O1733" s="14" t="s">
        <v>2237</v>
      </c>
      <c r="P1733" s="14" t="s">
        <v>2236</v>
      </c>
      <c r="Q1733" s="17" t="s">
        <v>2236</v>
      </c>
      <c r="R1733" s="17" t="s">
        <v>2236</v>
      </c>
      <c r="S1733" s="17" t="s">
        <v>2236</v>
      </c>
      <c r="T1733" s="17" t="s">
        <v>2236</v>
      </c>
      <c r="U17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4" spans="1:31" hidden="1" x14ac:dyDescent="0.3">
      <c r="A1734" s="14" t="s">
        <v>2702</v>
      </c>
      <c r="B1734" s="14" t="s">
        <v>2371</v>
      </c>
      <c r="C1734" s="14" t="s">
        <v>4652</v>
      </c>
      <c r="D1734" s="14" t="s">
        <v>4653</v>
      </c>
      <c r="E1734" s="14" t="s">
        <v>2236</v>
      </c>
      <c r="F1734" s="8">
        <v>0</v>
      </c>
      <c r="G1734" s="14" t="s">
        <v>2237</v>
      </c>
      <c r="H1734" s="16">
        <v>0</v>
      </c>
      <c r="I1734" s="14" t="s">
        <v>2237</v>
      </c>
      <c r="J1734" s="16">
        <v>0</v>
      </c>
      <c r="K1734" s="14" t="s">
        <v>2237</v>
      </c>
      <c r="L1734" s="16">
        <v>0</v>
      </c>
      <c r="M1734" s="14" t="s">
        <v>2237</v>
      </c>
      <c r="N1734" s="8">
        <v>0</v>
      </c>
      <c r="O1734" s="14" t="s">
        <v>2237</v>
      </c>
      <c r="P1734" s="14" t="s">
        <v>2236</v>
      </c>
      <c r="Q1734" s="17" t="s">
        <v>2236</v>
      </c>
      <c r="R1734" s="17" t="s">
        <v>2236</v>
      </c>
      <c r="S1734" s="17" t="s">
        <v>2236</v>
      </c>
      <c r="T1734" s="17" t="s">
        <v>2236</v>
      </c>
      <c r="U17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5" spans="1:31" hidden="1" x14ac:dyDescent="0.3">
      <c r="A1735" s="14" t="s">
        <v>2703</v>
      </c>
      <c r="B1735" s="14" t="s">
        <v>2371</v>
      </c>
      <c r="C1735" s="14" t="s">
        <v>4654</v>
      </c>
      <c r="D1735" s="14" t="s">
        <v>4655</v>
      </c>
      <c r="E1735" s="14" t="s">
        <v>2236</v>
      </c>
      <c r="F1735" s="8">
        <v>0</v>
      </c>
      <c r="G1735" s="14" t="s">
        <v>2237</v>
      </c>
      <c r="H1735" s="16">
        <v>0</v>
      </c>
      <c r="I1735" s="14" t="s">
        <v>2237</v>
      </c>
      <c r="J1735" s="16">
        <v>0</v>
      </c>
      <c r="K1735" s="14" t="s">
        <v>2237</v>
      </c>
      <c r="L1735" s="16">
        <v>0</v>
      </c>
      <c r="M1735" s="14" t="s">
        <v>2237</v>
      </c>
      <c r="N1735" s="8">
        <v>0</v>
      </c>
      <c r="O1735" s="14" t="s">
        <v>2237</v>
      </c>
      <c r="P1735" s="14" t="s">
        <v>2236</v>
      </c>
      <c r="Q1735" s="17" t="s">
        <v>2236</v>
      </c>
      <c r="R1735" s="17" t="s">
        <v>2236</v>
      </c>
      <c r="S1735" s="17" t="s">
        <v>2236</v>
      </c>
      <c r="T1735" s="17" t="s">
        <v>2236</v>
      </c>
      <c r="U17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6" spans="1:31" hidden="1" x14ac:dyDescent="0.3">
      <c r="A1736" s="14" t="s">
        <v>2704</v>
      </c>
      <c r="B1736" s="14" t="s">
        <v>2371</v>
      </c>
      <c r="C1736" s="14" t="s">
        <v>4656</v>
      </c>
      <c r="D1736" s="14" t="s">
        <v>4657</v>
      </c>
      <c r="E1736" s="14" t="s">
        <v>2236</v>
      </c>
      <c r="F1736" s="8">
        <v>0</v>
      </c>
      <c r="G1736" s="14" t="s">
        <v>2237</v>
      </c>
      <c r="H1736" s="16">
        <v>0</v>
      </c>
      <c r="I1736" s="14" t="s">
        <v>2237</v>
      </c>
      <c r="J1736" s="16">
        <v>0</v>
      </c>
      <c r="K1736" s="14" t="s">
        <v>2237</v>
      </c>
      <c r="L1736" s="16">
        <v>0</v>
      </c>
      <c r="M1736" s="14" t="s">
        <v>2237</v>
      </c>
      <c r="N1736" s="8">
        <v>0</v>
      </c>
      <c r="O1736" s="14" t="s">
        <v>2237</v>
      </c>
      <c r="P1736" s="14" t="s">
        <v>2236</v>
      </c>
      <c r="Q1736" s="17" t="s">
        <v>2236</v>
      </c>
      <c r="R1736" s="17" t="s">
        <v>2236</v>
      </c>
      <c r="S1736" s="17" t="s">
        <v>2236</v>
      </c>
      <c r="T1736" s="17" t="s">
        <v>2236</v>
      </c>
      <c r="U17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7" spans="1:31" hidden="1" x14ac:dyDescent="0.3">
      <c r="A1737" s="14" t="s">
        <v>2705</v>
      </c>
      <c r="B1737" s="14" t="s">
        <v>2371</v>
      </c>
      <c r="C1737" s="14" t="s">
        <v>4658</v>
      </c>
      <c r="D1737" s="14" t="s">
        <v>4659</v>
      </c>
      <c r="E1737" s="14" t="s">
        <v>2236</v>
      </c>
      <c r="F1737" s="8">
        <v>0</v>
      </c>
      <c r="G1737" s="14" t="s">
        <v>2237</v>
      </c>
      <c r="H1737" s="16">
        <v>0</v>
      </c>
      <c r="I1737" s="14" t="s">
        <v>2237</v>
      </c>
      <c r="J1737" s="16">
        <v>0</v>
      </c>
      <c r="K1737" s="14" t="s">
        <v>2237</v>
      </c>
      <c r="L1737" s="16">
        <v>0</v>
      </c>
      <c r="M1737" s="14" t="s">
        <v>2237</v>
      </c>
      <c r="N1737" s="8">
        <v>0</v>
      </c>
      <c r="O1737" s="14" t="s">
        <v>2237</v>
      </c>
      <c r="P1737" s="14" t="s">
        <v>2236</v>
      </c>
      <c r="Q1737" s="17" t="s">
        <v>2236</v>
      </c>
      <c r="R1737" s="17" t="s">
        <v>2236</v>
      </c>
      <c r="S1737" s="17" t="s">
        <v>2236</v>
      </c>
      <c r="T1737" s="17" t="s">
        <v>2236</v>
      </c>
      <c r="U17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8" spans="1:31" hidden="1" x14ac:dyDescent="0.3">
      <c r="A1738" s="14" t="s">
        <v>2706</v>
      </c>
      <c r="B1738" s="14" t="s">
        <v>2371</v>
      </c>
      <c r="C1738" s="14" t="s">
        <v>4660</v>
      </c>
      <c r="D1738" s="14" t="s">
        <v>4661</v>
      </c>
      <c r="E1738" s="14" t="s">
        <v>2236</v>
      </c>
      <c r="F1738" s="8">
        <v>0</v>
      </c>
      <c r="G1738" s="14" t="s">
        <v>2237</v>
      </c>
      <c r="H1738" s="16">
        <v>0</v>
      </c>
      <c r="I1738" s="14" t="s">
        <v>2237</v>
      </c>
      <c r="J1738" s="16">
        <v>0</v>
      </c>
      <c r="K1738" s="14" t="s">
        <v>2237</v>
      </c>
      <c r="L1738" s="16">
        <v>0</v>
      </c>
      <c r="M1738" s="14" t="s">
        <v>2237</v>
      </c>
      <c r="N1738" s="8">
        <v>0</v>
      </c>
      <c r="O1738" s="14" t="s">
        <v>2237</v>
      </c>
      <c r="P1738" s="14" t="s">
        <v>2236</v>
      </c>
      <c r="Q1738" s="17" t="s">
        <v>2236</v>
      </c>
      <c r="R1738" s="17" t="s">
        <v>2236</v>
      </c>
      <c r="S1738" s="17" t="s">
        <v>2236</v>
      </c>
      <c r="T1738" s="17" t="s">
        <v>2236</v>
      </c>
      <c r="U17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39" spans="1:31" hidden="1" x14ac:dyDescent="0.3">
      <c r="A1739" s="14" t="s">
        <v>2707</v>
      </c>
      <c r="B1739" s="14" t="s">
        <v>2371</v>
      </c>
      <c r="C1739" s="14" t="s">
        <v>4662</v>
      </c>
      <c r="D1739" s="14" t="s">
        <v>4663</v>
      </c>
      <c r="E1739" s="14" t="s">
        <v>2236</v>
      </c>
      <c r="F1739" s="8">
        <v>0</v>
      </c>
      <c r="G1739" s="14" t="s">
        <v>2237</v>
      </c>
      <c r="H1739" s="16">
        <v>0</v>
      </c>
      <c r="I1739" s="14" t="s">
        <v>2237</v>
      </c>
      <c r="J1739" s="16">
        <v>0</v>
      </c>
      <c r="K1739" s="14" t="s">
        <v>2237</v>
      </c>
      <c r="L1739" s="16">
        <v>0</v>
      </c>
      <c r="M1739" s="14" t="s">
        <v>2237</v>
      </c>
      <c r="N1739" s="8">
        <v>0</v>
      </c>
      <c r="O1739" s="14" t="s">
        <v>2237</v>
      </c>
      <c r="P1739" s="14" t="s">
        <v>2236</v>
      </c>
      <c r="Q1739" s="17" t="s">
        <v>2236</v>
      </c>
      <c r="R1739" s="17" t="s">
        <v>2236</v>
      </c>
      <c r="S1739" s="17" t="s">
        <v>2236</v>
      </c>
      <c r="T1739" s="17" t="s">
        <v>2236</v>
      </c>
      <c r="U17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0" spans="1:31" hidden="1" x14ac:dyDescent="0.3">
      <c r="A1740" s="14" t="s">
        <v>2708</v>
      </c>
      <c r="B1740" s="14" t="s">
        <v>2371</v>
      </c>
      <c r="C1740" s="14" t="s">
        <v>4664</v>
      </c>
      <c r="D1740" s="14" t="s">
        <v>4665</v>
      </c>
      <c r="E1740" s="14" t="s">
        <v>2236</v>
      </c>
      <c r="F1740" s="8">
        <v>0</v>
      </c>
      <c r="G1740" s="14" t="s">
        <v>2237</v>
      </c>
      <c r="H1740" s="16">
        <v>0</v>
      </c>
      <c r="I1740" s="14" t="s">
        <v>2237</v>
      </c>
      <c r="J1740" s="16">
        <v>0</v>
      </c>
      <c r="K1740" s="14" t="s">
        <v>2237</v>
      </c>
      <c r="L1740" s="16">
        <v>0</v>
      </c>
      <c r="M1740" s="14" t="s">
        <v>2237</v>
      </c>
      <c r="N1740" s="8">
        <v>0</v>
      </c>
      <c r="O1740" s="14" t="s">
        <v>2237</v>
      </c>
      <c r="P1740" s="14" t="s">
        <v>2236</v>
      </c>
      <c r="Q1740" s="17" t="s">
        <v>2236</v>
      </c>
      <c r="R1740" s="17" t="s">
        <v>2236</v>
      </c>
      <c r="S1740" s="17" t="s">
        <v>2236</v>
      </c>
      <c r="T1740" s="17" t="s">
        <v>2236</v>
      </c>
      <c r="U17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1" spans="1:31" hidden="1" x14ac:dyDescent="0.3">
      <c r="A1741" s="14" t="s">
        <v>2709</v>
      </c>
      <c r="B1741" s="14" t="s">
        <v>2371</v>
      </c>
      <c r="C1741" s="14" t="s">
        <v>4666</v>
      </c>
      <c r="D1741" s="14" t="s">
        <v>4667</v>
      </c>
      <c r="E1741" s="14" t="s">
        <v>2236</v>
      </c>
      <c r="F1741" s="8">
        <v>0</v>
      </c>
      <c r="G1741" s="14" t="s">
        <v>2237</v>
      </c>
      <c r="H1741" s="16">
        <v>0</v>
      </c>
      <c r="I1741" s="14" t="s">
        <v>2237</v>
      </c>
      <c r="J1741" s="16">
        <v>0</v>
      </c>
      <c r="K1741" s="14" t="s">
        <v>2237</v>
      </c>
      <c r="L1741" s="16">
        <v>0</v>
      </c>
      <c r="M1741" s="14" t="s">
        <v>2237</v>
      </c>
      <c r="N1741" s="8">
        <v>0</v>
      </c>
      <c r="O1741" s="14" t="s">
        <v>2237</v>
      </c>
      <c r="P1741" s="14" t="s">
        <v>2236</v>
      </c>
      <c r="Q1741" s="17" t="s">
        <v>2236</v>
      </c>
      <c r="R1741" s="17" t="s">
        <v>2236</v>
      </c>
      <c r="S1741" s="17" t="s">
        <v>2236</v>
      </c>
      <c r="T1741" s="17" t="s">
        <v>2236</v>
      </c>
      <c r="U17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2" spans="1:31" hidden="1" x14ac:dyDescent="0.3">
      <c r="A1742" s="14" t="s">
        <v>2710</v>
      </c>
      <c r="B1742" s="14" t="s">
        <v>2371</v>
      </c>
      <c r="C1742" s="14" t="s">
        <v>4668</v>
      </c>
      <c r="D1742" s="14" t="s">
        <v>4669</v>
      </c>
      <c r="E1742" s="14" t="s">
        <v>2236</v>
      </c>
      <c r="F1742" s="8">
        <v>0</v>
      </c>
      <c r="G1742" s="14" t="s">
        <v>2237</v>
      </c>
      <c r="H1742" s="16">
        <v>0</v>
      </c>
      <c r="I1742" s="14" t="s">
        <v>2237</v>
      </c>
      <c r="J1742" s="16">
        <v>0</v>
      </c>
      <c r="K1742" s="14" t="s">
        <v>2237</v>
      </c>
      <c r="L1742" s="16">
        <v>0</v>
      </c>
      <c r="M1742" s="14" t="s">
        <v>2237</v>
      </c>
      <c r="N1742" s="8">
        <v>0</v>
      </c>
      <c r="O1742" s="14" t="s">
        <v>2237</v>
      </c>
      <c r="P1742" s="14" t="s">
        <v>2236</v>
      </c>
      <c r="Q1742" s="17" t="s">
        <v>2236</v>
      </c>
      <c r="R1742" s="17" t="s">
        <v>2236</v>
      </c>
      <c r="S1742" s="17" t="s">
        <v>2236</v>
      </c>
      <c r="T1742" s="17" t="s">
        <v>2236</v>
      </c>
      <c r="U17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3" spans="1:31" hidden="1" x14ac:dyDescent="0.3">
      <c r="A1743" s="14" t="s">
        <v>2711</v>
      </c>
      <c r="B1743" s="14" t="s">
        <v>2371</v>
      </c>
      <c r="C1743" s="14" t="s">
        <v>4670</v>
      </c>
      <c r="D1743" s="14" t="s">
        <v>4671</v>
      </c>
      <c r="E1743" s="14" t="s">
        <v>2236</v>
      </c>
      <c r="F1743" s="8">
        <v>0</v>
      </c>
      <c r="G1743" s="14" t="s">
        <v>2237</v>
      </c>
      <c r="H1743" s="16">
        <v>0</v>
      </c>
      <c r="I1743" s="14" t="s">
        <v>2237</v>
      </c>
      <c r="J1743" s="16">
        <v>0</v>
      </c>
      <c r="K1743" s="14" t="s">
        <v>2237</v>
      </c>
      <c r="L1743" s="16">
        <v>0</v>
      </c>
      <c r="M1743" s="14" t="s">
        <v>2237</v>
      </c>
      <c r="N1743" s="8">
        <v>0</v>
      </c>
      <c r="O1743" s="14" t="s">
        <v>2237</v>
      </c>
      <c r="P1743" s="14" t="s">
        <v>2236</v>
      </c>
      <c r="Q1743" s="17" t="s">
        <v>2236</v>
      </c>
      <c r="R1743" s="17" t="s">
        <v>2236</v>
      </c>
      <c r="S1743" s="17" t="s">
        <v>2236</v>
      </c>
      <c r="T1743" s="17" t="s">
        <v>2236</v>
      </c>
      <c r="U17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4" spans="1:31" hidden="1" x14ac:dyDescent="0.3">
      <c r="A1744" s="14" t="s">
        <v>2712</v>
      </c>
      <c r="B1744" s="14" t="s">
        <v>2371</v>
      </c>
      <c r="C1744" s="14" t="s">
        <v>4672</v>
      </c>
      <c r="D1744" s="14" t="s">
        <v>4673</v>
      </c>
      <c r="E1744" s="14" t="s">
        <v>2236</v>
      </c>
      <c r="F1744" s="8">
        <v>0</v>
      </c>
      <c r="G1744" s="14" t="s">
        <v>2237</v>
      </c>
      <c r="H1744" s="16">
        <v>0</v>
      </c>
      <c r="I1744" s="14" t="s">
        <v>2237</v>
      </c>
      <c r="J1744" s="16">
        <v>0</v>
      </c>
      <c r="K1744" s="14" t="s">
        <v>2237</v>
      </c>
      <c r="L1744" s="16">
        <v>0</v>
      </c>
      <c r="M1744" s="14" t="s">
        <v>2237</v>
      </c>
      <c r="N1744" s="8">
        <v>0</v>
      </c>
      <c r="O1744" s="14" t="s">
        <v>2237</v>
      </c>
      <c r="P1744" s="14" t="s">
        <v>2236</v>
      </c>
      <c r="Q1744" s="17" t="s">
        <v>2236</v>
      </c>
      <c r="R1744" s="17" t="s">
        <v>2236</v>
      </c>
      <c r="S1744" s="17" t="s">
        <v>2236</v>
      </c>
      <c r="T1744" s="17" t="s">
        <v>2236</v>
      </c>
      <c r="U17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5" spans="1:31" hidden="1" x14ac:dyDescent="0.3">
      <c r="A1745" s="14" t="s">
        <v>2713</v>
      </c>
      <c r="B1745" s="14" t="s">
        <v>2371</v>
      </c>
      <c r="C1745" s="14" t="s">
        <v>4674</v>
      </c>
      <c r="D1745" s="14" t="s">
        <v>4675</v>
      </c>
      <c r="E1745" s="14" t="s">
        <v>2236</v>
      </c>
      <c r="F1745" s="8">
        <v>0</v>
      </c>
      <c r="G1745" s="14" t="s">
        <v>2237</v>
      </c>
      <c r="H1745" s="16">
        <v>0</v>
      </c>
      <c r="I1745" s="14" t="s">
        <v>2237</v>
      </c>
      <c r="J1745" s="16">
        <v>0</v>
      </c>
      <c r="K1745" s="14" t="s">
        <v>2237</v>
      </c>
      <c r="L1745" s="16">
        <v>0</v>
      </c>
      <c r="M1745" s="14" t="s">
        <v>2237</v>
      </c>
      <c r="N1745" s="8">
        <v>0</v>
      </c>
      <c r="O1745" s="14" t="s">
        <v>2237</v>
      </c>
      <c r="P1745" s="14" t="s">
        <v>2236</v>
      </c>
      <c r="Q1745" s="17" t="s">
        <v>2236</v>
      </c>
      <c r="R1745" s="17" t="s">
        <v>2236</v>
      </c>
      <c r="S1745" s="17" t="s">
        <v>2236</v>
      </c>
      <c r="T1745" s="17" t="s">
        <v>2236</v>
      </c>
      <c r="U17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6" spans="1:31" hidden="1" x14ac:dyDescent="0.3">
      <c r="A1746" s="14" t="s">
        <v>2714</v>
      </c>
      <c r="B1746" s="14" t="s">
        <v>2371</v>
      </c>
      <c r="C1746" s="14" t="s">
        <v>4676</v>
      </c>
      <c r="D1746" s="14" t="s">
        <v>4677</v>
      </c>
      <c r="E1746" s="14" t="s">
        <v>2236</v>
      </c>
      <c r="F1746" s="8">
        <v>0</v>
      </c>
      <c r="G1746" s="14" t="s">
        <v>2237</v>
      </c>
      <c r="H1746" s="16">
        <v>0</v>
      </c>
      <c r="I1746" s="14" t="s">
        <v>2237</v>
      </c>
      <c r="J1746" s="16">
        <v>0</v>
      </c>
      <c r="K1746" s="14" t="s">
        <v>2237</v>
      </c>
      <c r="L1746" s="16">
        <v>0</v>
      </c>
      <c r="M1746" s="14" t="s">
        <v>2237</v>
      </c>
      <c r="N1746" s="8">
        <v>0</v>
      </c>
      <c r="O1746" s="14" t="s">
        <v>2237</v>
      </c>
      <c r="P1746" s="14" t="s">
        <v>2236</v>
      </c>
      <c r="Q1746" s="17" t="s">
        <v>2236</v>
      </c>
      <c r="R1746" s="17" t="s">
        <v>2236</v>
      </c>
      <c r="S1746" s="17" t="s">
        <v>2236</v>
      </c>
      <c r="T1746" s="17" t="s">
        <v>2236</v>
      </c>
      <c r="U17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7" spans="1:31" hidden="1" x14ac:dyDescent="0.3">
      <c r="A1747" s="14" t="s">
        <v>2715</v>
      </c>
      <c r="B1747" s="14" t="s">
        <v>2371</v>
      </c>
      <c r="C1747" s="14" t="s">
        <v>4678</v>
      </c>
      <c r="D1747" s="14" t="s">
        <v>4679</v>
      </c>
      <c r="E1747" s="14" t="s">
        <v>2236</v>
      </c>
      <c r="F1747" s="8">
        <v>0</v>
      </c>
      <c r="G1747" s="14" t="s">
        <v>2237</v>
      </c>
      <c r="H1747" s="16">
        <v>0</v>
      </c>
      <c r="I1747" s="14" t="s">
        <v>2237</v>
      </c>
      <c r="J1747" s="16">
        <v>0</v>
      </c>
      <c r="K1747" s="14" t="s">
        <v>2237</v>
      </c>
      <c r="L1747" s="16">
        <v>0</v>
      </c>
      <c r="M1747" s="14" t="s">
        <v>2237</v>
      </c>
      <c r="N1747" s="8">
        <v>0</v>
      </c>
      <c r="O1747" s="14" t="s">
        <v>2237</v>
      </c>
      <c r="P1747" s="14" t="s">
        <v>2236</v>
      </c>
      <c r="Q1747" s="17" t="s">
        <v>2236</v>
      </c>
      <c r="R1747" s="17" t="s">
        <v>2236</v>
      </c>
      <c r="S1747" s="17" t="s">
        <v>2236</v>
      </c>
      <c r="T1747" s="17" t="s">
        <v>2236</v>
      </c>
      <c r="U17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8" spans="1:31" hidden="1" x14ac:dyDescent="0.3">
      <c r="A1748" s="14" t="s">
        <v>2716</v>
      </c>
      <c r="B1748" s="14" t="s">
        <v>2371</v>
      </c>
      <c r="C1748" s="14" t="s">
        <v>4680</v>
      </c>
      <c r="D1748" s="14" t="s">
        <v>4681</v>
      </c>
      <c r="E1748" s="14" t="s">
        <v>2236</v>
      </c>
      <c r="F1748" s="8">
        <v>0</v>
      </c>
      <c r="G1748" s="14" t="s">
        <v>2237</v>
      </c>
      <c r="H1748" s="16">
        <v>0</v>
      </c>
      <c r="I1748" s="14" t="s">
        <v>2237</v>
      </c>
      <c r="J1748" s="16">
        <v>0</v>
      </c>
      <c r="K1748" s="14" t="s">
        <v>2237</v>
      </c>
      <c r="L1748" s="16">
        <v>0</v>
      </c>
      <c r="M1748" s="14" t="s">
        <v>2237</v>
      </c>
      <c r="N1748" s="8">
        <v>0</v>
      </c>
      <c r="O1748" s="14" t="s">
        <v>2237</v>
      </c>
      <c r="P1748" s="14" t="s">
        <v>2236</v>
      </c>
      <c r="Q1748" s="17" t="s">
        <v>2236</v>
      </c>
      <c r="R1748" s="17" t="s">
        <v>2236</v>
      </c>
      <c r="S1748" s="17" t="s">
        <v>2236</v>
      </c>
      <c r="T1748" s="17" t="s">
        <v>2236</v>
      </c>
      <c r="U17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49" spans="1:31" hidden="1" x14ac:dyDescent="0.3">
      <c r="A1749" s="14" t="s">
        <v>2717</v>
      </c>
      <c r="B1749" s="14" t="s">
        <v>2371</v>
      </c>
      <c r="C1749" s="14" t="s">
        <v>4682</v>
      </c>
      <c r="D1749" s="14" t="s">
        <v>4683</v>
      </c>
      <c r="E1749" s="14" t="s">
        <v>2236</v>
      </c>
      <c r="F1749" s="8">
        <v>0</v>
      </c>
      <c r="G1749" s="14" t="s">
        <v>2237</v>
      </c>
      <c r="H1749" s="16">
        <v>0</v>
      </c>
      <c r="I1749" s="14" t="s">
        <v>2237</v>
      </c>
      <c r="J1749" s="16">
        <v>0</v>
      </c>
      <c r="K1749" s="14" t="s">
        <v>2237</v>
      </c>
      <c r="L1749" s="16">
        <v>0</v>
      </c>
      <c r="M1749" s="14" t="s">
        <v>2237</v>
      </c>
      <c r="N1749" s="8">
        <v>0</v>
      </c>
      <c r="O1749" s="14" t="s">
        <v>2237</v>
      </c>
      <c r="P1749" s="14" t="s">
        <v>2236</v>
      </c>
      <c r="Q1749" s="17" t="s">
        <v>2236</v>
      </c>
      <c r="R1749" s="17" t="s">
        <v>2236</v>
      </c>
      <c r="S1749" s="17" t="s">
        <v>2236</v>
      </c>
      <c r="T1749" s="17" t="s">
        <v>2236</v>
      </c>
      <c r="U17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0" spans="1:31" hidden="1" x14ac:dyDescent="0.3">
      <c r="A1750" s="14" t="s">
        <v>2718</v>
      </c>
      <c r="B1750" s="14" t="s">
        <v>2371</v>
      </c>
      <c r="C1750" s="14" t="s">
        <v>4684</v>
      </c>
      <c r="D1750" s="14" t="s">
        <v>4685</v>
      </c>
      <c r="E1750" s="14" t="s">
        <v>2236</v>
      </c>
      <c r="F1750" s="8">
        <v>0</v>
      </c>
      <c r="G1750" s="14" t="s">
        <v>2237</v>
      </c>
      <c r="H1750" s="16">
        <v>0</v>
      </c>
      <c r="I1750" s="14" t="s">
        <v>2237</v>
      </c>
      <c r="J1750" s="16">
        <v>0</v>
      </c>
      <c r="K1750" s="14" t="s">
        <v>2237</v>
      </c>
      <c r="L1750" s="16">
        <v>0</v>
      </c>
      <c r="M1750" s="14" t="s">
        <v>2237</v>
      </c>
      <c r="N1750" s="8">
        <v>0</v>
      </c>
      <c r="O1750" s="14" t="s">
        <v>2237</v>
      </c>
      <c r="P1750" s="14" t="s">
        <v>2236</v>
      </c>
      <c r="Q1750" s="17" t="s">
        <v>2236</v>
      </c>
      <c r="R1750" s="17" t="s">
        <v>2236</v>
      </c>
      <c r="S1750" s="17" t="s">
        <v>2236</v>
      </c>
      <c r="T1750" s="17" t="s">
        <v>2236</v>
      </c>
      <c r="U17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1" spans="1:31" hidden="1" x14ac:dyDescent="0.3">
      <c r="A1751" s="14" t="s">
        <v>2719</v>
      </c>
      <c r="B1751" s="14" t="s">
        <v>2371</v>
      </c>
      <c r="C1751" s="14" t="s">
        <v>4686</v>
      </c>
      <c r="D1751" s="14" t="s">
        <v>4687</v>
      </c>
      <c r="E1751" s="14" t="s">
        <v>2236</v>
      </c>
      <c r="F1751" s="8">
        <v>0</v>
      </c>
      <c r="G1751" s="14" t="s">
        <v>2237</v>
      </c>
      <c r="H1751" s="16">
        <v>0</v>
      </c>
      <c r="I1751" s="14" t="s">
        <v>2237</v>
      </c>
      <c r="J1751" s="16">
        <v>0</v>
      </c>
      <c r="K1751" s="14" t="s">
        <v>2237</v>
      </c>
      <c r="L1751" s="16">
        <v>0</v>
      </c>
      <c r="M1751" s="14" t="s">
        <v>2237</v>
      </c>
      <c r="N1751" s="8">
        <v>0</v>
      </c>
      <c r="O1751" s="14" t="s">
        <v>2237</v>
      </c>
      <c r="P1751" s="14" t="s">
        <v>2236</v>
      </c>
      <c r="Q1751" s="17" t="s">
        <v>2236</v>
      </c>
      <c r="R1751" s="17" t="s">
        <v>2236</v>
      </c>
      <c r="S1751" s="17" t="s">
        <v>2236</v>
      </c>
      <c r="T1751" s="17" t="s">
        <v>2236</v>
      </c>
      <c r="U17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2" spans="1:31" hidden="1" x14ac:dyDescent="0.3">
      <c r="A1752" s="14" t="s">
        <v>2720</v>
      </c>
      <c r="B1752" s="14" t="s">
        <v>2371</v>
      </c>
      <c r="C1752" s="14" t="s">
        <v>4688</v>
      </c>
      <c r="D1752" s="14" t="s">
        <v>4689</v>
      </c>
      <c r="E1752" s="14" t="s">
        <v>2236</v>
      </c>
      <c r="F1752" s="8">
        <v>0</v>
      </c>
      <c r="G1752" s="14" t="s">
        <v>2237</v>
      </c>
      <c r="H1752" s="16">
        <v>0</v>
      </c>
      <c r="I1752" s="14" t="s">
        <v>2237</v>
      </c>
      <c r="J1752" s="16">
        <v>0</v>
      </c>
      <c r="K1752" s="14" t="s">
        <v>2237</v>
      </c>
      <c r="L1752" s="16">
        <v>0</v>
      </c>
      <c r="M1752" s="14" t="s">
        <v>2237</v>
      </c>
      <c r="N1752" s="8">
        <v>0</v>
      </c>
      <c r="O1752" s="14" t="s">
        <v>2237</v>
      </c>
      <c r="P1752" s="14" t="s">
        <v>2236</v>
      </c>
      <c r="Q1752" s="17" t="s">
        <v>2236</v>
      </c>
      <c r="R1752" s="17" t="s">
        <v>2236</v>
      </c>
      <c r="S1752" s="17" t="s">
        <v>2236</v>
      </c>
      <c r="T1752" s="17" t="s">
        <v>2236</v>
      </c>
      <c r="U17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3" spans="1:31" hidden="1" x14ac:dyDescent="0.3">
      <c r="A1753" s="14" t="s">
        <v>2721</v>
      </c>
      <c r="B1753" s="14" t="s">
        <v>2371</v>
      </c>
      <c r="C1753" s="14" t="s">
        <v>4690</v>
      </c>
      <c r="D1753" s="14" t="s">
        <v>4691</v>
      </c>
      <c r="E1753" s="14" t="s">
        <v>2236</v>
      </c>
      <c r="F1753" s="8">
        <v>0</v>
      </c>
      <c r="G1753" s="14" t="s">
        <v>2237</v>
      </c>
      <c r="H1753" s="16">
        <v>0</v>
      </c>
      <c r="I1753" s="14" t="s">
        <v>2237</v>
      </c>
      <c r="J1753" s="16">
        <v>0</v>
      </c>
      <c r="K1753" s="14" t="s">
        <v>2237</v>
      </c>
      <c r="L1753" s="16">
        <v>0</v>
      </c>
      <c r="M1753" s="14" t="s">
        <v>2237</v>
      </c>
      <c r="N1753" s="8">
        <v>0</v>
      </c>
      <c r="O1753" s="14" t="s">
        <v>2237</v>
      </c>
      <c r="P1753" s="14" t="s">
        <v>2236</v>
      </c>
      <c r="Q1753" s="17" t="s">
        <v>2236</v>
      </c>
      <c r="R1753" s="17" t="s">
        <v>2236</v>
      </c>
      <c r="S1753" s="17" t="s">
        <v>2236</v>
      </c>
      <c r="T1753" s="17" t="s">
        <v>2236</v>
      </c>
      <c r="U17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4" spans="1:31" hidden="1" x14ac:dyDescent="0.3">
      <c r="A1754" s="14" t="s">
        <v>2723</v>
      </c>
      <c r="B1754" s="14" t="s">
        <v>2371</v>
      </c>
      <c r="C1754" s="14" t="s">
        <v>4692</v>
      </c>
      <c r="D1754" s="14" t="s">
        <v>4693</v>
      </c>
      <c r="E1754" s="14" t="s">
        <v>2236</v>
      </c>
      <c r="F1754" s="8">
        <v>0</v>
      </c>
      <c r="G1754" s="14" t="s">
        <v>2237</v>
      </c>
      <c r="H1754" s="16">
        <v>0</v>
      </c>
      <c r="I1754" s="14" t="s">
        <v>2237</v>
      </c>
      <c r="J1754" s="16">
        <v>0</v>
      </c>
      <c r="K1754" s="14" t="s">
        <v>2237</v>
      </c>
      <c r="L1754" s="16">
        <v>0</v>
      </c>
      <c r="M1754" s="14" t="s">
        <v>2237</v>
      </c>
      <c r="N1754" s="8">
        <v>0</v>
      </c>
      <c r="O1754" s="14" t="s">
        <v>2237</v>
      </c>
      <c r="P1754" s="14" t="s">
        <v>2236</v>
      </c>
      <c r="Q1754" s="17" t="s">
        <v>2236</v>
      </c>
      <c r="R1754" s="17" t="s">
        <v>2236</v>
      </c>
      <c r="S1754" s="17" t="s">
        <v>2236</v>
      </c>
      <c r="T1754" s="17" t="s">
        <v>2236</v>
      </c>
      <c r="U17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5" spans="1:31" hidden="1" x14ac:dyDescent="0.3">
      <c r="A1755" s="14" t="s">
        <v>2724</v>
      </c>
      <c r="B1755" s="14" t="s">
        <v>2371</v>
      </c>
      <c r="C1755" s="14" t="s">
        <v>4694</v>
      </c>
      <c r="D1755" s="14" t="s">
        <v>4695</v>
      </c>
      <c r="E1755" s="14" t="s">
        <v>2236</v>
      </c>
      <c r="F1755" s="8">
        <v>0</v>
      </c>
      <c r="G1755" s="14" t="s">
        <v>2237</v>
      </c>
      <c r="H1755" s="16">
        <v>0</v>
      </c>
      <c r="I1755" s="14" t="s">
        <v>2237</v>
      </c>
      <c r="J1755" s="16">
        <v>0</v>
      </c>
      <c r="K1755" s="14" t="s">
        <v>2237</v>
      </c>
      <c r="L1755" s="16">
        <v>0</v>
      </c>
      <c r="M1755" s="14" t="s">
        <v>2237</v>
      </c>
      <c r="N1755" s="8">
        <v>0</v>
      </c>
      <c r="O1755" s="14" t="s">
        <v>2237</v>
      </c>
      <c r="P1755" s="14" t="s">
        <v>2236</v>
      </c>
      <c r="Q1755" s="17" t="s">
        <v>2236</v>
      </c>
      <c r="R1755" s="17" t="s">
        <v>2236</v>
      </c>
      <c r="S1755" s="17" t="s">
        <v>2236</v>
      </c>
      <c r="T1755" s="17" t="s">
        <v>2236</v>
      </c>
      <c r="U17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6" spans="1:31" hidden="1" x14ac:dyDescent="0.3">
      <c r="A1756" s="14" t="s">
        <v>2725</v>
      </c>
      <c r="B1756" s="14" t="s">
        <v>2371</v>
      </c>
      <c r="C1756" s="14" t="s">
        <v>4696</v>
      </c>
      <c r="D1756" s="14" t="s">
        <v>4697</v>
      </c>
      <c r="E1756" s="14" t="s">
        <v>2236</v>
      </c>
      <c r="F1756" s="8">
        <v>0</v>
      </c>
      <c r="G1756" s="14" t="s">
        <v>2237</v>
      </c>
      <c r="H1756" s="16">
        <v>0</v>
      </c>
      <c r="I1756" s="14" t="s">
        <v>2237</v>
      </c>
      <c r="J1756" s="16">
        <v>0</v>
      </c>
      <c r="K1756" s="14" t="s">
        <v>2237</v>
      </c>
      <c r="L1756" s="16">
        <v>0</v>
      </c>
      <c r="M1756" s="14" t="s">
        <v>2237</v>
      </c>
      <c r="N1756" s="8">
        <v>0</v>
      </c>
      <c r="O1756" s="14" t="s">
        <v>2237</v>
      </c>
      <c r="P1756" s="14" t="s">
        <v>2236</v>
      </c>
      <c r="Q1756" s="17" t="s">
        <v>2236</v>
      </c>
      <c r="R1756" s="17" t="s">
        <v>2236</v>
      </c>
      <c r="S1756" s="17" t="s">
        <v>2236</v>
      </c>
      <c r="T1756" s="17" t="s">
        <v>2236</v>
      </c>
      <c r="U17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7" spans="1:31" hidden="1" x14ac:dyDescent="0.3">
      <c r="A1757" s="14" t="s">
        <v>2726</v>
      </c>
      <c r="B1757" s="14" t="s">
        <v>2371</v>
      </c>
      <c r="C1757" s="14" t="s">
        <v>4698</v>
      </c>
      <c r="D1757" s="14" t="s">
        <v>4699</v>
      </c>
      <c r="E1757" s="14" t="s">
        <v>2236</v>
      </c>
      <c r="F1757" s="8">
        <v>0</v>
      </c>
      <c r="G1757" s="14" t="s">
        <v>2237</v>
      </c>
      <c r="H1757" s="16">
        <v>0</v>
      </c>
      <c r="I1757" s="14" t="s">
        <v>2237</v>
      </c>
      <c r="J1757" s="16">
        <v>0</v>
      </c>
      <c r="K1757" s="14" t="s">
        <v>2237</v>
      </c>
      <c r="L1757" s="16">
        <v>0</v>
      </c>
      <c r="M1757" s="14" t="s">
        <v>2237</v>
      </c>
      <c r="N1757" s="8">
        <v>0</v>
      </c>
      <c r="O1757" s="14" t="s">
        <v>2237</v>
      </c>
      <c r="P1757" s="14" t="s">
        <v>2236</v>
      </c>
      <c r="Q1757" s="17" t="s">
        <v>2236</v>
      </c>
      <c r="R1757" s="17" t="s">
        <v>2236</v>
      </c>
      <c r="S1757" s="17" t="s">
        <v>2236</v>
      </c>
      <c r="T1757" s="17" t="s">
        <v>2236</v>
      </c>
      <c r="U17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8" spans="1:31" hidden="1" x14ac:dyDescent="0.3">
      <c r="A1758" s="14" t="s">
        <v>2727</v>
      </c>
      <c r="B1758" s="14" t="s">
        <v>2371</v>
      </c>
      <c r="C1758" s="14" t="s">
        <v>4700</v>
      </c>
      <c r="D1758" s="14" t="s">
        <v>4701</v>
      </c>
      <c r="E1758" s="14" t="s">
        <v>2236</v>
      </c>
      <c r="F1758" s="8">
        <v>0</v>
      </c>
      <c r="G1758" s="14" t="s">
        <v>2237</v>
      </c>
      <c r="H1758" s="16">
        <v>0</v>
      </c>
      <c r="I1758" s="14" t="s">
        <v>2237</v>
      </c>
      <c r="J1758" s="16">
        <v>0</v>
      </c>
      <c r="K1758" s="14" t="s">
        <v>2237</v>
      </c>
      <c r="L1758" s="16">
        <v>0</v>
      </c>
      <c r="M1758" s="14" t="s">
        <v>2237</v>
      </c>
      <c r="N1758" s="8">
        <v>0</v>
      </c>
      <c r="O1758" s="14" t="s">
        <v>2237</v>
      </c>
      <c r="P1758" s="14" t="s">
        <v>2236</v>
      </c>
      <c r="Q1758" s="17" t="s">
        <v>2236</v>
      </c>
      <c r="R1758" s="17" t="s">
        <v>2236</v>
      </c>
      <c r="S1758" s="17" t="s">
        <v>2236</v>
      </c>
      <c r="T1758" s="17" t="s">
        <v>2236</v>
      </c>
      <c r="U17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59" spans="1:31" hidden="1" x14ac:dyDescent="0.3">
      <c r="A1759" s="14" t="s">
        <v>2728</v>
      </c>
      <c r="B1759" s="14" t="s">
        <v>2371</v>
      </c>
      <c r="C1759" s="14" t="s">
        <v>4702</v>
      </c>
      <c r="D1759" s="14" t="s">
        <v>4703</v>
      </c>
      <c r="E1759" s="14" t="s">
        <v>2236</v>
      </c>
      <c r="F1759" s="8">
        <v>0</v>
      </c>
      <c r="G1759" s="14" t="s">
        <v>2237</v>
      </c>
      <c r="H1759" s="16">
        <v>0</v>
      </c>
      <c r="I1759" s="14" t="s">
        <v>2237</v>
      </c>
      <c r="J1759" s="16">
        <v>0</v>
      </c>
      <c r="K1759" s="14" t="s">
        <v>2237</v>
      </c>
      <c r="L1759" s="16">
        <v>0</v>
      </c>
      <c r="M1759" s="14" t="s">
        <v>2237</v>
      </c>
      <c r="N1759" s="8">
        <v>0</v>
      </c>
      <c r="O1759" s="14" t="s">
        <v>2237</v>
      </c>
      <c r="P1759" s="14" t="s">
        <v>2236</v>
      </c>
      <c r="Q1759" s="17" t="s">
        <v>2236</v>
      </c>
      <c r="R1759" s="17" t="s">
        <v>2236</v>
      </c>
      <c r="S1759" s="17" t="s">
        <v>2236</v>
      </c>
      <c r="T1759" s="17" t="s">
        <v>2236</v>
      </c>
      <c r="U17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0" spans="1:31" hidden="1" x14ac:dyDescent="0.3">
      <c r="A1760" s="14" t="s">
        <v>2729</v>
      </c>
      <c r="B1760" s="14" t="s">
        <v>2371</v>
      </c>
      <c r="C1760" s="14" t="s">
        <v>4704</v>
      </c>
      <c r="D1760" s="14" t="s">
        <v>4705</v>
      </c>
      <c r="E1760" s="14" t="s">
        <v>2236</v>
      </c>
      <c r="F1760" s="8">
        <v>0</v>
      </c>
      <c r="G1760" s="14" t="s">
        <v>2237</v>
      </c>
      <c r="H1760" s="16">
        <v>0</v>
      </c>
      <c r="I1760" s="14" t="s">
        <v>2237</v>
      </c>
      <c r="J1760" s="16">
        <v>0</v>
      </c>
      <c r="K1760" s="14" t="s">
        <v>2237</v>
      </c>
      <c r="L1760" s="16">
        <v>0</v>
      </c>
      <c r="M1760" s="14" t="s">
        <v>2237</v>
      </c>
      <c r="N1760" s="8">
        <v>0</v>
      </c>
      <c r="O1760" s="14" t="s">
        <v>2237</v>
      </c>
      <c r="P1760" s="14" t="s">
        <v>2236</v>
      </c>
      <c r="Q1760" s="17" t="s">
        <v>2236</v>
      </c>
      <c r="R1760" s="17" t="s">
        <v>2236</v>
      </c>
      <c r="S1760" s="17" t="s">
        <v>2236</v>
      </c>
      <c r="T1760" s="17" t="s">
        <v>2236</v>
      </c>
      <c r="U17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1" spans="1:31" hidden="1" x14ac:dyDescent="0.3">
      <c r="A1761" s="14" t="s">
        <v>2730</v>
      </c>
      <c r="B1761" s="14" t="s">
        <v>2371</v>
      </c>
      <c r="C1761" s="14" t="s">
        <v>4706</v>
      </c>
      <c r="D1761" s="14" t="s">
        <v>4707</v>
      </c>
      <c r="E1761" s="14" t="s">
        <v>2236</v>
      </c>
      <c r="F1761" s="8">
        <v>0</v>
      </c>
      <c r="G1761" s="14" t="s">
        <v>2237</v>
      </c>
      <c r="H1761" s="16">
        <v>0</v>
      </c>
      <c r="I1761" s="14" t="s">
        <v>2237</v>
      </c>
      <c r="J1761" s="16">
        <v>0</v>
      </c>
      <c r="K1761" s="14" t="s">
        <v>2237</v>
      </c>
      <c r="L1761" s="16">
        <v>0</v>
      </c>
      <c r="M1761" s="14" t="s">
        <v>2237</v>
      </c>
      <c r="N1761" s="8">
        <v>0</v>
      </c>
      <c r="O1761" s="14" t="s">
        <v>2237</v>
      </c>
      <c r="P1761" s="14" t="s">
        <v>2236</v>
      </c>
      <c r="Q1761" s="17" t="s">
        <v>2236</v>
      </c>
      <c r="R1761" s="17" t="s">
        <v>2236</v>
      </c>
      <c r="S1761" s="17" t="s">
        <v>2236</v>
      </c>
      <c r="T1761" s="17" t="s">
        <v>2236</v>
      </c>
      <c r="U17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2" spans="1:31" hidden="1" x14ac:dyDescent="0.3">
      <c r="A1762" s="14" t="s">
        <v>2731</v>
      </c>
      <c r="B1762" s="14" t="s">
        <v>2371</v>
      </c>
      <c r="C1762" s="14" t="s">
        <v>4708</v>
      </c>
      <c r="D1762" s="14" t="s">
        <v>4709</v>
      </c>
      <c r="E1762" s="14" t="s">
        <v>2236</v>
      </c>
      <c r="F1762" s="8">
        <v>0</v>
      </c>
      <c r="G1762" s="14" t="s">
        <v>2237</v>
      </c>
      <c r="H1762" s="16">
        <v>0</v>
      </c>
      <c r="I1762" s="14" t="s">
        <v>2237</v>
      </c>
      <c r="J1762" s="16">
        <v>0</v>
      </c>
      <c r="K1762" s="14" t="s">
        <v>2237</v>
      </c>
      <c r="L1762" s="16">
        <v>0</v>
      </c>
      <c r="M1762" s="14" t="s">
        <v>2237</v>
      </c>
      <c r="N1762" s="8">
        <v>0</v>
      </c>
      <c r="O1762" s="14" t="s">
        <v>2237</v>
      </c>
      <c r="P1762" s="14" t="s">
        <v>2236</v>
      </c>
      <c r="Q1762" s="17" t="s">
        <v>2236</v>
      </c>
      <c r="R1762" s="17" t="s">
        <v>2236</v>
      </c>
      <c r="S1762" s="17" t="s">
        <v>2236</v>
      </c>
      <c r="T1762" s="17" t="s">
        <v>2236</v>
      </c>
      <c r="U17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3" spans="1:31" hidden="1" x14ac:dyDescent="0.3">
      <c r="A1763" s="14" t="s">
        <v>2732</v>
      </c>
      <c r="B1763" s="14" t="s">
        <v>2371</v>
      </c>
      <c r="C1763" s="14" t="s">
        <v>4710</v>
      </c>
      <c r="D1763" s="14" t="s">
        <v>4711</v>
      </c>
      <c r="E1763" s="14" t="s">
        <v>2236</v>
      </c>
      <c r="F1763" s="8">
        <v>0</v>
      </c>
      <c r="G1763" s="14" t="s">
        <v>2237</v>
      </c>
      <c r="H1763" s="16">
        <v>0</v>
      </c>
      <c r="I1763" s="14" t="s">
        <v>2237</v>
      </c>
      <c r="J1763" s="16">
        <v>0</v>
      </c>
      <c r="K1763" s="14" t="s">
        <v>2237</v>
      </c>
      <c r="L1763" s="16">
        <v>0</v>
      </c>
      <c r="M1763" s="14" t="s">
        <v>2237</v>
      </c>
      <c r="N1763" s="8">
        <v>0</v>
      </c>
      <c r="O1763" s="14" t="s">
        <v>2237</v>
      </c>
      <c r="P1763" s="14" t="s">
        <v>2236</v>
      </c>
      <c r="Q1763" s="17" t="s">
        <v>2236</v>
      </c>
      <c r="R1763" s="17" t="s">
        <v>2236</v>
      </c>
      <c r="S1763" s="17" t="s">
        <v>2236</v>
      </c>
      <c r="T1763" s="17" t="s">
        <v>2236</v>
      </c>
      <c r="U17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4" spans="1:31" hidden="1" x14ac:dyDescent="0.3">
      <c r="A1764" s="14" t="s">
        <v>2733</v>
      </c>
      <c r="B1764" s="14" t="s">
        <v>2371</v>
      </c>
      <c r="C1764" s="14" t="s">
        <v>4712</v>
      </c>
      <c r="D1764" s="14" t="s">
        <v>4713</v>
      </c>
      <c r="E1764" s="14" t="s">
        <v>2236</v>
      </c>
      <c r="F1764" s="8">
        <v>0</v>
      </c>
      <c r="G1764" s="14" t="s">
        <v>2237</v>
      </c>
      <c r="H1764" s="16">
        <v>0</v>
      </c>
      <c r="I1764" s="14" t="s">
        <v>2237</v>
      </c>
      <c r="J1764" s="16">
        <v>0</v>
      </c>
      <c r="K1764" s="14" t="s">
        <v>2237</v>
      </c>
      <c r="L1764" s="16">
        <v>0</v>
      </c>
      <c r="M1764" s="14" t="s">
        <v>2237</v>
      </c>
      <c r="N1764" s="8">
        <v>0</v>
      </c>
      <c r="O1764" s="14" t="s">
        <v>2237</v>
      </c>
      <c r="P1764" s="14" t="s">
        <v>2236</v>
      </c>
      <c r="Q1764" s="17" t="s">
        <v>2236</v>
      </c>
      <c r="R1764" s="17" t="s">
        <v>2236</v>
      </c>
      <c r="S1764" s="17" t="s">
        <v>2236</v>
      </c>
      <c r="T1764" s="17" t="s">
        <v>2236</v>
      </c>
      <c r="U17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5" spans="1:31" hidden="1" x14ac:dyDescent="0.3">
      <c r="A1765" s="14" t="s">
        <v>2734</v>
      </c>
      <c r="B1765" s="14" t="s">
        <v>2371</v>
      </c>
      <c r="C1765" s="14" t="s">
        <v>4714</v>
      </c>
      <c r="D1765" s="14" t="s">
        <v>4715</v>
      </c>
      <c r="E1765" s="14" t="s">
        <v>2236</v>
      </c>
      <c r="F1765" s="8">
        <v>0</v>
      </c>
      <c r="G1765" s="14" t="s">
        <v>2237</v>
      </c>
      <c r="H1765" s="16">
        <v>0</v>
      </c>
      <c r="I1765" s="14" t="s">
        <v>2237</v>
      </c>
      <c r="J1765" s="16">
        <v>0</v>
      </c>
      <c r="K1765" s="14" t="s">
        <v>2237</v>
      </c>
      <c r="L1765" s="16">
        <v>0</v>
      </c>
      <c r="M1765" s="14" t="s">
        <v>2237</v>
      </c>
      <c r="N1765" s="8">
        <v>0</v>
      </c>
      <c r="O1765" s="14" t="s">
        <v>2237</v>
      </c>
      <c r="P1765" s="14" t="s">
        <v>2236</v>
      </c>
      <c r="Q1765" s="17" t="s">
        <v>2236</v>
      </c>
      <c r="R1765" s="17" t="s">
        <v>2236</v>
      </c>
      <c r="S1765" s="17" t="s">
        <v>2236</v>
      </c>
      <c r="T1765" s="17" t="s">
        <v>2236</v>
      </c>
      <c r="U17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6" spans="1:31" hidden="1" x14ac:dyDescent="0.3">
      <c r="A1766" s="14" t="s">
        <v>2735</v>
      </c>
      <c r="B1766" s="14" t="s">
        <v>2371</v>
      </c>
      <c r="C1766" s="14" t="s">
        <v>4716</v>
      </c>
      <c r="D1766" s="14" t="s">
        <v>4717</v>
      </c>
      <c r="E1766" s="14" t="s">
        <v>2236</v>
      </c>
      <c r="F1766" s="8">
        <v>0</v>
      </c>
      <c r="G1766" s="14" t="s">
        <v>2237</v>
      </c>
      <c r="H1766" s="16">
        <v>0</v>
      </c>
      <c r="I1766" s="14" t="s">
        <v>2237</v>
      </c>
      <c r="J1766" s="16">
        <v>0</v>
      </c>
      <c r="K1766" s="14" t="s">
        <v>2237</v>
      </c>
      <c r="L1766" s="16">
        <v>0</v>
      </c>
      <c r="M1766" s="14" t="s">
        <v>2237</v>
      </c>
      <c r="N1766" s="8">
        <v>0</v>
      </c>
      <c r="O1766" s="14" t="s">
        <v>2237</v>
      </c>
      <c r="P1766" s="14" t="s">
        <v>2236</v>
      </c>
      <c r="Q1766" s="17" t="s">
        <v>2236</v>
      </c>
      <c r="R1766" s="17" t="s">
        <v>2236</v>
      </c>
      <c r="S1766" s="17" t="s">
        <v>2236</v>
      </c>
      <c r="T1766" s="17" t="s">
        <v>2236</v>
      </c>
      <c r="U17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7" spans="1:31" hidden="1" x14ac:dyDescent="0.3">
      <c r="A1767" s="14" t="s">
        <v>2736</v>
      </c>
      <c r="B1767" s="14" t="s">
        <v>2371</v>
      </c>
      <c r="C1767" s="14" t="s">
        <v>4718</v>
      </c>
      <c r="D1767" s="14" t="s">
        <v>4719</v>
      </c>
      <c r="E1767" s="14" t="s">
        <v>2236</v>
      </c>
      <c r="F1767" s="8">
        <v>0</v>
      </c>
      <c r="G1767" s="14" t="s">
        <v>2237</v>
      </c>
      <c r="H1767" s="16">
        <v>0</v>
      </c>
      <c r="I1767" s="14" t="s">
        <v>2237</v>
      </c>
      <c r="J1767" s="16">
        <v>0</v>
      </c>
      <c r="K1767" s="14" t="s">
        <v>2237</v>
      </c>
      <c r="L1767" s="16">
        <v>0</v>
      </c>
      <c r="M1767" s="14" t="s">
        <v>2237</v>
      </c>
      <c r="N1767" s="8">
        <v>0</v>
      </c>
      <c r="O1767" s="14" t="s">
        <v>2237</v>
      </c>
      <c r="P1767" s="14" t="s">
        <v>2236</v>
      </c>
      <c r="Q1767" s="17" t="s">
        <v>2236</v>
      </c>
      <c r="R1767" s="17" t="s">
        <v>2236</v>
      </c>
      <c r="S1767" s="17" t="s">
        <v>2236</v>
      </c>
      <c r="T1767" s="17" t="s">
        <v>2236</v>
      </c>
      <c r="U17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8" spans="1:31" hidden="1" x14ac:dyDescent="0.3">
      <c r="A1768" s="14" t="s">
        <v>2737</v>
      </c>
      <c r="B1768" s="14" t="s">
        <v>2371</v>
      </c>
      <c r="C1768" s="14" t="s">
        <v>4720</v>
      </c>
      <c r="D1768" s="14" t="s">
        <v>4721</v>
      </c>
      <c r="E1768" s="14" t="s">
        <v>2236</v>
      </c>
      <c r="F1768" s="8">
        <v>0</v>
      </c>
      <c r="G1768" s="14" t="s">
        <v>2237</v>
      </c>
      <c r="H1768" s="16">
        <v>0</v>
      </c>
      <c r="I1768" s="14" t="s">
        <v>2237</v>
      </c>
      <c r="J1768" s="16">
        <v>0</v>
      </c>
      <c r="K1768" s="14" t="s">
        <v>2237</v>
      </c>
      <c r="L1768" s="16">
        <v>0</v>
      </c>
      <c r="M1768" s="14" t="s">
        <v>2237</v>
      </c>
      <c r="N1768" s="8">
        <v>0</v>
      </c>
      <c r="O1768" s="14" t="s">
        <v>2237</v>
      </c>
      <c r="P1768" s="14" t="s">
        <v>2236</v>
      </c>
      <c r="Q1768" s="17" t="s">
        <v>2236</v>
      </c>
      <c r="R1768" s="17" t="s">
        <v>2236</v>
      </c>
      <c r="S1768" s="17" t="s">
        <v>2236</v>
      </c>
      <c r="T1768" s="17" t="s">
        <v>2236</v>
      </c>
      <c r="U17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69" spans="1:31" hidden="1" x14ac:dyDescent="0.3">
      <c r="A1769" s="14" t="s">
        <v>2738</v>
      </c>
      <c r="B1769" s="14" t="s">
        <v>2371</v>
      </c>
      <c r="C1769" s="14" t="s">
        <v>4722</v>
      </c>
      <c r="D1769" s="14" t="s">
        <v>4723</v>
      </c>
      <c r="E1769" s="14" t="s">
        <v>2236</v>
      </c>
      <c r="F1769" s="8">
        <v>0</v>
      </c>
      <c r="G1769" s="14" t="s">
        <v>2237</v>
      </c>
      <c r="H1769" s="16">
        <v>0</v>
      </c>
      <c r="I1769" s="14" t="s">
        <v>2237</v>
      </c>
      <c r="J1769" s="16">
        <v>0</v>
      </c>
      <c r="K1769" s="14" t="s">
        <v>2237</v>
      </c>
      <c r="L1769" s="16">
        <v>0</v>
      </c>
      <c r="M1769" s="14" t="s">
        <v>2237</v>
      </c>
      <c r="N1769" s="8">
        <v>0</v>
      </c>
      <c r="O1769" s="14" t="s">
        <v>2237</v>
      </c>
      <c r="P1769" s="14" t="s">
        <v>2236</v>
      </c>
      <c r="Q1769" s="17" t="s">
        <v>2236</v>
      </c>
      <c r="R1769" s="17" t="s">
        <v>2236</v>
      </c>
      <c r="S1769" s="17" t="s">
        <v>2236</v>
      </c>
      <c r="T1769" s="17" t="s">
        <v>2236</v>
      </c>
      <c r="U17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0" spans="1:31" hidden="1" x14ac:dyDescent="0.3">
      <c r="A1770" s="14" t="s">
        <v>2739</v>
      </c>
      <c r="B1770" s="14" t="s">
        <v>2371</v>
      </c>
      <c r="C1770" s="14" t="s">
        <v>4724</v>
      </c>
      <c r="D1770" s="14" t="s">
        <v>4725</v>
      </c>
      <c r="E1770" s="14" t="s">
        <v>2236</v>
      </c>
      <c r="F1770" s="8">
        <v>0</v>
      </c>
      <c r="G1770" s="14" t="s">
        <v>2237</v>
      </c>
      <c r="H1770" s="16">
        <v>0</v>
      </c>
      <c r="I1770" s="14" t="s">
        <v>2237</v>
      </c>
      <c r="J1770" s="16">
        <v>0</v>
      </c>
      <c r="K1770" s="14" t="s">
        <v>2237</v>
      </c>
      <c r="L1770" s="16">
        <v>0</v>
      </c>
      <c r="M1770" s="14" t="s">
        <v>2237</v>
      </c>
      <c r="N1770" s="8">
        <v>0</v>
      </c>
      <c r="O1770" s="14" t="s">
        <v>2237</v>
      </c>
      <c r="P1770" s="14" t="s">
        <v>2236</v>
      </c>
      <c r="Q1770" s="17" t="s">
        <v>2236</v>
      </c>
      <c r="R1770" s="17" t="s">
        <v>2236</v>
      </c>
      <c r="S1770" s="17" t="s">
        <v>2236</v>
      </c>
      <c r="T1770" s="17" t="s">
        <v>2236</v>
      </c>
      <c r="U17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1" spans="1:31" hidden="1" x14ac:dyDescent="0.3">
      <c r="A1771" s="14" t="s">
        <v>2740</v>
      </c>
      <c r="B1771" s="14" t="s">
        <v>2371</v>
      </c>
      <c r="C1771" s="14" t="s">
        <v>4726</v>
      </c>
      <c r="D1771" s="14" t="s">
        <v>4727</v>
      </c>
      <c r="E1771" s="14" t="s">
        <v>2236</v>
      </c>
      <c r="F1771" s="8">
        <v>0</v>
      </c>
      <c r="G1771" s="14" t="s">
        <v>2237</v>
      </c>
      <c r="H1771" s="16">
        <v>0</v>
      </c>
      <c r="I1771" s="14" t="s">
        <v>2237</v>
      </c>
      <c r="J1771" s="16">
        <v>0</v>
      </c>
      <c r="K1771" s="14" t="s">
        <v>2237</v>
      </c>
      <c r="L1771" s="16">
        <v>0</v>
      </c>
      <c r="M1771" s="14" t="s">
        <v>2237</v>
      </c>
      <c r="N1771" s="8">
        <v>0</v>
      </c>
      <c r="O1771" s="14" t="s">
        <v>2237</v>
      </c>
      <c r="P1771" s="14" t="s">
        <v>2236</v>
      </c>
      <c r="Q1771" s="17" t="s">
        <v>2236</v>
      </c>
      <c r="R1771" s="17" t="s">
        <v>2236</v>
      </c>
      <c r="S1771" s="17" t="s">
        <v>2236</v>
      </c>
      <c r="T1771" s="17" t="s">
        <v>2236</v>
      </c>
      <c r="U17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2" spans="1:31" hidden="1" x14ac:dyDescent="0.3">
      <c r="A1772" s="14" t="s">
        <v>2741</v>
      </c>
      <c r="B1772" s="14" t="s">
        <v>2371</v>
      </c>
      <c r="C1772" s="14" t="s">
        <v>4728</v>
      </c>
      <c r="D1772" s="14" t="s">
        <v>4729</v>
      </c>
      <c r="E1772" s="14" t="s">
        <v>2236</v>
      </c>
      <c r="F1772" s="8">
        <v>0</v>
      </c>
      <c r="G1772" s="14" t="s">
        <v>2237</v>
      </c>
      <c r="H1772" s="16">
        <v>0</v>
      </c>
      <c r="I1772" s="14" t="s">
        <v>2237</v>
      </c>
      <c r="J1772" s="16">
        <v>0</v>
      </c>
      <c r="K1772" s="14" t="s">
        <v>2237</v>
      </c>
      <c r="L1772" s="16">
        <v>0</v>
      </c>
      <c r="M1772" s="14" t="s">
        <v>2237</v>
      </c>
      <c r="N1772" s="8">
        <v>0</v>
      </c>
      <c r="O1772" s="14" t="s">
        <v>2237</v>
      </c>
      <c r="P1772" s="14" t="s">
        <v>2236</v>
      </c>
      <c r="Q1772" s="17" t="s">
        <v>2236</v>
      </c>
      <c r="R1772" s="17" t="s">
        <v>2236</v>
      </c>
      <c r="S1772" s="17" t="s">
        <v>2236</v>
      </c>
      <c r="T1772" s="17" t="s">
        <v>2236</v>
      </c>
      <c r="U17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3" spans="1:31" hidden="1" x14ac:dyDescent="0.3">
      <c r="A1773" s="14" t="s">
        <v>2742</v>
      </c>
      <c r="B1773" s="14" t="s">
        <v>2371</v>
      </c>
      <c r="C1773" s="14" t="s">
        <v>4730</v>
      </c>
      <c r="D1773" s="14" t="s">
        <v>4731</v>
      </c>
      <c r="E1773" s="14" t="s">
        <v>2236</v>
      </c>
      <c r="F1773" s="8">
        <v>0</v>
      </c>
      <c r="G1773" s="14" t="s">
        <v>2237</v>
      </c>
      <c r="H1773" s="16">
        <v>0</v>
      </c>
      <c r="I1773" s="14" t="s">
        <v>2237</v>
      </c>
      <c r="J1773" s="16">
        <v>0</v>
      </c>
      <c r="K1773" s="14" t="s">
        <v>2237</v>
      </c>
      <c r="L1773" s="16">
        <v>0</v>
      </c>
      <c r="M1773" s="14" t="s">
        <v>2237</v>
      </c>
      <c r="N1773" s="8">
        <v>0</v>
      </c>
      <c r="O1773" s="14" t="s">
        <v>2237</v>
      </c>
      <c r="P1773" s="14" t="s">
        <v>2236</v>
      </c>
      <c r="Q1773" s="17" t="s">
        <v>2236</v>
      </c>
      <c r="R1773" s="17" t="s">
        <v>2236</v>
      </c>
      <c r="S1773" s="17" t="s">
        <v>2236</v>
      </c>
      <c r="T1773" s="17" t="s">
        <v>2236</v>
      </c>
      <c r="U17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4" spans="1:31" hidden="1" x14ac:dyDescent="0.3">
      <c r="A1774" s="14" t="s">
        <v>2743</v>
      </c>
      <c r="B1774" s="14" t="s">
        <v>2371</v>
      </c>
      <c r="C1774" s="14" t="s">
        <v>4732</v>
      </c>
      <c r="D1774" s="14" t="s">
        <v>4733</v>
      </c>
      <c r="E1774" s="14" t="s">
        <v>2236</v>
      </c>
      <c r="F1774" s="8">
        <v>0</v>
      </c>
      <c r="G1774" s="14" t="s">
        <v>2237</v>
      </c>
      <c r="H1774" s="16">
        <v>0</v>
      </c>
      <c r="I1774" s="14" t="s">
        <v>2237</v>
      </c>
      <c r="J1774" s="16">
        <v>0</v>
      </c>
      <c r="K1774" s="14" t="s">
        <v>2237</v>
      </c>
      <c r="L1774" s="16">
        <v>0</v>
      </c>
      <c r="M1774" s="14" t="s">
        <v>2237</v>
      </c>
      <c r="N1774" s="8">
        <v>0</v>
      </c>
      <c r="O1774" s="14" t="s">
        <v>2237</v>
      </c>
      <c r="P1774" s="14" t="s">
        <v>2236</v>
      </c>
      <c r="Q1774" s="17" t="s">
        <v>2236</v>
      </c>
      <c r="R1774" s="17" t="s">
        <v>2236</v>
      </c>
      <c r="S1774" s="17" t="s">
        <v>2236</v>
      </c>
      <c r="T1774" s="17" t="s">
        <v>2236</v>
      </c>
      <c r="U17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5" spans="1:31" hidden="1" x14ac:dyDescent="0.3">
      <c r="A1775" s="14" t="s">
        <v>2744</v>
      </c>
      <c r="B1775" s="14" t="s">
        <v>2371</v>
      </c>
      <c r="C1775" s="14" t="s">
        <v>4734</v>
      </c>
      <c r="D1775" s="14" t="s">
        <v>4735</v>
      </c>
      <c r="E1775" s="14" t="s">
        <v>2236</v>
      </c>
      <c r="F1775" s="8">
        <v>0</v>
      </c>
      <c r="G1775" s="14" t="s">
        <v>2237</v>
      </c>
      <c r="H1775" s="16">
        <v>0</v>
      </c>
      <c r="I1775" s="14" t="s">
        <v>2237</v>
      </c>
      <c r="J1775" s="16">
        <v>0</v>
      </c>
      <c r="K1775" s="14" t="s">
        <v>2237</v>
      </c>
      <c r="L1775" s="16">
        <v>0</v>
      </c>
      <c r="M1775" s="14" t="s">
        <v>2237</v>
      </c>
      <c r="N1775" s="8">
        <v>0</v>
      </c>
      <c r="O1775" s="14" t="s">
        <v>2237</v>
      </c>
      <c r="P1775" s="14" t="s">
        <v>2236</v>
      </c>
      <c r="Q1775" s="17" t="s">
        <v>2236</v>
      </c>
      <c r="R1775" s="17" t="s">
        <v>2236</v>
      </c>
      <c r="S1775" s="17" t="s">
        <v>2236</v>
      </c>
      <c r="T1775" s="17" t="s">
        <v>2236</v>
      </c>
      <c r="U17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6" spans="1:31" hidden="1" x14ac:dyDescent="0.3">
      <c r="A1776" s="14" t="s">
        <v>2745</v>
      </c>
      <c r="B1776" s="14" t="s">
        <v>2371</v>
      </c>
      <c r="C1776" s="14" t="s">
        <v>4736</v>
      </c>
      <c r="D1776" s="14" t="s">
        <v>4737</v>
      </c>
      <c r="E1776" s="14" t="s">
        <v>2236</v>
      </c>
      <c r="F1776" s="8">
        <v>0</v>
      </c>
      <c r="G1776" s="14" t="s">
        <v>2237</v>
      </c>
      <c r="H1776" s="16">
        <v>0</v>
      </c>
      <c r="I1776" s="14" t="s">
        <v>2237</v>
      </c>
      <c r="J1776" s="16">
        <v>0</v>
      </c>
      <c r="K1776" s="14" t="s">
        <v>2237</v>
      </c>
      <c r="L1776" s="16">
        <v>0</v>
      </c>
      <c r="M1776" s="14" t="s">
        <v>2237</v>
      </c>
      <c r="N1776" s="8">
        <v>0</v>
      </c>
      <c r="O1776" s="14" t="s">
        <v>2237</v>
      </c>
      <c r="P1776" s="14" t="s">
        <v>2236</v>
      </c>
      <c r="Q1776" s="17" t="s">
        <v>2236</v>
      </c>
      <c r="R1776" s="17" t="s">
        <v>2236</v>
      </c>
      <c r="S1776" s="17" t="s">
        <v>2236</v>
      </c>
      <c r="T1776" s="17" t="s">
        <v>2236</v>
      </c>
      <c r="U17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7" spans="1:31" hidden="1" x14ac:dyDescent="0.3">
      <c r="A1777" s="14" t="s">
        <v>2746</v>
      </c>
      <c r="B1777" s="14" t="s">
        <v>2371</v>
      </c>
      <c r="C1777" s="14" t="s">
        <v>4738</v>
      </c>
      <c r="D1777" s="14" t="s">
        <v>4739</v>
      </c>
      <c r="E1777" s="14" t="s">
        <v>2236</v>
      </c>
      <c r="F1777" s="8">
        <v>0</v>
      </c>
      <c r="G1777" s="14" t="s">
        <v>2237</v>
      </c>
      <c r="H1777" s="16">
        <v>0</v>
      </c>
      <c r="I1777" s="14" t="s">
        <v>2237</v>
      </c>
      <c r="J1777" s="16">
        <v>0</v>
      </c>
      <c r="K1777" s="14" t="s">
        <v>2237</v>
      </c>
      <c r="L1777" s="16">
        <v>0</v>
      </c>
      <c r="M1777" s="14" t="s">
        <v>2237</v>
      </c>
      <c r="N1777" s="8">
        <v>0</v>
      </c>
      <c r="O1777" s="14" t="s">
        <v>2237</v>
      </c>
      <c r="P1777" s="14" t="s">
        <v>2236</v>
      </c>
      <c r="Q1777" s="17" t="s">
        <v>2236</v>
      </c>
      <c r="R1777" s="17" t="s">
        <v>2236</v>
      </c>
      <c r="S1777" s="17" t="s">
        <v>2236</v>
      </c>
      <c r="T1777" s="17" t="s">
        <v>2236</v>
      </c>
      <c r="U17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8" spans="1:31" hidden="1" x14ac:dyDescent="0.3">
      <c r="A1778" s="14" t="s">
        <v>2747</v>
      </c>
      <c r="B1778" s="14" t="s">
        <v>2371</v>
      </c>
      <c r="C1778" s="14" t="s">
        <v>4740</v>
      </c>
      <c r="D1778" s="14" t="s">
        <v>4741</v>
      </c>
      <c r="E1778" s="14" t="s">
        <v>2236</v>
      </c>
      <c r="F1778" s="8">
        <v>0</v>
      </c>
      <c r="G1778" s="14" t="s">
        <v>2237</v>
      </c>
      <c r="H1778" s="16">
        <v>0</v>
      </c>
      <c r="I1778" s="14" t="s">
        <v>2237</v>
      </c>
      <c r="J1778" s="16">
        <v>0</v>
      </c>
      <c r="K1778" s="14" t="s">
        <v>2237</v>
      </c>
      <c r="L1778" s="16">
        <v>0</v>
      </c>
      <c r="M1778" s="14" t="s">
        <v>2237</v>
      </c>
      <c r="N1778" s="8">
        <v>0</v>
      </c>
      <c r="O1778" s="14" t="s">
        <v>2237</v>
      </c>
      <c r="P1778" s="14" t="s">
        <v>2236</v>
      </c>
      <c r="Q1778" s="17" t="s">
        <v>2236</v>
      </c>
      <c r="R1778" s="17" t="s">
        <v>2236</v>
      </c>
      <c r="S1778" s="17" t="s">
        <v>2236</v>
      </c>
      <c r="T1778" s="17" t="s">
        <v>2236</v>
      </c>
      <c r="U17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79" spans="1:31" hidden="1" x14ac:dyDescent="0.3">
      <c r="A1779" s="14" t="s">
        <v>2748</v>
      </c>
      <c r="B1779" s="14" t="s">
        <v>2371</v>
      </c>
      <c r="C1779" s="14" t="s">
        <v>4742</v>
      </c>
      <c r="D1779" s="14" t="s">
        <v>4743</v>
      </c>
      <c r="E1779" s="14" t="s">
        <v>2236</v>
      </c>
      <c r="F1779" s="8">
        <v>0</v>
      </c>
      <c r="G1779" s="14" t="s">
        <v>2237</v>
      </c>
      <c r="H1779" s="16">
        <v>0</v>
      </c>
      <c r="I1779" s="14" t="s">
        <v>2237</v>
      </c>
      <c r="J1779" s="16">
        <v>0</v>
      </c>
      <c r="K1779" s="14" t="s">
        <v>2237</v>
      </c>
      <c r="L1779" s="16">
        <v>0</v>
      </c>
      <c r="M1779" s="14" t="s">
        <v>2237</v>
      </c>
      <c r="N1779" s="8">
        <v>0</v>
      </c>
      <c r="O1779" s="14" t="s">
        <v>2237</v>
      </c>
      <c r="P1779" s="14" t="s">
        <v>2236</v>
      </c>
      <c r="Q1779" s="17" t="s">
        <v>2236</v>
      </c>
      <c r="R1779" s="17" t="s">
        <v>2236</v>
      </c>
      <c r="S1779" s="17" t="s">
        <v>2236</v>
      </c>
      <c r="T1779" s="17" t="s">
        <v>2236</v>
      </c>
      <c r="U17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0" spans="1:31" hidden="1" x14ac:dyDescent="0.3">
      <c r="A1780" s="14" t="s">
        <v>2749</v>
      </c>
      <c r="B1780" s="14" t="s">
        <v>2371</v>
      </c>
      <c r="C1780" s="14" t="s">
        <v>4744</v>
      </c>
      <c r="D1780" s="14" t="s">
        <v>4745</v>
      </c>
      <c r="E1780" s="14" t="s">
        <v>2236</v>
      </c>
      <c r="F1780" s="8">
        <v>0</v>
      </c>
      <c r="G1780" s="14" t="s">
        <v>2237</v>
      </c>
      <c r="H1780" s="16">
        <v>0</v>
      </c>
      <c r="I1780" s="14" t="s">
        <v>2237</v>
      </c>
      <c r="J1780" s="16">
        <v>0</v>
      </c>
      <c r="K1780" s="14" t="s">
        <v>2237</v>
      </c>
      <c r="L1780" s="16">
        <v>0</v>
      </c>
      <c r="M1780" s="14" t="s">
        <v>2237</v>
      </c>
      <c r="N1780" s="8">
        <v>0</v>
      </c>
      <c r="O1780" s="14" t="s">
        <v>2237</v>
      </c>
      <c r="P1780" s="14" t="s">
        <v>2236</v>
      </c>
      <c r="Q1780" s="17" t="s">
        <v>2236</v>
      </c>
      <c r="R1780" s="17" t="s">
        <v>2236</v>
      </c>
      <c r="S1780" s="17" t="s">
        <v>2236</v>
      </c>
      <c r="T1780" s="17" t="s">
        <v>2236</v>
      </c>
      <c r="U17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1" spans="1:31" hidden="1" x14ac:dyDescent="0.3">
      <c r="A1781" s="14" t="s">
        <v>2750</v>
      </c>
      <c r="B1781" s="14" t="s">
        <v>2371</v>
      </c>
      <c r="C1781" s="14" t="s">
        <v>4746</v>
      </c>
      <c r="D1781" s="14" t="s">
        <v>4747</v>
      </c>
      <c r="E1781" s="14" t="s">
        <v>2236</v>
      </c>
      <c r="F1781" s="8">
        <v>0</v>
      </c>
      <c r="G1781" s="14" t="s">
        <v>2237</v>
      </c>
      <c r="H1781" s="16">
        <v>0</v>
      </c>
      <c r="I1781" s="14" t="s">
        <v>2237</v>
      </c>
      <c r="J1781" s="16">
        <v>0</v>
      </c>
      <c r="K1781" s="14" t="s">
        <v>2237</v>
      </c>
      <c r="L1781" s="16">
        <v>0</v>
      </c>
      <c r="M1781" s="14" t="s">
        <v>2237</v>
      </c>
      <c r="N1781" s="8">
        <v>0</v>
      </c>
      <c r="O1781" s="14" t="s">
        <v>2237</v>
      </c>
      <c r="P1781" s="14" t="s">
        <v>2236</v>
      </c>
      <c r="Q1781" s="17" t="s">
        <v>2236</v>
      </c>
      <c r="R1781" s="17" t="s">
        <v>2236</v>
      </c>
      <c r="S1781" s="17" t="s">
        <v>2236</v>
      </c>
      <c r="T1781" s="17" t="s">
        <v>2236</v>
      </c>
      <c r="U17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2" spans="1:31" hidden="1" x14ac:dyDescent="0.3">
      <c r="A1782" s="14" t="s">
        <v>2751</v>
      </c>
      <c r="B1782" s="14" t="s">
        <v>2371</v>
      </c>
      <c r="C1782" s="14" t="s">
        <v>4748</v>
      </c>
      <c r="D1782" s="14" t="s">
        <v>4749</v>
      </c>
      <c r="E1782" s="14" t="s">
        <v>2236</v>
      </c>
      <c r="F1782" s="8">
        <v>0</v>
      </c>
      <c r="G1782" s="14" t="s">
        <v>2237</v>
      </c>
      <c r="H1782" s="16">
        <v>0</v>
      </c>
      <c r="I1782" s="14" t="s">
        <v>2237</v>
      </c>
      <c r="J1782" s="16">
        <v>0</v>
      </c>
      <c r="K1782" s="14" t="s">
        <v>2237</v>
      </c>
      <c r="L1782" s="16">
        <v>0</v>
      </c>
      <c r="M1782" s="14" t="s">
        <v>2237</v>
      </c>
      <c r="N1782" s="8">
        <v>0</v>
      </c>
      <c r="O1782" s="14" t="s">
        <v>2237</v>
      </c>
      <c r="P1782" s="14" t="s">
        <v>2236</v>
      </c>
      <c r="Q1782" s="17" t="s">
        <v>2236</v>
      </c>
      <c r="R1782" s="17" t="s">
        <v>2236</v>
      </c>
      <c r="S1782" s="17" t="s">
        <v>2236</v>
      </c>
      <c r="T1782" s="17" t="s">
        <v>2236</v>
      </c>
      <c r="U17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3" spans="1:31" hidden="1" x14ac:dyDescent="0.3">
      <c r="A1783" s="14" t="s">
        <v>2752</v>
      </c>
      <c r="B1783" s="14" t="s">
        <v>2371</v>
      </c>
      <c r="C1783" s="14" t="s">
        <v>4750</v>
      </c>
      <c r="D1783" s="14" t="s">
        <v>4751</v>
      </c>
      <c r="E1783" s="14" t="s">
        <v>2236</v>
      </c>
      <c r="F1783" s="8">
        <v>0</v>
      </c>
      <c r="G1783" s="14" t="s">
        <v>2237</v>
      </c>
      <c r="H1783" s="16">
        <v>0</v>
      </c>
      <c r="I1783" s="14" t="s">
        <v>2237</v>
      </c>
      <c r="J1783" s="16">
        <v>0</v>
      </c>
      <c r="K1783" s="14" t="s">
        <v>2237</v>
      </c>
      <c r="L1783" s="16">
        <v>0</v>
      </c>
      <c r="M1783" s="14" t="s">
        <v>2237</v>
      </c>
      <c r="N1783" s="8">
        <v>0</v>
      </c>
      <c r="O1783" s="14" t="s">
        <v>2237</v>
      </c>
      <c r="P1783" s="14" t="s">
        <v>2236</v>
      </c>
      <c r="Q1783" s="17" t="s">
        <v>2236</v>
      </c>
      <c r="R1783" s="17" t="s">
        <v>2236</v>
      </c>
      <c r="S1783" s="17" t="s">
        <v>2236</v>
      </c>
      <c r="T1783" s="17" t="s">
        <v>2236</v>
      </c>
      <c r="U17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4" spans="1:31" hidden="1" x14ac:dyDescent="0.3">
      <c r="A1784" s="14" t="s">
        <v>2753</v>
      </c>
      <c r="B1784" s="14" t="s">
        <v>2371</v>
      </c>
      <c r="C1784" s="14" t="s">
        <v>4752</v>
      </c>
      <c r="D1784" s="14" t="s">
        <v>4753</v>
      </c>
      <c r="E1784" s="14" t="s">
        <v>2236</v>
      </c>
      <c r="F1784" s="8">
        <v>0</v>
      </c>
      <c r="G1784" s="14" t="s">
        <v>2237</v>
      </c>
      <c r="H1784" s="16">
        <v>0</v>
      </c>
      <c r="I1784" s="14" t="s">
        <v>2237</v>
      </c>
      <c r="J1784" s="16">
        <v>0</v>
      </c>
      <c r="K1784" s="14" t="s">
        <v>2237</v>
      </c>
      <c r="L1784" s="16">
        <v>0</v>
      </c>
      <c r="M1784" s="14" t="s">
        <v>2237</v>
      </c>
      <c r="N1784" s="8">
        <v>0</v>
      </c>
      <c r="O1784" s="14" t="s">
        <v>2237</v>
      </c>
      <c r="P1784" s="14" t="s">
        <v>2236</v>
      </c>
      <c r="Q1784" s="17" t="s">
        <v>2236</v>
      </c>
      <c r="R1784" s="17" t="s">
        <v>2236</v>
      </c>
      <c r="S1784" s="17" t="s">
        <v>2236</v>
      </c>
      <c r="T1784" s="17" t="s">
        <v>2236</v>
      </c>
      <c r="U17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5" spans="1:31" hidden="1" x14ac:dyDescent="0.3">
      <c r="A1785" s="14" t="s">
        <v>2754</v>
      </c>
      <c r="B1785" s="14" t="s">
        <v>2371</v>
      </c>
      <c r="C1785" s="14" t="s">
        <v>4754</v>
      </c>
      <c r="D1785" s="14" t="s">
        <v>4755</v>
      </c>
      <c r="E1785" s="14" t="s">
        <v>2236</v>
      </c>
      <c r="F1785" s="8">
        <v>0</v>
      </c>
      <c r="G1785" s="14" t="s">
        <v>2237</v>
      </c>
      <c r="H1785" s="16">
        <v>0</v>
      </c>
      <c r="I1785" s="14" t="s">
        <v>2237</v>
      </c>
      <c r="J1785" s="16">
        <v>0</v>
      </c>
      <c r="K1785" s="14" t="s">
        <v>2237</v>
      </c>
      <c r="L1785" s="16">
        <v>0</v>
      </c>
      <c r="M1785" s="14" t="s">
        <v>2237</v>
      </c>
      <c r="N1785" s="8">
        <v>0</v>
      </c>
      <c r="O1785" s="14" t="s">
        <v>2237</v>
      </c>
      <c r="P1785" s="14" t="s">
        <v>2236</v>
      </c>
      <c r="Q1785" s="17" t="s">
        <v>2236</v>
      </c>
      <c r="R1785" s="17" t="s">
        <v>2236</v>
      </c>
      <c r="S1785" s="17" t="s">
        <v>2236</v>
      </c>
      <c r="T1785" s="17" t="s">
        <v>2236</v>
      </c>
      <c r="U17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6" spans="1:31" hidden="1" x14ac:dyDescent="0.3">
      <c r="A1786" s="14" t="s">
        <v>2755</v>
      </c>
      <c r="B1786" s="14" t="s">
        <v>2371</v>
      </c>
      <c r="C1786" s="14" t="s">
        <v>4756</v>
      </c>
      <c r="D1786" s="14" t="s">
        <v>4757</v>
      </c>
      <c r="E1786" s="14" t="s">
        <v>2236</v>
      </c>
      <c r="F1786" s="8">
        <v>0</v>
      </c>
      <c r="G1786" s="14" t="s">
        <v>2237</v>
      </c>
      <c r="H1786" s="16">
        <v>0</v>
      </c>
      <c r="I1786" s="14" t="s">
        <v>2237</v>
      </c>
      <c r="J1786" s="16">
        <v>0</v>
      </c>
      <c r="K1786" s="14" t="s">
        <v>2237</v>
      </c>
      <c r="L1786" s="16">
        <v>0</v>
      </c>
      <c r="M1786" s="14" t="s">
        <v>2237</v>
      </c>
      <c r="N1786" s="8">
        <v>0</v>
      </c>
      <c r="O1786" s="14" t="s">
        <v>2237</v>
      </c>
      <c r="P1786" s="14" t="s">
        <v>2236</v>
      </c>
      <c r="Q1786" s="17" t="s">
        <v>2236</v>
      </c>
      <c r="R1786" s="17" t="s">
        <v>2236</v>
      </c>
      <c r="S1786" s="17" t="s">
        <v>2236</v>
      </c>
      <c r="T1786" s="17" t="s">
        <v>2236</v>
      </c>
      <c r="U17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7" spans="1:31" hidden="1" x14ac:dyDescent="0.3">
      <c r="A1787" s="14" t="s">
        <v>2756</v>
      </c>
      <c r="B1787" s="14" t="s">
        <v>21</v>
      </c>
      <c r="C1787" s="14" t="s">
        <v>279</v>
      </c>
      <c r="D1787" s="14" t="s">
        <v>280</v>
      </c>
      <c r="E1787" s="14" t="s">
        <v>4136</v>
      </c>
      <c r="F1787" s="8">
        <v>297010.28999999998</v>
      </c>
      <c r="G1787" s="14" t="s">
        <v>2237</v>
      </c>
      <c r="H1787" s="16">
        <v>297010.28999999998</v>
      </c>
      <c r="I1787" s="14" t="s">
        <v>2237</v>
      </c>
      <c r="J1787" s="16">
        <v>0</v>
      </c>
      <c r="K1787" s="14" t="s">
        <v>2237</v>
      </c>
      <c r="L1787" s="16">
        <v>0</v>
      </c>
      <c r="M1787" s="14" t="s">
        <v>2237</v>
      </c>
      <c r="N1787" s="8">
        <v>132251.66</v>
      </c>
      <c r="O1787" s="14" t="s">
        <v>2237</v>
      </c>
      <c r="P1787" s="14" t="s">
        <v>2236</v>
      </c>
      <c r="Q1787" s="17" t="s">
        <v>2242</v>
      </c>
      <c r="R1787" s="17" t="s">
        <v>2238</v>
      </c>
      <c r="S1787" s="17" t="s">
        <v>2243</v>
      </c>
      <c r="T1787" s="17" t="s">
        <v>4137</v>
      </c>
      <c r="U178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78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78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E530-3012981-D235301</v>
      </c>
      <c r="X17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87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17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8" spans="1:31" hidden="1" x14ac:dyDescent="0.3">
      <c r="A1788" s="14" t="s">
        <v>2757</v>
      </c>
      <c r="B1788" s="14" t="s">
        <v>26</v>
      </c>
      <c r="C1788" s="14" t="s">
        <v>279</v>
      </c>
      <c r="D1788" s="14" t="s">
        <v>281</v>
      </c>
      <c r="E1788" s="14" t="s">
        <v>4136</v>
      </c>
      <c r="F1788" s="8">
        <v>297010.28999999998</v>
      </c>
      <c r="G1788" s="14" t="s">
        <v>2237</v>
      </c>
      <c r="H1788" s="16">
        <v>297010.28999999998</v>
      </c>
      <c r="I1788" s="14" t="s">
        <v>2237</v>
      </c>
      <c r="J1788" s="16">
        <v>0</v>
      </c>
      <c r="K1788" s="14" t="s">
        <v>2237</v>
      </c>
      <c r="L1788" s="16">
        <v>0</v>
      </c>
      <c r="M1788" s="14" t="s">
        <v>2237</v>
      </c>
      <c r="N1788" s="8">
        <v>132251.66</v>
      </c>
      <c r="O1788" s="14" t="s">
        <v>2237</v>
      </c>
      <c r="P1788" s="14" t="s">
        <v>2236</v>
      </c>
      <c r="Q1788" s="17" t="s">
        <v>2242</v>
      </c>
      <c r="R1788" s="17" t="s">
        <v>2238</v>
      </c>
      <c r="S1788" s="17" t="s">
        <v>2243</v>
      </c>
      <c r="T1788" s="17" t="s">
        <v>4137</v>
      </c>
      <c r="U178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78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78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E530-3012981-D235301</v>
      </c>
      <c r="X178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E530-301298160-D235301</v>
      </c>
      <c r="Y17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8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88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1788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17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89" spans="1:31" hidden="1" x14ac:dyDescent="0.3">
      <c r="A1789" s="14" t="s">
        <v>2758</v>
      </c>
      <c r="B1789" s="14" t="s">
        <v>30</v>
      </c>
      <c r="C1789" s="14" t="s">
        <v>279</v>
      </c>
      <c r="D1789" s="14" t="s">
        <v>282</v>
      </c>
      <c r="E1789" s="14" t="s">
        <v>4136</v>
      </c>
      <c r="F1789" s="8">
        <v>0</v>
      </c>
      <c r="G1789" s="14" t="s">
        <v>2237</v>
      </c>
      <c r="H1789" s="16">
        <v>0</v>
      </c>
      <c r="I1789" s="14" t="s">
        <v>2237</v>
      </c>
      <c r="J1789" s="16">
        <v>0</v>
      </c>
      <c r="K1789" s="14" t="s">
        <v>2237</v>
      </c>
      <c r="L1789" s="16">
        <v>0</v>
      </c>
      <c r="M1789" s="14" t="s">
        <v>2237</v>
      </c>
      <c r="N1789" s="8">
        <v>132251.66</v>
      </c>
      <c r="O1789" s="14" t="s">
        <v>2237</v>
      </c>
      <c r="P1789" s="14" t="s">
        <v>2236</v>
      </c>
      <c r="Q1789" s="17" t="s">
        <v>2242</v>
      </c>
      <c r="R1789" s="17" t="s">
        <v>2238</v>
      </c>
      <c r="S1789" s="17" t="s">
        <v>2243</v>
      </c>
      <c r="T1789" s="17" t="s">
        <v>4142</v>
      </c>
      <c r="U178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78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78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E530-3012981-D235301</v>
      </c>
      <c r="X178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E530-301298160-D235301</v>
      </c>
      <c r="Y1789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E530-30129816043-D235301</v>
      </c>
      <c r="Z178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789" s="10" t="str">
        <f>IF(IFERROR(INDEX(WBS_Dictionary!K$2:K$1212, MATCH(Table2[[#This Row],[WBS_ID]], Table26[WBS CODE],0)), "") = "", "null", IFERROR(INDEX(WBS_Dictionary!K$2:K$1212, MATCH(Table2[[#This Row],[WBS_ID]], Table26[WBS CODE],0)), ""))</f>
        <v>Drilling Operation Water Support</v>
      </c>
      <c r="AB1789" s="10" t="str">
        <f>IF(IFERROR(INDEX(WBS_Dictionary!L$2:L$1212, MATCH(Table2[[#This Row],[WBS_ID]], Table26[WBS CODE],0)), "") = "", "null", IFERROR(INDEX(WBS_Dictionary!L$2:L$1212, MATCH(Table2[[#This Row],[WBS_ID]], Table26[WBS CODE],0)), ""))</f>
        <v>Drilling Operation Water Support</v>
      </c>
      <c r="AC1789" s="10" t="str">
        <f>IF(IFERROR(INDEX(WBS_Dictionary!M$2:M$1212, MATCH(Table2[[#This Row],[WBS_ID]], Table26[WBS CODE],0)), "") = "", "null", IFERROR(INDEX(WBS_Dictionary!M$2:M$1212, MATCH(Table2[[#This Row],[WBS_ID]], Table26[WBS CODE],0)), ""))</f>
        <v>Drilling Operation Water Support</v>
      </c>
      <c r="AD17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0" spans="1:31" hidden="1" x14ac:dyDescent="0.3">
      <c r="A1790" s="14" t="s">
        <v>2759</v>
      </c>
      <c r="B1790" s="14" t="s">
        <v>2366</v>
      </c>
      <c r="C1790" s="14" t="s">
        <v>4758</v>
      </c>
      <c r="D1790" s="14" t="s">
        <v>4759</v>
      </c>
      <c r="E1790" s="14" t="s">
        <v>2236</v>
      </c>
      <c r="F1790" s="8">
        <v>0</v>
      </c>
      <c r="G1790" s="14" t="s">
        <v>2237</v>
      </c>
      <c r="H1790" s="16">
        <v>0</v>
      </c>
      <c r="I1790" s="14" t="s">
        <v>2237</v>
      </c>
      <c r="J1790" s="16">
        <v>0</v>
      </c>
      <c r="K1790" s="14" t="s">
        <v>2237</v>
      </c>
      <c r="L1790" s="16">
        <v>0</v>
      </c>
      <c r="M1790" s="14" t="s">
        <v>2237</v>
      </c>
      <c r="N1790" s="8">
        <v>267.92</v>
      </c>
      <c r="O1790" s="14" t="s">
        <v>2237</v>
      </c>
      <c r="P1790" s="14" t="s">
        <v>2236</v>
      </c>
      <c r="Q1790" s="17" t="s">
        <v>2236</v>
      </c>
      <c r="R1790" s="17" t="s">
        <v>2236</v>
      </c>
      <c r="S1790" s="17" t="s">
        <v>2236</v>
      </c>
      <c r="T1790" s="17" t="s">
        <v>2877</v>
      </c>
      <c r="U17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1" spans="1:31" hidden="1" x14ac:dyDescent="0.3">
      <c r="A1791" s="14" t="s">
        <v>2760</v>
      </c>
      <c r="B1791" s="14" t="s">
        <v>2371</v>
      </c>
      <c r="C1791" s="14" t="s">
        <v>4758</v>
      </c>
      <c r="D1791" s="14" t="s">
        <v>4760</v>
      </c>
      <c r="E1791" s="14" t="s">
        <v>2236</v>
      </c>
      <c r="F1791" s="8">
        <v>0</v>
      </c>
      <c r="G1791" s="14" t="s">
        <v>2237</v>
      </c>
      <c r="H1791" s="16">
        <v>0</v>
      </c>
      <c r="I1791" s="14" t="s">
        <v>2237</v>
      </c>
      <c r="J1791" s="16">
        <v>0</v>
      </c>
      <c r="K1791" s="14" t="s">
        <v>2237</v>
      </c>
      <c r="L1791" s="16">
        <v>0</v>
      </c>
      <c r="M1791" s="14" t="s">
        <v>2237</v>
      </c>
      <c r="N1791" s="8">
        <v>0</v>
      </c>
      <c r="O1791" s="14" t="s">
        <v>2237</v>
      </c>
      <c r="P1791" s="14" t="s">
        <v>2236</v>
      </c>
      <c r="Q1791" s="17" t="s">
        <v>2236</v>
      </c>
      <c r="R1791" s="17" t="s">
        <v>2236</v>
      </c>
      <c r="S1791" s="17" t="s">
        <v>2236</v>
      </c>
      <c r="T1791" s="17" t="s">
        <v>2236</v>
      </c>
      <c r="U17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2" spans="1:31" hidden="1" x14ac:dyDescent="0.3">
      <c r="A1792" s="14" t="s">
        <v>2761</v>
      </c>
      <c r="B1792" s="14" t="s">
        <v>2366</v>
      </c>
      <c r="C1792" s="14" t="s">
        <v>4761</v>
      </c>
      <c r="D1792" s="14" t="s">
        <v>4762</v>
      </c>
      <c r="E1792" s="14" t="s">
        <v>2236</v>
      </c>
      <c r="F1792" s="8">
        <v>0</v>
      </c>
      <c r="G1792" s="14" t="s">
        <v>2237</v>
      </c>
      <c r="H1792" s="16">
        <v>0</v>
      </c>
      <c r="I1792" s="14" t="s">
        <v>2237</v>
      </c>
      <c r="J1792" s="16">
        <v>0</v>
      </c>
      <c r="K1792" s="14" t="s">
        <v>2237</v>
      </c>
      <c r="L1792" s="16">
        <v>0</v>
      </c>
      <c r="M1792" s="14" t="s">
        <v>2237</v>
      </c>
      <c r="N1792" s="8">
        <v>348.68</v>
      </c>
      <c r="O1792" s="14" t="s">
        <v>2237</v>
      </c>
      <c r="P1792" s="14" t="s">
        <v>2236</v>
      </c>
      <c r="Q1792" s="17" t="s">
        <v>2236</v>
      </c>
      <c r="R1792" s="17" t="s">
        <v>2236</v>
      </c>
      <c r="S1792" s="17" t="s">
        <v>2236</v>
      </c>
      <c r="T1792" s="17" t="s">
        <v>2866</v>
      </c>
      <c r="U17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3" spans="1:31" hidden="1" x14ac:dyDescent="0.3">
      <c r="A1793" s="14" t="s">
        <v>2762</v>
      </c>
      <c r="B1793" s="14" t="s">
        <v>2371</v>
      </c>
      <c r="C1793" s="14" t="s">
        <v>4761</v>
      </c>
      <c r="D1793" s="14" t="s">
        <v>4763</v>
      </c>
      <c r="E1793" s="14" t="s">
        <v>2236</v>
      </c>
      <c r="F1793" s="8">
        <v>0</v>
      </c>
      <c r="G1793" s="14" t="s">
        <v>2237</v>
      </c>
      <c r="H1793" s="16">
        <v>0</v>
      </c>
      <c r="I1793" s="14" t="s">
        <v>2237</v>
      </c>
      <c r="J1793" s="16">
        <v>0</v>
      </c>
      <c r="K1793" s="14" t="s">
        <v>2237</v>
      </c>
      <c r="L1793" s="16">
        <v>0</v>
      </c>
      <c r="M1793" s="14" t="s">
        <v>2237</v>
      </c>
      <c r="N1793" s="8">
        <v>0</v>
      </c>
      <c r="O1793" s="14" t="s">
        <v>2237</v>
      </c>
      <c r="P1793" s="14" t="s">
        <v>2236</v>
      </c>
      <c r="Q1793" s="17" t="s">
        <v>2236</v>
      </c>
      <c r="R1793" s="17" t="s">
        <v>2236</v>
      </c>
      <c r="S1793" s="17" t="s">
        <v>2236</v>
      </c>
      <c r="T1793" s="17" t="s">
        <v>2236</v>
      </c>
      <c r="U17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4" spans="1:31" hidden="1" x14ac:dyDescent="0.3">
      <c r="A1794" s="14" t="s">
        <v>2763</v>
      </c>
      <c r="B1794" s="14" t="s">
        <v>2366</v>
      </c>
      <c r="C1794" s="14" t="s">
        <v>4764</v>
      </c>
      <c r="D1794" s="14" t="s">
        <v>4765</v>
      </c>
      <c r="E1794" s="14" t="s">
        <v>2236</v>
      </c>
      <c r="F1794" s="8">
        <v>0</v>
      </c>
      <c r="G1794" s="14" t="s">
        <v>2237</v>
      </c>
      <c r="H1794" s="16">
        <v>0</v>
      </c>
      <c r="I1794" s="14" t="s">
        <v>2237</v>
      </c>
      <c r="J1794" s="16">
        <v>0</v>
      </c>
      <c r="K1794" s="14" t="s">
        <v>2237</v>
      </c>
      <c r="L1794" s="16">
        <v>0</v>
      </c>
      <c r="M1794" s="14" t="s">
        <v>2237</v>
      </c>
      <c r="N1794" s="8">
        <v>11.52</v>
      </c>
      <c r="O1794" s="14" t="s">
        <v>2237</v>
      </c>
      <c r="P1794" s="14" t="s">
        <v>2236</v>
      </c>
      <c r="Q1794" s="17" t="s">
        <v>2236</v>
      </c>
      <c r="R1794" s="17" t="s">
        <v>2236</v>
      </c>
      <c r="S1794" s="17" t="s">
        <v>2236</v>
      </c>
      <c r="T1794" s="17" t="s">
        <v>2929</v>
      </c>
      <c r="U17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5" spans="1:31" hidden="1" x14ac:dyDescent="0.3">
      <c r="A1795" s="14" t="s">
        <v>2764</v>
      </c>
      <c r="B1795" s="14" t="s">
        <v>2371</v>
      </c>
      <c r="C1795" s="14" t="s">
        <v>4766</v>
      </c>
      <c r="D1795" s="14" t="s">
        <v>4767</v>
      </c>
      <c r="E1795" s="14" t="s">
        <v>2236</v>
      </c>
      <c r="F1795" s="8">
        <v>0</v>
      </c>
      <c r="G1795" s="14" t="s">
        <v>2237</v>
      </c>
      <c r="H1795" s="16">
        <v>0</v>
      </c>
      <c r="I1795" s="14" t="s">
        <v>2237</v>
      </c>
      <c r="J1795" s="16">
        <v>0</v>
      </c>
      <c r="K1795" s="14" t="s">
        <v>2237</v>
      </c>
      <c r="L1795" s="16">
        <v>0</v>
      </c>
      <c r="M1795" s="14" t="s">
        <v>2237</v>
      </c>
      <c r="N1795" s="8">
        <v>0</v>
      </c>
      <c r="O1795" s="14" t="s">
        <v>2237</v>
      </c>
      <c r="P1795" s="14" t="s">
        <v>2236</v>
      </c>
      <c r="Q1795" s="17" t="s">
        <v>2236</v>
      </c>
      <c r="R1795" s="17" t="s">
        <v>2236</v>
      </c>
      <c r="S1795" s="17" t="s">
        <v>2236</v>
      </c>
      <c r="T1795" s="17" t="s">
        <v>2236</v>
      </c>
      <c r="U17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6" spans="1:31" hidden="1" x14ac:dyDescent="0.3">
      <c r="A1796" s="14" t="s">
        <v>2765</v>
      </c>
      <c r="B1796" s="14" t="s">
        <v>2371</v>
      </c>
      <c r="C1796" s="14" t="s">
        <v>2902</v>
      </c>
      <c r="D1796" s="14" t="s">
        <v>4768</v>
      </c>
      <c r="E1796" s="14" t="s">
        <v>2236</v>
      </c>
      <c r="F1796" s="8">
        <v>0</v>
      </c>
      <c r="G1796" s="14" t="s">
        <v>2237</v>
      </c>
      <c r="H1796" s="16">
        <v>0</v>
      </c>
      <c r="I1796" s="14" t="s">
        <v>2237</v>
      </c>
      <c r="J1796" s="16">
        <v>0</v>
      </c>
      <c r="K1796" s="14" t="s">
        <v>2237</v>
      </c>
      <c r="L1796" s="16">
        <v>0</v>
      </c>
      <c r="M1796" s="14" t="s">
        <v>2237</v>
      </c>
      <c r="N1796" s="8">
        <v>0</v>
      </c>
      <c r="O1796" s="14" t="s">
        <v>2237</v>
      </c>
      <c r="P1796" s="14" t="s">
        <v>2236</v>
      </c>
      <c r="Q1796" s="17" t="s">
        <v>2236</v>
      </c>
      <c r="R1796" s="17" t="s">
        <v>2236</v>
      </c>
      <c r="S1796" s="17" t="s">
        <v>2236</v>
      </c>
      <c r="T1796" s="17" t="s">
        <v>2236</v>
      </c>
      <c r="U17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7" spans="1:31" hidden="1" x14ac:dyDescent="0.3">
      <c r="A1797" s="14" t="s">
        <v>2766</v>
      </c>
      <c r="B1797" s="14" t="s">
        <v>2371</v>
      </c>
      <c r="C1797" s="14" t="s">
        <v>4769</v>
      </c>
      <c r="D1797" s="14" t="s">
        <v>4770</v>
      </c>
      <c r="E1797" s="14" t="s">
        <v>2236</v>
      </c>
      <c r="F1797" s="8">
        <v>0</v>
      </c>
      <c r="G1797" s="14" t="s">
        <v>2237</v>
      </c>
      <c r="H1797" s="16">
        <v>0</v>
      </c>
      <c r="I1797" s="14" t="s">
        <v>2237</v>
      </c>
      <c r="J1797" s="16">
        <v>0</v>
      </c>
      <c r="K1797" s="14" t="s">
        <v>2237</v>
      </c>
      <c r="L1797" s="16">
        <v>0</v>
      </c>
      <c r="M1797" s="14" t="s">
        <v>2237</v>
      </c>
      <c r="N1797" s="8">
        <v>0</v>
      </c>
      <c r="O1797" s="14" t="s">
        <v>2237</v>
      </c>
      <c r="P1797" s="14" t="s">
        <v>2236</v>
      </c>
      <c r="Q1797" s="17" t="s">
        <v>2236</v>
      </c>
      <c r="R1797" s="17" t="s">
        <v>2236</v>
      </c>
      <c r="S1797" s="17" t="s">
        <v>2236</v>
      </c>
      <c r="T1797" s="17" t="s">
        <v>2236</v>
      </c>
      <c r="U17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8" spans="1:31" hidden="1" x14ac:dyDescent="0.3">
      <c r="A1798" s="14" t="s">
        <v>2767</v>
      </c>
      <c r="B1798" s="14" t="s">
        <v>2371</v>
      </c>
      <c r="C1798" s="14" t="s">
        <v>4771</v>
      </c>
      <c r="D1798" s="14" t="s">
        <v>4772</v>
      </c>
      <c r="E1798" s="14" t="s">
        <v>2236</v>
      </c>
      <c r="F1798" s="8">
        <v>0</v>
      </c>
      <c r="G1798" s="14" t="s">
        <v>2237</v>
      </c>
      <c r="H1798" s="16">
        <v>0</v>
      </c>
      <c r="I1798" s="14" t="s">
        <v>2237</v>
      </c>
      <c r="J1798" s="16">
        <v>0</v>
      </c>
      <c r="K1798" s="14" t="s">
        <v>2237</v>
      </c>
      <c r="L1798" s="16">
        <v>0</v>
      </c>
      <c r="M1798" s="14" t="s">
        <v>2237</v>
      </c>
      <c r="N1798" s="8">
        <v>0</v>
      </c>
      <c r="O1798" s="14" t="s">
        <v>2237</v>
      </c>
      <c r="P1798" s="14" t="s">
        <v>2236</v>
      </c>
      <c r="Q1798" s="17" t="s">
        <v>2236</v>
      </c>
      <c r="R1798" s="17" t="s">
        <v>2236</v>
      </c>
      <c r="S1798" s="17" t="s">
        <v>2236</v>
      </c>
      <c r="T1798" s="17" t="s">
        <v>2236</v>
      </c>
      <c r="U17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799" spans="1:31" hidden="1" x14ac:dyDescent="0.3">
      <c r="A1799" s="14" t="s">
        <v>2768</v>
      </c>
      <c r="B1799" s="14" t="s">
        <v>2371</v>
      </c>
      <c r="C1799" s="14" t="s">
        <v>4773</v>
      </c>
      <c r="D1799" s="14" t="s">
        <v>4774</v>
      </c>
      <c r="E1799" s="14" t="s">
        <v>2236</v>
      </c>
      <c r="F1799" s="8">
        <v>0</v>
      </c>
      <c r="G1799" s="14" t="s">
        <v>2237</v>
      </c>
      <c r="H1799" s="16">
        <v>0</v>
      </c>
      <c r="I1799" s="14" t="s">
        <v>2237</v>
      </c>
      <c r="J1799" s="16">
        <v>0</v>
      </c>
      <c r="K1799" s="14" t="s">
        <v>2237</v>
      </c>
      <c r="L1799" s="16">
        <v>0</v>
      </c>
      <c r="M1799" s="14" t="s">
        <v>2237</v>
      </c>
      <c r="N1799" s="8">
        <v>0</v>
      </c>
      <c r="O1799" s="14" t="s">
        <v>2237</v>
      </c>
      <c r="P1799" s="14" t="s">
        <v>2236</v>
      </c>
      <c r="Q1799" s="17" t="s">
        <v>2236</v>
      </c>
      <c r="R1799" s="17" t="s">
        <v>2236</v>
      </c>
      <c r="S1799" s="17" t="s">
        <v>2236</v>
      </c>
      <c r="T1799" s="17" t="s">
        <v>2236</v>
      </c>
      <c r="U17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7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7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7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7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7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7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7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7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7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7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0" spans="1:31" hidden="1" x14ac:dyDescent="0.3">
      <c r="A1800" s="14" t="s">
        <v>2769</v>
      </c>
      <c r="B1800" s="14" t="s">
        <v>2371</v>
      </c>
      <c r="C1800" s="14" t="s">
        <v>4775</v>
      </c>
      <c r="D1800" s="14" t="s">
        <v>4776</v>
      </c>
      <c r="E1800" s="14" t="s">
        <v>2236</v>
      </c>
      <c r="F1800" s="8">
        <v>0</v>
      </c>
      <c r="G1800" s="14" t="s">
        <v>2237</v>
      </c>
      <c r="H1800" s="16">
        <v>0</v>
      </c>
      <c r="I1800" s="14" t="s">
        <v>2237</v>
      </c>
      <c r="J1800" s="16">
        <v>0</v>
      </c>
      <c r="K1800" s="14" t="s">
        <v>2237</v>
      </c>
      <c r="L1800" s="16">
        <v>0</v>
      </c>
      <c r="M1800" s="14" t="s">
        <v>2237</v>
      </c>
      <c r="N1800" s="8">
        <v>0</v>
      </c>
      <c r="O1800" s="14" t="s">
        <v>2237</v>
      </c>
      <c r="P1800" s="14" t="s">
        <v>2236</v>
      </c>
      <c r="Q1800" s="17" t="s">
        <v>2236</v>
      </c>
      <c r="R1800" s="17" t="s">
        <v>2236</v>
      </c>
      <c r="S1800" s="17" t="s">
        <v>2236</v>
      </c>
      <c r="T1800" s="17" t="s">
        <v>2236</v>
      </c>
      <c r="U18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1" spans="1:31" hidden="1" x14ac:dyDescent="0.3">
      <c r="A1801" s="14" t="s">
        <v>2770</v>
      </c>
      <c r="B1801" s="14" t="s">
        <v>2371</v>
      </c>
      <c r="C1801" s="14" t="s">
        <v>4777</v>
      </c>
      <c r="D1801" s="14" t="s">
        <v>4778</v>
      </c>
      <c r="E1801" s="14" t="s">
        <v>2236</v>
      </c>
      <c r="F1801" s="8">
        <v>0</v>
      </c>
      <c r="G1801" s="14" t="s">
        <v>2237</v>
      </c>
      <c r="H1801" s="16">
        <v>0</v>
      </c>
      <c r="I1801" s="14" t="s">
        <v>2237</v>
      </c>
      <c r="J1801" s="16">
        <v>0</v>
      </c>
      <c r="K1801" s="14" t="s">
        <v>2237</v>
      </c>
      <c r="L1801" s="16">
        <v>0</v>
      </c>
      <c r="M1801" s="14" t="s">
        <v>2237</v>
      </c>
      <c r="N1801" s="8">
        <v>0</v>
      </c>
      <c r="O1801" s="14" t="s">
        <v>2237</v>
      </c>
      <c r="P1801" s="14" t="s">
        <v>2236</v>
      </c>
      <c r="Q1801" s="17" t="s">
        <v>2236</v>
      </c>
      <c r="R1801" s="17" t="s">
        <v>2236</v>
      </c>
      <c r="S1801" s="17" t="s">
        <v>2236</v>
      </c>
      <c r="T1801" s="17" t="s">
        <v>2236</v>
      </c>
      <c r="U18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2" spans="1:31" hidden="1" x14ac:dyDescent="0.3">
      <c r="A1802" s="14" t="s">
        <v>2771</v>
      </c>
      <c r="B1802" s="14" t="s">
        <v>2371</v>
      </c>
      <c r="C1802" s="14" t="s">
        <v>4779</v>
      </c>
      <c r="D1802" s="14" t="s">
        <v>4780</v>
      </c>
      <c r="E1802" s="14" t="s">
        <v>2236</v>
      </c>
      <c r="F1802" s="8">
        <v>0</v>
      </c>
      <c r="G1802" s="14" t="s">
        <v>2237</v>
      </c>
      <c r="H1802" s="16">
        <v>0</v>
      </c>
      <c r="I1802" s="14" t="s">
        <v>2237</v>
      </c>
      <c r="J1802" s="16">
        <v>0</v>
      </c>
      <c r="K1802" s="14" t="s">
        <v>2237</v>
      </c>
      <c r="L1802" s="16">
        <v>0</v>
      </c>
      <c r="M1802" s="14" t="s">
        <v>2237</v>
      </c>
      <c r="N1802" s="8">
        <v>0</v>
      </c>
      <c r="O1802" s="14" t="s">
        <v>2237</v>
      </c>
      <c r="P1802" s="14" t="s">
        <v>2236</v>
      </c>
      <c r="Q1802" s="17" t="s">
        <v>2236</v>
      </c>
      <c r="R1802" s="17" t="s">
        <v>2236</v>
      </c>
      <c r="S1802" s="17" t="s">
        <v>2236</v>
      </c>
      <c r="T1802" s="17" t="s">
        <v>2236</v>
      </c>
      <c r="U18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3" spans="1:31" hidden="1" x14ac:dyDescent="0.3">
      <c r="A1803" s="14" t="s">
        <v>2772</v>
      </c>
      <c r="B1803" s="14" t="s">
        <v>2371</v>
      </c>
      <c r="C1803" s="14" t="s">
        <v>4781</v>
      </c>
      <c r="D1803" s="14" t="s">
        <v>4782</v>
      </c>
      <c r="E1803" s="14" t="s">
        <v>2236</v>
      </c>
      <c r="F1803" s="8">
        <v>0</v>
      </c>
      <c r="G1803" s="14" t="s">
        <v>2237</v>
      </c>
      <c r="H1803" s="16">
        <v>0</v>
      </c>
      <c r="I1803" s="14" t="s">
        <v>2237</v>
      </c>
      <c r="J1803" s="16">
        <v>0</v>
      </c>
      <c r="K1803" s="14" t="s">
        <v>2237</v>
      </c>
      <c r="L1803" s="16">
        <v>0</v>
      </c>
      <c r="M1803" s="14" t="s">
        <v>2237</v>
      </c>
      <c r="N1803" s="8">
        <v>0</v>
      </c>
      <c r="O1803" s="14" t="s">
        <v>2237</v>
      </c>
      <c r="P1803" s="14" t="s">
        <v>2236</v>
      </c>
      <c r="Q1803" s="17" t="s">
        <v>2236</v>
      </c>
      <c r="R1803" s="17" t="s">
        <v>2236</v>
      </c>
      <c r="S1803" s="17" t="s">
        <v>2236</v>
      </c>
      <c r="T1803" s="17" t="s">
        <v>2236</v>
      </c>
      <c r="U18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4" spans="1:31" hidden="1" x14ac:dyDescent="0.3">
      <c r="A1804" s="14" t="s">
        <v>2773</v>
      </c>
      <c r="B1804" s="14" t="s">
        <v>2371</v>
      </c>
      <c r="C1804" s="14" t="s">
        <v>4783</v>
      </c>
      <c r="D1804" s="14" t="s">
        <v>4784</v>
      </c>
      <c r="E1804" s="14" t="s">
        <v>2236</v>
      </c>
      <c r="F1804" s="8">
        <v>0</v>
      </c>
      <c r="G1804" s="14" t="s">
        <v>2237</v>
      </c>
      <c r="H1804" s="16">
        <v>0</v>
      </c>
      <c r="I1804" s="14" t="s">
        <v>2237</v>
      </c>
      <c r="J1804" s="16">
        <v>0</v>
      </c>
      <c r="K1804" s="14" t="s">
        <v>2237</v>
      </c>
      <c r="L1804" s="16">
        <v>0</v>
      </c>
      <c r="M1804" s="14" t="s">
        <v>2237</v>
      </c>
      <c r="N1804" s="8">
        <v>0</v>
      </c>
      <c r="O1804" s="14" t="s">
        <v>2237</v>
      </c>
      <c r="P1804" s="14" t="s">
        <v>2236</v>
      </c>
      <c r="Q1804" s="17" t="s">
        <v>2236</v>
      </c>
      <c r="R1804" s="17" t="s">
        <v>2236</v>
      </c>
      <c r="S1804" s="17" t="s">
        <v>2236</v>
      </c>
      <c r="T1804" s="17" t="s">
        <v>2236</v>
      </c>
      <c r="U18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5" spans="1:31" hidden="1" x14ac:dyDescent="0.3">
      <c r="A1805" s="14" t="s">
        <v>2774</v>
      </c>
      <c r="B1805" s="14" t="s">
        <v>2371</v>
      </c>
      <c r="C1805" s="14" t="s">
        <v>4785</v>
      </c>
      <c r="D1805" s="14" t="s">
        <v>4786</v>
      </c>
      <c r="E1805" s="14" t="s">
        <v>2236</v>
      </c>
      <c r="F1805" s="8">
        <v>0</v>
      </c>
      <c r="G1805" s="14" t="s">
        <v>2237</v>
      </c>
      <c r="H1805" s="16">
        <v>0</v>
      </c>
      <c r="I1805" s="14" t="s">
        <v>2237</v>
      </c>
      <c r="J1805" s="16">
        <v>0</v>
      </c>
      <c r="K1805" s="14" t="s">
        <v>2237</v>
      </c>
      <c r="L1805" s="16">
        <v>0</v>
      </c>
      <c r="M1805" s="14" t="s">
        <v>2237</v>
      </c>
      <c r="N1805" s="8">
        <v>0</v>
      </c>
      <c r="O1805" s="14" t="s">
        <v>2237</v>
      </c>
      <c r="P1805" s="14" t="s">
        <v>2236</v>
      </c>
      <c r="Q1805" s="17" t="s">
        <v>2236</v>
      </c>
      <c r="R1805" s="17" t="s">
        <v>2236</v>
      </c>
      <c r="S1805" s="17" t="s">
        <v>2236</v>
      </c>
      <c r="T1805" s="17" t="s">
        <v>2236</v>
      </c>
      <c r="U18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6" spans="1:31" hidden="1" x14ac:dyDescent="0.3">
      <c r="A1806" s="14" t="s">
        <v>2775</v>
      </c>
      <c r="B1806" s="14" t="s">
        <v>2371</v>
      </c>
      <c r="C1806" s="14" t="s">
        <v>4787</v>
      </c>
      <c r="D1806" s="14" t="s">
        <v>4788</v>
      </c>
      <c r="E1806" s="14" t="s">
        <v>2236</v>
      </c>
      <c r="F1806" s="8">
        <v>0</v>
      </c>
      <c r="G1806" s="14" t="s">
        <v>2237</v>
      </c>
      <c r="H1806" s="16">
        <v>0</v>
      </c>
      <c r="I1806" s="14" t="s">
        <v>2237</v>
      </c>
      <c r="J1806" s="16">
        <v>0</v>
      </c>
      <c r="K1806" s="14" t="s">
        <v>2237</v>
      </c>
      <c r="L1806" s="16">
        <v>0</v>
      </c>
      <c r="M1806" s="14" t="s">
        <v>2237</v>
      </c>
      <c r="N1806" s="8">
        <v>0</v>
      </c>
      <c r="O1806" s="14" t="s">
        <v>2237</v>
      </c>
      <c r="P1806" s="14" t="s">
        <v>2236</v>
      </c>
      <c r="Q1806" s="17" t="s">
        <v>2236</v>
      </c>
      <c r="R1806" s="17" t="s">
        <v>2236</v>
      </c>
      <c r="S1806" s="17" t="s">
        <v>2236</v>
      </c>
      <c r="T1806" s="17" t="s">
        <v>2236</v>
      </c>
      <c r="U18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7" spans="1:31" hidden="1" x14ac:dyDescent="0.3">
      <c r="A1807" s="14" t="s">
        <v>2776</v>
      </c>
      <c r="B1807" s="14" t="s">
        <v>2371</v>
      </c>
      <c r="C1807" s="14" t="s">
        <v>4789</v>
      </c>
      <c r="D1807" s="14" t="s">
        <v>4790</v>
      </c>
      <c r="E1807" s="14" t="s">
        <v>2236</v>
      </c>
      <c r="F1807" s="8">
        <v>0</v>
      </c>
      <c r="G1807" s="14" t="s">
        <v>2237</v>
      </c>
      <c r="H1807" s="16">
        <v>0</v>
      </c>
      <c r="I1807" s="14" t="s">
        <v>2237</v>
      </c>
      <c r="J1807" s="16">
        <v>0</v>
      </c>
      <c r="K1807" s="14" t="s">
        <v>2237</v>
      </c>
      <c r="L1807" s="16">
        <v>0</v>
      </c>
      <c r="M1807" s="14" t="s">
        <v>2237</v>
      </c>
      <c r="N1807" s="8">
        <v>0</v>
      </c>
      <c r="O1807" s="14" t="s">
        <v>2237</v>
      </c>
      <c r="P1807" s="14" t="s">
        <v>2236</v>
      </c>
      <c r="Q1807" s="17" t="s">
        <v>2236</v>
      </c>
      <c r="R1807" s="17" t="s">
        <v>2236</v>
      </c>
      <c r="S1807" s="17" t="s">
        <v>2236</v>
      </c>
      <c r="T1807" s="17" t="s">
        <v>2236</v>
      </c>
      <c r="U18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8" spans="1:31" hidden="1" x14ac:dyDescent="0.3">
      <c r="A1808" s="14" t="s">
        <v>2777</v>
      </c>
      <c r="B1808" s="14" t="s">
        <v>2371</v>
      </c>
      <c r="C1808" s="14" t="s">
        <v>4791</v>
      </c>
      <c r="D1808" s="14" t="s">
        <v>4792</v>
      </c>
      <c r="E1808" s="14" t="s">
        <v>2236</v>
      </c>
      <c r="F1808" s="8">
        <v>0</v>
      </c>
      <c r="G1808" s="14" t="s">
        <v>2237</v>
      </c>
      <c r="H1808" s="16">
        <v>0</v>
      </c>
      <c r="I1808" s="14" t="s">
        <v>2237</v>
      </c>
      <c r="J1808" s="16">
        <v>0</v>
      </c>
      <c r="K1808" s="14" t="s">
        <v>2237</v>
      </c>
      <c r="L1808" s="16">
        <v>0</v>
      </c>
      <c r="M1808" s="14" t="s">
        <v>2237</v>
      </c>
      <c r="N1808" s="8">
        <v>0</v>
      </c>
      <c r="O1808" s="14" t="s">
        <v>2237</v>
      </c>
      <c r="P1808" s="14" t="s">
        <v>2236</v>
      </c>
      <c r="Q1808" s="17" t="s">
        <v>2236</v>
      </c>
      <c r="R1808" s="17" t="s">
        <v>2236</v>
      </c>
      <c r="S1808" s="17" t="s">
        <v>2236</v>
      </c>
      <c r="T1808" s="17" t="s">
        <v>2236</v>
      </c>
      <c r="U18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09" spans="1:31" hidden="1" x14ac:dyDescent="0.3">
      <c r="A1809" s="14" t="s">
        <v>2778</v>
      </c>
      <c r="B1809" s="14" t="s">
        <v>2371</v>
      </c>
      <c r="C1809" s="14" t="s">
        <v>4793</v>
      </c>
      <c r="D1809" s="14" t="s">
        <v>4794</v>
      </c>
      <c r="E1809" s="14" t="s">
        <v>2236</v>
      </c>
      <c r="F1809" s="8">
        <v>0</v>
      </c>
      <c r="G1809" s="14" t="s">
        <v>2237</v>
      </c>
      <c r="H1809" s="16">
        <v>0</v>
      </c>
      <c r="I1809" s="14" t="s">
        <v>2237</v>
      </c>
      <c r="J1809" s="16">
        <v>0</v>
      </c>
      <c r="K1809" s="14" t="s">
        <v>2237</v>
      </c>
      <c r="L1809" s="16">
        <v>0</v>
      </c>
      <c r="M1809" s="14" t="s">
        <v>2237</v>
      </c>
      <c r="N1809" s="8">
        <v>0</v>
      </c>
      <c r="O1809" s="14" t="s">
        <v>2237</v>
      </c>
      <c r="P1809" s="14" t="s">
        <v>2236</v>
      </c>
      <c r="Q1809" s="17" t="s">
        <v>2236</v>
      </c>
      <c r="R1809" s="17" t="s">
        <v>2236</v>
      </c>
      <c r="S1809" s="17" t="s">
        <v>2236</v>
      </c>
      <c r="T1809" s="17" t="s">
        <v>2236</v>
      </c>
      <c r="U18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0" spans="1:31" hidden="1" x14ac:dyDescent="0.3">
      <c r="A1810" s="14" t="s">
        <v>2779</v>
      </c>
      <c r="B1810" s="14" t="s">
        <v>2371</v>
      </c>
      <c r="C1810" s="14" t="s">
        <v>4795</v>
      </c>
      <c r="D1810" s="14" t="s">
        <v>4796</v>
      </c>
      <c r="E1810" s="14" t="s">
        <v>2236</v>
      </c>
      <c r="F1810" s="8">
        <v>0</v>
      </c>
      <c r="G1810" s="14" t="s">
        <v>2237</v>
      </c>
      <c r="H1810" s="16">
        <v>0</v>
      </c>
      <c r="I1810" s="14" t="s">
        <v>2237</v>
      </c>
      <c r="J1810" s="16">
        <v>0</v>
      </c>
      <c r="K1810" s="14" t="s">
        <v>2237</v>
      </c>
      <c r="L1810" s="16">
        <v>0</v>
      </c>
      <c r="M1810" s="14" t="s">
        <v>2237</v>
      </c>
      <c r="N1810" s="8">
        <v>0</v>
      </c>
      <c r="O1810" s="14" t="s">
        <v>2237</v>
      </c>
      <c r="P1810" s="14" t="s">
        <v>2236</v>
      </c>
      <c r="Q1810" s="17" t="s">
        <v>2236</v>
      </c>
      <c r="R1810" s="17" t="s">
        <v>2236</v>
      </c>
      <c r="S1810" s="17" t="s">
        <v>2236</v>
      </c>
      <c r="T1810" s="17" t="s">
        <v>2236</v>
      </c>
      <c r="U18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1" spans="1:31" hidden="1" x14ac:dyDescent="0.3">
      <c r="A1811" s="14" t="s">
        <v>2780</v>
      </c>
      <c r="B1811" s="14" t="s">
        <v>2371</v>
      </c>
      <c r="C1811" s="14" t="s">
        <v>4797</v>
      </c>
      <c r="D1811" s="14" t="s">
        <v>4798</v>
      </c>
      <c r="E1811" s="14" t="s">
        <v>2236</v>
      </c>
      <c r="F1811" s="8">
        <v>0</v>
      </c>
      <c r="G1811" s="14" t="s">
        <v>2237</v>
      </c>
      <c r="H1811" s="16">
        <v>0</v>
      </c>
      <c r="I1811" s="14" t="s">
        <v>2237</v>
      </c>
      <c r="J1811" s="16">
        <v>0</v>
      </c>
      <c r="K1811" s="14" t="s">
        <v>2237</v>
      </c>
      <c r="L1811" s="16">
        <v>0</v>
      </c>
      <c r="M1811" s="14" t="s">
        <v>2237</v>
      </c>
      <c r="N1811" s="8">
        <v>0</v>
      </c>
      <c r="O1811" s="14" t="s">
        <v>2237</v>
      </c>
      <c r="P1811" s="14" t="s">
        <v>2236</v>
      </c>
      <c r="Q1811" s="17" t="s">
        <v>2236</v>
      </c>
      <c r="R1811" s="17" t="s">
        <v>2236</v>
      </c>
      <c r="S1811" s="17" t="s">
        <v>2236</v>
      </c>
      <c r="T1811" s="17" t="s">
        <v>2236</v>
      </c>
      <c r="U18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2" spans="1:31" hidden="1" x14ac:dyDescent="0.3">
      <c r="A1812" s="14" t="s">
        <v>2781</v>
      </c>
      <c r="B1812" s="14" t="s">
        <v>2371</v>
      </c>
      <c r="C1812" s="14" t="s">
        <v>4799</v>
      </c>
      <c r="D1812" s="14" t="s">
        <v>4800</v>
      </c>
      <c r="E1812" s="14" t="s">
        <v>2236</v>
      </c>
      <c r="F1812" s="8">
        <v>0</v>
      </c>
      <c r="G1812" s="14" t="s">
        <v>2237</v>
      </c>
      <c r="H1812" s="16">
        <v>0</v>
      </c>
      <c r="I1812" s="14" t="s">
        <v>2237</v>
      </c>
      <c r="J1812" s="16">
        <v>0</v>
      </c>
      <c r="K1812" s="14" t="s">
        <v>2237</v>
      </c>
      <c r="L1812" s="16">
        <v>0</v>
      </c>
      <c r="M1812" s="14" t="s">
        <v>2237</v>
      </c>
      <c r="N1812" s="8">
        <v>0</v>
      </c>
      <c r="O1812" s="14" t="s">
        <v>2237</v>
      </c>
      <c r="P1812" s="14" t="s">
        <v>2236</v>
      </c>
      <c r="Q1812" s="17" t="s">
        <v>2236</v>
      </c>
      <c r="R1812" s="17" t="s">
        <v>2236</v>
      </c>
      <c r="S1812" s="17" t="s">
        <v>2236</v>
      </c>
      <c r="T1812" s="17" t="s">
        <v>2236</v>
      </c>
      <c r="U18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3" spans="1:31" hidden="1" x14ac:dyDescent="0.3">
      <c r="A1813" s="14" t="s">
        <v>2782</v>
      </c>
      <c r="B1813" s="14" t="s">
        <v>2371</v>
      </c>
      <c r="C1813" s="14" t="s">
        <v>4801</v>
      </c>
      <c r="D1813" s="14" t="s">
        <v>4802</v>
      </c>
      <c r="E1813" s="14" t="s">
        <v>2236</v>
      </c>
      <c r="F1813" s="8">
        <v>0</v>
      </c>
      <c r="G1813" s="14" t="s">
        <v>2237</v>
      </c>
      <c r="H1813" s="16">
        <v>0</v>
      </c>
      <c r="I1813" s="14" t="s">
        <v>2237</v>
      </c>
      <c r="J1813" s="16">
        <v>0</v>
      </c>
      <c r="K1813" s="14" t="s">
        <v>2237</v>
      </c>
      <c r="L1813" s="16">
        <v>0</v>
      </c>
      <c r="M1813" s="14" t="s">
        <v>2237</v>
      </c>
      <c r="N1813" s="8">
        <v>0</v>
      </c>
      <c r="O1813" s="14" t="s">
        <v>2237</v>
      </c>
      <c r="P1813" s="14" t="s">
        <v>2236</v>
      </c>
      <c r="Q1813" s="17" t="s">
        <v>2236</v>
      </c>
      <c r="R1813" s="17" t="s">
        <v>2236</v>
      </c>
      <c r="S1813" s="17" t="s">
        <v>2236</v>
      </c>
      <c r="T1813" s="17" t="s">
        <v>2236</v>
      </c>
      <c r="U18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4" spans="1:31" hidden="1" x14ac:dyDescent="0.3">
      <c r="A1814" s="14" t="s">
        <v>2783</v>
      </c>
      <c r="B1814" s="14" t="s">
        <v>2371</v>
      </c>
      <c r="C1814" s="14" t="s">
        <v>4803</v>
      </c>
      <c r="D1814" s="14" t="s">
        <v>4804</v>
      </c>
      <c r="E1814" s="14" t="s">
        <v>2236</v>
      </c>
      <c r="F1814" s="8">
        <v>0</v>
      </c>
      <c r="G1814" s="14" t="s">
        <v>2237</v>
      </c>
      <c r="H1814" s="16">
        <v>0</v>
      </c>
      <c r="I1814" s="14" t="s">
        <v>2237</v>
      </c>
      <c r="J1814" s="16">
        <v>0</v>
      </c>
      <c r="K1814" s="14" t="s">
        <v>2237</v>
      </c>
      <c r="L1814" s="16">
        <v>0</v>
      </c>
      <c r="M1814" s="14" t="s">
        <v>2237</v>
      </c>
      <c r="N1814" s="8">
        <v>0</v>
      </c>
      <c r="O1814" s="14" t="s">
        <v>2237</v>
      </c>
      <c r="P1814" s="14" t="s">
        <v>2236</v>
      </c>
      <c r="Q1814" s="17" t="s">
        <v>2236</v>
      </c>
      <c r="R1814" s="17" t="s">
        <v>2236</v>
      </c>
      <c r="S1814" s="17" t="s">
        <v>2236</v>
      </c>
      <c r="T1814" s="17" t="s">
        <v>2236</v>
      </c>
      <c r="U18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5" spans="1:31" hidden="1" x14ac:dyDescent="0.3">
      <c r="A1815" s="14" t="s">
        <v>2785</v>
      </c>
      <c r="B1815" s="14" t="s">
        <v>2371</v>
      </c>
      <c r="C1815" s="14" t="s">
        <v>4805</v>
      </c>
      <c r="D1815" s="14" t="s">
        <v>4806</v>
      </c>
      <c r="E1815" s="14" t="s">
        <v>2236</v>
      </c>
      <c r="F1815" s="8">
        <v>0</v>
      </c>
      <c r="G1815" s="14" t="s">
        <v>2237</v>
      </c>
      <c r="H1815" s="16">
        <v>0</v>
      </c>
      <c r="I1815" s="14" t="s">
        <v>2237</v>
      </c>
      <c r="J1815" s="16">
        <v>0</v>
      </c>
      <c r="K1815" s="14" t="s">
        <v>2237</v>
      </c>
      <c r="L1815" s="16">
        <v>0</v>
      </c>
      <c r="M1815" s="14" t="s">
        <v>2237</v>
      </c>
      <c r="N1815" s="8">
        <v>0</v>
      </c>
      <c r="O1815" s="14" t="s">
        <v>2237</v>
      </c>
      <c r="P1815" s="14" t="s">
        <v>2236</v>
      </c>
      <c r="Q1815" s="17" t="s">
        <v>2236</v>
      </c>
      <c r="R1815" s="17" t="s">
        <v>2236</v>
      </c>
      <c r="S1815" s="17" t="s">
        <v>2236</v>
      </c>
      <c r="T1815" s="17" t="s">
        <v>2236</v>
      </c>
      <c r="U18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6" spans="1:31" hidden="1" x14ac:dyDescent="0.3">
      <c r="A1816" s="14" t="s">
        <v>2786</v>
      </c>
      <c r="B1816" s="14" t="s">
        <v>2371</v>
      </c>
      <c r="C1816" s="14" t="s">
        <v>4807</v>
      </c>
      <c r="D1816" s="14" t="s">
        <v>4808</v>
      </c>
      <c r="E1816" s="14" t="s">
        <v>2236</v>
      </c>
      <c r="F1816" s="8">
        <v>0</v>
      </c>
      <c r="G1816" s="14" t="s">
        <v>2237</v>
      </c>
      <c r="H1816" s="16">
        <v>0</v>
      </c>
      <c r="I1816" s="14" t="s">
        <v>2237</v>
      </c>
      <c r="J1816" s="16">
        <v>0</v>
      </c>
      <c r="K1816" s="14" t="s">
        <v>2237</v>
      </c>
      <c r="L1816" s="16">
        <v>0</v>
      </c>
      <c r="M1816" s="14" t="s">
        <v>2237</v>
      </c>
      <c r="N1816" s="8">
        <v>0</v>
      </c>
      <c r="O1816" s="14" t="s">
        <v>2237</v>
      </c>
      <c r="P1816" s="14" t="s">
        <v>2236</v>
      </c>
      <c r="Q1816" s="17" t="s">
        <v>2236</v>
      </c>
      <c r="R1816" s="17" t="s">
        <v>2236</v>
      </c>
      <c r="S1816" s="17" t="s">
        <v>2236</v>
      </c>
      <c r="T1816" s="17" t="s">
        <v>2236</v>
      </c>
      <c r="U18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7" spans="1:31" hidden="1" x14ac:dyDescent="0.3">
      <c r="A1817" s="14" t="s">
        <v>2787</v>
      </c>
      <c r="B1817" s="14" t="s">
        <v>2371</v>
      </c>
      <c r="C1817" s="14" t="s">
        <v>4809</v>
      </c>
      <c r="D1817" s="14" t="s">
        <v>4810</v>
      </c>
      <c r="E1817" s="14" t="s">
        <v>2236</v>
      </c>
      <c r="F1817" s="8">
        <v>0</v>
      </c>
      <c r="G1817" s="14" t="s">
        <v>2237</v>
      </c>
      <c r="H1817" s="16">
        <v>0</v>
      </c>
      <c r="I1817" s="14" t="s">
        <v>2237</v>
      </c>
      <c r="J1817" s="16">
        <v>0</v>
      </c>
      <c r="K1817" s="14" t="s">
        <v>2237</v>
      </c>
      <c r="L1817" s="16">
        <v>0</v>
      </c>
      <c r="M1817" s="14" t="s">
        <v>2237</v>
      </c>
      <c r="N1817" s="8">
        <v>0</v>
      </c>
      <c r="O1817" s="14" t="s">
        <v>2237</v>
      </c>
      <c r="P1817" s="14" t="s">
        <v>2236</v>
      </c>
      <c r="Q1817" s="17" t="s">
        <v>2236</v>
      </c>
      <c r="R1817" s="17" t="s">
        <v>2236</v>
      </c>
      <c r="S1817" s="17" t="s">
        <v>2236</v>
      </c>
      <c r="T1817" s="17" t="s">
        <v>2236</v>
      </c>
      <c r="U18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8" spans="1:31" hidden="1" x14ac:dyDescent="0.3">
      <c r="A1818" s="14" t="s">
        <v>2788</v>
      </c>
      <c r="B1818" s="14" t="s">
        <v>2371</v>
      </c>
      <c r="C1818" s="14" t="s">
        <v>4769</v>
      </c>
      <c r="D1818" s="14" t="s">
        <v>4811</v>
      </c>
      <c r="E1818" s="14" t="s">
        <v>2236</v>
      </c>
      <c r="F1818" s="8">
        <v>0</v>
      </c>
      <c r="G1818" s="14" t="s">
        <v>2237</v>
      </c>
      <c r="H1818" s="16">
        <v>0</v>
      </c>
      <c r="I1818" s="14" t="s">
        <v>2237</v>
      </c>
      <c r="J1818" s="16">
        <v>0</v>
      </c>
      <c r="K1818" s="14" t="s">
        <v>2237</v>
      </c>
      <c r="L1818" s="16">
        <v>0</v>
      </c>
      <c r="M1818" s="14" t="s">
        <v>2237</v>
      </c>
      <c r="N1818" s="8">
        <v>0</v>
      </c>
      <c r="O1818" s="14" t="s">
        <v>2237</v>
      </c>
      <c r="P1818" s="14" t="s">
        <v>2236</v>
      </c>
      <c r="Q1818" s="17" t="s">
        <v>2236</v>
      </c>
      <c r="R1818" s="17" t="s">
        <v>2236</v>
      </c>
      <c r="S1818" s="17" t="s">
        <v>2236</v>
      </c>
      <c r="T1818" s="17" t="s">
        <v>2236</v>
      </c>
      <c r="U18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19" spans="1:31" hidden="1" x14ac:dyDescent="0.3">
      <c r="A1819" s="14" t="s">
        <v>2789</v>
      </c>
      <c r="B1819" s="14" t="s">
        <v>2371</v>
      </c>
      <c r="C1819" s="14" t="s">
        <v>4812</v>
      </c>
      <c r="D1819" s="14" t="s">
        <v>4813</v>
      </c>
      <c r="E1819" s="14" t="s">
        <v>2236</v>
      </c>
      <c r="F1819" s="8">
        <v>0</v>
      </c>
      <c r="G1819" s="14" t="s">
        <v>2237</v>
      </c>
      <c r="H1819" s="16">
        <v>0</v>
      </c>
      <c r="I1819" s="14" t="s">
        <v>2237</v>
      </c>
      <c r="J1819" s="16">
        <v>0</v>
      </c>
      <c r="K1819" s="14" t="s">
        <v>2237</v>
      </c>
      <c r="L1819" s="16">
        <v>0</v>
      </c>
      <c r="M1819" s="14" t="s">
        <v>2237</v>
      </c>
      <c r="N1819" s="8">
        <v>0</v>
      </c>
      <c r="O1819" s="14" t="s">
        <v>2237</v>
      </c>
      <c r="P1819" s="14" t="s">
        <v>2236</v>
      </c>
      <c r="Q1819" s="17" t="s">
        <v>2236</v>
      </c>
      <c r="R1819" s="17" t="s">
        <v>2236</v>
      </c>
      <c r="S1819" s="17" t="s">
        <v>2236</v>
      </c>
      <c r="T1819" s="17" t="s">
        <v>2236</v>
      </c>
      <c r="U18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0" spans="1:31" hidden="1" x14ac:dyDescent="0.3">
      <c r="A1820" s="14" t="s">
        <v>2790</v>
      </c>
      <c r="B1820" s="14" t="s">
        <v>2371</v>
      </c>
      <c r="C1820" s="14" t="s">
        <v>4814</v>
      </c>
      <c r="D1820" s="14" t="s">
        <v>4815</v>
      </c>
      <c r="E1820" s="14" t="s">
        <v>2236</v>
      </c>
      <c r="F1820" s="8">
        <v>0</v>
      </c>
      <c r="G1820" s="14" t="s">
        <v>2237</v>
      </c>
      <c r="H1820" s="16">
        <v>0</v>
      </c>
      <c r="I1820" s="14" t="s">
        <v>2237</v>
      </c>
      <c r="J1820" s="16">
        <v>0</v>
      </c>
      <c r="K1820" s="14" t="s">
        <v>2237</v>
      </c>
      <c r="L1820" s="16">
        <v>0</v>
      </c>
      <c r="M1820" s="14" t="s">
        <v>2237</v>
      </c>
      <c r="N1820" s="8">
        <v>0</v>
      </c>
      <c r="O1820" s="14" t="s">
        <v>2237</v>
      </c>
      <c r="P1820" s="14" t="s">
        <v>2236</v>
      </c>
      <c r="Q1820" s="17" t="s">
        <v>2236</v>
      </c>
      <c r="R1820" s="17" t="s">
        <v>2236</v>
      </c>
      <c r="S1820" s="17" t="s">
        <v>2236</v>
      </c>
      <c r="T1820" s="17" t="s">
        <v>2236</v>
      </c>
      <c r="U18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1" spans="1:31" hidden="1" x14ac:dyDescent="0.3">
      <c r="A1821" s="14" t="s">
        <v>2791</v>
      </c>
      <c r="B1821" s="14" t="s">
        <v>2371</v>
      </c>
      <c r="C1821" s="14" t="s">
        <v>4816</v>
      </c>
      <c r="D1821" s="14" t="s">
        <v>4817</v>
      </c>
      <c r="E1821" s="14" t="s">
        <v>2236</v>
      </c>
      <c r="F1821" s="8">
        <v>0</v>
      </c>
      <c r="G1821" s="14" t="s">
        <v>2237</v>
      </c>
      <c r="H1821" s="16">
        <v>0</v>
      </c>
      <c r="I1821" s="14" t="s">
        <v>2237</v>
      </c>
      <c r="J1821" s="16">
        <v>0</v>
      </c>
      <c r="K1821" s="14" t="s">
        <v>2237</v>
      </c>
      <c r="L1821" s="16">
        <v>0</v>
      </c>
      <c r="M1821" s="14" t="s">
        <v>2237</v>
      </c>
      <c r="N1821" s="8">
        <v>0</v>
      </c>
      <c r="O1821" s="14" t="s">
        <v>2237</v>
      </c>
      <c r="P1821" s="14" t="s">
        <v>2236</v>
      </c>
      <c r="Q1821" s="17" t="s">
        <v>2236</v>
      </c>
      <c r="R1821" s="17" t="s">
        <v>2236</v>
      </c>
      <c r="S1821" s="17" t="s">
        <v>2236</v>
      </c>
      <c r="T1821" s="17" t="s">
        <v>2236</v>
      </c>
      <c r="U18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2" spans="1:31" hidden="1" x14ac:dyDescent="0.3">
      <c r="A1822" s="14" t="s">
        <v>2792</v>
      </c>
      <c r="B1822" s="14" t="s">
        <v>2371</v>
      </c>
      <c r="C1822" s="14" t="s">
        <v>4818</v>
      </c>
      <c r="D1822" s="14" t="s">
        <v>4819</v>
      </c>
      <c r="E1822" s="14" t="s">
        <v>2236</v>
      </c>
      <c r="F1822" s="8">
        <v>0</v>
      </c>
      <c r="G1822" s="14" t="s">
        <v>2237</v>
      </c>
      <c r="H1822" s="16">
        <v>0</v>
      </c>
      <c r="I1822" s="14" t="s">
        <v>2237</v>
      </c>
      <c r="J1822" s="16">
        <v>0</v>
      </c>
      <c r="K1822" s="14" t="s">
        <v>2237</v>
      </c>
      <c r="L1822" s="16">
        <v>0</v>
      </c>
      <c r="M1822" s="14" t="s">
        <v>2237</v>
      </c>
      <c r="N1822" s="8">
        <v>0</v>
      </c>
      <c r="O1822" s="14" t="s">
        <v>2237</v>
      </c>
      <c r="P1822" s="14" t="s">
        <v>2236</v>
      </c>
      <c r="Q1822" s="17" t="s">
        <v>2236</v>
      </c>
      <c r="R1822" s="17" t="s">
        <v>2236</v>
      </c>
      <c r="S1822" s="17" t="s">
        <v>2236</v>
      </c>
      <c r="T1822" s="17" t="s">
        <v>2236</v>
      </c>
      <c r="U18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3" spans="1:31" hidden="1" x14ac:dyDescent="0.3">
      <c r="A1823" s="14" t="s">
        <v>2793</v>
      </c>
      <c r="B1823" s="14" t="s">
        <v>2371</v>
      </c>
      <c r="C1823" s="14" t="s">
        <v>4769</v>
      </c>
      <c r="D1823" s="14" t="s">
        <v>4820</v>
      </c>
      <c r="E1823" s="14" t="s">
        <v>2236</v>
      </c>
      <c r="F1823" s="8">
        <v>0</v>
      </c>
      <c r="G1823" s="14" t="s">
        <v>2237</v>
      </c>
      <c r="H1823" s="16">
        <v>0</v>
      </c>
      <c r="I1823" s="14" t="s">
        <v>2237</v>
      </c>
      <c r="J1823" s="16">
        <v>0</v>
      </c>
      <c r="K1823" s="14" t="s">
        <v>2237</v>
      </c>
      <c r="L1823" s="16">
        <v>0</v>
      </c>
      <c r="M1823" s="14" t="s">
        <v>2237</v>
      </c>
      <c r="N1823" s="8">
        <v>0</v>
      </c>
      <c r="O1823" s="14" t="s">
        <v>2237</v>
      </c>
      <c r="P1823" s="14" t="s">
        <v>2236</v>
      </c>
      <c r="Q1823" s="17" t="s">
        <v>2236</v>
      </c>
      <c r="R1823" s="17" t="s">
        <v>2236</v>
      </c>
      <c r="S1823" s="17" t="s">
        <v>2236</v>
      </c>
      <c r="T1823" s="17" t="s">
        <v>2236</v>
      </c>
      <c r="U18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4" spans="1:31" hidden="1" x14ac:dyDescent="0.3">
      <c r="A1824" s="14" t="s">
        <v>2794</v>
      </c>
      <c r="B1824" s="14" t="s">
        <v>2371</v>
      </c>
      <c r="C1824" s="14" t="s">
        <v>4821</v>
      </c>
      <c r="D1824" s="14" t="s">
        <v>4822</v>
      </c>
      <c r="E1824" s="14" t="s">
        <v>2236</v>
      </c>
      <c r="F1824" s="8">
        <v>0</v>
      </c>
      <c r="G1824" s="14" t="s">
        <v>2237</v>
      </c>
      <c r="H1824" s="16">
        <v>0</v>
      </c>
      <c r="I1824" s="14" t="s">
        <v>2237</v>
      </c>
      <c r="J1824" s="16">
        <v>0</v>
      </c>
      <c r="K1824" s="14" t="s">
        <v>2237</v>
      </c>
      <c r="L1824" s="16">
        <v>0</v>
      </c>
      <c r="M1824" s="14" t="s">
        <v>2237</v>
      </c>
      <c r="N1824" s="8">
        <v>0</v>
      </c>
      <c r="O1824" s="14" t="s">
        <v>2237</v>
      </c>
      <c r="P1824" s="14" t="s">
        <v>2236</v>
      </c>
      <c r="Q1824" s="17" t="s">
        <v>2236</v>
      </c>
      <c r="R1824" s="17" t="s">
        <v>2236</v>
      </c>
      <c r="S1824" s="17" t="s">
        <v>2236</v>
      </c>
      <c r="T1824" s="17" t="s">
        <v>2236</v>
      </c>
      <c r="U18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5" spans="1:31" hidden="1" x14ac:dyDescent="0.3">
      <c r="A1825" s="14" t="s">
        <v>2795</v>
      </c>
      <c r="B1825" s="14" t="s">
        <v>2371</v>
      </c>
      <c r="C1825" s="14" t="s">
        <v>4823</v>
      </c>
      <c r="D1825" s="14" t="s">
        <v>4824</v>
      </c>
      <c r="E1825" s="14" t="s">
        <v>2236</v>
      </c>
      <c r="F1825" s="8">
        <v>0</v>
      </c>
      <c r="G1825" s="14" t="s">
        <v>2237</v>
      </c>
      <c r="H1825" s="16">
        <v>0</v>
      </c>
      <c r="I1825" s="14" t="s">
        <v>2237</v>
      </c>
      <c r="J1825" s="16">
        <v>0</v>
      </c>
      <c r="K1825" s="14" t="s">
        <v>2237</v>
      </c>
      <c r="L1825" s="16">
        <v>0</v>
      </c>
      <c r="M1825" s="14" t="s">
        <v>2237</v>
      </c>
      <c r="N1825" s="8">
        <v>0</v>
      </c>
      <c r="O1825" s="14" t="s">
        <v>2237</v>
      </c>
      <c r="P1825" s="14" t="s">
        <v>2236</v>
      </c>
      <c r="Q1825" s="17" t="s">
        <v>2236</v>
      </c>
      <c r="R1825" s="17" t="s">
        <v>2236</v>
      </c>
      <c r="S1825" s="17" t="s">
        <v>2236</v>
      </c>
      <c r="T1825" s="17" t="s">
        <v>2236</v>
      </c>
      <c r="U18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6" spans="1:31" hidden="1" x14ac:dyDescent="0.3">
      <c r="A1826" s="14" t="s">
        <v>2796</v>
      </c>
      <c r="B1826" s="14" t="s">
        <v>2371</v>
      </c>
      <c r="C1826" s="14" t="s">
        <v>4825</v>
      </c>
      <c r="D1826" s="14" t="s">
        <v>4826</v>
      </c>
      <c r="E1826" s="14" t="s">
        <v>2236</v>
      </c>
      <c r="F1826" s="8">
        <v>0</v>
      </c>
      <c r="G1826" s="14" t="s">
        <v>2237</v>
      </c>
      <c r="H1826" s="16">
        <v>0</v>
      </c>
      <c r="I1826" s="14" t="s">
        <v>2237</v>
      </c>
      <c r="J1826" s="16">
        <v>0</v>
      </c>
      <c r="K1826" s="14" t="s">
        <v>2237</v>
      </c>
      <c r="L1826" s="16">
        <v>0</v>
      </c>
      <c r="M1826" s="14" t="s">
        <v>2237</v>
      </c>
      <c r="N1826" s="8">
        <v>0</v>
      </c>
      <c r="O1826" s="14" t="s">
        <v>2237</v>
      </c>
      <c r="P1826" s="14" t="s">
        <v>2236</v>
      </c>
      <c r="Q1826" s="17" t="s">
        <v>2236</v>
      </c>
      <c r="R1826" s="17" t="s">
        <v>2236</v>
      </c>
      <c r="S1826" s="17" t="s">
        <v>2236</v>
      </c>
      <c r="T1826" s="17" t="s">
        <v>2236</v>
      </c>
      <c r="U18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7" spans="1:31" hidden="1" x14ac:dyDescent="0.3">
      <c r="A1827" s="14" t="s">
        <v>2797</v>
      </c>
      <c r="B1827" s="14" t="s">
        <v>2371</v>
      </c>
      <c r="C1827" s="14" t="s">
        <v>4827</v>
      </c>
      <c r="D1827" s="14" t="s">
        <v>4828</v>
      </c>
      <c r="E1827" s="14" t="s">
        <v>2236</v>
      </c>
      <c r="F1827" s="8">
        <v>0</v>
      </c>
      <c r="G1827" s="14" t="s">
        <v>2237</v>
      </c>
      <c r="H1827" s="16">
        <v>0</v>
      </c>
      <c r="I1827" s="14" t="s">
        <v>2237</v>
      </c>
      <c r="J1827" s="16">
        <v>0</v>
      </c>
      <c r="K1827" s="14" t="s">
        <v>2237</v>
      </c>
      <c r="L1827" s="16">
        <v>0</v>
      </c>
      <c r="M1827" s="14" t="s">
        <v>2237</v>
      </c>
      <c r="N1827" s="8">
        <v>0</v>
      </c>
      <c r="O1827" s="14" t="s">
        <v>2237</v>
      </c>
      <c r="P1827" s="14" t="s">
        <v>2236</v>
      </c>
      <c r="Q1827" s="17" t="s">
        <v>2236</v>
      </c>
      <c r="R1827" s="17" t="s">
        <v>2236</v>
      </c>
      <c r="S1827" s="17" t="s">
        <v>2236</v>
      </c>
      <c r="T1827" s="17" t="s">
        <v>2236</v>
      </c>
      <c r="U18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8" spans="1:31" hidden="1" x14ac:dyDescent="0.3">
      <c r="A1828" s="14" t="s">
        <v>2798</v>
      </c>
      <c r="B1828" s="14" t="s">
        <v>2371</v>
      </c>
      <c r="C1828" s="14" t="s">
        <v>4769</v>
      </c>
      <c r="D1828" s="14" t="s">
        <v>4829</v>
      </c>
      <c r="E1828" s="14" t="s">
        <v>2236</v>
      </c>
      <c r="F1828" s="8">
        <v>0</v>
      </c>
      <c r="G1828" s="14" t="s">
        <v>2237</v>
      </c>
      <c r="H1828" s="16">
        <v>0</v>
      </c>
      <c r="I1828" s="14" t="s">
        <v>2237</v>
      </c>
      <c r="J1828" s="16">
        <v>0</v>
      </c>
      <c r="K1828" s="14" t="s">
        <v>2237</v>
      </c>
      <c r="L1828" s="16">
        <v>0</v>
      </c>
      <c r="M1828" s="14" t="s">
        <v>2237</v>
      </c>
      <c r="N1828" s="8">
        <v>0</v>
      </c>
      <c r="O1828" s="14" t="s">
        <v>2237</v>
      </c>
      <c r="P1828" s="14" t="s">
        <v>2236</v>
      </c>
      <c r="Q1828" s="17" t="s">
        <v>2236</v>
      </c>
      <c r="R1828" s="17" t="s">
        <v>2236</v>
      </c>
      <c r="S1828" s="17" t="s">
        <v>2236</v>
      </c>
      <c r="T1828" s="17" t="s">
        <v>2236</v>
      </c>
      <c r="U18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29" spans="1:31" hidden="1" x14ac:dyDescent="0.3">
      <c r="A1829" s="14" t="s">
        <v>2799</v>
      </c>
      <c r="B1829" s="14" t="s">
        <v>2371</v>
      </c>
      <c r="C1829" s="14" t="s">
        <v>2972</v>
      </c>
      <c r="D1829" s="14" t="s">
        <v>4830</v>
      </c>
      <c r="E1829" s="14" t="s">
        <v>2236</v>
      </c>
      <c r="F1829" s="8">
        <v>0</v>
      </c>
      <c r="G1829" s="14" t="s">
        <v>2237</v>
      </c>
      <c r="H1829" s="16">
        <v>0</v>
      </c>
      <c r="I1829" s="14" t="s">
        <v>2237</v>
      </c>
      <c r="J1829" s="16">
        <v>0</v>
      </c>
      <c r="K1829" s="14" t="s">
        <v>2237</v>
      </c>
      <c r="L1829" s="16">
        <v>0</v>
      </c>
      <c r="M1829" s="14" t="s">
        <v>2237</v>
      </c>
      <c r="N1829" s="8">
        <v>0</v>
      </c>
      <c r="O1829" s="14" t="s">
        <v>2237</v>
      </c>
      <c r="P1829" s="14" t="s">
        <v>2236</v>
      </c>
      <c r="Q1829" s="17" t="s">
        <v>2236</v>
      </c>
      <c r="R1829" s="17" t="s">
        <v>2236</v>
      </c>
      <c r="S1829" s="17" t="s">
        <v>2236</v>
      </c>
      <c r="T1829" s="17" t="s">
        <v>2236</v>
      </c>
      <c r="U18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0" spans="1:31" hidden="1" x14ac:dyDescent="0.3">
      <c r="A1830" s="14" t="s">
        <v>2800</v>
      </c>
      <c r="B1830" s="14" t="s">
        <v>2371</v>
      </c>
      <c r="C1830" s="14" t="s">
        <v>4831</v>
      </c>
      <c r="D1830" s="14" t="s">
        <v>4832</v>
      </c>
      <c r="E1830" s="14" t="s">
        <v>2236</v>
      </c>
      <c r="F1830" s="8">
        <v>0</v>
      </c>
      <c r="G1830" s="14" t="s">
        <v>2237</v>
      </c>
      <c r="H1830" s="16">
        <v>0</v>
      </c>
      <c r="I1830" s="14" t="s">
        <v>2237</v>
      </c>
      <c r="J1830" s="16">
        <v>0</v>
      </c>
      <c r="K1830" s="14" t="s">
        <v>2237</v>
      </c>
      <c r="L1830" s="16">
        <v>0</v>
      </c>
      <c r="M1830" s="14" t="s">
        <v>2237</v>
      </c>
      <c r="N1830" s="8">
        <v>0</v>
      </c>
      <c r="O1830" s="14" t="s">
        <v>2237</v>
      </c>
      <c r="P1830" s="14" t="s">
        <v>2236</v>
      </c>
      <c r="Q1830" s="17" t="s">
        <v>2236</v>
      </c>
      <c r="R1830" s="17" t="s">
        <v>2236</v>
      </c>
      <c r="S1830" s="17" t="s">
        <v>2236</v>
      </c>
      <c r="T1830" s="17" t="s">
        <v>2236</v>
      </c>
      <c r="U18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1" spans="1:31" hidden="1" x14ac:dyDescent="0.3">
      <c r="A1831" s="14" t="s">
        <v>2801</v>
      </c>
      <c r="B1831" s="14" t="s">
        <v>2371</v>
      </c>
      <c r="C1831" s="14" t="s">
        <v>4833</v>
      </c>
      <c r="D1831" s="14" t="s">
        <v>4834</v>
      </c>
      <c r="E1831" s="14" t="s">
        <v>2236</v>
      </c>
      <c r="F1831" s="8">
        <v>0</v>
      </c>
      <c r="G1831" s="14" t="s">
        <v>2237</v>
      </c>
      <c r="H1831" s="16">
        <v>0</v>
      </c>
      <c r="I1831" s="14" t="s">
        <v>2237</v>
      </c>
      <c r="J1831" s="16">
        <v>0</v>
      </c>
      <c r="K1831" s="14" t="s">
        <v>2237</v>
      </c>
      <c r="L1831" s="16">
        <v>0</v>
      </c>
      <c r="M1831" s="14" t="s">
        <v>2237</v>
      </c>
      <c r="N1831" s="8">
        <v>0</v>
      </c>
      <c r="O1831" s="14" t="s">
        <v>2237</v>
      </c>
      <c r="P1831" s="14" t="s">
        <v>2236</v>
      </c>
      <c r="Q1831" s="17" t="s">
        <v>2236</v>
      </c>
      <c r="R1831" s="17" t="s">
        <v>2236</v>
      </c>
      <c r="S1831" s="17" t="s">
        <v>2236</v>
      </c>
      <c r="T1831" s="17" t="s">
        <v>2236</v>
      </c>
      <c r="U18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2" spans="1:31" hidden="1" x14ac:dyDescent="0.3">
      <c r="A1832" s="14" t="s">
        <v>2802</v>
      </c>
      <c r="B1832" s="14" t="s">
        <v>2371</v>
      </c>
      <c r="C1832" s="14" t="s">
        <v>4835</v>
      </c>
      <c r="D1832" s="14" t="s">
        <v>4836</v>
      </c>
      <c r="E1832" s="14" t="s">
        <v>2236</v>
      </c>
      <c r="F1832" s="8">
        <v>0</v>
      </c>
      <c r="G1832" s="14" t="s">
        <v>2237</v>
      </c>
      <c r="H1832" s="16">
        <v>0</v>
      </c>
      <c r="I1832" s="14" t="s">
        <v>2237</v>
      </c>
      <c r="J1832" s="16">
        <v>0</v>
      </c>
      <c r="K1832" s="14" t="s">
        <v>2237</v>
      </c>
      <c r="L1832" s="16">
        <v>0</v>
      </c>
      <c r="M1832" s="14" t="s">
        <v>2237</v>
      </c>
      <c r="N1832" s="8">
        <v>0</v>
      </c>
      <c r="O1832" s="14" t="s">
        <v>2237</v>
      </c>
      <c r="P1832" s="14" t="s">
        <v>2236</v>
      </c>
      <c r="Q1832" s="17" t="s">
        <v>2236</v>
      </c>
      <c r="R1832" s="17" t="s">
        <v>2236</v>
      </c>
      <c r="S1832" s="17" t="s">
        <v>2236</v>
      </c>
      <c r="T1832" s="17" t="s">
        <v>2236</v>
      </c>
      <c r="U18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3" spans="1:31" hidden="1" x14ac:dyDescent="0.3">
      <c r="A1833" s="14" t="s">
        <v>2803</v>
      </c>
      <c r="B1833" s="14" t="s">
        <v>2371</v>
      </c>
      <c r="C1833" s="14" t="s">
        <v>4837</v>
      </c>
      <c r="D1833" s="14" t="s">
        <v>4838</v>
      </c>
      <c r="E1833" s="14" t="s">
        <v>2236</v>
      </c>
      <c r="F1833" s="8">
        <v>0</v>
      </c>
      <c r="G1833" s="14" t="s">
        <v>2237</v>
      </c>
      <c r="H1833" s="16">
        <v>0</v>
      </c>
      <c r="I1833" s="14" t="s">
        <v>2237</v>
      </c>
      <c r="J1833" s="16">
        <v>0</v>
      </c>
      <c r="K1833" s="14" t="s">
        <v>2237</v>
      </c>
      <c r="L1833" s="16">
        <v>0</v>
      </c>
      <c r="M1833" s="14" t="s">
        <v>2237</v>
      </c>
      <c r="N1833" s="8">
        <v>0</v>
      </c>
      <c r="O1833" s="14" t="s">
        <v>2237</v>
      </c>
      <c r="P1833" s="14" t="s">
        <v>2236</v>
      </c>
      <c r="Q1833" s="17" t="s">
        <v>2236</v>
      </c>
      <c r="R1833" s="17" t="s">
        <v>2236</v>
      </c>
      <c r="S1833" s="17" t="s">
        <v>2236</v>
      </c>
      <c r="T1833" s="17" t="s">
        <v>2236</v>
      </c>
      <c r="U18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4" spans="1:31" hidden="1" x14ac:dyDescent="0.3">
      <c r="A1834" s="14" t="s">
        <v>2804</v>
      </c>
      <c r="B1834" s="14" t="s">
        <v>2371</v>
      </c>
      <c r="C1834" s="14" t="s">
        <v>4769</v>
      </c>
      <c r="D1834" s="14" t="s">
        <v>4839</v>
      </c>
      <c r="E1834" s="14" t="s">
        <v>2236</v>
      </c>
      <c r="F1834" s="8">
        <v>0</v>
      </c>
      <c r="G1834" s="14" t="s">
        <v>2237</v>
      </c>
      <c r="H1834" s="16">
        <v>0</v>
      </c>
      <c r="I1834" s="14" t="s">
        <v>2237</v>
      </c>
      <c r="J1834" s="16">
        <v>0</v>
      </c>
      <c r="K1834" s="14" t="s">
        <v>2237</v>
      </c>
      <c r="L1834" s="16">
        <v>0</v>
      </c>
      <c r="M1834" s="14" t="s">
        <v>2237</v>
      </c>
      <c r="N1834" s="8">
        <v>0</v>
      </c>
      <c r="O1834" s="14" t="s">
        <v>2237</v>
      </c>
      <c r="P1834" s="14" t="s">
        <v>2236</v>
      </c>
      <c r="Q1834" s="17" t="s">
        <v>2236</v>
      </c>
      <c r="R1834" s="17" t="s">
        <v>2236</v>
      </c>
      <c r="S1834" s="17" t="s">
        <v>2236</v>
      </c>
      <c r="T1834" s="17" t="s">
        <v>2236</v>
      </c>
      <c r="U18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5" spans="1:31" hidden="1" x14ac:dyDescent="0.3">
      <c r="A1835" s="14" t="s">
        <v>2805</v>
      </c>
      <c r="B1835" s="14" t="s">
        <v>2366</v>
      </c>
      <c r="C1835" s="14" t="s">
        <v>4840</v>
      </c>
      <c r="D1835" s="14" t="s">
        <v>4841</v>
      </c>
      <c r="E1835" s="14" t="s">
        <v>2236</v>
      </c>
      <c r="F1835" s="8">
        <v>0</v>
      </c>
      <c r="G1835" s="14" t="s">
        <v>2237</v>
      </c>
      <c r="H1835" s="16">
        <v>0</v>
      </c>
      <c r="I1835" s="14" t="s">
        <v>2237</v>
      </c>
      <c r="J1835" s="16">
        <v>0</v>
      </c>
      <c r="K1835" s="14" t="s">
        <v>2237</v>
      </c>
      <c r="L1835" s="16">
        <v>0</v>
      </c>
      <c r="M1835" s="14" t="s">
        <v>2237</v>
      </c>
      <c r="N1835" s="8">
        <v>217.43</v>
      </c>
      <c r="O1835" s="14" t="s">
        <v>2237</v>
      </c>
      <c r="P1835" s="14" t="s">
        <v>2236</v>
      </c>
      <c r="Q1835" s="17" t="s">
        <v>2236</v>
      </c>
      <c r="R1835" s="17" t="s">
        <v>2236</v>
      </c>
      <c r="S1835" s="17" t="s">
        <v>2236</v>
      </c>
      <c r="T1835" s="17" t="s">
        <v>2866</v>
      </c>
      <c r="U18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6" spans="1:31" hidden="1" x14ac:dyDescent="0.3">
      <c r="A1836" s="14" t="s">
        <v>2806</v>
      </c>
      <c r="B1836" s="14" t="s">
        <v>2371</v>
      </c>
      <c r="C1836" s="14" t="s">
        <v>4842</v>
      </c>
      <c r="D1836" s="14" t="s">
        <v>4843</v>
      </c>
      <c r="E1836" s="14" t="s">
        <v>2236</v>
      </c>
      <c r="F1836" s="8">
        <v>0</v>
      </c>
      <c r="G1836" s="14" t="s">
        <v>2237</v>
      </c>
      <c r="H1836" s="16">
        <v>0</v>
      </c>
      <c r="I1836" s="14" t="s">
        <v>2237</v>
      </c>
      <c r="J1836" s="16">
        <v>0</v>
      </c>
      <c r="K1836" s="14" t="s">
        <v>2237</v>
      </c>
      <c r="L1836" s="16">
        <v>0</v>
      </c>
      <c r="M1836" s="14" t="s">
        <v>2237</v>
      </c>
      <c r="N1836" s="8">
        <v>0</v>
      </c>
      <c r="O1836" s="14" t="s">
        <v>2237</v>
      </c>
      <c r="P1836" s="14" t="s">
        <v>2236</v>
      </c>
      <c r="Q1836" s="17" t="s">
        <v>2236</v>
      </c>
      <c r="R1836" s="17" t="s">
        <v>2236</v>
      </c>
      <c r="S1836" s="17" t="s">
        <v>2236</v>
      </c>
      <c r="T1836" s="17" t="s">
        <v>2236</v>
      </c>
      <c r="U18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7" spans="1:31" hidden="1" x14ac:dyDescent="0.3">
      <c r="A1837" s="14" t="s">
        <v>2807</v>
      </c>
      <c r="B1837" s="14" t="s">
        <v>2371</v>
      </c>
      <c r="C1837" s="14" t="s">
        <v>3080</v>
      </c>
      <c r="D1837" s="14" t="s">
        <v>4844</v>
      </c>
      <c r="E1837" s="14" t="s">
        <v>2236</v>
      </c>
      <c r="F1837" s="8">
        <v>0</v>
      </c>
      <c r="G1837" s="14" t="s">
        <v>2237</v>
      </c>
      <c r="H1837" s="16">
        <v>0</v>
      </c>
      <c r="I1837" s="14" t="s">
        <v>2237</v>
      </c>
      <c r="J1837" s="16">
        <v>0</v>
      </c>
      <c r="K1837" s="14" t="s">
        <v>2237</v>
      </c>
      <c r="L1837" s="16">
        <v>0</v>
      </c>
      <c r="M1837" s="14" t="s">
        <v>2237</v>
      </c>
      <c r="N1837" s="8">
        <v>0</v>
      </c>
      <c r="O1837" s="14" t="s">
        <v>2237</v>
      </c>
      <c r="P1837" s="14" t="s">
        <v>2236</v>
      </c>
      <c r="Q1837" s="17" t="s">
        <v>2236</v>
      </c>
      <c r="R1837" s="17" t="s">
        <v>2236</v>
      </c>
      <c r="S1837" s="17" t="s">
        <v>2236</v>
      </c>
      <c r="T1837" s="17" t="s">
        <v>2236</v>
      </c>
      <c r="U18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8" spans="1:31" hidden="1" x14ac:dyDescent="0.3">
      <c r="A1838" s="14" t="s">
        <v>2808</v>
      </c>
      <c r="B1838" s="14" t="s">
        <v>2371</v>
      </c>
      <c r="C1838" s="14" t="s">
        <v>4845</v>
      </c>
      <c r="D1838" s="14" t="s">
        <v>4846</v>
      </c>
      <c r="E1838" s="14" t="s">
        <v>2236</v>
      </c>
      <c r="F1838" s="8">
        <v>0</v>
      </c>
      <c r="G1838" s="14" t="s">
        <v>2237</v>
      </c>
      <c r="H1838" s="16">
        <v>0</v>
      </c>
      <c r="I1838" s="14" t="s">
        <v>2237</v>
      </c>
      <c r="J1838" s="16">
        <v>0</v>
      </c>
      <c r="K1838" s="14" t="s">
        <v>2237</v>
      </c>
      <c r="L1838" s="16">
        <v>0</v>
      </c>
      <c r="M1838" s="14" t="s">
        <v>2237</v>
      </c>
      <c r="N1838" s="8">
        <v>0</v>
      </c>
      <c r="O1838" s="14" t="s">
        <v>2237</v>
      </c>
      <c r="P1838" s="14" t="s">
        <v>2236</v>
      </c>
      <c r="Q1838" s="17" t="s">
        <v>2236</v>
      </c>
      <c r="R1838" s="17" t="s">
        <v>2236</v>
      </c>
      <c r="S1838" s="17" t="s">
        <v>2236</v>
      </c>
      <c r="T1838" s="17" t="s">
        <v>2236</v>
      </c>
      <c r="U18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39" spans="1:31" hidden="1" x14ac:dyDescent="0.3">
      <c r="A1839" s="14" t="s">
        <v>2809</v>
      </c>
      <c r="B1839" s="14" t="s">
        <v>2371</v>
      </c>
      <c r="C1839" s="14" t="s">
        <v>4847</v>
      </c>
      <c r="D1839" s="14" t="s">
        <v>4848</v>
      </c>
      <c r="E1839" s="14" t="s">
        <v>2236</v>
      </c>
      <c r="F1839" s="8">
        <v>0</v>
      </c>
      <c r="G1839" s="14" t="s">
        <v>2237</v>
      </c>
      <c r="H1839" s="16">
        <v>0</v>
      </c>
      <c r="I1839" s="14" t="s">
        <v>2237</v>
      </c>
      <c r="J1839" s="16">
        <v>0</v>
      </c>
      <c r="K1839" s="14" t="s">
        <v>2237</v>
      </c>
      <c r="L1839" s="16">
        <v>0</v>
      </c>
      <c r="M1839" s="14" t="s">
        <v>2237</v>
      </c>
      <c r="N1839" s="8">
        <v>0</v>
      </c>
      <c r="O1839" s="14" t="s">
        <v>2237</v>
      </c>
      <c r="P1839" s="14" t="s">
        <v>2236</v>
      </c>
      <c r="Q1839" s="17" t="s">
        <v>2236</v>
      </c>
      <c r="R1839" s="17" t="s">
        <v>2236</v>
      </c>
      <c r="S1839" s="17" t="s">
        <v>2236</v>
      </c>
      <c r="T1839" s="17" t="s">
        <v>2236</v>
      </c>
      <c r="U18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0" spans="1:31" hidden="1" x14ac:dyDescent="0.3">
      <c r="A1840" s="14" t="s">
        <v>2810</v>
      </c>
      <c r="B1840" s="14" t="s">
        <v>2371</v>
      </c>
      <c r="C1840" s="14" t="s">
        <v>4849</v>
      </c>
      <c r="D1840" s="14" t="s">
        <v>4850</v>
      </c>
      <c r="E1840" s="14" t="s">
        <v>2236</v>
      </c>
      <c r="F1840" s="8">
        <v>0</v>
      </c>
      <c r="G1840" s="14" t="s">
        <v>2237</v>
      </c>
      <c r="H1840" s="16">
        <v>0</v>
      </c>
      <c r="I1840" s="14" t="s">
        <v>2237</v>
      </c>
      <c r="J1840" s="16">
        <v>0</v>
      </c>
      <c r="K1840" s="14" t="s">
        <v>2237</v>
      </c>
      <c r="L1840" s="16">
        <v>0</v>
      </c>
      <c r="M1840" s="14" t="s">
        <v>2237</v>
      </c>
      <c r="N1840" s="8">
        <v>0</v>
      </c>
      <c r="O1840" s="14" t="s">
        <v>2237</v>
      </c>
      <c r="P1840" s="14" t="s">
        <v>2236</v>
      </c>
      <c r="Q1840" s="17" t="s">
        <v>2236</v>
      </c>
      <c r="R1840" s="17" t="s">
        <v>2236</v>
      </c>
      <c r="S1840" s="17" t="s">
        <v>2236</v>
      </c>
      <c r="T1840" s="17" t="s">
        <v>2236</v>
      </c>
      <c r="U18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1" spans="1:31" hidden="1" x14ac:dyDescent="0.3">
      <c r="A1841" s="14" t="s">
        <v>2811</v>
      </c>
      <c r="B1841" s="14" t="s">
        <v>2371</v>
      </c>
      <c r="C1841" s="14" t="s">
        <v>4851</v>
      </c>
      <c r="D1841" s="14" t="s">
        <v>4852</v>
      </c>
      <c r="E1841" s="14" t="s">
        <v>2236</v>
      </c>
      <c r="F1841" s="8">
        <v>0</v>
      </c>
      <c r="G1841" s="14" t="s">
        <v>2237</v>
      </c>
      <c r="H1841" s="16">
        <v>0</v>
      </c>
      <c r="I1841" s="14" t="s">
        <v>2237</v>
      </c>
      <c r="J1841" s="16">
        <v>0</v>
      </c>
      <c r="K1841" s="14" t="s">
        <v>2237</v>
      </c>
      <c r="L1841" s="16">
        <v>0</v>
      </c>
      <c r="M1841" s="14" t="s">
        <v>2237</v>
      </c>
      <c r="N1841" s="8">
        <v>0</v>
      </c>
      <c r="O1841" s="14" t="s">
        <v>2237</v>
      </c>
      <c r="P1841" s="14" t="s">
        <v>2236</v>
      </c>
      <c r="Q1841" s="17" t="s">
        <v>2236</v>
      </c>
      <c r="R1841" s="17" t="s">
        <v>2236</v>
      </c>
      <c r="S1841" s="17" t="s">
        <v>2236</v>
      </c>
      <c r="T1841" s="17" t="s">
        <v>2236</v>
      </c>
      <c r="U18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2" spans="1:31" hidden="1" x14ac:dyDescent="0.3">
      <c r="A1842" s="14" t="s">
        <v>2812</v>
      </c>
      <c r="B1842" s="14" t="s">
        <v>2371</v>
      </c>
      <c r="C1842" s="14" t="s">
        <v>4853</v>
      </c>
      <c r="D1842" s="14" t="s">
        <v>4854</v>
      </c>
      <c r="E1842" s="14" t="s">
        <v>2236</v>
      </c>
      <c r="F1842" s="8">
        <v>0</v>
      </c>
      <c r="G1842" s="14" t="s">
        <v>2237</v>
      </c>
      <c r="H1842" s="16">
        <v>0</v>
      </c>
      <c r="I1842" s="14" t="s">
        <v>2237</v>
      </c>
      <c r="J1842" s="16">
        <v>0</v>
      </c>
      <c r="K1842" s="14" t="s">
        <v>2237</v>
      </c>
      <c r="L1842" s="16">
        <v>0</v>
      </c>
      <c r="M1842" s="14" t="s">
        <v>2237</v>
      </c>
      <c r="N1842" s="8">
        <v>0</v>
      </c>
      <c r="O1842" s="14" t="s">
        <v>2237</v>
      </c>
      <c r="P1842" s="14" t="s">
        <v>2236</v>
      </c>
      <c r="Q1842" s="17" t="s">
        <v>2236</v>
      </c>
      <c r="R1842" s="17" t="s">
        <v>2236</v>
      </c>
      <c r="S1842" s="17" t="s">
        <v>2236</v>
      </c>
      <c r="T1842" s="17" t="s">
        <v>2236</v>
      </c>
      <c r="U18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3" spans="1:31" hidden="1" x14ac:dyDescent="0.3">
      <c r="A1843" s="14" t="s">
        <v>2813</v>
      </c>
      <c r="B1843" s="14" t="s">
        <v>2371</v>
      </c>
      <c r="C1843" s="14" t="s">
        <v>4855</v>
      </c>
      <c r="D1843" s="14" t="s">
        <v>4856</v>
      </c>
      <c r="E1843" s="14" t="s">
        <v>2236</v>
      </c>
      <c r="F1843" s="8">
        <v>0</v>
      </c>
      <c r="G1843" s="14" t="s">
        <v>2237</v>
      </c>
      <c r="H1843" s="16">
        <v>0</v>
      </c>
      <c r="I1843" s="14" t="s">
        <v>2237</v>
      </c>
      <c r="J1843" s="16">
        <v>0</v>
      </c>
      <c r="K1843" s="14" t="s">
        <v>2237</v>
      </c>
      <c r="L1843" s="16">
        <v>0</v>
      </c>
      <c r="M1843" s="14" t="s">
        <v>2237</v>
      </c>
      <c r="N1843" s="8">
        <v>0</v>
      </c>
      <c r="O1843" s="14" t="s">
        <v>2237</v>
      </c>
      <c r="P1843" s="14" t="s">
        <v>2236</v>
      </c>
      <c r="Q1843" s="17" t="s">
        <v>2236</v>
      </c>
      <c r="R1843" s="17" t="s">
        <v>2236</v>
      </c>
      <c r="S1843" s="17" t="s">
        <v>2236</v>
      </c>
      <c r="T1843" s="17" t="s">
        <v>2236</v>
      </c>
      <c r="U18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4" spans="1:31" hidden="1" x14ac:dyDescent="0.3">
      <c r="A1844" s="14" t="s">
        <v>2814</v>
      </c>
      <c r="B1844" s="14" t="s">
        <v>2366</v>
      </c>
      <c r="C1844" s="14" t="s">
        <v>4857</v>
      </c>
      <c r="D1844" s="14" t="s">
        <v>4858</v>
      </c>
      <c r="E1844" s="14" t="s">
        <v>2236</v>
      </c>
      <c r="F1844" s="8">
        <v>0</v>
      </c>
      <c r="G1844" s="14" t="s">
        <v>2237</v>
      </c>
      <c r="H1844" s="16">
        <v>0</v>
      </c>
      <c r="I1844" s="14" t="s">
        <v>2237</v>
      </c>
      <c r="J1844" s="16">
        <v>0</v>
      </c>
      <c r="K1844" s="14" t="s">
        <v>2237</v>
      </c>
      <c r="L1844" s="16">
        <v>0</v>
      </c>
      <c r="M1844" s="14" t="s">
        <v>2237</v>
      </c>
      <c r="N1844" s="8">
        <v>1265.31</v>
      </c>
      <c r="O1844" s="14" t="s">
        <v>2237</v>
      </c>
      <c r="P1844" s="14" t="s">
        <v>2236</v>
      </c>
      <c r="Q1844" s="17" t="s">
        <v>2236</v>
      </c>
      <c r="R1844" s="17" t="s">
        <v>2236</v>
      </c>
      <c r="S1844" s="17" t="s">
        <v>2236</v>
      </c>
      <c r="T1844" s="17" t="s">
        <v>2877</v>
      </c>
      <c r="U18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5" spans="1:31" hidden="1" x14ac:dyDescent="0.3">
      <c r="A1845" s="14" t="s">
        <v>2815</v>
      </c>
      <c r="B1845" s="14" t="s">
        <v>2371</v>
      </c>
      <c r="C1845" s="14" t="s">
        <v>4842</v>
      </c>
      <c r="D1845" s="14" t="s">
        <v>4859</v>
      </c>
      <c r="E1845" s="14" t="s">
        <v>2236</v>
      </c>
      <c r="F1845" s="8">
        <v>0</v>
      </c>
      <c r="G1845" s="14" t="s">
        <v>2237</v>
      </c>
      <c r="H1845" s="16">
        <v>0</v>
      </c>
      <c r="I1845" s="14" t="s">
        <v>2237</v>
      </c>
      <c r="J1845" s="16">
        <v>0</v>
      </c>
      <c r="K1845" s="14" t="s">
        <v>2237</v>
      </c>
      <c r="L1845" s="16">
        <v>0</v>
      </c>
      <c r="M1845" s="14" t="s">
        <v>2237</v>
      </c>
      <c r="N1845" s="8">
        <v>0</v>
      </c>
      <c r="O1845" s="14" t="s">
        <v>2237</v>
      </c>
      <c r="P1845" s="14" t="s">
        <v>2236</v>
      </c>
      <c r="Q1845" s="17" t="s">
        <v>2236</v>
      </c>
      <c r="R1845" s="17" t="s">
        <v>2236</v>
      </c>
      <c r="S1845" s="17" t="s">
        <v>2236</v>
      </c>
      <c r="T1845" s="17" t="s">
        <v>2236</v>
      </c>
      <c r="U18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6" spans="1:31" hidden="1" x14ac:dyDescent="0.3">
      <c r="A1846" s="14" t="s">
        <v>2816</v>
      </c>
      <c r="B1846" s="14" t="s">
        <v>2371</v>
      </c>
      <c r="C1846" s="14" t="s">
        <v>4860</v>
      </c>
      <c r="D1846" s="14" t="s">
        <v>4861</v>
      </c>
      <c r="E1846" s="14" t="s">
        <v>2236</v>
      </c>
      <c r="F1846" s="8">
        <v>0</v>
      </c>
      <c r="G1846" s="14" t="s">
        <v>2237</v>
      </c>
      <c r="H1846" s="16">
        <v>0</v>
      </c>
      <c r="I1846" s="14" t="s">
        <v>2237</v>
      </c>
      <c r="J1846" s="16">
        <v>0</v>
      </c>
      <c r="K1846" s="14" t="s">
        <v>2237</v>
      </c>
      <c r="L1846" s="16">
        <v>0</v>
      </c>
      <c r="M1846" s="14" t="s">
        <v>2237</v>
      </c>
      <c r="N1846" s="8">
        <v>0</v>
      </c>
      <c r="O1846" s="14" t="s">
        <v>2237</v>
      </c>
      <c r="P1846" s="14" t="s">
        <v>2236</v>
      </c>
      <c r="Q1846" s="17" t="s">
        <v>2236</v>
      </c>
      <c r="R1846" s="17" t="s">
        <v>2236</v>
      </c>
      <c r="S1846" s="17" t="s">
        <v>2236</v>
      </c>
      <c r="T1846" s="17" t="s">
        <v>2236</v>
      </c>
      <c r="U18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7" spans="1:31" hidden="1" x14ac:dyDescent="0.3">
      <c r="A1847" s="14" t="s">
        <v>2818</v>
      </c>
      <c r="B1847" s="14" t="s">
        <v>2371</v>
      </c>
      <c r="C1847" s="14" t="s">
        <v>4845</v>
      </c>
      <c r="D1847" s="14" t="s">
        <v>4862</v>
      </c>
      <c r="E1847" s="14" t="s">
        <v>2236</v>
      </c>
      <c r="F1847" s="8">
        <v>0</v>
      </c>
      <c r="G1847" s="14" t="s">
        <v>2237</v>
      </c>
      <c r="H1847" s="16">
        <v>0</v>
      </c>
      <c r="I1847" s="14" t="s">
        <v>2237</v>
      </c>
      <c r="J1847" s="16">
        <v>0</v>
      </c>
      <c r="K1847" s="14" t="s">
        <v>2237</v>
      </c>
      <c r="L1847" s="16">
        <v>0</v>
      </c>
      <c r="M1847" s="14" t="s">
        <v>2237</v>
      </c>
      <c r="N1847" s="8">
        <v>0</v>
      </c>
      <c r="O1847" s="14" t="s">
        <v>2237</v>
      </c>
      <c r="P1847" s="14" t="s">
        <v>2236</v>
      </c>
      <c r="Q1847" s="17" t="s">
        <v>2236</v>
      </c>
      <c r="R1847" s="17" t="s">
        <v>2236</v>
      </c>
      <c r="S1847" s="17" t="s">
        <v>2236</v>
      </c>
      <c r="T1847" s="17" t="s">
        <v>2236</v>
      </c>
      <c r="U18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8" spans="1:31" hidden="1" x14ac:dyDescent="0.3">
      <c r="A1848" s="14" t="s">
        <v>2819</v>
      </c>
      <c r="B1848" s="14" t="s">
        <v>2371</v>
      </c>
      <c r="C1848" s="14" t="s">
        <v>4863</v>
      </c>
      <c r="D1848" s="14" t="s">
        <v>4864</v>
      </c>
      <c r="E1848" s="14" t="s">
        <v>2236</v>
      </c>
      <c r="F1848" s="8">
        <v>0</v>
      </c>
      <c r="G1848" s="14" t="s">
        <v>2237</v>
      </c>
      <c r="H1848" s="16">
        <v>0</v>
      </c>
      <c r="I1848" s="14" t="s">
        <v>2237</v>
      </c>
      <c r="J1848" s="16">
        <v>0</v>
      </c>
      <c r="K1848" s="14" t="s">
        <v>2237</v>
      </c>
      <c r="L1848" s="16">
        <v>0</v>
      </c>
      <c r="M1848" s="14" t="s">
        <v>2237</v>
      </c>
      <c r="N1848" s="8">
        <v>0</v>
      </c>
      <c r="O1848" s="14" t="s">
        <v>2237</v>
      </c>
      <c r="P1848" s="14" t="s">
        <v>2236</v>
      </c>
      <c r="Q1848" s="17" t="s">
        <v>2236</v>
      </c>
      <c r="R1848" s="17" t="s">
        <v>2236</v>
      </c>
      <c r="S1848" s="17" t="s">
        <v>2236</v>
      </c>
      <c r="T1848" s="17" t="s">
        <v>2236</v>
      </c>
      <c r="U18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49" spans="1:31" hidden="1" x14ac:dyDescent="0.3">
      <c r="A1849" s="14" t="s">
        <v>2820</v>
      </c>
      <c r="B1849" s="14" t="s">
        <v>2371</v>
      </c>
      <c r="C1849" s="14" t="s">
        <v>4865</v>
      </c>
      <c r="D1849" s="14" t="s">
        <v>4866</v>
      </c>
      <c r="E1849" s="14" t="s">
        <v>2236</v>
      </c>
      <c r="F1849" s="8">
        <v>0</v>
      </c>
      <c r="G1849" s="14" t="s">
        <v>2237</v>
      </c>
      <c r="H1849" s="16">
        <v>0</v>
      </c>
      <c r="I1849" s="14" t="s">
        <v>2237</v>
      </c>
      <c r="J1849" s="16">
        <v>0</v>
      </c>
      <c r="K1849" s="14" t="s">
        <v>2237</v>
      </c>
      <c r="L1849" s="16">
        <v>0</v>
      </c>
      <c r="M1849" s="14" t="s">
        <v>2237</v>
      </c>
      <c r="N1849" s="8">
        <v>0</v>
      </c>
      <c r="O1849" s="14" t="s">
        <v>2237</v>
      </c>
      <c r="P1849" s="14" t="s">
        <v>2236</v>
      </c>
      <c r="Q1849" s="17" t="s">
        <v>2236</v>
      </c>
      <c r="R1849" s="17" t="s">
        <v>2236</v>
      </c>
      <c r="S1849" s="17" t="s">
        <v>2236</v>
      </c>
      <c r="T1849" s="17" t="s">
        <v>2236</v>
      </c>
      <c r="U18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0" spans="1:31" hidden="1" x14ac:dyDescent="0.3">
      <c r="A1850" s="14" t="s">
        <v>2821</v>
      </c>
      <c r="B1850" s="14" t="s">
        <v>2371</v>
      </c>
      <c r="C1850" s="14" t="s">
        <v>4867</v>
      </c>
      <c r="D1850" s="14" t="s">
        <v>4868</v>
      </c>
      <c r="E1850" s="14" t="s">
        <v>2236</v>
      </c>
      <c r="F1850" s="8">
        <v>0</v>
      </c>
      <c r="G1850" s="14" t="s">
        <v>2237</v>
      </c>
      <c r="H1850" s="16">
        <v>0</v>
      </c>
      <c r="I1850" s="14" t="s">
        <v>2237</v>
      </c>
      <c r="J1850" s="16">
        <v>0</v>
      </c>
      <c r="K1850" s="14" t="s">
        <v>2237</v>
      </c>
      <c r="L1850" s="16">
        <v>0</v>
      </c>
      <c r="M1850" s="14" t="s">
        <v>2237</v>
      </c>
      <c r="N1850" s="8">
        <v>0</v>
      </c>
      <c r="O1850" s="14" t="s">
        <v>2237</v>
      </c>
      <c r="P1850" s="14" t="s">
        <v>2236</v>
      </c>
      <c r="Q1850" s="17" t="s">
        <v>2236</v>
      </c>
      <c r="R1850" s="17" t="s">
        <v>2236</v>
      </c>
      <c r="S1850" s="17" t="s">
        <v>2236</v>
      </c>
      <c r="T1850" s="17" t="s">
        <v>2236</v>
      </c>
      <c r="U18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1" spans="1:31" hidden="1" x14ac:dyDescent="0.3">
      <c r="A1851" s="14" t="s">
        <v>2822</v>
      </c>
      <c r="B1851" s="14" t="s">
        <v>2371</v>
      </c>
      <c r="C1851" s="14" t="s">
        <v>4869</v>
      </c>
      <c r="D1851" s="14" t="s">
        <v>4870</v>
      </c>
      <c r="E1851" s="14" t="s">
        <v>2236</v>
      </c>
      <c r="F1851" s="8">
        <v>0</v>
      </c>
      <c r="G1851" s="14" t="s">
        <v>2237</v>
      </c>
      <c r="H1851" s="16">
        <v>0</v>
      </c>
      <c r="I1851" s="14" t="s">
        <v>2237</v>
      </c>
      <c r="J1851" s="16">
        <v>0</v>
      </c>
      <c r="K1851" s="14" t="s">
        <v>2237</v>
      </c>
      <c r="L1851" s="16">
        <v>0</v>
      </c>
      <c r="M1851" s="14" t="s">
        <v>2237</v>
      </c>
      <c r="N1851" s="8">
        <v>0</v>
      </c>
      <c r="O1851" s="14" t="s">
        <v>2237</v>
      </c>
      <c r="P1851" s="14" t="s">
        <v>2236</v>
      </c>
      <c r="Q1851" s="17" t="s">
        <v>2236</v>
      </c>
      <c r="R1851" s="17" t="s">
        <v>2236</v>
      </c>
      <c r="S1851" s="17" t="s">
        <v>2236</v>
      </c>
      <c r="T1851" s="17" t="s">
        <v>2236</v>
      </c>
      <c r="U18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2" spans="1:31" hidden="1" x14ac:dyDescent="0.3">
      <c r="A1852" s="14" t="s">
        <v>2823</v>
      </c>
      <c r="B1852" s="14" t="s">
        <v>2371</v>
      </c>
      <c r="C1852" s="14" t="s">
        <v>4871</v>
      </c>
      <c r="D1852" s="14" t="s">
        <v>4872</v>
      </c>
      <c r="E1852" s="14" t="s">
        <v>2236</v>
      </c>
      <c r="F1852" s="8">
        <v>0</v>
      </c>
      <c r="G1852" s="14" t="s">
        <v>2237</v>
      </c>
      <c r="H1852" s="16">
        <v>0</v>
      </c>
      <c r="I1852" s="14" t="s">
        <v>2237</v>
      </c>
      <c r="J1852" s="16">
        <v>0</v>
      </c>
      <c r="K1852" s="14" t="s">
        <v>2237</v>
      </c>
      <c r="L1852" s="16">
        <v>0</v>
      </c>
      <c r="M1852" s="14" t="s">
        <v>2237</v>
      </c>
      <c r="N1852" s="8">
        <v>0</v>
      </c>
      <c r="O1852" s="14" t="s">
        <v>2237</v>
      </c>
      <c r="P1852" s="14" t="s">
        <v>2236</v>
      </c>
      <c r="Q1852" s="17" t="s">
        <v>2236</v>
      </c>
      <c r="R1852" s="17" t="s">
        <v>2236</v>
      </c>
      <c r="S1852" s="17" t="s">
        <v>2236</v>
      </c>
      <c r="T1852" s="17" t="s">
        <v>2236</v>
      </c>
      <c r="U18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3" spans="1:31" hidden="1" x14ac:dyDescent="0.3">
      <c r="A1853" s="14" t="s">
        <v>2824</v>
      </c>
      <c r="B1853" s="14" t="s">
        <v>2371</v>
      </c>
      <c r="C1853" s="14" t="s">
        <v>4873</v>
      </c>
      <c r="D1853" s="14" t="s">
        <v>4874</v>
      </c>
      <c r="E1853" s="14" t="s">
        <v>2236</v>
      </c>
      <c r="F1853" s="8">
        <v>0</v>
      </c>
      <c r="G1853" s="14" t="s">
        <v>2237</v>
      </c>
      <c r="H1853" s="16">
        <v>0</v>
      </c>
      <c r="I1853" s="14" t="s">
        <v>2237</v>
      </c>
      <c r="J1853" s="16">
        <v>0</v>
      </c>
      <c r="K1853" s="14" t="s">
        <v>2237</v>
      </c>
      <c r="L1853" s="16">
        <v>0</v>
      </c>
      <c r="M1853" s="14" t="s">
        <v>2237</v>
      </c>
      <c r="N1853" s="8">
        <v>0</v>
      </c>
      <c r="O1853" s="14" t="s">
        <v>2237</v>
      </c>
      <c r="P1853" s="14" t="s">
        <v>2236</v>
      </c>
      <c r="Q1853" s="17" t="s">
        <v>2236</v>
      </c>
      <c r="R1853" s="17" t="s">
        <v>2236</v>
      </c>
      <c r="S1853" s="17" t="s">
        <v>2236</v>
      </c>
      <c r="T1853" s="17" t="s">
        <v>2236</v>
      </c>
      <c r="U18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4" spans="1:31" hidden="1" x14ac:dyDescent="0.3">
      <c r="A1854" s="14" t="s">
        <v>2825</v>
      </c>
      <c r="B1854" s="14" t="s">
        <v>2371</v>
      </c>
      <c r="C1854" s="14" t="s">
        <v>4612</v>
      </c>
      <c r="D1854" s="14" t="s">
        <v>4875</v>
      </c>
      <c r="E1854" s="14" t="s">
        <v>2236</v>
      </c>
      <c r="F1854" s="8">
        <v>0</v>
      </c>
      <c r="G1854" s="14" t="s">
        <v>2237</v>
      </c>
      <c r="H1854" s="16">
        <v>0</v>
      </c>
      <c r="I1854" s="14" t="s">
        <v>2237</v>
      </c>
      <c r="J1854" s="16">
        <v>0</v>
      </c>
      <c r="K1854" s="14" t="s">
        <v>2237</v>
      </c>
      <c r="L1854" s="16">
        <v>0</v>
      </c>
      <c r="M1854" s="14" t="s">
        <v>2237</v>
      </c>
      <c r="N1854" s="8">
        <v>0</v>
      </c>
      <c r="O1854" s="14" t="s">
        <v>2237</v>
      </c>
      <c r="P1854" s="14" t="s">
        <v>2236</v>
      </c>
      <c r="Q1854" s="17" t="s">
        <v>2236</v>
      </c>
      <c r="R1854" s="17" t="s">
        <v>2236</v>
      </c>
      <c r="S1854" s="17" t="s">
        <v>2236</v>
      </c>
      <c r="T1854" s="17" t="s">
        <v>2236</v>
      </c>
      <c r="U18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5" spans="1:31" hidden="1" x14ac:dyDescent="0.3">
      <c r="A1855" s="14" t="s">
        <v>2826</v>
      </c>
      <c r="B1855" s="14" t="s">
        <v>2371</v>
      </c>
      <c r="C1855" s="14" t="s">
        <v>4876</v>
      </c>
      <c r="D1855" s="14" t="s">
        <v>4877</v>
      </c>
      <c r="E1855" s="14" t="s">
        <v>2236</v>
      </c>
      <c r="F1855" s="8">
        <v>0</v>
      </c>
      <c r="G1855" s="14" t="s">
        <v>2237</v>
      </c>
      <c r="H1855" s="16">
        <v>0</v>
      </c>
      <c r="I1855" s="14" t="s">
        <v>2237</v>
      </c>
      <c r="J1855" s="16">
        <v>0</v>
      </c>
      <c r="K1855" s="14" t="s">
        <v>2237</v>
      </c>
      <c r="L1855" s="16">
        <v>0</v>
      </c>
      <c r="M1855" s="14" t="s">
        <v>2237</v>
      </c>
      <c r="N1855" s="8">
        <v>0</v>
      </c>
      <c r="O1855" s="14" t="s">
        <v>2237</v>
      </c>
      <c r="P1855" s="14" t="s">
        <v>2236</v>
      </c>
      <c r="Q1855" s="17" t="s">
        <v>2236</v>
      </c>
      <c r="R1855" s="17" t="s">
        <v>2236</v>
      </c>
      <c r="S1855" s="17" t="s">
        <v>2236</v>
      </c>
      <c r="T1855" s="17" t="s">
        <v>2236</v>
      </c>
      <c r="U18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6" spans="1:31" hidden="1" x14ac:dyDescent="0.3">
      <c r="A1856" s="14" t="s">
        <v>2827</v>
      </c>
      <c r="B1856" s="14" t="s">
        <v>2371</v>
      </c>
      <c r="C1856" s="14" t="s">
        <v>4878</v>
      </c>
      <c r="D1856" s="14" t="s">
        <v>4879</v>
      </c>
      <c r="E1856" s="14" t="s">
        <v>2236</v>
      </c>
      <c r="F1856" s="8">
        <v>0</v>
      </c>
      <c r="G1856" s="14" t="s">
        <v>2237</v>
      </c>
      <c r="H1856" s="16">
        <v>0</v>
      </c>
      <c r="I1856" s="14" t="s">
        <v>2237</v>
      </c>
      <c r="J1856" s="16">
        <v>0</v>
      </c>
      <c r="K1856" s="14" t="s">
        <v>2237</v>
      </c>
      <c r="L1856" s="16">
        <v>0</v>
      </c>
      <c r="M1856" s="14" t="s">
        <v>2237</v>
      </c>
      <c r="N1856" s="8">
        <v>0</v>
      </c>
      <c r="O1856" s="14" t="s">
        <v>2237</v>
      </c>
      <c r="P1856" s="14" t="s">
        <v>2236</v>
      </c>
      <c r="Q1856" s="17" t="s">
        <v>2236</v>
      </c>
      <c r="R1856" s="17" t="s">
        <v>2236</v>
      </c>
      <c r="S1856" s="17" t="s">
        <v>2236</v>
      </c>
      <c r="T1856" s="17" t="s">
        <v>2236</v>
      </c>
      <c r="U18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7" spans="1:31" hidden="1" x14ac:dyDescent="0.3">
      <c r="A1857" s="14" t="s">
        <v>2828</v>
      </c>
      <c r="B1857" s="14" t="s">
        <v>2371</v>
      </c>
      <c r="C1857" s="14" t="s">
        <v>4880</v>
      </c>
      <c r="D1857" s="14" t="s">
        <v>4881</v>
      </c>
      <c r="E1857" s="14" t="s">
        <v>2236</v>
      </c>
      <c r="F1857" s="8">
        <v>0</v>
      </c>
      <c r="G1857" s="14" t="s">
        <v>2237</v>
      </c>
      <c r="H1857" s="16">
        <v>0</v>
      </c>
      <c r="I1857" s="14" t="s">
        <v>2237</v>
      </c>
      <c r="J1857" s="16">
        <v>0</v>
      </c>
      <c r="K1857" s="14" t="s">
        <v>2237</v>
      </c>
      <c r="L1857" s="16">
        <v>0</v>
      </c>
      <c r="M1857" s="14" t="s">
        <v>2237</v>
      </c>
      <c r="N1857" s="8">
        <v>0</v>
      </c>
      <c r="O1857" s="14" t="s">
        <v>2237</v>
      </c>
      <c r="P1857" s="14" t="s">
        <v>2236</v>
      </c>
      <c r="Q1857" s="17" t="s">
        <v>2236</v>
      </c>
      <c r="R1857" s="17" t="s">
        <v>2236</v>
      </c>
      <c r="S1857" s="17" t="s">
        <v>2236</v>
      </c>
      <c r="T1857" s="17" t="s">
        <v>2236</v>
      </c>
      <c r="U18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8" spans="1:31" hidden="1" x14ac:dyDescent="0.3">
      <c r="A1858" s="14" t="s">
        <v>2829</v>
      </c>
      <c r="B1858" s="14" t="s">
        <v>2371</v>
      </c>
      <c r="C1858" s="14" t="s">
        <v>4880</v>
      </c>
      <c r="D1858" s="14" t="s">
        <v>4882</v>
      </c>
      <c r="E1858" s="14" t="s">
        <v>2236</v>
      </c>
      <c r="F1858" s="8">
        <v>0</v>
      </c>
      <c r="G1858" s="14" t="s">
        <v>2237</v>
      </c>
      <c r="H1858" s="16">
        <v>0</v>
      </c>
      <c r="I1858" s="14" t="s">
        <v>2237</v>
      </c>
      <c r="J1858" s="16">
        <v>0</v>
      </c>
      <c r="K1858" s="14" t="s">
        <v>2237</v>
      </c>
      <c r="L1858" s="16">
        <v>0</v>
      </c>
      <c r="M1858" s="14" t="s">
        <v>2237</v>
      </c>
      <c r="N1858" s="8">
        <v>0</v>
      </c>
      <c r="O1858" s="14" t="s">
        <v>2237</v>
      </c>
      <c r="P1858" s="14" t="s">
        <v>2236</v>
      </c>
      <c r="Q1858" s="17" t="s">
        <v>2236</v>
      </c>
      <c r="R1858" s="17" t="s">
        <v>2236</v>
      </c>
      <c r="S1858" s="17" t="s">
        <v>2236</v>
      </c>
      <c r="T1858" s="17" t="s">
        <v>2236</v>
      </c>
      <c r="U18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59" spans="1:31" hidden="1" x14ac:dyDescent="0.3">
      <c r="A1859" s="14" t="s">
        <v>2830</v>
      </c>
      <c r="B1859" s="14" t="s">
        <v>2371</v>
      </c>
      <c r="C1859" s="14" t="s">
        <v>4883</v>
      </c>
      <c r="D1859" s="14" t="s">
        <v>4884</v>
      </c>
      <c r="E1859" s="14" t="s">
        <v>2236</v>
      </c>
      <c r="F1859" s="8">
        <v>0</v>
      </c>
      <c r="G1859" s="14" t="s">
        <v>2237</v>
      </c>
      <c r="H1859" s="16">
        <v>0</v>
      </c>
      <c r="I1859" s="14" t="s">
        <v>2237</v>
      </c>
      <c r="J1859" s="16">
        <v>0</v>
      </c>
      <c r="K1859" s="14" t="s">
        <v>2237</v>
      </c>
      <c r="L1859" s="16">
        <v>0</v>
      </c>
      <c r="M1859" s="14" t="s">
        <v>2237</v>
      </c>
      <c r="N1859" s="8">
        <v>0</v>
      </c>
      <c r="O1859" s="14" t="s">
        <v>2237</v>
      </c>
      <c r="P1859" s="14" t="s">
        <v>2236</v>
      </c>
      <c r="Q1859" s="17" t="s">
        <v>2236</v>
      </c>
      <c r="R1859" s="17" t="s">
        <v>2236</v>
      </c>
      <c r="S1859" s="17" t="s">
        <v>2236</v>
      </c>
      <c r="T1859" s="17" t="s">
        <v>2236</v>
      </c>
      <c r="U18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0" spans="1:31" hidden="1" x14ac:dyDescent="0.3">
      <c r="A1860" s="14" t="s">
        <v>2831</v>
      </c>
      <c r="B1860" s="14" t="s">
        <v>2371</v>
      </c>
      <c r="C1860" s="14" t="s">
        <v>4885</v>
      </c>
      <c r="D1860" s="14" t="s">
        <v>4886</v>
      </c>
      <c r="E1860" s="14" t="s">
        <v>2236</v>
      </c>
      <c r="F1860" s="8">
        <v>0</v>
      </c>
      <c r="G1860" s="14" t="s">
        <v>2237</v>
      </c>
      <c r="H1860" s="16">
        <v>0</v>
      </c>
      <c r="I1860" s="14" t="s">
        <v>2237</v>
      </c>
      <c r="J1860" s="16">
        <v>0</v>
      </c>
      <c r="K1860" s="14" t="s">
        <v>2237</v>
      </c>
      <c r="L1860" s="16">
        <v>0</v>
      </c>
      <c r="M1860" s="14" t="s">
        <v>2237</v>
      </c>
      <c r="N1860" s="8">
        <v>0</v>
      </c>
      <c r="O1860" s="14" t="s">
        <v>2237</v>
      </c>
      <c r="P1860" s="14" t="s">
        <v>2236</v>
      </c>
      <c r="Q1860" s="17" t="s">
        <v>2236</v>
      </c>
      <c r="R1860" s="17" t="s">
        <v>2236</v>
      </c>
      <c r="S1860" s="17" t="s">
        <v>2236</v>
      </c>
      <c r="T1860" s="17" t="s">
        <v>2236</v>
      </c>
      <c r="U18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1" spans="1:31" hidden="1" x14ac:dyDescent="0.3">
      <c r="A1861" s="14" t="s">
        <v>2832</v>
      </c>
      <c r="B1861" s="14" t="s">
        <v>2371</v>
      </c>
      <c r="C1861" s="14" t="s">
        <v>4887</v>
      </c>
      <c r="D1861" s="14" t="s">
        <v>4888</v>
      </c>
      <c r="E1861" s="14" t="s">
        <v>2236</v>
      </c>
      <c r="F1861" s="8">
        <v>0</v>
      </c>
      <c r="G1861" s="14" t="s">
        <v>2237</v>
      </c>
      <c r="H1861" s="16">
        <v>0</v>
      </c>
      <c r="I1861" s="14" t="s">
        <v>2237</v>
      </c>
      <c r="J1861" s="16">
        <v>0</v>
      </c>
      <c r="K1861" s="14" t="s">
        <v>2237</v>
      </c>
      <c r="L1861" s="16">
        <v>0</v>
      </c>
      <c r="M1861" s="14" t="s">
        <v>2237</v>
      </c>
      <c r="N1861" s="8">
        <v>0</v>
      </c>
      <c r="O1861" s="14" t="s">
        <v>2237</v>
      </c>
      <c r="P1861" s="14" t="s">
        <v>2236</v>
      </c>
      <c r="Q1861" s="17" t="s">
        <v>2236</v>
      </c>
      <c r="R1861" s="17" t="s">
        <v>2236</v>
      </c>
      <c r="S1861" s="17" t="s">
        <v>2236</v>
      </c>
      <c r="T1861" s="17" t="s">
        <v>2236</v>
      </c>
      <c r="U18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2" spans="1:31" hidden="1" x14ac:dyDescent="0.3">
      <c r="A1862" s="14" t="s">
        <v>2833</v>
      </c>
      <c r="B1862" s="14" t="s">
        <v>2366</v>
      </c>
      <c r="C1862" s="14" t="s">
        <v>4889</v>
      </c>
      <c r="D1862" s="14" t="s">
        <v>4890</v>
      </c>
      <c r="E1862" s="14" t="s">
        <v>2236</v>
      </c>
      <c r="F1862" s="8">
        <v>0</v>
      </c>
      <c r="G1862" s="14" t="s">
        <v>2237</v>
      </c>
      <c r="H1862" s="16">
        <v>0</v>
      </c>
      <c r="I1862" s="14" t="s">
        <v>2237</v>
      </c>
      <c r="J1862" s="16">
        <v>0</v>
      </c>
      <c r="K1862" s="14" t="s">
        <v>2237</v>
      </c>
      <c r="L1862" s="16">
        <v>0</v>
      </c>
      <c r="M1862" s="14" t="s">
        <v>2237</v>
      </c>
      <c r="N1862" s="8">
        <v>11880.09</v>
      </c>
      <c r="O1862" s="14" t="s">
        <v>2237</v>
      </c>
      <c r="P1862" s="14" t="s">
        <v>2236</v>
      </c>
      <c r="Q1862" s="17" t="s">
        <v>2236</v>
      </c>
      <c r="R1862" s="17" t="s">
        <v>2236</v>
      </c>
      <c r="S1862" s="17" t="s">
        <v>2236</v>
      </c>
      <c r="T1862" s="17" t="s">
        <v>2866</v>
      </c>
      <c r="U18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3" spans="1:31" hidden="1" x14ac:dyDescent="0.3">
      <c r="A1863" s="14" t="s">
        <v>2834</v>
      </c>
      <c r="B1863" s="14" t="s">
        <v>2371</v>
      </c>
      <c r="C1863" s="14" t="s">
        <v>4891</v>
      </c>
      <c r="D1863" s="14" t="s">
        <v>4892</v>
      </c>
      <c r="E1863" s="14" t="s">
        <v>2236</v>
      </c>
      <c r="F1863" s="8">
        <v>0</v>
      </c>
      <c r="G1863" s="14" t="s">
        <v>2237</v>
      </c>
      <c r="H1863" s="16">
        <v>0</v>
      </c>
      <c r="I1863" s="14" t="s">
        <v>2237</v>
      </c>
      <c r="J1863" s="16">
        <v>0</v>
      </c>
      <c r="K1863" s="14" t="s">
        <v>2237</v>
      </c>
      <c r="L1863" s="16">
        <v>0</v>
      </c>
      <c r="M1863" s="14" t="s">
        <v>2237</v>
      </c>
      <c r="N1863" s="8">
        <v>0</v>
      </c>
      <c r="O1863" s="14" t="s">
        <v>2237</v>
      </c>
      <c r="P1863" s="14" t="s">
        <v>2236</v>
      </c>
      <c r="Q1863" s="17" t="s">
        <v>2236</v>
      </c>
      <c r="R1863" s="17" t="s">
        <v>2236</v>
      </c>
      <c r="S1863" s="17" t="s">
        <v>2236</v>
      </c>
      <c r="T1863" s="17" t="s">
        <v>2236</v>
      </c>
      <c r="U18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4" spans="1:31" hidden="1" x14ac:dyDescent="0.3">
      <c r="A1864" s="14" t="s">
        <v>2835</v>
      </c>
      <c r="B1864" s="14" t="s">
        <v>2371</v>
      </c>
      <c r="C1864" s="14" t="s">
        <v>4893</v>
      </c>
      <c r="D1864" s="14" t="s">
        <v>4894</v>
      </c>
      <c r="E1864" s="14" t="s">
        <v>2236</v>
      </c>
      <c r="F1864" s="8">
        <v>0</v>
      </c>
      <c r="G1864" s="14" t="s">
        <v>2237</v>
      </c>
      <c r="H1864" s="16">
        <v>0</v>
      </c>
      <c r="I1864" s="14" t="s">
        <v>2237</v>
      </c>
      <c r="J1864" s="16">
        <v>0</v>
      </c>
      <c r="K1864" s="14" t="s">
        <v>2237</v>
      </c>
      <c r="L1864" s="16">
        <v>0</v>
      </c>
      <c r="M1864" s="14" t="s">
        <v>2237</v>
      </c>
      <c r="N1864" s="8">
        <v>0</v>
      </c>
      <c r="O1864" s="14" t="s">
        <v>2237</v>
      </c>
      <c r="P1864" s="14" t="s">
        <v>2236</v>
      </c>
      <c r="Q1864" s="17" t="s">
        <v>2236</v>
      </c>
      <c r="R1864" s="17" t="s">
        <v>2236</v>
      </c>
      <c r="S1864" s="17" t="s">
        <v>2236</v>
      </c>
      <c r="T1864" s="17" t="s">
        <v>2236</v>
      </c>
      <c r="U18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5" spans="1:31" hidden="1" x14ac:dyDescent="0.3">
      <c r="A1865" s="14" t="s">
        <v>2836</v>
      </c>
      <c r="B1865" s="14" t="s">
        <v>2371</v>
      </c>
      <c r="C1865" s="14" t="s">
        <v>4895</v>
      </c>
      <c r="D1865" s="14" t="s">
        <v>4896</v>
      </c>
      <c r="E1865" s="14" t="s">
        <v>2236</v>
      </c>
      <c r="F1865" s="8">
        <v>0</v>
      </c>
      <c r="G1865" s="14" t="s">
        <v>2237</v>
      </c>
      <c r="H1865" s="16">
        <v>0</v>
      </c>
      <c r="I1865" s="14" t="s">
        <v>2237</v>
      </c>
      <c r="J1865" s="16">
        <v>0</v>
      </c>
      <c r="K1865" s="14" t="s">
        <v>2237</v>
      </c>
      <c r="L1865" s="16">
        <v>0</v>
      </c>
      <c r="M1865" s="14" t="s">
        <v>2237</v>
      </c>
      <c r="N1865" s="8">
        <v>0</v>
      </c>
      <c r="O1865" s="14" t="s">
        <v>2237</v>
      </c>
      <c r="P1865" s="14" t="s">
        <v>2236</v>
      </c>
      <c r="Q1865" s="17" t="s">
        <v>2236</v>
      </c>
      <c r="R1865" s="17" t="s">
        <v>2236</v>
      </c>
      <c r="S1865" s="17" t="s">
        <v>2236</v>
      </c>
      <c r="T1865" s="17" t="s">
        <v>2236</v>
      </c>
      <c r="U18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6" spans="1:31" hidden="1" x14ac:dyDescent="0.3">
      <c r="A1866" s="14" t="s">
        <v>2837</v>
      </c>
      <c r="B1866" s="14" t="s">
        <v>2371</v>
      </c>
      <c r="C1866" s="14" t="s">
        <v>4897</v>
      </c>
      <c r="D1866" s="14" t="s">
        <v>4898</v>
      </c>
      <c r="E1866" s="14" t="s">
        <v>2236</v>
      </c>
      <c r="F1866" s="8">
        <v>0</v>
      </c>
      <c r="G1866" s="14" t="s">
        <v>2237</v>
      </c>
      <c r="H1866" s="16">
        <v>0</v>
      </c>
      <c r="I1866" s="14" t="s">
        <v>2237</v>
      </c>
      <c r="J1866" s="16">
        <v>0</v>
      </c>
      <c r="K1866" s="14" t="s">
        <v>2237</v>
      </c>
      <c r="L1866" s="16">
        <v>0</v>
      </c>
      <c r="M1866" s="14" t="s">
        <v>2237</v>
      </c>
      <c r="N1866" s="8">
        <v>0</v>
      </c>
      <c r="O1866" s="14" t="s">
        <v>2237</v>
      </c>
      <c r="P1866" s="14" t="s">
        <v>2236</v>
      </c>
      <c r="Q1866" s="17" t="s">
        <v>2236</v>
      </c>
      <c r="R1866" s="17" t="s">
        <v>2236</v>
      </c>
      <c r="S1866" s="17" t="s">
        <v>2236</v>
      </c>
      <c r="T1866" s="17" t="s">
        <v>2236</v>
      </c>
      <c r="U18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7" spans="1:31" hidden="1" x14ac:dyDescent="0.3">
      <c r="A1867" s="14" t="s">
        <v>2838</v>
      </c>
      <c r="B1867" s="14" t="s">
        <v>2371</v>
      </c>
      <c r="C1867" s="14" t="s">
        <v>4899</v>
      </c>
      <c r="D1867" s="14" t="s">
        <v>4900</v>
      </c>
      <c r="E1867" s="14" t="s">
        <v>2236</v>
      </c>
      <c r="F1867" s="8">
        <v>0</v>
      </c>
      <c r="G1867" s="14" t="s">
        <v>2237</v>
      </c>
      <c r="H1867" s="16">
        <v>0</v>
      </c>
      <c r="I1867" s="14" t="s">
        <v>2237</v>
      </c>
      <c r="J1867" s="16">
        <v>0</v>
      </c>
      <c r="K1867" s="14" t="s">
        <v>2237</v>
      </c>
      <c r="L1867" s="16">
        <v>0</v>
      </c>
      <c r="M1867" s="14" t="s">
        <v>2237</v>
      </c>
      <c r="N1867" s="8">
        <v>0</v>
      </c>
      <c r="O1867" s="14" t="s">
        <v>2237</v>
      </c>
      <c r="P1867" s="14" t="s">
        <v>2236</v>
      </c>
      <c r="Q1867" s="17" t="s">
        <v>2236</v>
      </c>
      <c r="R1867" s="17" t="s">
        <v>2236</v>
      </c>
      <c r="S1867" s="17" t="s">
        <v>2236</v>
      </c>
      <c r="T1867" s="17" t="s">
        <v>2236</v>
      </c>
      <c r="U18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8" spans="1:31" hidden="1" x14ac:dyDescent="0.3">
      <c r="A1868" s="14" t="s">
        <v>2839</v>
      </c>
      <c r="B1868" s="14" t="s">
        <v>2371</v>
      </c>
      <c r="C1868" s="14" t="s">
        <v>4901</v>
      </c>
      <c r="D1868" s="14" t="s">
        <v>4902</v>
      </c>
      <c r="E1868" s="14" t="s">
        <v>2236</v>
      </c>
      <c r="F1868" s="8">
        <v>0</v>
      </c>
      <c r="G1868" s="14" t="s">
        <v>2237</v>
      </c>
      <c r="H1868" s="16">
        <v>0</v>
      </c>
      <c r="I1868" s="14" t="s">
        <v>2237</v>
      </c>
      <c r="J1868" s="16">
        <v>0</v>
      </c>
      <c r="K1868" s="14" t="s">
        <v>2237</v>
      </c>
      <c r="L1868" s="16">
        <v>0</v>
      </c>
      <c r="M1868" s="14" t="s">
        <v>2237</v>
      </c>
      <c r="N1868" s="8">
        <v>0</v>
      </c>
      <c r="O1868" s="14" t="s">
        <v>2237</v>
      </c>
      <c r="P1868" s="14" t="s">
        <v>2236</v>
      </c>
      <c r="Q1868" s="17" t="s">
        <v>2236</v>
      </c>
      <c r="R1868" s="17" t="s">
        <v>2236</v>
      </c>
      <c r="S1868" s="17" t="s">
        <v>2236</v>
      </c>
      <c r="T1868" s="17" t="s">
        <v>2236</v>
      </c>
      <c r="U18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69" spans="1:31" hidden="1" x14ac:dyDescent="0.3">
      <c r="A1869" s="14" t="s">
        <v>3714</v>
      </c>
      <c r="B1869" s="14" t="s">
        <v>2371</v>
      </c>
      <c r="C1869" s="14" t="s">
        <v>4903</v>
      </c>
      <c r="D1869" s="14" t="s">
        <v>4904</v>
      </c>
      <c r="E1869" s="14" t="s">
        <v>2236</v>
      </c>
      <c r="F1869" s="8">
        <v>0</v>
      </c>
      <c r="G1869" s="14" t="s">
        <v>2237</v>
      </c>
      <c r="H1869" s="16">
        <v>0</v>
      </c>
      <c r="I1869" s="14" t="s">
        <v>2237</v>
      </c>
      <c r="J1869" s="16">
        <v>0</v>
      </c>
      <c r="K1869" s="14" t="s">
        <v>2237</v>
      </c>
      <c r="L1869" s="16">
        <v>0</v>
      </c>
      <c r="M1869" s="14" t="s">
        <v>2237</v>
      </c>
      <c r="N1869" s="8">
        <v>0</v>
      </c>
      <c r="O1869" s="14" t="s">
        <v>2237</v>
      </c>
      <c r="P1869" s="14" t="s">
        <v>2236</v>
      </c>
      <c r="Q1869" s="17" t="s">
        <v>2236</v>
      </c>
      <c r="R1869" s="17" t="s">
        <v>2236</v>
      </c>
      <c r="S1869" s="17" t="s">
        <v>2236</v>
      </c>
      <c r="T1869" s="17" t="s">
        <v>2236</v>
      </c>
      <c r="U18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0" spans="1:31" hidden="1" x14ac:dyDescent="0.3">
      <c r="A1870" s="14" t="s">
        <v>3715</v>
      </c>
      <c r="B1870" s="14" t="s">
        <v>2371</v>
      </c>
      <c r="C1870" s="14" t="s">
        <v>3522</v>
      </c>
      <c r="D1870" s="14" t="s">
        <v>4905</v>
      </c>
      <c r="E1870" s="14" t="s">
        <v>2236</v>
      </c>
      <c r="F1870" s="8">
        <v>0</v>
      </c>
      <c r="G1870" s="14" t="s">
        <v>2237</v>
      </c>
      <c r="H1870" s="16">
        <v>0</v>
      </c>
      <c r="I1870" s="14" t="s">
        <v>2237</v>
      </c>
      <c r="J1870" s="16">
        <v>0</v>
      </c>
      <c r="K1870" s="14" t="s">
        <v>2237</v>
      </c>
      <c r="L1870" s="16">
        <v>0</v>
      </c>
      <c r="M1870" s="14" t="s">
        <v>2237</v>
      </c>
      <c r="N1870" s="8">
        <v>0</v>
      </c>
      <c r="O1870" s="14" t="s">
        <v>2237</v>
      </c>
      <c r="P1870" s="14" t="s">
        <v>2236</v>
      </c>
      <c r="Q1870" s="17" t="s">
        <v>2236</v>
      </c>
      <c r="R1870" s="17" t="s">
        <v>2236</v>
      </c>
      <c r="S1870" s="17" t="s">
        <v>2236</v>
      </c>
      <c r="T1870" s="17" t="s">
        <v>2236</v>
      </c>
      <c r="U18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1" spans="1:31" hidden="1" x14ac:dyDescent="0.3">
      <c r="A1871" s="14" t="s">
        <v>3716</v>
      </c>
      <c r="B1871" s="14" t="s">
        <v>2371</v>
      </c>
      <c r="C1871" s="14" t="s">
        <v>4906</v>
      </c>
      <c r="D1871" s="14" t="s">
        <v>4907</v>
      </c>
      <c r="E1871" s="14" t="s">
        <v>2236</v>
      </c>
      <c r="F1871" s="8">
        <v>0</v>
      </c>
      <c r="G1871" s="14" t="s">
        <v>2237</v>
      </c>
      <c r="H1871" s="16">
        <v>0</v>
      </c>
      <c r="I1871" s="14" t="s">
        <v>2237</v>
      </c>
      <c r="J1871" s="16">
        <v>0</v>
      </c>
      <c r="K1871" s="14" t="s">
        <v>2237</v>
      </c>
      <c r="L1871" s="16">
        <v>0</v>
      </c>
      <c r="M1871" s="14" t="s">
        <v>2237</v>
      </c>
      <c r="N1871" s="8">
        <v>0</v>
      </c>
      <c r="O1871" s="14" t="s">
        <v>2237</v>
      </c>
      <c r="P1871" s="14" t="s">
        <v>2236</v>
      </c>
      <c r="Q1871" s="17" t="s">
        <v>2236</v>
      </c>
      <c r="R1871" s="17" t="s">
        <v>2236</v>
      </c>
      <c r="S1871" s="17" t="s">
        <v>2236</v>
      </c>
      <c r="T1871" s="17" t="s">
        <v>2236</v>
      </c>
      <c r="U18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2" spans="1:31" hidden="1" x14ac:dyDescent="0.3">
      <c r="A1872" s="14" t="s">
        <v>3719</v>
      </c>
      <c r="B1872" s="14" t="s">
        <v>2371</v>
      </c>
      <c r="C1872" s="14" t="s">
        <v>4908</v>
      </c>
      <c r="D1872" s="14" t="s">
        <v>4909</v>
      </c>
      <c r="E1872" s="14" t="s">
        <v>2236</v>
      </c>
      <c r="F1872" s="8">
        <v>0</v>
      </c>
      <c r="G1872" s="14" t="s">
        <v>2237</v>
      </c>
      <c r="H1872" s="16">
        <v>0</v>
      </c>
      <c r="I1872" s="14" t="s">
        <v>2237</v>
      </c>
      <c r="J1872" s="16">
        <v>0</v>
      </c>
      <c r="K1872" s="14" t="s">
        <v>2237</v>
      </c>
      <c r="L1872" s="16">
        <v>0</v>
      </c>
      <c r="M1872" s="14" t="s">
        <v>2237</v>
      </c>
      <c r="N1872" s="8">
        <v>0</v>
      </c>
      <c r="O1872" s="14" t="s">
        <v>2237</v>
      </c>
      <c r="P1872" s="14" t="s">
        <v>2236</v>
      </c>
      <c r="Q1872" s="17" t="s">
        <v>2236</v>
      </c>
      <c r="R1872" s="17" t="s">
        <v>2236</v>
      </c>
      <c r="S1872" s="17" t="s">
        <v>2236</v>
      </c>
      <c r="T1872" s="17" t="s">
        <v>2236</v>
      </c>
      <c r="U18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3" spans="1:31" hidden="1" x14ac:dyDescent="0.3">
      <c r="A1873" s="14" t="s">
        <v>3722</v>
      </c>
      <c r="B1873" s="14" t="s">
        <v>2371</v>
      </c>
      <c r="C1873" s="14" t="s">
        <v>4910</v>
      </c>
      <c r="D1873" s="14" t="s">
        <v>4911</v>
      </c>
      <c r="E1873" s="14" t="s">
        <v>2236</v>
      </c>
      <c r="F1873" s="8">
        <v>0</v>
      </c>
      <c r="G1873" s="14" t="s">
        <v>2237</v>
      </c>
      <c r="H1873" s="16">
        <v>0</v>
      </c>
      <c r="I1873" s="14" t="s">
        <v>2237</v>
      </c>
      <c r="J1873" s="16">
        <v>0</v>
      </c>
      <c r="K1873" s="14" t="s">
        <v>2237</v>
      </c>
      <c r="L1873" s="16">
        <v>0</v>
      </c>
      <c r="M1873" s="14" t="s">
        <v>2237</v>
      </c>
      <c r="N1873" s="8">
        <v>0</v>
      </c>
      <c r="O1873" s="14" t="s">
        <v>2237</v>
      </c>
      <c r="P1873" s="14" t="s">
        <v>2236</v>
      </c>
      <c r="Q1873" s="17" t="s">
        <v>2236</v>
      </c>
      <c r="R1873" s="17" t="s">
        <v>2236</v>
      </c>
      <c r="S1873" s="17" t="s">
        <v>2236</v>
      </c>
      <c r="T1873" s="17" t="s">
        <v>2236</v>
      </c>
      <c r="U18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4" spans="1:31" hidden="1" x14ac:dyDescent="0.3">
      <c r="A1874" s="14" t="s">
        <v>3725</v>
      </c>
      <c r="B1874" s="14" t="s">
        <v>2371</v>
      </c>
      <c r="C1874" s="14" t="s">
        <v>4912</v>
      </c>
      <c r="D1874" s="14" t="s">
        <v>4913</v>
      </c>
      <c r="E1874" s="14" t="s">
        <v>2236</v>
      </c>
      <c r="F1874" s="8">
        <v>0</v>
      </c>
      <c r="G1874" s="14" t="s">
        <v>2237</v>
      </c>
      <c r="H1874" s="16">
        <v>0</v>
      </c>
      <c r="I1874" s="14" t="s">
        <v>2237</v>
      </c>
      <c r="J1874" s="16">
        <v>0</v>
      </c>
      <c r="K1874" s="14" t="s">
        <v>2237</v>
      </c>
      <c r="L1874" s="16">
        <v>0</v>
      </c>
      <c r="M1874" s="14" t="s">
        <v>2237</v>
      </c>
      <c r="N1874" s="8">
        <v>0</v>
      </c>
      <c r="O1874" s="14" t="s">
        <v>2237</v>
      </c>
      <c r="P1874" s="14" t="s">
        <v>2236</v>
      </c>
      <c r="Q1874" s="17" t="s">
        <v>2236</v>
      </c>
      <c r="R1874" s="17" t="s">
        <v>2236</v>
      </c>
      <c r="S1874" s="17" t="s">
        <v>2236</v>
      </c>
      <c r="T1874" s="17" t="s">
        <v>2236</v>
      </c>
      <c r="U18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5" spans="1:31" hidden="1" x14ac:dyDescent="0.3">
      <c r="A1875" s="14" t="s">
        <v>3728</v>
      </c>
      <c r="B1875" s="14" t="s">
        <v>2371</v>
      </c>
      <c r="C1875" s="14" t="s">
        <v>4914</v>
      </c>
      <c r="D1875" s="14" t="s">
        <v>4915</v>
      </c>
      <c r="E1875" s="14" t="s">
        <v>2236</v>
      </c>
      <c r="F1875" s="8">
        <v>0</v>
      </c>
      <c r="G1875" s="14" t="s">
        <v>2237</v>
      </c>
      <c r="H1875" s="16">
        <v>0</v>
      </c>
      <c r="I1875" s="14" t="s">
        <v>2237</v>
      </c>
      <c r="J1875" s="16">
        <v>0</v>
      </c>
      <c r="K1875" s="14" t="s">
        <v>2237</v>
      </c>
      <c r="L1875" s="16">
        <v>0</v>
      </c>
      <c r="M1875" s="14" t="s">
        <v>2237</v>
      </c>
      <c r="N1875" s="8">
        <v>0</v>
      </c>
      <c r="O1875" s="14" t="s">
        <v>2237</v>
      </c>
      <c r="P1875" s="14" t="s">
        <v>2236</v>
      </c>
      <c r="Q1875" s="17" t="s">
        <v>2236</v>
      </c>
      <c r="R1875" s="17" t="s">
        <v>2236</v>
      </c>
      <c r="S1875" s="17" t="s">
        <v>2236</v>
      </c>
      <c r="T1875" s="17" t="s">
        <v>2236</v>
      </c>
      <c r="U18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6" spans="1:31" hidden="1" x14ac:dyDescent="0.3">
      <c r="A1876" s="14" t="s">
        <v>3731</v>
      </c>
      <c r="B1876" s="14" t="s">
        <v>2371</v>
      </c>
      <c r="C1876" s="14" t="s">
        <v>4916</v>
      </c>
      <c r="D1876" s="14" t="s">
        <v>4917</v>
      </c>
      <c r="E1876" s="14" t="s">
        <v>2236</v>
      </c>
      <c r="F1876" s="8">
        <v>0</v>
      </c>
      <c r="G1876" s="14" t="s">
        <v>2237</v>
      </c>
      <c r="H1876" s="16">
        <v>0</v>
      </c>
      <c r="I1876" s="14" t="s">
        <v>2237</v>
      </c>
      <c r="J1876" s="16">
        <v>0</v>
      </c>
      <c r="K1876" s="14" t="s">
        <v>2237</v>
      </c>
      <c r="L1876" s="16">
        <v>0</v>
      </c>
      <c r="M1876" s="14" t="s">
        <v>2237</v>
      </c>
      <c r="N1876" s="8">
        <v>0</v>
      </c>
      <c r="O1876" s="14" t="s">
        <v>2237</v>
      </c>
      <c r="P1876" s="14" t="s">
        <v>2236</v>
      </c>
      <c r="Q1876" s="17" t="s">
        <v>2236</v>
      </c>
      <c r="R1876" s="17" t="s">
        <v>2236</v>
      </c>
      <c r="S1876" s="17" t="s">
        <v>2236</v>
      </c>
      <c r="T1876" s="17" t="s">
        <v>2236</v>
      </c>
      <c r="U18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7" spans="1:31" hidden="1" x14ac:dyDescent="0.3">
      <c r="A1877" s="14" t="s">
        <v>3733</v>
      </c>
      <c r="B1877" s="14" t="s">
        <v>2371</v>
      </c>
      <c r="C1877" s="14" t="s">
        <v>4918</v>
      </c>
      <c r="D1877" s="14" t="s">
        <v>4919</v>
      </c>
      <c r="E1877" s="14" t="s">
        <v>2236</v>
      </c>
      <c r="F1877" s="8">
        <v>0</v>
      </c>
      <c r="G1877" s="14" t="s">
        <v>2237</v>
      </c>
      <c r="H1877" s="16">
        <v>0</v>
      </c>
      <c r="I1877" s="14" t="s">
        <v>2237</v>
      </c>
      <c r="J1877" s="16">
        <v>0</v>
      </c>
      <c r="K1877" s="14" t="s">
        <v>2237</v>
      </c>
      <c r="L1877" s="16">
        <v>0</v>
      </c>
      <c r="M1877" s="14" t="s">
        <v>2237</v>
      </c>
      <c r="N1877" s="8">
        <v>0</v>
      </c>
      <c r="O1877" s="14" t="s">
        <v>2237</v>
      </c>
      <c r="P1877" s="14" t="s">
        <v>2236</v>
      </c>
      <c r="Q1877" s="17" t="s">
        <v>2236</v>
      </c>
      <c r="R1877" s="17" t="s">
        <v>2236</v>
      </c>
      <c r="S1877" s="17" t="s">
        <v>2236</v>
      </c>
      <c r="T1877" s="17" t="s">
        <v>2236</v>
      </c>
      <c r="U18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8" spans="1:31" hidden="1" x14ac:dyDescent="0.3">
      <c r="A1878" s="14" t="s">
        <v>3736</v>
      </c>
      <c r="B1878" s="14" t="s">
        <v>2371</v>
      </c>
      <c r="C1878" s="14" t="s">
        <v>4920</v>
      </c>
      <c r="D1878" s="14" t="s">
        <v>4921</v>
      </c>
      <c r="E1878" s="14" t="s">
        <v>2236</v>
      </c>
      <c r="F1878" s="8">
        <v>0</v>
      </c>
      <c r="G1878" s="14" t="s">
        <v>2237</v>
      </c>
      <c r="H1878" s="16">
        <v>0</v>
      </c>
      <c r="I1878" s="14" t="s">
        <v>2237</v>
      </c>
      <c r="J1878" s="16">
        <v>0</v>
      </c>
      <c r="K1878" s="14" t="s">
        <v>2237</v>
      </c>
      <c r="L1878" s="16">
        <v>0</v>
      </c>
      <c r="M1878" s="14" t="s">
        <v>2237</v>
      </c>
      <c r="N1878" s="8">
        <v>0</v>
      </c>
      <c r="O1878" s="14" t="s">
        <v>2237</v>
      </c>
      <c r="P1878" s="14" t="s">
        <v>2236</v>
      </c>
      <c r="Q1878" s="17" t="s">
        <v>2236</v>
      </c>
      <c r="R1878" s="17" t="s">
        <v>2236</v>
      </c>
      <c r="S1878" s="17" t="s">
        <v>2236</v>
      </c>
      <c r="T1878" s="17" t="s">
        <v>2236</v>
      </c>
      <c r="U18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79" spans="1:31" hidden="1" x14ac:dyDescent="0.3">
      <c r="A1879" s="14" t="s">
        <v>3739</v>
      </c>
      <c r="B1879" s="14" t="s">
        <v>2371</v>
      </c>
      <c r="C1879" s="14" t="s">
        <v>4922</v>
      </c>
      <c r="D1879" s="14" t="s">
        <v>4923</v>
      </c>
      <c r="E1879" s="14" t="s">
        <v>2236</v>
      </c>
      <c r="F1879" s="8">
        <v>0</v>
      </c>
      <c r="G1879" s="14" t="s">
        <v>2237</v>
      </c>
      <c r="H1879" s="16">
        <v>0</v>
      </c>
      <c r="I1879" s="14" t="s">
        <v>2237</v>
      </c>
      <c r="J1879" s="16">
        <v>0</v>
      </c>
      <c r="K1879" s="14" t="s">
        <v>2237</v>
      </c>
      <c r="L1879" s="16">
        <v>0</v>
      </c>
      <c r="M1879" s="14" t="s">
        <v>2237</v>
      </c>
      <c r="N1879" s="8">
        <v>0</v>
      </c>
      <c r="O1879" s="14" t="s">
        <v>2237</v>
      </c>
      <c r="P1879" s="14" t="s">
        <v>2236</v>
      </c>
      <c r="Q1879" s="17" t="s">
        <v>2236</v>
      </c>
      <c r="R1879" s="17" t="s">
        <v>2236</v>
      </c>
      <c r="S1879" s="17" t="s">
        <v>2236</v>
      </c>
      <c r="T1879" s="17" t="s">
        <v>2236</v>
      </c>
      <c r="U18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0" spans="1:31" hidden="1" x14ac:dyDescent="0.3">
      <c r="A1880" s="14" t="s">
        <v>3742</v>
      </c>
      <c r="B1880" s="14" t="s">
        <v>2371</v>
      </c>
      <c r="C1880" s="14" t="s">
        <v>4924</v>
      </c>
      <c r="D1880" s="14" t="s">
        <v>4925</v>
      </c>
      <c r="E1880" s="14" t="s">
        <v>2236</v>
      </c>
      <c r="F1880" s="8">
        <v>0</v>
      </c>
      <c r="G1880" s="14" t="s">
        <v>2237</v>
      </c>
      <c r="H1880" s="16">
        <v>0</v>
      </c>
      <c r="I1880" s="14" t="s">
        <v>2237</v>
      </c>
      <c r="J1880" s="16">
        <v>0</v>
      </c>
      <c r="K1880" s="14" t="s">
        <v>2237</v>
      </c>
      <c r="L1880" s="16">
        <v>0</v>
      </c>
      <c r="M1880" s="14" t="s">
        <v>2237</v>
      </c>
      <c r="N1880" s="8">
        <v>0</v>
      </c>
      <c r="O1880" s="14" t="s">
        <v>2237</v>
      </c>
      <c r="P1880" s="14" t="s">
        <v>2236</v>
      </c>
      <c r="Q1880" s="17" t="s">
        <v>2236</v>
      </c>
      <c r="R1880" s="17" t="s">
        <v>2236</v>
      </c>
      <c r="S1880" s="17" t="s">
        <v>2236</v>
      </c>
      <c r="T1880" s="17" t="s">
        <v>2236</v>
      </c>
      <c r="U18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1" spans="1:31" hidden="1" x14ac:dyDescent="0.3">
      <c r="A1881" s="14" t="s">
        <v>3745</v>
      </c>
      <c r="B1881" s="14" t="s">
        <v>2371</v>
      </c>
      <c r="C1881" s="14" t="s">
        <v>4926</v>
      </c>
      <c r="D1881" s="14" t="s">
        <v>4927</v>
      </c>
      <c r="E1881" s="14" t="s">
        <v>2236</v>
      </c>
      <c r="F1881" s="8">
        <v>0</v>
      </c>
      <c r="G1881" s="14" t="s">
        <v>2237</v>
      </c>
      <c r="H1881" s="16">
        <v>0</v>
      </c>
      <c r="I1881" s="14" t="s">
        <v>2237</v>
      </c>
      <c r="J1881" s="16">
        <v>0</v>
      </c>
      <c r="K1881" s="14" t="s">
        <v>2237</v>
      </c>
      <c r="L1881" s="16">
        <v>0</v>
      </c>
      <c r="M1881" s="14" t="s">
        <v>2237</v>
      </c>
      <c r="N1881" s="8">
        <v>0</v>
      </c>
      <c r="O1881" s="14" t="s">
        <v>2237</v>
      </c>
      <c r="P1881" s="14" t="s">
        <v>2236</v>
      </c>
      <c r="Q1881" s="17" t="s">
        <v>2236</v>
      </c>
      <c r="R1881" s="17" t="s">
        <v>2236</v>
      </c>
      <c r="S1881" s="17" t="s">
        <v>2236</v>
      </c>
      <c r="T1881" s="17" t="s">
        <v>2236</v>
      </c>
      <c r="U18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2" spans="1:31" hidden="1" x14ac:dyDescent="0.3">
      <c r="A1882" s="14" t="s">
        <v>3748</v>
      </c>
      <c r="B1882" s="14" t="s">
        <v>2371</v>
      </c>
      <c r="C1882" s="14" t="s">
        <v>4928</v>
      </c>
      <c r="D1882" s="14" t="s">
        <v>4929</v>
      </c>
      <c r="E1882" s="14" t="s">
        <v>2236</v>
      </c>
      <c r="F1882" s="8">
        <v>0</v>
      </c>
      <c r="G1882" s="14" t="s">
        <v>2237</v>
      </c>
      <c r="H1882" s="16">
        <v>0</v>
      </c>
      <c r="I1882" s="14" t="s">
        <v>2237</v>
      </c>
      <c r="J1882" s="16">
        <v>0</v>
      </c>
      <c r="K1882" s="14" t="s">
        <v>2237</v>
      </c>
      <c r="L1882" s="16">
        <v>0</v>
      </c>
      <c r="M1882" s="14" t="s">
        <v>2237</v>
      </c>
      <c r="N1882" s="8">
        <v>0</v>
      </c>
      <c r="O1882" s="14" t="s">
        <v>2237</v>
      </c>
      <c r="P1882" s="14" t="s">
        <v>2236</v>
      </c>
      <c r="Q1882" s="17" t="s">
        <v>2236</v>
      </c>
      <c r="R1882" s="17" t="s">
        <v>2236</v>
      </c>
      <c r="S1882" s="17" t="s">
        <v>2236</v>
      </c>
      <c r="T1882" s="17" t="s">
        <v>2236</v>
      </c>
      <c r="U18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3" spans="1:31" hidden="1" x14ac:dyDescent="0.3">
      <c r="A1883" s="14" t="s">
        <v>3751</v>
      </c>
      <c r="B1883" s="14" t="s">
        <v>2371</v>
      </c>
      <c r="C1883" s="14" t="s">
        <v>4930</v>
      </c>
      <c r="D1883" s="14" t="s">
        <v>4931</v>
      </c>
      <c r="E1883" s="14" t="s">
        <v>2236</v>
      </c>
      <c r="F1883" s="8">
        <v>0</v>
      </c>
      <c r="G1883" s="14" t="s">
        <v>2237</v>
      </c>
      <c r="H1883" s="16">
        <v>0</v>
      </c>
      <c r="I1883" s="14" t="s">
        <v>2237</v>
      </c>
      <c r="J1883" s="16">
        <v>0</v>
      </c>
      <c r="K1883" s="14" t="s">
        <v>2237</v>
      </c>
      <c r="L1883" s="16">
        <v>0</v>
      </c>
      <c r="M1883" s="14" t="s">
        <v>2237</v>
      </c>
      <c r="N1883" s="8">
        <v>0</v>
      </c>
      <c r="O1883" s="14" t="s">
        <v>2237</v>
      </c>
      <c r="P1883" s="14" t="s">
        <v>2236</v>
      </c>
      <c r="Q1883" s="17" t="s">
        <v>2236</v>
      </c>
      <c r="R1883" s="17" t="s">
        <v>2236</v>
      </c>
      <c r="S1883" s="17" t="s">
        <v>2236</v>
      </c>
      <c r="T1883" s="17" t="s">
        <v>2236</v>
      </c>
      <c r="U18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4" spans="1:31" hidden="1" x14ac:dyDescent="0.3">
      <c r="A1884" s="14" t="s">
        <v>3754</v>
      </c>
      <c r="B1884" s="14" t="s">
        <v>2371</v>
      </c>
      <c r="C1884" s="14" t="s">
        <v>4932</v>
      </c>
      <c r="D1884" s="14" t="s">
        <v>4933</v>
      </c>
      <c r="E1884" s="14" t="s">
        <v>2236</v>
      </c>
      <c r="F1884" s="8">
        <v>0</v>
      </c>
      <c r="G1884" s="14" t="s">
        <v>2237</v>
      </c>
      <c r="H1884" s="16">
        <v>0</v>
      </c>
      <c r="I1884" s="14" t="s">
        <v>2237</v>
      </c>
      <c r="J1884" s="16">
        <v>0</v>
      </c>
      <c r="K1884" s="14" t="s">
        <v>2237</v>
      </c>
      <c r="L1884" s="16">
        <v>0</v>
      </c>
      <c r="M1884" s="14" t="s">
        <v>2237</v>
      </c>
      <c r="N1884" s="8">
        <v>0</v>
      </c>
      <c r="O1884" s="14" t="s">
        <v>2237</v>
      </c>
      <c r="P1884" s="14" t="s">
        <v>2236</v>
      </c>
      <c r="Q1884" s="17" t="s">
        <v>2236</v>
      </c>
      <c r="R1884" s="17" t="s">
        <v>2236</v>
      </c>
      <c r="S1884" s="17" t="s">
        <v>2236</v>
      </c>
      <c r="T1884" s="17" t="s">
        <v>2236</v>
      </c>
      <c r="U18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5" spans="1:31" hidden="1" x14ac:dyDescent="0.3">
      <c r="A1885" s="14" t="s">
        <v>3755</v>
      </c>
      <c r="B1885" s="14" t="s">
        <v>2371</v>
      </c>
      <c r="C1885" s="14" t="s">
        <v>4934</v>
      </c>
      <c r="D1885" s="14" t="s">
        <v>4935</v>
      </c>
      <c r="E1885" s="14" t="s">
        <v>2236</v>
      </c>
      <c r="F1885" s="8">
        <v>0</v>
      </c>
      <c r="G1885" s="14" t="s">
        <v>2237</v>
      </c>
      <c r="H1885" s="16">
        <v>0</v>
      </c>
      <c r="I1885" s="14" t="s">
        <v>2237</v>
      </c>
      <c r="J1885" s="16">
        <v>0</v>
      </c>
      <c r="K1885" s="14" t="s">
        <v>2237</v>
      </c>
      <c r="L1885" s="16">
        <v>0</v>
      </c>
      <c r="M1885" s="14" t="s">
        <v>2237</v>
      </c>
      <c r="N1885" s="8">
        <v>0</v>
      </c>
      <c r="O1885" s="14" t="s">
        <v>2237</v>
      </c>
      <c r="P1885" s="14" t="s">
        <v>2236</v>
      </c>
      <c r="Q1885" s="17" t="s">
        <v>2236</v>
      </c>
      <c r="R1885" s="17" t="s">
        <v>2236</v>
      </c>
      <c r="S1885" s="17" t="s">
        <v>2236</v>
      </c>
      <c r="T1885" s="17" t="s">
        <v>2236</v>
      </c>
      <c r="U18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6" spans="1:31" hidden="1" x14ac:dyDescent="0.3">
      <c r="A1886" s="14" t="s">
        <v>3756</v>
      </c>
      <c r="B1886" s="14" t="s">
        <v>2371</v>
      </c>
      <c r="C1886" s="14" t="s">
        <v>4936</v>
      </c>
      <c r="D1886" s="14" t="s">
        <v>4937</v>
      </c>
      <c r="E1886" s="14" t="s">
        <v>2236</v>
      </c>
      <c r="F1886" s="8">
        <v>0</v>
      </c>
      <c r="G1886" s="14" t="s">
        <v>2237</v>
      </c>
      <c r="H1886" s="16">
        <v>0</v>
      </c>
      <c r="I1886" s="14" t="s">
        <v>2237</v>
      </c>
      <c r="J1886" s="16">
        <v>0</v>
      </c>
      <c r="K1886" s="14" t="s">
        <v>2237</v>
      </c>
      <c r="L1886" s="16">
        <v>0</v>
      </c>
      <c r="M1886" s="14" t="s">
        <v>2237</v>
      </c>
      <c r="N1886" s="8">
        <v>0</v>
      </c>
      <c r="O1886" s="14" t="s">
        <v>2237</v>
      </c>
      <c r="P1886" s="14" t="s">
        <v>2236</v>
      </c>
      <c r="Q1886" s="17" t="s">
        <v>2236</v>
      </c>
      <c r="R1886" s="17" t="s">
        <v>2236</v>
      </c>
      <c r="S1886" s="17" t="s">
        <v>2236</v>
      </c>
      <c r="T1886" s="17" t="s">
        <v>2236</v>
      </c>
      <c r="U18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7" spans="1:31" hidden="1" x14ac:dyDescent="0.3">
      <c r="A1887" s="14" t="s">
        <v>3759</v>
      </c>
      <c r="B1887" s="14" t="s">
        <v>2371</v>
      </c>
      <c r="C1887" s="14" t="s">
        <v>4938</v>
      </c>
      <c r="D1887" s="14" t="s">
        <v>4939</v>
      </c>
      <c r="E1887" s="14" t="s">
        <v>2236</v>
      </c>
      <c r="F1887" s="8">
        <v>0</v>
      </c>
      <c r="G1887" s="14" t="s">
        <v>2237</v>
      </c>
      <c r="H1887" s="16">
        <v>0</v>
      </c>
      <c r="I1887" s="14" t="s">
        <v>2237</v>
      </c>
      <c r="J1887" s="16">
        <v>0</v>
      </c>
      <c r="K1887" s="14" t="s">
        <v>2237</v>
      </c>
      <c r="L1887" s="16">
        <v>0</v>
      </c>
      <c r="M1887" s="14" t="s">
        <v>2237</v>
      </c>
      <c r="N1887" s="8">
        <v>0</v>
      </c>
      <c r="O1887" s="14" t="s">
        <v>2237</v>
      </c>
      <c r="P1887" s="14" t="s">
        <v>2236</v>
      </c>
      <c r="Q1887" s="17" t="s">
        <v>2236</v>
      </c>
      <c r="R1887" s="17" t="s">
        <v>2236</v>
      </c>
      <c r="S1887" s="17" t="s">
        <v>2236</v>
      </c>
      <c r="T1887" s="17" t="s">
        <v>2236</v>
      </c>
      <c r="U18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8" spans="1:31" hidden="1" x14ac:dyDescent="0.3">
      <c r="A1888" s="14" t="s">
        <v>3762</v>
      </c>
      <c r="B1888" s="14" t="s">
        <v>2371</v>
      </c>
      <c r="C1888" s="14" t="s">
        <v>4940</v>
      </c>
      <c r="D1888" s="14" t="s">
        <v>4941</v>
      </c>
      <c r="E1888" s="14" t="s">
        <v>2236</v>
      </c>
      <c r="F1888" s="8">
        <v>0</v>
      </c>
      <c r="G1888" s="14" t="s">
        <v>2237</v>
      </c>
      <c r="H1888" s="16">
        <v>0</v>
      </c>
      <c r="I1888" s="14" t="s">
        <v>2237</v>
      </c>
      <c r="J1888" s="16">
        <v>0</v>
      </c>
      <c r="K1888" s="14" t="s">
        <v>2237</v>
      </c>
      <c r="L1888" s="16">
        <v>0</v>
      </c>
      <c r="M1888" s="14" t="s">
        <v>2237</v>
      </c>
      <c r="N1888" s="8">
        <v>0</v>
      </c>
      <c r="O1888" s="14" t="s">
        <v>2237</v>
      </c>
      <c r="P1888" s="14" t="s">
        <v>2236</v>
      </c>
      <c r="Q1888" s="17" t="s">
        <v>2236</v>
      </c>
      <c r="R1888" s="17" t="s">
        <v>2236</v>
      </c>
      <c r="S1888" s="17" t="s">
        <v>2236</v>
      </c>
      <c r="T1888" s="17" t="s">
        <v>2236</v>
      </c>
      <c r="U18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89" spans="1:31" hidden="1" x14ac:dyDescent="0.3">
      <c r="A1889" s="14" t="s">
        <v>3765</v>
      </c>
      <c r="B1889" s="14" t="s">
        <v>2371</v>
      </c>
      <c r="C1889" s="14" t="s">
        <v>4942</v>
      </c>
      <c r="D1889" s="14" t="s">
        <v>4943</v>
      </c>
      <c r="E1889" s="14" t="s">
        <v>2236</v>
      </c>
      <c r="F1889" s="8">
        <v>0</v>
      </c>
      <c r="G1889" s="14" t="s">
        <v>2237</v>
      </c>
      <c r="H1889" s="16">
        <v>0</v>
      </c>
      <c r="I1889" s="14" t="s">
        <v>2237</v>
      </c>
      <c r="J1889" s="16">
        <v>0</v>
      </c>
      <c r="K1889" s="14" t="s">
        <v>2237</v>
      </c>
      <c r="L1889" s="16">
        <v>0</v>
      </c>
      <c r="M1889" s="14" t="s">
        <v>2237</v>
      </c>
      <c r="N1889" s="8">
        <v>0</v>
      </c>
      <c r="O1889" s="14" t="s">
        <v>2237</v>
      </c>
      <c r="P1889" s="14" t="s">
        <v>2236</v>
      </c>
      <c r="Q1889" s="17" t="s">
        <v>2236</v>
      </c>
      <c r="R1889" s="17" t="s">
        <v>2236</v>
      </c>
      <c r="S1889" s="17" t="s">
        <v>2236</v>
      </c>
      <c r="T1889" s="17" t="s">
        <v>2236</v>
      </c>
      <c r="U18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0" spans="1:31" hidden="1" x14ac:dyDescent="0.3">
      <c r="A1890" s="14" t="s">
        <v>3768</v>
      </c>
      <c r="B1890" s="14" t="s">
        <v>2371</v>
      </c>
      <c r="C1890" s="14" t="s">
        <v>4944</v>
      </c>
      <c r="D1890" s="14" t="s">
        <v>4945</v>
      </c>
      <c r="E1890" s="14" t="s">
        <v>2236</v>
      </c>
      <c r="F1890" s="8">
        <v>0</v>
      </c>
      <c r="G1890" s="14" t="s">
        <v>2237</v>
      </c>
      <c r="H1890" s="16">
        <v>0</v>
      </c>
      <c r="I1890" s="14" t="s">
        <v>2237</v>
      </c>
      <c r="J1890" s="16">
        <v>0</v>
      </c>
      <c r="K1890" s="14" t="s">
        <v>2237</v>
      </c>
      <c r="L1890" s="16">
        <v>0</v>
      </c>
      <c r="M1890" s="14" t="s">
        <v>2237</v>
      </c>
      <c r="N1890" s="8">
        <v>0</v>
      </c>
      <c r="O1890" s="14" t="s">
        <v>2237</v>
      </c>
      <c r="P1890" s="14" t="s">
        <v>2236</v>
      </c>
      <c r="Q1890" s="17" t="s">
        <v>2236</v>
      </c>
      <c r="R1890" s="17" t="s">
        <v>2236</v>
      </c>
      <c r="S1890" s="17" t="s">
        <v>2236</v>
      </c>
      <c r="T1890" s="17" t="s">
        <v>2236</v>
      </c>
      <c r="U18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1" spans="1:31" hidden="1" x14ac:dyDescent="0.3">
      <c r="A1891" s="14" t="s">
        <v>3771</v>
      </c>
      <c r="B1891" s="14" t="s">
        <v>2371</v>
      </c>
      <c r="C1891" s="14" t="s">
        <v>4946</v>
      </c>
      <c r="D1891" s="14" t="s">
        <v>4947</v>
      </c>
      <c r="E1891" s="14" t="s">
        <v>2236</v>
      </c>
      <c r="F1891" s="8">
        <v>0</v>
      </c>
      <c r="G1891" s="14" t="s">
        <v>2237</v>
      </c>
      <c r="H1891" s="16">
        <v>0</v>
      </c>
      <c r="I1891" s="14" t="s">
        <v>2237</v>
      </c>
      <c r="J1891" s="16">
        <v>0</v>
      </c>
      <c r="K1891" s="14" t="s">
        <v>2237</v>
      </c>
      <c r="L1891" s="16">
        <v>0</v>
      </c>
      <c r="M1891" s="14" t="s">
        <v>2237</v>
      </c>
      <c r="N1891" s="8">
        <v>0</v>
      </c>
      <c r="O1891" s="14" t="s">
        <v>2237</v>
      </c>
      <c r="P1891" s="14" t="s">
        <v>2236</v>
      </c>
      <c r="Q1891" s="17" t="s">
        <v>2236</v>
      </c>
      <c r="R1891" s="17" t="s">
        <v>2236</v>
      </c>
      <c r="S1891" s="17" t="s">
        <v>2236</v>
      </c>
      <c r="T1891" s="17" t="s">
        <v>2236</v>
      </c>
      <c r="U18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2" spans="1:31" hidden="1" x14ac:dyDescent="0.3">
      <c r="A1892" s="14" t="s">
        <v>3774</v>
      </c>
      <c r="B1892" s="14" t="s">
        <v>2371</v>
      </c>
      <c r="C1892" s="14" t="s">
        <v>4948</v>
      </c>
      <c r="D1892" s="14" t="s">
        <v>4949</v>
      </c>
      <c r="E1892" s="14" t="s">
        <v>2236</v>
      </c>
      <c r="F1892" s="8">
        <v>0</v>
      </c>
      <c r="G1892" s="14" t="s">
        <v>2237</v>
      </c>
      <c r="H1892" s="16">
        <v>0</v>
      </c>
      <c r="I1892" s="14" t="s">
        <v>2237</v>
      </c>
      <c r="J1892" s="16">
        <v>0</v>
      </c>
      <c r="K1892" s="14" t="s">
        <v>2237</v>
      </c>
      <c r="L1892" s="16">
        <v>0</v>
      </c>
      <c r="M1892" s="14" t="s">
        <v>2237</v>
      </c>
      <c r="N1892" s="8">
        <v>0</v>
      </c>
      <c r="O1892" s="14" t="s">
        <v>2237</v>
      </c>
      <c r="P1892" s="14" t="s">
        <v>2236</v>
      </c>
      <c r="Q1892" s="17" t="s">
        <v>2236</v>
      </c>
      <c r="R1892" s="17" t="s">
        <v>2236</v>
      </c>
      <c r="S1892" s="17" t="s">
        <v>2236</v>
      </c>
      <c r="T1892" s="17" t="s">
        <v>2236</v>
      </c>
      <c r="U18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3" spans="1:31" hidden="1" x14ac:dyDescent="0.3">
      <c r="A1893" s="14" t="s">
        <v>3777</v>
      </c>
      <c r="B1893" s="14" t="s">
        <v>2371</v>
      </c>
      <c r="C1893" s="14" t="s">
        <v>4950</v>
      </c>
      <c r="D1893" s="14" t="s">
        <v>4951</v>
      </c>
      <c r="E1893" s="14" t="s">
        <v>2236</v>
      </c>
      <c r="F1893" s="8">
        <v>0</v>
      </c>
      <c r="G1893" s="14" t="s">
        <v>2237</v>
      </c>
      <c r="H1893" s="16">
        <v>0</v>
      </c>
      <c r="I1893" s="14" t="s">
        <v>2237</v>
      </c>
      <c r="J1893" s="16">
        <v>0</v>
      </c>
      <c r="K1893" s="14" t="s">
        <v>2237</v>
      </c>
      <c r="L1893" s="16">
        <v>0</v>
      </c>
      <c r="M1893" s="14" t="s">
        <v>2237</v>
      </c>
      <c r="N1893" s="8">
        <v>0</v>
      </c>
      <c r="O1893" s="14" t="s">
        <v>2237</v>
      </c>
      <c r="P1893" s="14" t="s">
        <v>2236</v>
      </c>
      <c r="Q1893" s="17" t="s">
        <v>2236</v>
      </c>
      <c r="R1893" s="17" t="s">
        <v>2236</v>
      </c>
      <c r="S1893" s="17" t="s">
        <v>2236</v>
      </c>
      <c r="T1893" s="17" t="s">
        <v>2236</v>
      </c>
      <c r="U18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4" spans="1:31" hidden="1" x14ac:dyDescent="0.3">
      <c r="A1894" s="14" t="s">
        <v>3780</v>
      </c>
      <c r="B1894" s="14" t="s">
        <v>2371</v>
      </c>
      <c r="C1894" s="14" t="s">
        <v>4952</v>
      </c>
      <c r="D1894" s="14" t="s">
        <v>4953</v>
      </c>
      <c r="E1894" s="14" t="s">
        <v>2236</v>
      </c>
      <c r="F1894" s="8">
        <v>0</v>
      </c>
      <c r="G1894" s="14" t="s">
        <v>2237</v>
      </c>
      <c r="H1894" s="16">
        <v>0</v>
      </c>
      <c r="I1894" s="14" t="s">
        <v>2237</v>
      </c>
      <c r="J1894" s="16">
        <v>0</v>
      </c>
      <c r="K1894" s="14" t="s">
        <v>2237</v>
      </c>
      <c r="L1894" s="16">
        <v>0</v>
      </c>
      <c r="M1894" s="14" t="s">
        <v>2237</v>
      </c>
      <c r="N1894" s="8">
        <v>0</v>
      </c>
      <c r="O1894" s="14" t="s">
        <v>2237</v>
      </c>
      <c r="P1894" s="14" t="s">
        <v>2236</v>
      </c>
      <c r="Q1894" s="17" t="s">
        <v>2236</v>
      </c>
      <c r="R1894" s="17" t="s">
        <v>2236</v>
      </c>
      <c r="S1894" s="17" t="s">
        <v>2236</v>
      </c>
      <c r="T1894" s="17" t="s">
        <v>2236</v>
      </c>
      <c r="U18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5" spans="1:31" hidden="1" x14ac:dyDescent="0.3">
      <c r="A1895" s="14" t="s">
        <v>3783</v>
      </c>
      <c r="B1895" s="14" t="s">
        <v>2371</v>
      </c>
      <c r="C1895" s="14" t="s">
        <v>4954</v>
      </c>
      <c r="D1895" s="14" t="s">
        <v>4955</v>
      </c>
      <c r="E1895" s="14" t="s">
        <v>2236</v>
      </c>
      <c r="F1895" s="8">
        <v>0</v>
      </c>
      <c r="G1895" s="14" t="s">
        <v>2237</v>
      </c>
      <c r="H1895" s="16">
        <v>0</v>
      </c>
      <c r="I1895" s="14" t="s">
        <v>2237</v>
      </c>
      <c r="J1895" s="16">
        <v>0</v>
      </c>
      <c r="K1895" s="14" t="s">
        <v>2237</v>
      </c>
      <c r="L1895" s="16">
        <v>0</v>
      </c>
      <c r="M1895" s="14" t="s">
        <v>2237</v>
      </c>
      <c r="N1895" s="8">
        <v>0</v>
      </c>
      <c r="O1895" s="14" t="s">
        <v>2237</v>
      </c>
      <c r="P1895" s="14" t="s">
        <v>2236</v>
      </c>
      <c r="Q1895" s="17" t="s">
        <v>2236</v>
      </c>
      <c r="R1895" s="17" t="s">
        <v>2236</v>
      </c>
      <c r="S1895" s="17" t="s">
        <v>2236</v>
      </c>
      <c r="T1895" s="17" t="s">
        <v>2236</v>
      </c>
      <c r="U18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6" spans="1:31" hidden="1" x14ac:dyDescent="0.3">
      <c r="A1896" s="14" t="s">
        <v>3786</v>
      </c>
      <c r="B1896" s="14" t="s">
        <v>2371</v>
      </c>
      <c r="C1896" s="14" t="s">
        <v>4956</v>
      </c>
      <c r="D1896" s="14" t="s">
        <v>4957</v>
      </c>
      <c r="E1896" s="14" t="s">
        <v>2236</v>
      </c>
      <c r="F1896" s="8">
        <v>0</v>
      </c>
      <c r="G1896" s="14" t="s">
        <v>2237</v>
      </c>
      <c r="H1896" s="16">
        <v>0</v>
      </c>
      <c r="I1896" s="14" t="s">
        <v>2237</v>
      </c>
      <c r="J1896" s="16">
        <v>0</v>
      </c>
      <c r="K1896" s="14" t="s">
        <v>2237</v>
      </c>
      <c r="L1896" s="16">
        <v>0</v>
      </c>
      <c r="M1896" s="14" t="s">
        <v>2237</v>
      </c>
      <c r="N1896" s="8">
        <v>0</v>
      </c>
      <c r="O1896" s="14" t="s">
        <v>2237</v>
      </c>
      <c r="P1896" s="14" t="s">
        <v>2236</v>
      </c>
      <c r="Q1896" s="17" t="s">
        <v>2236</v>
      </c>
      <c r="R1896" s="17" t="s">
        <v>2236</v>
      </c>
      <c r="S1896" s="17" t="s">
        <v>2236</v>
      </c>
      <c r="T1896" s="17" t="s">
        <v>2236</v>
      </c>
      <c r="U18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7" spans="1:31" hidden="1" x14ac:dyDescent="0.3">
      <c r="A1897" s="14" t="s">
        <v>3789</v>
      </c>
      <c r="B1897" s="14" t="s">
        <v>2371</v>
      </c>
      <c r="C1897" s="14" t="s">
        <v>4958</v>
      </c>
      <c r="D1897" s="14" t="s">
        <v>4959</v>
      </c>
      <c r="E1897" s="14" t="s">
        <v>2236</v>
      </c>
      <c r="F1897" s="8">
        <v>0</v>
      </c>
      <c r="G1897" s="14" t="s">
        <v>2237</v>
      </c>
      <c r="H1897" s="16">
        <v>0</v>
      </c>
      <c r="I1897" s="14" t="s">
        <v>2237</v>
      </c>
      <c r="J1897" s="16">
        <v>0</v>
      </c>
      <c r="K1897" s="14" t="s">
        <v>2237</v>
      </c>
      <c r="L1897" s="16">
        <v>0</v>
      </c>
      <c r="M1897" s="14" t="s">
        <v>2237</v>
      </c>
      <c r="N1897" s="8">
        <v>0</v>
      </c>
      <c r="O1897" s="14" t="s">
        <v>2237</v>
      </c>
      <c r="P1897" s="14" t="s">
        <v>2236</v>
      </c>
      <c r="Q1897" s="17" t="s">
        <v>2236</v>
      </c>
      <c r="R1897" s="17" t="s">
        <v>2236</v>
      </c>
      <c r="S1897" s="17" t="s">
        <v>2236</v>
      </c>
      <c r="T1897" s="17" t="s">
        <v>2236</v>
      </c>
      <c r="U18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8" spans="1:31" hidden="1" x14ac:dyDescent="0.3">
      <c r="A1898" s="14" t="s">
        <v>3792</v>
      </c>
      <c r="B1898" s="14" t="s">
        <v>2371</v>
      </c>
      <c r="C1898" s="14" t="s">
        <v>4960</v>
      </c>
      <c r="D1898" s="14" t="s">
        <v>4961</v>
      </c>
      <c r="E1898" s="14" t="s">
        <v>2236</v>
      </c>
      <c r="F1898" s="8">
        <v>0</v>
      </c>
      <c r="G1898" s="14" t="s">
        <v>2237</v>
      </c>
      <c r="H1898" s="16">
        <v>0</v>
      </c>
      <c r="I1898" s="14" t="s">
        <v>2237</v>
      </c>
      <c r="J1898" s="16">
        <v>0</v>
      </c>
      <c r="K1898" s="14" t="s">
        <v>2237</v>
      </c>
      <c r="L1898" s="16">
        <v>0</v>
      </c>
      <c r="M1898" s="14" t="s">
        <v>2237</v>
      </c>
      <c r="N1898" s="8">
        <v>0</v>
      </c>
      <c r="O1898" s="14" t="s">
        <v>2237</v>
      </c>
      <c r="P1898" s="14" t="s">
        <v>2236</v>
      </c>
      <c r="Q1898" s="17" t="s">
        <v>2236</v>
      </c>
      <c r="R1898" s="17" t="s">
        <v>2236</v>
      </c>
      <c r="S1898" s="17" t="s">
        <v>2236</v>
      </c>
      <c r="T1898" s="17" t="s">
        <v>2236</v>
      </c>
      <c r="U18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899" spans="1:31" hidden="1" x14ac:dyDescent="0.3">
      <c r="A1899" s="14" t="s">
        <v>3795</v>
      </c>
      <c r="B1899" s="14" t="s">
        <v>2371</v>
      </c>
      <c r="C1899" s="14" t="s">
        <v>4962</v>
      </c>
      <c r="D1899" s="14" t="s">
        <v>4963</v>
      </c>
      <c r="E1899" s="14" t="s">
        <v>2236</v>
      </c>
      <c r="F1899" s="8">
        <v>0</v>
      </c>
      <c r="G1899" s="14" t="s">
        <v>2237</v>
      </c>
      <c r="H1899" s="16">
        <v>0</v>
      </c>
      <c r="I1899" s="14" t="s">
        <v>2237</v>
      </c>
      <c r="J1899" s="16">
        <v>0</v>
      </c>
      <c r="K1899" s="14" t="s">
        <v>2237</v>
      </c>
      <c r="L1899" s="16">
        <v>0</v>
      </c>
      <c r="M1899" s="14" t="s">
        <v>2237</v>
      </c>
      <c r="N1899" s="8">
        <v>0</v>
      </c>
      <c r="O1899" s="14" t="s">
        <v>2237</v>
      </c>
      <c r="P1899" s="14" t="s">
        <v>2236</v>
      </c>
      <c r="Q1899" s="17" t="s">
        <v>2236</v>
      </c>
      <c r="R1899" s="17" t="s">
        <v>2236</v>
      </c>
      <c r="S1899" s="17" t="s">
        <v>2236</v>
      </c>
      <c r="T1899" s="17" t="s">
        <v>2236</v>
      </c>
      <c r="U18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8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8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8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8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8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8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8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8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8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8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0" spans="1:31" hidden="1" x14ac:dyDescent="0.3">
      <c r="A1900" s="14" t="s">
        <v>3798</v>
      </c>
      <c r="B1900" s="14" t="s">
        <v>2371</v>
      </c>
      <c r="C1900" s="14" t="s">
        <v>4964</v>
      </c>
      <c r="D1900" s="14" t="s">
        <v>4965</v>
      </c>
      <c r="E1900" s="14" t="s">
        <v>2236</v>
      </c>
      <c r="F1900" s="8">
        <v>0</v>
      </c>
      <c r="G1900" s="14" t="s">
        <v>2237</v>
      </c>
      <c r="H1900" s="16">
        <v>0</v>
      </c>
      <c r="I1900" s="14" t="s">
        <v>2237</v>
      </c>
      <c r="J1900" s="16">
        <v>0</v>
      </c>
      <c r="K1900" s="14" t="s">
        <v>2237</v>
      </c>
      <c r="L1900" s="16">
        <v>0</v>
      </c>
      <c r="M1900" s="14" t="s">
        <v>2237</v>
      </c>
      <c r="N1900" s="8">
        <v>0</v>
      </c>
      <c r="O1900" s="14" t="s">
        <v>2237</v>
      </c>
      <c r="P1900" s="14" t="s">
        <v>2236</v>
      </c>
      <c r="Q1900" s="17" t="s">
        <v>2236</v>
      </c>
      <c r="R1900" s="17" t="s">
        <v>2236</v>
      </c>
      <c r="S1900" s="17" t="s">
        <v>2236</v>
      </c>
      <c r="T1900" s="17" t="s">
        <v>2236</v>
      </c>
      <c r="U19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1" spans="1:31" hidden="1" x14ac:dyDescent="0.3">
      <c r="A1901" s="14" t="s">
        <v>3801</v>
      </c>
      <c r="B1901" s="14" t="s">
        <v>2371</v>
      </c>
      <c r="C1901" s="14" t="s">
        <v>4966</v>
      </c>
      <c r="D1901" s="14" t="s">
        <v>4967</v>
      </c>
      <c r="E1901" s="14" t="s">
        <v>2236</v>
      </c>
      <c r="F1901" s="8">
        <v>0</v>
      </c>
      <c r="G1901" s="14" t="s">
        <v>2237</v>
      </c>
      <c r="H1901" s="16">
        <v>0</v>
      </c>
      <c r="I1901" s="14" t="s">
        <v>2237</v>
      </c>
      <c r="J1901" s="16">
        <v>0</v>
      </c>
      <c r="K1901" s="14" t="s">
        <v>2237</v>
      </c>
      <c r="L1901" s="16">
        <v>0</v>
      </c>
      <c r="M1901" s="14" t="s">
        <v>2237</v>
      </c>
      <c r="N1901" s="8">
        <v>0</v>
      </c>
      <c r="O1901" s="14" t="s">
        <v>2237</v>
      </c>
      <c r="P1901" s="14" t="s">
        <v>2236</v>
      </c>
      <c r="Q1901" s="17" t="s">
        <v>2236</v>
      </c>
      <c r="R1901" s="17" t="s">
        <v>2236</v>
      </c>
      <c r="S1901" s="17" t="s">
        <v>2236</v>
      </c>
      <c r="T1901" s="17" t="s">
        <v>2236</v>
      </c>
      <c r="U19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2" spans="1:31" hidden="1" x14ac:dyDescent="0.3">
      <c r="A1902" s="14" t="s">
        <v>3804</v>
      </c>
      <c r="B1902" s="14" t="s">
        <v>2371</v>
      </c>
      <c r="C1902" s="14" t="s">
        <v>4968</v>
      </c>
      <c r="D1902" s="14" t="s">
        <v>4969</v>
      </c>
      <c r="E1902" s="14" t="s">
        <v>2236</v>
      </c>
      <c r="F1902" s="8">
        <v>0</v>
      </c>
      <c r="G1902" s="14" t="s">
        <v>2237</v>
      </c>
      <c r="H1902" s="16">
        <v>0</v>
      </c>
      <c r="I1902" s="14" t="s">
        <v>2237</v>
      </c>
      <c r="J1902" s="16">
        <v>0</v>
      </c>
      <c r="K1902" s="14" t="s">
        <v>2237</v>
      </c>
      <c r="L1902" s="16">
        <v>0</v>
      </c>
      <c r="M1902" s="14" t="s">
        <v>2237</v>
      </c>
      <c r="N1902" s="8">
        <v>0</v>
      </c>
      <c r="O1902" s="14" t="s">
        <v>2237</v>
      </c>
      <c r="P1902" s="14" t="s">
        <v>2236</v>
      </c>
      <c r="Q1902" s="17" t="s">
        <v>2236</v>
      </c>
      <c r="R1902" s="17" t="s">
        <v>2236</v>
      </c>
      <c r="S1902" s="17" t="s">
        <v>2236</v>
      </c>
      <c r="T1902" s="17" t="s">
        <v>2236</v>
      </c>
      <c r="U19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3" spans="1:31" hidden="1" x14ac:dyDescent="0.3">
      <c r="A1903" s="14" t="s">
        <v>3807</v>
      </c>
      <c r="B1903" s="14" t="s">
        <v>2371</v>
      </c>
      <c r="C1903" s="14" t="s">
        <v>4970</v>
      </c>
      <c r="D1903" s="14" t="s">
        <v>4971</v>
      </c>
      <c r="E1903" s="14" t="s">
        <v>2236</v>
      </c>
      <c r="F1903" s="8">
        <v>0</v>
      </c>
      <c r="G1903" s="14" t="s">
        <v>2237</v>
      </c>
      <c r="H1903" s="16">
        <v>0</v>
      </c>
      <c r="I1903" s="14" t="s">
        <v>2237</v>
      </c>
      <c r="J1903" s="16">
        <v>0</v>
      </c>
      <c r="K1903" s="14" t="s">
        <v>2237</v>
      </c>
      <c r="L1903" s="16">
        <v>0</v>
      </c>
      <c r="M1903" s="14" t="s">
        <v>2237</v>
      </c>
      <c r="N1903" s="8">
        <v>0</v>
      </c>
      <c r="O1903" s="14" t="s">
        <v>2237</v>
      </c>
      <c r="P1903" s="14" t="s">
        <v>2236</v>
      </c>
      <c r="Q1903" s="17" t="s">
        <v>2236</v>
      </c>
      <c r="R1903" s="17" t="s">
        <v>2236</v>
      </c>
      <c r="S1903" s="17" t="s">
        <v>2236</v>
      </c>
      <c r="T1903" s="17" t="s">
        <v>2236</v>
      </c>
      <c r="U19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4" spans="1:31" hidden="1" x14ac:dyDescent="0.3">
      <c r="A1904" s="14" t="s">
        <v>3810</v>
      </c>
      <c r="B1904" s="14" t="s">
        <v>2371</v>
      </c>
      <c r="C1904" s="14" t="s">
        <v>4972</v>
      </c>
      <c r="D1904" s="14" t="s">
        <v>4973</v>
      </c>
      <c r="E1904" s="14" t="s">
        <v>2236</v>
      </c>
      <c r="F1904" s="8">
        <v>0</v>
      </c>
      <c r="G1904" s="14" t="s">
        <v>2237</v>
      </c>
      <c r="H1904" s="16">
        <v>0</v>
      </c>
      <c r="I1904" s="14" t="s">
        <v>2237</v>
      </c>
      <c r="J1904" s="16">
        <v>0</v>
      </c>
      <c r="K1904" s="14" t="s">
        <v>2237</v>
      </c>
      <c r="L1904" s="16">
        <v>0</v>
      </c>
      <c r="M1904" s="14" t="s">
        <v>2237</v>
      </c>
      <c r="N1904" s="8">
        <v>0</v>
      </c>
      <c r="O1904" s="14" t="s">
        <v>2237</v>
      </c>
      <c r="P1904" s="14" t="s">
        <v>2236</v>
      </c>
      <c r="Q1904" s="17" t="s">
        <v>2236</v>
      </c>
      <c r="R1904" s="17" t="s">
        <v>2236</v>
      </c>
      <c r="S1904" s="17" t="s">
        <v>2236</v>
      </c>
      <c r="T1904" s="17" t="s">
        <v>2236</v>
      </c>
      <c r="U19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5" spans="1:31" hidden="1" x14ac:dyDescent="0.3">
      <c r="A1905" s="14" t="s">
        <v>3813</v>
      </c>
      <c r="B1905" s="14" t="s">
        <v>2371</v>
      </c>
      <c r="C1905" s="14" t="s">
        <v>4974</v>
      </c>
      <c r="D1905" s="14" t="s">
        <v>4975</v>
      </c>
      <c r="E1905" s="14" t="s">
        <v>2236</v>
      </c>
      <c r="F1905" s="8">
        <v>0</v>
      </c>
      <c r="G1905" s="14" t="s">
        <v>2237</v>
      </c>
      <c r="H1905" s="16">
        <v>0</v>
      </c>
      <c r="I1905" s="14" t="s">
        <v>2237</v>
      </c>
      <c r="J1905" s="16">
        <v>0</v>
      </c>
      <c r="K1905" s="14" t="s">
        <v>2237</v>
      </c>
      <c r="L1905" s="16">
        <v>0</v>
      </c>
      <c r="M1905" s="14" t="s">
        <v>2237</v>
      </c>
      <c r="N1905" s="8">
        <v>0</v>
      </c>
      <c r="O1905" s="14" t="s">
        <v>2237</v>
      </c>
      <c r="P1905" s="14" t="s">
        <v>2236</v>
      </c>
      <c r="Q1905" s="17" t="s">
        <v>2236</v>
      </c>
      <c r="R1905" s="17" t="s">
        <v>2236</v>
      </c>
      <c r="S1905" s="17" t="s">
        <v>2236</v>
      </c>
      <c r="T1905" s="17" t="s">
        <v>2236</v>
      </c>
      <c r="U19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6" spans="1:31" hidden="1" x14ac:dyDescent="0.3">
      <c r="A1906" s="14" t="s">
        <v>3816</v>
      </c>
      <c r="B1906" s="14" t="s">
        <v>2371</v>
      </c>
      <c r="C1906" s="14" t="s">
        <v>4976</v>
      </c>
      <c r="D1906" s="14" t="s">
        <v>4977</v>
      </c>
      <c r="E1906" s="14" t="s">
        <v>2236</v>
      </c>
      <c r="F1906" s="8">
        <v>0</v>
      </c>
      <c r="G1906" s="14" t="s">
        <v>2237</v>
      </c>
      <c r="H1906" s="16">
        <v>0</v>
      </c>
      <c r="I1906" s="14" t="s">
        <v>2237</v>
      </c>
      <c r="J1906" s="16">
        <v>0</v>
      </c>
      <c r="K1906" s="14" t="s">
        <v>2237</v>
      </c>
      <c r="L1906" s="16">
        <v>0</v>
      </c>
      <c r="M1906" s="14" t="s">
        <v>2237</v>
      </c>
      <c r="N1906" s="8">
        <v>0</v>
      </c>
      <c r="O1906" s="14" t="s">
        <v>2237</v>
      </c>
      <c r="P1906" s="14" t="s">
        <v>2236</v>
      </c>
      <c r="Q1906" s="17" t="s">
        <v>2236</v>
      </c>
      <c r="R1906" s="17" t="s">
        <v>2236</v>
      </c>
      <c r="S1906" s="17" t="s">
        <v>2236</v>
      </c>
      <c r="T1906" s="17" t="s">
        <v>2236</v>
      </c>
      <c r="U19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7" spans="1:31" hidden="1" x14ac:dyDescent="0.3">
      <c r="A1907" s="14" t="s">
        <v>3819</v>
      </c>
      <c r="B1907" s="14" t="s">
        <v>2371</v>
      </c>
      <c r="C1907" s="14" t="s">
        <v>4978</v>
      </c>
      <c r="D1907" s="14" t="s">
        <v>4979</v>
      </c>
      <c r="E1907" s="14" t="s">
        <v>2236</v>
      </c>
      <c r="F1907" s="8">
        <v>0</v>
      </c>
      <c r="G1907" s="14" t="s">
        <v>2237</v>
      </c>
      <c r="H1907" s="16">
        <v>0</v>
      </c>
      <c r="I1907" s="14" t="s">
        <v>2237</v>
      </c>
      <c r="J1907" s="16">
        <v>0</v>
      </c>
      <c r="K1907" s="14" t="s">
        <v>2237</v>
      </c>
      <c r="L1907" s="16">
        <v>0</v>
      </c>
      <c r="M1907" s="14" t="s">
        <v>2237</v>
      </c>
      <c r="N1907" s="8">
        <v>0</v>
      </c>
      <c r="O1907" s="14" t="s">
        <v>2237</v>
      </c>
      <c r="P1907" s="14" t="s">
        <v>2236</v>
      </c>
      <c r="Q1907" s="17" t="s">
        <v>2236</v>
      </c>
      <c r="R1907" s="17" t="s">
        <v>2236</v>
      </c>
      <c r="S1907" s="17" t="s">
        <v>2236</v>
      </c>
      <c r="T1907" s="17" t="s">
        <v>2236</v>
      </c>
      <c r="U19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8" spans="1:31" hidden="1" x14ac:dyDescent="0.3">
      <c r="A1908" s="14" t="s">
        <v>3822</v>
      </c>
      <c r="B1908" s="14" t="s">
        <v>2371</v>
      </c>
      <c r="C1908" s="14" t="s">
        <v>4980</v>
      </c>
      <c r="D1908" s="14" t="s">
        <v>4981</v>
      </c>
      <c r="E1908" s="14" t="s">
        <v>2236</v>
      </c>
      <c r="F1908" s="8">
        <v>0</v>
      </c>
      <c r="G1908" s="14" t="s">
        <v>2237</v>
      </c>
      <c r="H1908" s="16">
        <v>0</v>
      </c>
      <c r="I1908" s="14" t="s">
        <v>2237</v>
      </c>
      <c r="J1908" s="16">
        <v>0</v>
      </c>
      <c r="K1908" s="14" t="s">
        <v>2237</v>
      </c>
      <c r="L1908" s="16">
        <v>0</v>
      </c>
      <c r="M1908" s="14" t="s">
        <v>2237</v>
      </c>
      <c r="N1908" s="8">
        <v>0</v>
      </c>
      <c r="O1908" s="14" t="s">
        <v>2237</v>
      </c>
      <c r="P1908" s="14" t="s">
        <v>2236</v>
      </c>
      <c r="Q1908" s="17" t="s">
        <v>2236</v>
      </c>
      <c r="R1908" s="17" t="s">
        <v>2236</v>
      </c>
      <c r="S1908" s="17" t="s">
        <v>2236</v>
      </c>
      <c r="T1908" s="17" t="s">
        <v>2236</v>
      </c>
      <c r="U19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09" spans="1:31" hidden="1" x14ac:dyDescent="0.3">
      <c r="A1909" s="14" t="s">
        <v>3824</v>
      </c>
      <c r="B1909" s="14" t="s">
        <v>2371</v>
      </c>
      <c r="C1909" s="14" t="s">
        <v>4982</v>
      </c>
      <c r="D1909" s="14" t="s">
        <v>4983</v>
      </c>
      <c r="E1909" s="14" t="s">
        <v>2236</v>
      </c>
      <c r="F1909" s="8">
        <v>0</v>
      </c>
      <c r="G1909" s="14" t="s">
        <v>2237</v>
      </c>
      <c r="H1909" s="16">
        <v>0</v>
      </c>
      <c r="I1909" s="14" t="s">
        <v>2237</v>
      </c>
      <c r="J1909" s="16">
        <v>0</v>
      </c>
      <c r="K1909" s="14" t="s">
        <v>2237</v>
      </c>
      <c r="L1909" s="16">
        <v>0</v>
      </c>
      <c r="M1909" s="14" t="s">
        <v>2237</v>
      </c>
      <c r="N1909" s="8">
        <v>0</v>
      </c>
      <c r="O1909" s="14" t="s">
        <v>2237</v>
      </c>
      <c r="P1909" s="14" t="s">
        <v>2236</v>
      </c>
      <c r="Q1909" s="17" t="s">
        <v>2236</v>
      </c>
      <c r="R1909" s="17" t="s">
        <v>2236</v>
      </c>
      <c r="S1909" s="17" t="s">
        <v>2236</v>
      </c>
      <c r="T1909" s="17" t="s">
        <v>2236</v>
      </c>
      <c r="U19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0" spans="1:31" hidden="1" x14ac:dyDescent="0.3">
      <c r="A1910" s="14" t="s">
        <v>3827</v>
      </c>
      <c r="B1910" s="14" t="s">
        <v>2371</v>
      </c>
      <c r="C1910" s="14" t="s">
        <v>4984</v>
      </c>
      <c r="D1910" s="14" t="s">
        <v>4985</v>
      </c>
      <c r="E1910" s="14" t="s">
        <v>2236</v>
      </c>
      <c r="F1910" s="8">
        <v>0</v>
      </c>
      <c r="G1910" s="14" t="s">
        <v>2237</v>
      </c>
      <c r="H1910" s="16">
        <v>0</v>
      </c>
      <c r="I1910" s="14" t="s">
        <v>2237</v>
      </c>
      <c r="J1910" s="16">
        <v>0</v>
      </c>
      <c r="K1910" s="14" t="s">
        <v>2237</v>
      </c>
      <c r="L1910" s="16">
        <v>0</v>
      </c>
      <c r="M1910" s="14" t="s">
        <v>2237</v>
      </c>
      <c r="N1910" s="8">
        <v>0</v>
      </c>
      <c r="O1910" s="14" t="s">
        <v>2237</v>
      </c>
      <c r="P1910" s="14" t="s">
        <v>2236</v>
      </c>
      <c r="Q1910" s="17" t="s">
        <v>2236</v>
      </c>
      <c r="R1910" s="17" t="s">
        <v>2236</v>
      </c>
      <c r="S1910" s="17" t="s">
        <v>2236</v>
      </c>
      <c r="T1910" s="17" t="s">
        <v>2236</v>
      </c>
      <c r="U19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1" spans="1:31" hidden="1" x14ac:dyDescent="0.3">
      <c r="A1911" s="14" t="s">
        <v>3830</v>
      </c>
      <c r="B1911" s="14" t="s">
        <v>2371</v>
      </c>
      <c r="C1911" s="14" t="s">
        <v>4986</v>
      </c>
      <c r="D1911" s="14" t="s">
        <v>4987</v>
      </c>
      <c r="E1911" s="14" t="s">
        <v>2236</v>
      </c>
      <c r="F1911" s="8">
        <v>0</v>
      </c>
      <c r="G1911" s="14" t="s">
        <v>2237</v>
      </c>
      <c r="H1911" s="16">
        <v>0</v>
      </c>
      <c r="I1911" s="14" t="s">
        <v>2237</v>
      </c>
      <c r="J1911" s="16">
        <v>0</v>
      </c>
      <c r="K1911" s="14" t="s">
        <v>2237</v>
      </c>
      <c r="L1911" s="16">
        <v>0</v>
      </c>
      <c r="M1911" s="14" t="s">
        <v>2237</v>
      </c>
      <c r="N1911" s="8">
        <v>0</v>
      </c>
      <c r="O1911" s="14" t="s">
        <v>2237</v>
      </c>
      <c r="P1911" s="14" t="s">
        <v>2236</v>
      </c>
      <c r="Q1911" s="17" t="s">
        <v>2236</v>
      </c>
      <c r="R1911" s="17" t="s">
        <v>2236</v>
      </c>
      <c r="S1911" s="17" t="s">
        <v>2236</v>
      </c>
      <c r="T1911" s="17" t="s">
        <v>2236</v>
      </c>
      <c r="U19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2" spans="1:31" hidden="1" x14ac:dyDescent="0.3">
      <c r="A1912" s="14" t="s">
        <v>3833</v>
      </c>
      <c r="B1912" s="14" t="s">
        <v>2371</v>
      </c>
      <c r="C1912" s="14" t="s">
        <v>4988</v>
      </c>
      <c r="D1912" s="14" t="s">
        <v>4989</v>
      </c>
      <c r="E1912" s="14" t="s">
        <v>2236</v>
      </c>
      <c r="F1912" s="8">
        <v>0</v>
      </c>
      <c r="G1912" s="14" t="s">
        <v>2237</v>
      </c>
      <c r="H1912" s="16">
        <v>0</v>
      </c>
      <c r="I1912" s="14" t="s">
        <v>2237</v>
      </c>
      <c r="J1912" s="16">
        <v>0</v>
      </c>
      <c r="K1912" s="14" t="s">
        <v>2237</v>
      </c>
      <c r="L1912" s="16">
        <v>0</v>
      </c>
      <c r="M1912" s="14" t="s">
        <v>2237</v>
      </c>
      <c r="N1912" s="8">
        <v>0</v>
      </c>
      <c r="O1912" s="14" t="s">
        <v>2237</v>
      </c>
      <c r="P1912" s="14" t="s">
        <v>2236</v>
      </c>
      <c r="Q1912" s="17" t="s">
        <v>2236</v>
      </c>
      <c r="R1912" s="17" t="s">
        <v>2236</v>
      </c>
      <c r="S1912" s="17" t="s">
        <v>2236</v>
      </c>
      <c r="T1912" s="17" t="s">
        <v>2236</v>
      </c>
      <c r="U19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3" spans="1:31" hidden="1" x14ac:dyDescent="0.3">
      <c r="A1913" s="14" t="s">
        <v>3836</v>
      </c>
      <c r="B1913" s="14" t="s">
        <v>2371</v>
      </c>
      <c r="C1913" s="14" t="s">
        <v>4990</v>
      </c>
      <c r="D1913" s="14" t="s">
        <v>4991</v>
      </c>
      <c r="E1913" s="14" t="s">
        <v>2236</v>
      </c>
      <c r="F1913" s="8">
        <v>0</v>
      </c>
      <c r="G1913" s="14" t="s">
        <v>2237</v>
      </c>
      <c r="H1913" s="16">
        <v>0</v>
      </c>
      <c r="I1913" s="14" t="s">
        <v>2237</v>
      </c>
      <c r="J1913" s="16">
        <v>0</v>
      </c>
      <c r="K1913" s="14" t="s">
        <v>2237</v>
      </c>
      <c r="L1913" s="16">
        <v>0</v>
      </c>
      <c r="M1913" s="14" t="s">
        <v>2237</v>
      </c>
      <c r="N1913" s="8">
        <v>0</v>
      </c>
      <c r="O1913" s="14" t="s">
        <v>2237</v>
      </c>
      <c r="P1913" s="14" t="s">
        <v>2236</v>
      </c>
      <c r="Q1913" s="17" t="s">
        <v>2236</v>
      </c>
      <c r="R1913" s="17" t="s">
        <v>2236</v>
      </c>
      <c r="S1913" s="17" t="s">
        <v>2236</v>
      </c>
      <c r="T1913" s="17" t="s">
        <v>2236</v>
      </c>
      <c r="U19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4" spans="1:31" hidden="1" x14ac:dyDescent="0.3">
      <c r="A1914" s="14" t="s">
        <v>3839</v>
      </c>
      <c r="B1914" s="14" t="s">
        <v>2371</v>
      </c>
      <c r="C1914" s="14" t="s">
        <v>4992</v>
      </c>
      <c r="D1914" s="14" t="s">
        <v>4993</v>
      </c>
      <c r="E1914" s="14" t="s">
        <v>2236</v>
      </c>
      <c r="F1914" s="8">
        <v>0</v>
      </c>
      <c r="G1914" s="14" t="s">
        <v>2237</v>
      </c>
      <c r="H1914" s="16">
        <v>0</v>
      </c>
      <c r="I1914" s="14" t="s">
        <v>2237</v>
      </c>
      <c r="J1914" s="16">
        <v>0</v>
      </c>
      <c r="K1914" s="14" t="s">
        <v>2237</v>
      </c>
      <c r="L1914" s="16">
        <v>0</v>
      </c>
      <c r="M1914" s="14" t="s">
        <v>2237</v>
      </c>
      <c r="N1914" s="8">
        <v>0</v>
      </c>
      <c r="O1914" s="14" t="s">
        <v>2237</v>
      </c>
      <c r="P1914" s="14" t="s">
        <v>2236</v>
      </c>
      <c r="Q1914" s="17" t="s">
        <v>2236</v>
      </c>
      <c r="R1914" s="17" t="s">
        <v>2236</v>
      </c>
      <c r="S1914" s="17" t="s">
        <v>2236</v>
      </c>
      <c r="T1914" s="17" t="s">
        <v>2236</v>
      </c>
      <c r="U19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5" spans="1:31" hidden="1" x14ac:dyDescent="0.3">
      <c r="A1915" s="14" t="s">
        <v>3842</v>
      </c>
      <c r="B1915" s="14" t="s">
        <v>2371</v>
      </c>
      <c r="C1915" s="14" t="s">
        <v>4994</v>
      </c>
      <c r="D1915" s="14" t="s">
        <v>4995</v>
      </c>
      <c r="E1915" s="14" t="s">
        <v>2236</v>
      </c>
      <c r="F1915" s="8">
        <v>0</v>
      </c>
      <c r="G1915" s="14" t="s">
        <v>2237</v>
      </c>
      <c r="H1915" s="16">
        <v>0</v>
      </c>
      <c r="I1915" s="14" t="s">
        <v>2237</v>
      </c>
      <c r="J1915" s="16">
        <v>0</v>
      </c>
      <c r="K1915" s="14" t="s">
        <v>2237</v>
      </c>
      <c r="L1915" s="16">
        <v>0</v>
      </c>
      <c r="M1915" s="14" t="s">
        <v>2237</v>
      </c>
      <c r="N1915" s="8">
        <v>0</v>
      </c>
      <c r="O1915" s="14" t="s">
        <v>2237</v>
      </c>
      <c r="P1915" s="14" t="s">
        <v>2236</v>
      </c>
      <c r="Q1915" s="17" t="s">
        <v>2236</v>
      </c>
      <c r="R1915" s="17" t="s">
        <v>2236</v>
      </c>
      <c r="S1915" s="17" t="s">
        <v>2236</v>
      </c>
      <c r="T1915" s="17" t="s">
        <v>2236</v>
      </c>
      <c r="U19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6" spans="1:31" hidden="1" x14ac:dyDescent="0.3">
      <c r="A1916" s="14" t="s">
        <v>3845</v>
      </c>
      <c r="B1916" s="14" t="s">
        <v>2371</v>
      </c>
      <c r="C1916" s="14" t="s">
        <v>4996</v>
      </c>
      <c r="D1916" s="14" t="s">
        <v>4997</v>
      </c>
      <c r="E1916" s="14" t="s">
        <v>2236</v>
      </c>
      <c r="F1916" s="8">
        <v>0</v>
      </c>
      <c r="G1916" s="14" t="s">
        <v>2237</v>
      </c>
      <c r="H1916" s="16">
        <v>0</v>
      </c>
      <c r="I1916" s="14" t="s">
        <v>2237</v>
      </c>
      <c r="J1916" s="16">
        <v>0</v>
      </c>
      <c r="K1916" s="14" t="s">
        <v>2237</v>
      </c>
      <c r="L1916" s="16">
        <v>0</v>
      </c>
      <c r="M1916" s="14" t="s">
        <v>2237</v>
      </c>
      <c r="N1916" s="8">
        <v>0</v>
      </c>
      <c r="O1916" s="14" t="s">
        <v>2237</v>
      </c>
      <c r="P1916" s="14" t="s">
        <v>2236</v>
      </c>
      <c r="Q1916" s="17" t="s">
        <v>2236</v>
      </c>
      <c r="R1916" s="17" t="s">
        <v>2236</v>
      </c>
      <c r="S1916" s="17" t="s">
        <v>2236</v>
      </c>
      <c r="T1916" s="17" t="s">
        <v>2236</v>
      </c>
      <c r="U19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7" spans="1:31" hidden="1" x14ac:dyDescent="0.3">
      <c r="A1917" s="14" t="s">
        <v>3848</v>
      </c>
      <c r="B1917" s="14" t="s">
        <v>2371</v>
      </c>
      <c r="C1917" s="14" t="s">
        <v>4998</v>
      </c>
      <c r="D1917" s="14" t="s">
        <v>4999</v>
      </c>
      <c r="E1917" s="14" t="s">
        <v>2236</v>
      </c>
      <c r="F1917" s="8">
        <v>0</v>
      </c>
      <c r="G1917" s="14" t="s">
        <v>2237</v>
      </c>
      <c r="H1917" s="16">
        <v>0</v>
      </c>
      <c r="I1917" s="14" t="s">
        <v>2237</v>
      </c>
      <c r="J1917" s="16">
        <v>0</v>
      </c>
      <c r="K1917" s="14" t="s">
        <v>2237</v>
      </c>
      <c r="L1917" s="16">
        <v>0</v>
      </c>
      <c r="M1917" s="14" t="s">
        <v>2237</v>
      </c>
      <c r="N1917" s="8">
        <v>0</v>
      </c>
      <c r="O1917" s="14" t="s">
        <v>2237</v>
      </c>
      <c r="P1917" s="14" t="s">
        <v>2236</v>
      </c>
      <c r="Q1917" s="17" t="s">
        <v>2236</v>
      </c>
      <c r="R1917" s="17" t="s">
        <v>2236</v>
      </c>
      <c r="S1917" s="17" t="s">
        <v>2236</v>
      </c>
      <c r="T1917" s="17" t="s">
        <v>2236</v>
      </c>
      <c r="U19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8" spans="1:31" hidden="1" x14ac:dyDescent="0.3">
      <c r="A1918" s="14" t="s">
        <v>3851</v>
      </c>
      <c r="B1918" s="14" t="s">
        <v>2371</v>
      </c>
      <c r="C1918" s="14" t="s">
        <v>5000</v>
      </c>
      <c r="D1918" s="14" t="s">
        <v>5001</v>
      </c>
      <c r="E1918" s="14" t="s">
        <v>2236</v>
      </c>
      <c r="F1918" s="8">
        <v>0</v>
      </c>
      <c r="G1918" s="14" t="s">
        <v>2237</v>
      </c>
      <c r="H1918" s="16">
        <v>0</v>
      </c>
      <c r="I1918" s="14" t="s">
        <v>2237</v>
      </c>
      <c r="J1918" s="16">
        <v>0</v>
      </c>
      <c r="K1918" s="14" t="s">
        <v>2237</v>
      </c>
      <c r="L1918" s="16">
        <v>0</v>
      </c>
      <c r="M1918" s="14" t="s">
        <v>2237</v>
      </c>
      <c r="N1918" s="8">
        <v>0</v>
      </c>
      <c r="O1918" s="14" t="s">
        <v>2237</v>
      </c>
      <c r="P1918" s="14" t="s">
        <v>2236</v>
      </c>
      <c r="Q1918" s="17" t="s">
        <v>2236</v>
      </c>
      <c r="R1918" s="17" t="s">
        <v>2236</v>
      </c>
      <c r="S1918" s="17" t="s">
        <v>2236</v>
      </c>
      <c r="T1918" s="17" t="s">
        <v>2236</v>
      </c>
      <c r="U19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19" spans="1:31" hidden="1" x14ac:dyDescent="0.3">
      <c r="A1919" s="14" t="s">
        <v>3854</v>
      </c>
      <c r="B1919" s="14" t="s">
        <v>2371</v>
      </c>
      <c r="C1919" s="14" t="s">
        <v>5002</v>
      </c>
      <c r="D1919" s="14" t="s">
        <v>5003</v>
      </c>
      <c r="E1919" s="14" t="s">
        <v>2236</v>
      </c>
      <c r="F1919" s="8">
        <v>0</v>
      </c>
      <c r="G1919" s="14" t="s">
        <v>2237</v>
      </c>
      <c r="H1919" s="16">
        <v>0</v>
      </c>
      <c r="I1919" s="14" t="s">
        <v>2237</v>
      </c>
      <c r="J1919" s="16">
        <v>0</v>
      </c>
      <c r="K1919" s="14" t="s">
        <v>2237</v>
      </c>
      <c r="L1919" s="16">
        <v>0</v>
      </c>
      <c r="M1919" s="14" t="s">
        <v>2237</v>
      </c>
      <c r="N1919" s="8">
        <v>0</v>
      </c>
      <c r="O1919" s="14" t="s">
        <v>2237</v>
      </c>
      <c r="P1919" s="14" t="s">
        <v>2236</v>
      </c>
      <c r="Q1919" s="17" t="s">
        <v>2236</v>
      </c>
      <c r="R1919" s="17" t="s">
        <v>2236</v>
      </c>
      <c r="S1919" s="17" t="s">
        <v>2236</v>
      </c>
      <c r="T1919" s="17" t="s">
        <v>2236</v>
      </c>
      <c r="U19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0" spans="1:31" hidden="1" x14ac:dyDescent="0.3">
      <c r="A1920" s="14" t="s">
        <v>3856</v>
      </c>
      <c r="B1920" s="14" t="s">
        <v>2366</v>
      </c>
      <c r="C1920" s="14" t="s">
        <v>5004</v>
      </c>
      <c r="D1920" s="14" t="s">
        <v>5005</v>
      </c>
      <c r="E1920" s="14" t="s">
        <v>2236</v>
      </c>
      <c r="F1920" s="8">
        <v>0</v>
      </c>
      <c r="G1920" s="14" t="s">
        <v>2237</v>
      </c>
      <c r="H1920" s="16">
        <v>0</v>
      </c>
      <c r="I1920" s="14" t="s">
        <v>2237</v>
      </c>
      <c r="J1920" s="16">
        <v>0</v>
      </c>
      <c r="K1920" s="14" t="s">
        <v>2237</v>
      </c>
      <c r="L1920" s="16">
        <v>0</v>
      </c>
      <c r="M1920" s="14" t="s">
        <v>2237</v>
      </c>
      <c r="N1920" s="8">
        <v>22.9</v>
      </c>
      <c r="O1920" s="14" t="s">
        <v>2237</v>
      </c>
      <c r="P1920" s="14" t="s">
        <v>2236</v>
      </c>
      <c r="Q1920" s="17" t="s">
        <v>2236</v>
      </c>
      <c r="R1920" s="17" t="s">
        <v>2236</v>
      </c>
      <c r="S1920" s="17" t="s">
        <v>2236</v>
      </c>
      <c r="T1920" s="17" t="s">
        <v>2866</v>
      </c>
      <c r="U19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1" spans="1:31" hidden="1" x14ac:dyDescent="0.3">
      <c r="A1921" s="14" t="s">
        <v>3857</v>
      </c>
      <c r="B1921" s="14" t="s">
        <v>2371</v>
      </c>
      <c r="C1921" s="14" t="s">
        <v>5006</v>
      </c>
      <c r="D1921" s="14" t="s">
        <v>5007</v>
      </c>
      <c r="E1921" s="14" t="s">
        <v>2236</v>
      </c>
      <c r="F1921" s="8">
        <v>0</v>
      </c>
      <c r="G1921" s="14" t="s">
        <v>2237</v>
      </c>
      <c r="H1921" s="16">
        <v>0</v>
      </c>
      <c r="I1921" s="14" t="s">
        <v>2237</v>
      </c>
      <c r="J1921" s="16">
        <v>0</v>
      </c>
      <c r="K1921" s="14" t="s">
        <v>2237</v>
      </c>
      <c r="L1921" s="16">
        <v>0</v>
      </c>
      <c r="M1921" s="14" t="s">
        <v>2237</v>
      </c>
      <c r="N1921" s="8">
        <v>0</v>
      </c>
      <c r="O1921" s="14" t="s">
        <v>2237</v>
      </c>
      <c r="P1921" s="14" t="s">
        <v>2236</v>
      </c>
      <c r="Q1921" s="17" t="s">
        <v>2236</v>
      </c>
      <c r="R1921" s="17" t="s">
        <v>2236</v>
      </c>
      <c r="S1921" s="17" t="s">
        <v>2236</v>
      </c>
      <c r="T1921" s="17" t="s">
        <v>2236</v>
      </c>
      <c r="U19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2" spans="1:31" hidden="1" x14ac:dyDescent="0.3">
      <c r="A1922" s="14" t="s">
        <v>3858</v>
      </c>
      <c r="B1922" s="14" t="s">
        <v>2371</v>
      </c>
      <c r="C1922" s="14" t="s">
        <v>5008</v>
      </c>
      <c r="D1922" s="14" t="s">
        <v>5009</v>
      </c>
      <c r="E1922" s="14" t="s">
        <v>2236</v>
      </c>
      <c r="F1922" s="8">
        <v>0</v>
      </c>
      <c r="G1922" s="14" t="s">
        <v>2237</v>
      </c>
      <c r="H1922" s="16">
        <v>0</v>
      </c>
      <c r="I1922" s="14" t="s">
        <v>2237</v>
      </c>
      <c r="J1922" s="16">
        <v>0</v>
      </c>
      <c r="K1922" s="14" t="s">
        <v>2237</v>
      </c>
      <c r="L1922" s="16">
        <v>0</v>
      </c>
      <c r="M1922" s="14" t="s">
        <v>2237</v>
      </c>
      <c r="N1922" s="8">
        <v>0</v>
      </c>
      <c r="O1922" s="14" t="s">
        <v>2237</v>
      </c>
      <c r="P1922" s="14" t="s">
        <v>2236</v>
      </c>
      <c r="Q1922" s="17" t="s">
        <v>2236</v>
      </c>
      <c r="R1922" s="17" t="s">
        <v>2236</v>
      </c>
      <c r="S1922" s="17" t="s">
        <v>2236</v>
      </c>
      <c r="T1922" s="17" t="s">
        <v>2236</v>
      </c>
      <c r="U19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3" spans="1:31" hidden="1" x14ac:dyDescent="0.3">
      <c r="A1923" s="14" t="s">
        <v>3859</v>
      </c>
      <c r="B1923" s="14" t="s">
        <v>2366</v>
      </c>
      <c r="C1923" s="14" t="s">
        <v>5010</v>
      </c>
      <c r="D1923" s="14" t="s">
        <v>5011</v>
      </c>
      <c r="E1923" s="14" t="s">
        <v>2236</v>
      </c>
      <c r="F1923" s="8">
        <v>0</v>
      </c>
      <c r="G1923" s="14" t="s">
        <v>2237</v>
      </c>
      <c r="H1923" s="16">
        <v>0</v>
      </c>
      <c r="I1923" s="14" t="s">
        <v>2237</v>
      </c>
      <c r="J1923" s="16">
        <v>0</v>
      </c>
      <c r="K1923" s="14" t="s">
        <v>2237</v>
      </c>
      <c r="L1923" s="16">
        <v>0</v>
      </c>
      <c r="M1923" s="14" t="s">
        <v>2237</v>
      </c>
      <c r="N1923" s="8">
        <v>134.38</v>
      </c>
      <c r="O1923" s="14" t="s">
        <v>2237</v>
      </c>
      <c r="P1923" s="14" t="s">
        <v>2236</v>
      </c>
      <c r="Q1923" s="17" t="s">
        <v>2236</v>
      </c>
      <c r="R1923" s="17" t="s">
        <v>2236</v>
      </c>
      <c r="S1923" s="17" t="s">
        <v>2236</v>
      </c>
      <c r="T1923" s="17" t="s">
        <v>2866</v>
      </c>
      <c r="U19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4" spans="1:31" hidden="1" x14ac:dyDescent="0.3">
      <c r="A1924" s="14" t="s">
        <v>3860</v>
      </c>
      <c r="B1924" s="14" t="s">
        <v>2371</v>
      </c>
      <c r="C1924" s="14" t="s">
        <v>4831</v>
      </c>
      <c r="D1924" s="14" t="s">
        <v>5012</v>
      </c>
      <c r="E1924" s="14" t="s">
        <v>2236</v>
      </c>
      <c r="F1924" s="8">
        <v>0</v>
      </c>
      <c r="G1924" s="14" t="s">
        <v>2237</v>
      </c>
      <c r="H1924" s="16">
        <v>0</v>
      </c>
      <c r="I1924" s="14" t="s">
        <v>2237</v>
      </c>
      <c r="J1924" s="16">
        <v>0</v>
      </c>
      <c r="K1924" s="14" t="s">
        <v>2237</v>
      </c>
      <c r="L1924" s="16">
        <v>0</v>
      </c>
      <c r="M1924" s="14" t="s">
        <v>2237</v>
      </c>
      <c r="N1924" s="8">
        <v>0</v>
      </c>
      <c r="O1924" s="14" t="s">
        <v>2237</v>
      </c>
      <c r="P1924" s="14" t="s">
        <v>2236</v>
      </c>
      <c r="Q1924" s="17" t="s">
        <v>2236</v>
      </c>
      <c r="R1924" s="17" t="s">
        <v>2236</v>
      </c>
      <c r="S1924" s="17" t="s">
        <v>2236</v>
      </c>
      <c r="T1924" s="17" t="s">
        <v>2236</v>
      </c>
      <c r="U19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5" spans="1:31" hidden="1" x14ac:dyDescent="0.3">
      <c r="A1925" s="14" t="s">
        <v>3861</v>
      </c>
      <c r="B1925" s="14" t="s">
        <v>2371</v>
      </c>
      <c r="C1925" s="14" t="s">
        <v>4837</v>
      </c>
      <c r="D1925" s="14" t="s">
        <v>5013</v>
      </c>
      <c r="E1925" s="14" t="s">
        <v>2236</v>
      </c>
      <c r="F1925" s="8">
        <v>0</v>
      </c>
      <c r="G1925" s="14" t="s">
        <v>2237</v>
      </c>
      <c r="H1925" s="16">
        <v>0</v>
      </c>
      <c r="I1925" s="14" t="s">
        <v>2237</v>
      </c>
      <c r="J1925" s="16">
        <v>0</v>
      </c>
      <c r="K1925" s="14" t="s">
        <v>2237</v>
      </c>
      <c r="L1925" s="16">
        <v>0</v>
      </c>
      <c r="M1925" s="14" t="s">
        <v>2237</v>
      </c>
      <c r="N1925" s="8">
        <v>0</v>
      </c>
      <c r="O1925" s="14" t="s">
        <v>2237</v>
      </c>
      <c r="P1925" s="14" t="s">
        <v>2236</v>
      </c>
      <c r="Q1925" s="17" t="s">
        <v>2236</v>
      </c>
      <c r="R1925" s="17" t="s">
        <v>2236</v>
      </c>
      <c r="S1925" s="17" t="s">
        <v>2236</v>
      </c>
      <c r="T1925" s="17" t="s">
        <v>2236</v>
      </c>
      <c r="U19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6" spans="1:31" hidden="1" x14ac:dyDescent="0.3">
      <c r="A1926" s="14" t="s">
        <v>3862</v>
      </c>
      <c r="B1926" s="14" t="s">
        <v>2371</v>
      </c>
      <c r="C1926" s="14" t="s">
        <v>5014</v>
      </c>
      <c r="D1926" s="14" t="s">
        <v>5015</v>
      </c>
      <c r="E1926" s="14" t="s">
        <v>2236</v>
      </c>
      <c r="F1926" s="8">
        <v>0</v>
      </c>
      <c r="G1926" s="14" t="s">
        <v>2237</v>
      </c>
      <c r="H1926" s="16">
        <v>0</v>
      </c>
      <c r="I1926" s="14" t="s">
        <v>2237</v>
      </c>
      <c r="J1926" s="16">
        <v>0</v>
      </c>
      <c r="K1926" s="14" t="s">
        <v>2237</v>
      </c>
      <c r="L1926" s="16">
        <v>0</v>
      </c>
      <c r="M1926" s="14" t="s">
        <v>2237</v>
      </c>
      <c r="N1926" s="8">
        <v>0</v>
      </c>
      <c r="O1926" s="14" t="s">
        <v>2237</v>
      </c>
      <c r="P1926" s="14" t="s">
        <v>2236</v>
      </c>
      <c r="Q1926" s="17" t="s">
        <v>2236</v>
      </c>
      <c r="R1926" s="17" t="s">
        <v>2236</v>
      </c>
      <c r="S1926" s="17" t="s">
        <v>2236</v>
      </c>
      <c r="T1926" s="17" t="s">
        <v>2236</v>
      </c>
      <c r="U19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7" spans="1:31" hidden="1" x14ac:dyDescent="0.3">
      <c r="A1927" s="14" t="s">
        <v>3863</v>
      </c>
      <c r="B1927" s="14" t="s">
        <v>2371</v>
      </c>
      <c r="C1927" s="14" t="s">
        <v>5016</v>
      </c>
      <c r="D1927" s="14" t="s">
        <v>5017</v>
      </c>
      <c r="E1927" s="14" t="s">
        <v>2236</v>
      </c>
      <c r="F1927" s="8">
        <v>0</v>
      </c>
      <c r="G1927" s="14" t="s">
        <v>2237</v>
      </c>
      <c r="H1927" s="16">
        <v>0</v>
      </c>
      <c r="I1927" s="14" t="s">
        <v>2237</v>
      </c>
      <c r="J1927" s="16">
        <v>0</v>
      </c>
      <c r="K1927" s="14" t="s">
        <v>2237</v>
      </c>
      <c r="L1927" s="16">
        <v>0</v>
      </c>
      <c r="M1927" s="14" t="s">
        <v>2237</v>
      </c>
      <c r="N1927" s="8">
        <v>0</v>
      </c>
      <c r="O1927" s="14" t="s">
        <v>2237</v>
      </c>
      <c r="P1927" s="14" t="s">
        <v>2236</v>
      </c>
      <c r="Q1927" s="17" t="s">
        <v>2236</v>
      </c>
      <c r="R1927" s="17" t="s">
        <v>2236</v>
      </c>
      <c r="S1927" s="17" t="s">
        <v>2236</v>
      </c>
      <c r="T1927" s="17" t="s">
        <v>2236</v>
      </c>
      <c r="U19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8" spans="1:31" hidden="1" x14ac:dyDescent="0.3">
      <c r="A1928" s="14" t="s">
        <v>3864</v>
      </c>
      <c r="B1928" s="14" t="s">
        <v>2371</v>
      </c>
      <c r="C1928" s="14" t="s">
        <v>4769</v>
      </c>
      <c r="D1928" s="14" t="s">
        <v>5018</v>
      </c>
      <c r="E1928" s="14" t="s">
        <v>2236</v>
      </c>
      <c r="F1928" s="8">
        <v>0</v>
      </c>
      <c r="G1928" s="14" t="s">
        <v>2237</v>
      </c>
      <c r="H1928" s="16">
        <v>0</v>
      </c>
      <c r="I1928" s="14" t="s">
        <v>2237</v>
      </c>
      <c r="J1928" s="16">
        <v>0</v>
      </c>
      <c r="K1928" s="14" t="s">
        <v>2237</v>
      </c>
      <c r="L1928" s="16">
        <v>0</v>
      </c>
      <c r="M1928" s="14" t="s">
        <v>2237</v>
      </c>
      <c r="N1928" s="8">
        <v>0</v>
      </c>
      <c r="O1928" s="14" t="s">
        <v>2237</v>
      </c>
      <c r="P1928" s="14" t="s">
        <v>2236</v>
      </c>
      <c r="Q1928" s="17" t="s">
        <v>2236</v>
      </c>
      <c r="R1928" s="17" t="s">
        <v>2236</v>
      </c>
      <c r="S1928" s="17" t="s">
        <v>2236</v>
      </c>
      <c r="T1928" s="17" t="s">
        <v>2236</v>
      </c>
      <c r="U19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29" spans="1:31" hidden="1" x14ac:dyDescent="0.3">
      <c r="A1929" s="14" t="s">
        <v>3865</v>
      </c>
      <c r="B1929" s="14" t="s">
        <v>2371</v>
      </c>
      <c r="C1929" s="14" t="s">
        <v>5019</v>
      </c>
      <c r="D1929" s="14" t="s">
        <v>5020</v>
      </c>
      <c r="E1929" s="14" t="s">
        <v>2236</v>
      </c>
      <c r="F1929" s="8">
        <v>0</v>
      </c>
      <c r="G1929" s="14" t="s">
        <v>2237</v>
      </c>
      <c r="H1929" s="16">
        <v>0</v>
      </c>
      <c r="I1929" s="14" t="s">
        <v>2237</v>
      </c>
      <c r="J1929" s="16">
        <v>0</v>
      </c>
      <c r="K1929" s="14" t="s">
        <v>2237</v>
      </c>
      <c r="L1929" s="16">
        <v>0</v>
      </c>
      <c r="M1929" s="14" t="s">
        <v>2237</v>
      </c>
      <c r="N1929" s="8">
        <v>0</v>
      </c>
      <c r="O1929" s="14" t="s">
        <v>2237</v>
      </c>
      <c r="P1929" s="14" t="s">
        <v>2236</v>
      </c>
      <c r="Q1929" s="17" t="s">
        <v>2236</v>
      </c>
      <c r="R1929" s="17" t="s">
        <v>2236</v>
      </c>
      <c r="S1929" s="17" t="s">
        <v>2236</v>
      </c>
      <c r="T1929" s="17" t="s">
        <v>2236</v>
      </c>
      <c r="U19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0" spans="1:31" hidden="1" x14ac:dyDescent="0.3">
      <c r="A1930" s="14" t="s">
        <v>3866</v>
      </c>
      <c r="B1930" s="14" t="s">
        <v>2371</v>
      </c>
      <c r="C1930" s="14" t="s">
        <v>5021</v>
      </c>
      <c r="D1930" s="14" t="s">
        <v>5022</v>
      </c>
      <c r="E1930" s="14" t="s">
        <v>2236</v>
      </c>
      <c r="F1930" s="8">
        <v>0</v>
      </c>
      <c r="G1930" s="14" t="s">
        <v>2237</v>
      </c>
      <c r="H1930" s="16">
        <v>0</v>
      </c>
      <c r="I1930" s="14" t="s">
        <v>2237</v>
      </c>
      <c r="J1930" s="16">
        <v>0</v>
      </c>
      <c r="K1930" s="14" t="s">
        <v>2237</v>
      </c>
      <c r="L1930" s="16">
        <v>0</v>
      </c>
      <c r="M1930" s="14" t="s">
        <v>2237</v>
      </c>
      <c r="N1930" s="8">
        <v>0</v>
      </c>
      <c r="O1930" s="14" t="s">
        <v>2237</v>
      </c>
      <c r="P1930" s="14" t="s">
        <v>2236</v>
      </c>
      <c r="Q1930" s="17" t="s">
        <v>2236</v>
      </c>
      <c r="R1930" s="17" t="s">
        <v>2236</v>
      </c>
      <c r="S1930" s="17" t="s">
        <v>2236</v>
      </c>
      <c r="T1930" s="17" t="s">
        <v>2236</v>
      </c>
      <c r="U19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1" spans="1:31" hidden="1" x14ac:dyDescent="0.3">
      <c r="A1931" s="14" t="s">
        <v>3867</v>
      </c>
      <c r="B1931" s="14" t="s">
        <v>2371</v>
      </c>
      <c r="C1931" s="14" t="s">
        <v>5023</v>
      </c>
      <c r="D1931" s="14" t="s">
        <v>5024</v>
      </c>
      <c r="E1931" s="14" t="s">
        <v>2236</v>
      </c>
      <c r="F1931" s="8">
        <v>0</v>
      </c>
      <c r="G1931" s="14" t="s">
        <v>2237</v>
      </c>
      <c r="H1931" s="16">
        <v>0</v>
      </c>
      <c r="I1931" s="14" t="s">
        <v>2237</v>
      </c>
      <c r="J1931" s="16">
        <v>0</v>
      </c>
      <c r="K1931" s="14" t="s">
        <v>2237</v>
      </c>
      <c r="L1931" s="16">
        <v>0</v>
      </c>
      <c r="M1931" s="14" t="s">
        <v>2237</v>
      </c>
      <c r="N1931" s="8">
        <v>0</v>
      </c>
      <c r="O1931" s="14" t="s">
        <v>2237</v>
      </c>
      <c r="P1931" s="14" t="s">
        <v>2236</v>
      </c>
      <c r="Q1931" s="17" t="s">
        <v>2236</v>
      </c>
      <c r="R1931" s="17" t="s">
        <v>2236</v>
      </c>
      <c r="S1931" s="17" t="s">
        <v>2236</v>
      </c>
      <c r="T1931" s="17" t="s">
        <v>2236</v>
      </c>
      <c r="U19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2" spans="1:31" hidden="1" x14ac:dyDescent="0.3">
      <c r="A1932" s="14" t="s">
        <v>3868</v>
      </c>
      <c r="B1932" s="14" t="s">
        <v>2371</v>
      </c>
      <c r="C1932" s="14" t="s">
        <v>5025</v>
      </c>
      <c r="D1932" s="14" t="s">
        <v>5026</v>
      </c>
      <c r="E1932" s="14" t="s">
        <v>2236</v>
      </c>
      <c r="F1932" s="8">
        <v>0</v>
      </c>
      <c r="G1932" s="14" t="s">
        <v>2237</v>
      </c>
      <c r="H1932" s="16">
        <v>0</v>
      </c>
      <c r="I1932" s="14" t="s">
        <v>2237</v>
      </c>
      <c r="J1932" s="16">
        <v>0</v>
      </c>
      <c r="K1932" s="14" t="s">
        <v>2237</v>
      </c>
      <c r="L1932" s="16">
        <v>0</v>
      </c>
      <c r="M1932" s="14" t="s">
        <v>2237</v>
      </c>
      <c r="N1932" s="8">
        <v>0</v>
      </c>
      <c r="O1932" s="14" t="s">
        <v>2237</v>
      </c>
      <c r="P1932" s="14" t="s">
        <v>2236</v>
      </c>
      <c r="Q1932" s="17" t="s">
        <v>2236</v>
      </c>
      <c r="R1932" s="17" t="s">
        <v>2236</v>
      </c>
      <c r="S1932" s="17" t="s">
        <v>2236</v>
      </c>
      <c r="T1932" s="17" t="s">
        <v>2236</v>
      </c>
      <c r="U19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3" spans="1:31" hidden="1" x14ac:dyDescent="0.3">
      <c r="A1933" s="14" t="s">
        <v>3869</v>
      </c>
      <c r="B1933" s="14" t="s">
        <v>2371</v>
      </c>
      <c r="C1933" s="14" t="s">
        <v>5027</v>
      </c>
      <c r="D1933" s="14" t="s">
        <v>5028</v>
      </c>
      <c r="E1933" s="14" t="s">
        <v>2236</v>
      </c>
      <c r="F1933" s="8">
        <v>0</v>
      </c>
      <c r="G1933" s="14" t="s">
        <v>2237</v>
      </c>
      <c r="H1933" s="16">
        <v>0</v>
      </c>
      <c r="I1933" s="14" t="s">
        <v>2237</v>
      </c>
      <c r="J1933" s="16">
        <v>0</v>
      </c>
      <c r="K1933" s="14" t="s">
        <v>2237</v>
      </c>
      <c r="L1933" s="16">
        <v>0</v>
      </c>
      <c r="M1933" s="14" t="s">
        <v>2237</v>
      </c>
      <c r="N1933" s="8">
        <v>0</v>
      </c>
      <c r="O1933" s="14" t="s">
        <v>2237</v>
      </c>
      <c r="P1933" s="14" t="s">
        <v>2236</v>
      </c>
      <c r="Q1933" s="17" t="s">
        <v>2236</v>
      </c>
      <c r="R1933" s="17" t="s">
        <v>2236</v>
      </c>
      <c r="S1933" s="17" t="s">
        <v>2236</v>
      </c>
      <c r="T1933" s="17" t="s">
        <v>2236</v>
      </c>
      <c r="U19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4" spans="1:31" hidden="1" x14ac:dyDescent="0.3">
      <c r="A1934" s="14" t="s">
        <v>3870</v>
      </c>
      <c r="B1934" s="14" t="s">
        <v>2371</v>
      </c>
      <c r="C1934" s="14" t="s">
        <v>5029</v>
      </c>
      <c r="D1934" s="14" t="s">
        <v>5030</v>
      </c>
      <c r="E1934" s="14" t="s">
        <v>2236</v>
      </c>
      <c r="F1934" s="8">
        <v>0</v>
      </c>
      <c r="G1934" s="14" t="s">
        <v>2237</v>
      </c>
      <c r="H1934" s="16">
        <v>0</v>
      </c>
      <c r="I1934" s="14" t="s">
        <v>2237</v>
      </c>
      <c r="J1934" s="16">
        <v>0</v>
      </c>
      <c r="K1934" s="14" t="s">
        <v>2237</v>
      </c>
      <c r="L1934" s="16">
        <v>0</v>
      </c>
      <c r="M1934" s="14" t="s">
        <v>2237</v>
      </c>
      <c r="N1934" s="8">
        <v>0</v>
      </c>
      <c r="O1934" s="14" t="s">
        <v>2237</v>
      </c>
      <c r="P1934" s="14" t="s">
        <v>2236</v>
      </c>
      <c r="Q1934" s="17" t="s">
        <v>2236</v>
      </c>
      <c r="R1934" s="17" t="s">
        <v>2236</v>
      </c>
      <c r="S1934" s="17" t="s">
        <v>2236</v>
      </c>
      <c r="T1934" s="17" t="s">
        <v>2236</v>
      </c>
      <c r="U19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5" spans="1:31" hidden="1" x14ac:dyDescent="0.3">
      <c r="A1935" s="14" t="s">
        <v>3871</v>
      </c>
      <c r="B1935" s="14" t="s">
        <v>2371</v>
      </c>
      <c r="C1935" s="14" t="s">
        <v>5031</v>
      </c>
      <c r="D1935" s="14" t="s">
        <v>5032</v>
      </c>
      <c r="E1935" s="14" t="s">
        <v>2236</v>
      </c>
      <c r="F1935" s="8">
        <v>0</v>
      </c>
      <c r="G1935" s="14" t="s">
        <v>2237</v>
      </c>
      <c r="H1935" s="16">
        <v>0</v>
      </c>
      <c r="I1935" s="14" t="s">
        <v>2237</v>
      </c>
      <c r="J1935" s="16">
        <v>0</v>
      </c>
      <c r="K1935" s="14" t="s">
        <v>2237</v>
      </c>
      <c r="L1935" s="16">
        <v>0</v>
      </c>
      <c r="M1935" s="14" t="s">
        <v>2237</v>
      </c>
      <c r="N1935" s="8">
        <v>0</v>
      </c>
      <c r="O1935" s="14" t="s">
        <v>2237</v>
      </c>
      <c r="P1935" s="14" t="s">
        <v>2236</v>
      </c>
      <c r="Q1935" s="17" t="s">
        <v>2236</v>
      </c>
      <c r="R1935" s="17" t="s">
        <v>2236</v>
      </c>
      <c r="S1935" s="17" t="s">
        <v>2236</v>
      </c>
      <c r="T1935" s="17" t="s">
        <v>2236</v>
      </c>
      <c r="U19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6" spans="1:31" hidden="1" x14ac:dyDescent="0.3">
      <c r="A1936" s="14" t="s">
        <v>3872</v>
      </c>
      <c r="B1936" s="14" t="s">
        <v>2371</v>
      </c>
      <c r="C1936" s="14" t="s">
        <v>5033</v>
      </c>
      <c r="D1936" s="14" t="s">
        <v>5034</v>
      </c>
      <c r="E1936" s="14" t="s">
        <v>2236</v>
      </c>
      <c r="F1936" s="8">
        <v>0</v>
      </c>
      <c r="G1936" s="14" t="s">
        <v>2237</v>
      </c>
      <c r="H1936" s="16">
        <v>0</v>
      </c>
      <c r="I1936" s="14" t="s">
        <v>2237</v>
      </c>
      <c r="J1936" s="16">
        <v>0</v>
      </c>
      <c r="K1936" s="14" t="s">
        <v>2237</v>
      </c>
      <c r="L1936" s="16">
        <v>0</v>
      </c>
      <c r="M1936" s="14" t="s">
        <v>2237</v>
      </c>
      <c r="N1936" s="8">
        <v>0</v>
      </c>
      <c r="O1936" s="14" t="s">
        <v>2237</v>
      </c>
      <c r="P1936" s="14" t="s">
        <v>2236</v>
      </c>
      <c r="Q1936" s="17" t="s">
        <v>2236</v>
      </c>
      <c r="R1936" s="17" t="s">
        <v>2236</v>
      </c>
      <c r="S1936" s="17" t="s">
        <v>2236</v>
      </c>
      <c r="T1936" s="17" t="s">
        <v>2236</v>
      </c>
      <c r="U19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7" spans="1:31" hidden="1" x14ac:dyDescent="0.3">
      <c r="A1937" s="14" t="s">
        <v>3873</v>
      </c>
      <c r="B1937" s="14" t="s">
        <v>2371</v>
      </c>
      <c r="C1937" s="14" t="s">
        <v>5035</v>
      </c>
      <c r="D1937" s="14" t="s">
        <v>5036</v>
      </c>
      <c r="E1937" s="14" t="s">
        <v>2236</v>
      </c>
      <c r="F1937" s="8">
        <v>0</v>
      </c>
      <c r="G1937" s="14" t="s">
        <v>2237</v>
      </c>
      <c r="H1937" s="16">
        <v>0</v>
      </c>
      <c r="I1937" s="14" t="s">
        <v>2237</v>
      </c>
      <c r="J1937" s="16">
        <v>0</v>
      </c>
      <c r="K1937" s="14" t="s">
        <v>2237</v>
      </c>
      <c r="L1937" s="16">
        <v>0</v>
      </c>
      <c r="M1937" s="14" t="s">
        <v>2237</v>
      </c>
      <c r="N1937" s="8">
        <v>0</v>
      </c>
      <c r="O1937" s="14" t="s">
        <v>2237</v>
      </c>
      <c r="P1937" s="14" t="s">
        <v>2236</v>
      </c>
      <c r="Q1937" s="17" t="s">
        <v>2236</v>
      </c>
      <c r="R1937" s="17" t="s">
        <v>2236</v>
      </c>
      <c r="S1937" s="17" t="s">
        <v>2236</v>
      </c>
      <c r="T1937" s="17" t="s">
        <v>2236</v>
      </c>
      <c r="U19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8" spans="1:31" hidden="1" x14ac:dyDescent="0.3">
      <c r="A1938" s="14" t="s">
        <v>3874</v>
      </c>
      <c r="B1938" s="14" t="s">
        <v>2371</v>
      </c>
      <c r="C1938" s="14" t="s">
        <v>5037</v>
      </c>
      <c r="D1938" s="14" t="s">
        <v>5038</v>
      </c>
      <c r="E1938" s="14" t="s">
        <v>2236</v>
      </c>
      <c r="F1938" s="8">
        <v>0</v>
      </c>
      <c r="G1938" s="14" t="s">
        <v>2237</v>
      </c>
      <c r="H1938" s="16">
        <v>0</v>
      </c>
      <c r="I1938" s="14" t="s">
        <v>2237</v>
      </c>
      <c r="J1938" s="16">
        <v>0</v>
      </c>
      <c r="K1938" s="14" t="s">
        <v>2237</v>
      </c>
      <c r="L1938" s="16">
        <v>0</v>
      </c>
      <c r="M1938" s="14" t="s">
        <v>2237</v>
      </c>
      <c r="N1938" s="8">
        <v>0</v>
      </c>
      <c r="O1938" s="14" t="s">
        <v>2237</v>
      </c>
      <c r="P1938" s="14" t="s">
        <v>2236</v>
      </c>
      <c r="Q1938" s="17" t="s">
        <v>2236</v>
      </c>
      <c r="R1938" s="17" t="s">
        <v>2236</v>
      </c>
      <c r="S1938" s="17" t="s">
        <v>2236</v>
      </c>
      <c r="T1938" s="17" t="s">
        <v>2236</v>
      </c>
      <c r="U19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39" spans="1:31" hidden="1" x14ac:dyDescent="0.3">
      <c r="A1939" s="14" t="s">
        <v>3875</v>
      </c>
      <c r="B1939" s="14" t="s">
        <v>2366</v>
      </c>
      <c r="C1939" s="14" t="s">
        <v>5039</v>
      </c>
      <c r="D1939" s="14" t="s">
        <v>5040</v>
      </c>
      <c r="E1939" s="14" t="s">
        <v>2236</v>
      </c>
      <c r="F1939" s="8">
        <v>0</v>
      </c>
      <c r="G1939" s="14" t="s">
        <v>2237</v>
      </c>
      <c r="H1939" s="16">
        <v>0</v>
      </c>
      <c r="I1939" s="14" t="s">
        <v>2237</v>
      </c>
      <c r="J1939" s="16">
        <v>0</v>
      </c>
      <c r="K1939" s="14" t="s">
        <v>2237</v>
      </c>
      <c r="L1939" s="16">
        <v>0</v>
      </c>
      <c r="M1939" s="14" t="s">
        <v>2237</v>
      </c>
      <c r="N1939" s="8">
        <v>501.37</v>
      </c>
      <c r="O1939" s="14" t="s">
        <v>2237</v>
      </c>
      <c r="P1939" s="14" t="s">
        <v>2236</v>
      </c>
      <c r="Q1939" s="17" t="s">
        <v>2236</v>
      </c>
      <c r="R1939" s="17" t="s">
        <v>2236</v>
      </c>
      <c r="S1939" s="17" t="s">
        <v>2236</v>
      </c>
      <c r="T1939" s="17" t="s">
        <v>2866</v>
      </c>
      <c r="U19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40" spans="1:31" hidden="1" x14ac:dyDescent="0.3">
      <c r="A1940" s="14" t="s">
        <v>3876</v>
      </c>
      <c r="B1940" s="14" t="s">
        <v>2371</v>
      </c>
      <c r="C1940" s="14" t="s">
        <v>5041</v>
      </c>
      <c r="D1940" s="14" t="s">
        <v>5042</v>
      </c>
      <c r="E1940" s="14" t="s">
        <v>2236</v>
      </c>
      <c r="F1940" s="8">
        <v>0</v>
      </c>
      <c r="G1940" s="14" t="s">
        <v>2237</v>
      </c>
      <c r="H1940" s="16">
        <v>0</v>
      </c>
      <c r="I1940" s="14" t="s">
        <v>2237</v>
      </c>
      <c r="J1940" s="16">
        <v>0</v>
      </c>
      <c r="K1940" s="14" t="s">
        <v>2237</v>
      </c>
      <c r="L1940" s="16">
        <v>0</v>
      </c>
      <c r="M1940" s="14" t="s">
        <v>2237</v>
      </c>
      <c r="N1940" s="8">
        <v>0</v>
      </c>
      <c r="O1940" s="14" t="s">
        <v>2237</v>
      </c>
      <c r="P1940" s="14" t="s">
        <v>2236</v>
      </c>
      <c r="Q1940" s="17" t="s">
        <v>2236</v>
      </c>
      <c r="R1940" s="17" t="s">
        <v>2236</v>
      </c>
      <c r="S1940" s="17" t="s">
        <v>2236</v>
      </c>
      <c r="T1940" s="17" t="s">
        <v>2236</v>
      </c>
      <c r="U19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41" spans="1:31" hidden="1" x14ac:dyDescent="0.3">
      <c r="A1941" s="14" t="s">
        <v>3877</v>
      </c>
      <c r="B1941" s="14" t="s">
        <v>2371</v>
      </c>
      <c r="C1941" s="14" t="s">
        <v>5043</v>
      </c>
      <c r="D1941" s="14" t="s">
        <v>5044</v>
      </c>
      <c r="E1941" s="14" t="s">
        <v>2236</v>
      </c>
      <c r="F1941" s="8">
        <v>0</v>
      </c>
      <c r="G1941" s="14" t="s">
        <v>2237</v>
      </c>
      <c r="H1941" s="16">
        <v>0</v>
      </c>
      <c r="I1941" s="14" t="s">
        <v>2237</v>
      </c>
      <c r="J1941" s="16">
        <v>0</v>
      </c>
      <c r="K1941" s="14" t="s">
        <v>2237</v>
      </c>
      <c r="L1941" s="16">
        <v>0</v>
      </c>
      <c r="M1941" s="14" t="s">
        <v>2237</v>
      </c>
      <c r="N1941" s="8">
        <v>0</v>
      </c>
      <c r="O1941" s="14" t="s">
        <v>2237</v>
      </c>
      <c r="P1941" s="14" t="s">
        <v>2236</v>
      </c>
      <c r="Q1941" s="17" t="s">
        <v>2236</v>
      </c>
      <c r="R1941" s="17" t="s">
        <v>2236</v>
      </c>
      <c r="S1941" s="17" t="s">
        <v>2236</v>
      </c>
      <c r="T1941" s="17" t="s">
        <v>2236</v>
      </c>
      <c r="U19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42" spans="1:31" hidden="1" x14ac:dyDescent="0.3">
      <c r="A1942" s="14" t="s">
        <v>3878</v>
      </c>
      <c r="B1942" s="14" t="s">
        <v>2371</v>
      </c>
      <c r="C1942" s="14" t="s">
        <v>5045</v>
      </c>
      <c r="D1942" s="14" t="s">
        <v>5046</v>
      </c>
      <c r="E1942" s="14" t="s">
        <v>2236</v>
      </c>
      <c r="F1942" s="8">
        <v>0</v>
      </c>
      <c r="G1942" s="14" t="s">
        <v>2237</v>
      </c>
      <c r="H1942" s="16">
        <v>0</v>
      </c>
      <c r="I1942" s="14" t="s">
        <v>2237</v>
      </c>
      <c r="J1942" s="16">
        <v>0</v>
      </c>
      <c r="K1942" s="14" t="s">
        <v>2237</v>
      </c>
      <c r="L1942" s="16">
        <v>0</v>
      </c>
      <c r="M1942" s="14" t="s">
        <v>2237</v>
      </c>
      <c r="N1942" s="8">
        <v>0</v>
      </c>
      <c r="O1942" s="14" t="s">
        <v>2237</v>
      </c>
      <c r="P1942" s="14" t="s">
        <v>2236</v>
      </c>
      <c r="Q1942" s="17" t="s">
        <v>2236</v>
      </c>
      <c r="R1942" s="17" t="s">
        <v>2236</v>
      </c>
      <c r="S1942" s="17" t="s">
        <v>2236</v>
      </c>
      <c r="T1942" s="17" t="s">
        <v>2236</v>
      </c>
      <c r="U19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43" spans="1:31" hidden="1" x14ac:dyDescent="0.3">
      <c r="A1943" s="14" t="s">
        <v>3879</v>
      </c>
      <c r="B1943" s="14" t="s">
        <v>2371</v>
      </c>
      <c r="C1943" s="14" t="s">
        <v>5047</v>
      </c>
      <c r="D1943" s="14" t="s">
        <v>5048</v>
      </c>
      <c r="E1943" s="14" t="s">
        <v>2236</v>
      </c>
      <c r="F1943" s="8">
        <v>0</v>
      </c>
      <c r="G1943" s="14" t="s">
        <v>2237</v>
      </c>
      <c r="H1943" s="16">
        <v>0</v>
      </c>
      <c r="I1943" s="14" t="s">
        <v>2237</v>
      </c>
      <c r="J1943" s="16">
        <v>0</v>
      </c>
      <c r="K1943" s="14" t="s">
        <v>2237</v>
      </c>
      <c r="L1943" s="16">
        <v>0</v>
      </c>
      <c r="M1943" s="14" t="s">
        <v>2237</v>
      </c>
      <c r="N1943" s="8">
        <v>0</v>
      </c>
      <c r="O1943" s="14" t="s">
        <v>2237</v>
      </c>
      <c r="P1943" s="14" t="s">
        <v>2236</v>
      </c>
      <c r="Q1943" s="17" t="s">
        <v>2236</v>
      </c>
      <c r="R1943" s="17" t="s">
        <v>2236</v>
      </c>
      <c r="S1943" s="17" t="s">
        <v>2236</v>
      </c>
      <c r="T1943" s="17" t="s">
        <v>2236</v>
      </c>
      <c r="U19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44" spans="1:31" hidden="1" x14ac:dyDescent="0.3">
      <c r="A1944" s="14" t="s">
        <v>3880</v>
      </c>
      <c r="B1944" s="14" t="s">
        <v>2371</v>
      </c>
      <c r="C1944" s="14" t="s">
        <v>5049</v>
      </c>
      <c r="D1944" s="14" t="s">
        <v>5050</v>
      </c>
      <c r="E1944" s="14" t="s">
        <v>2236</v>
      </c>
      <c r="F1944" s="8">
        <v>0</v>
      </c>
      <c r="G1944" s="14" t="s">
        <v>2237</v>
      </c>
      <c r="H1944" s="16">
        <v>0</v>
      </c>
      <c r="I1944" s="14" t="s">
        <v>2237</v>
      </c>
      <c r="J1944" s="16">
        <v>0</v>
      </c>
      <c r="K1944" s="14" t="s">
        <v>2237</v>
      </c>
      <c r="L1944" s="16">
        <v>0</v>
      </c>
      <c r="M1944" s="14" t="s">
        <v>2237</v>
      </c>
      <c r="N1944" s="8">
        <v>0</v>
      </c>
      <c r="O1944" s="14" t="s">
        <v>2237</v>
      </c>
      <c r="P1944" s="14" t="s">
        <v>2236</v>
      </c>
      <c r="Q1944" s="17" t="s">
        <v>2236</v>
      </c>
      <c r="R1944" s="17" t="s">
        <v>2236</v>
      </c>
      <c r="S1944" s="17" t="s">
        <v>2236</v>
      </c>
      <c r="T1944" s="17" t="s">
        <v>2236</v>
      </c>
      <c r="U19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45" spans="1:31" hidden="1" x14ac:dyDescent="0.3">
      <c r="A1945" s="14" t="s">
        <v>3881</v>
      </c>
      <c r="B1945" s="14" t="s">
        <v>21</v>
      </c>
      <c r="C1945" s="14" t="s">
        <v>283</v>
      </c>
      <c r="D1945" s="14" t="s">
        <v>284</v>
      </c>
      <c r="E1945" s="14" t="s">
        <v>4136</v>
      </c>
      <c r="F1945" s="8">
        <v>199651.65</v>
      </c>
      <c r="G1945" s="14" t="s">
        <v>2237</v>
      </c>
      <c r="H1945" s="16">
        <v>199651.65</v>
      </c>
      <c r="I1945" s="14" t="s">
        <v>2237</v>
      </c>
      <c r="J1945" s="16">
        <v>0</v>
      </c>
      <c r="K1945" s="14" t="s">
        <v>2237</v>
      </c>
      <c r="L1945" s="16">
        <v>0</v>
      </c>
      <c r="M1945" s="14" t="s">
        <v>2237</v>
      </c>
      <c r="N1945" s="8">
        <v>196078.03</v>
      </c>
      <c r="O1945" s="14" t="s">
        <v>2237</v>
      </c>
      <c r="P1945" s="14" t="s">
        <v>2236</v>
      </c>
      <c r="Q1945" s="17" t="s">
        <v>2242</v>
      </c>
      <c r="R1945" s="17" t="s">
        <v>2238</v>
      </c>
      <c r="S1945" s="17" t="s">
        <v>2243</v>
      </c>
      <c r="T1945" s="17" t="s">
        <v>4137</v>
      </c>
      <c r="U194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4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4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45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46" spans="1:31" x14ac:dyDescent="0.3">
      <c r="A1946" s="14" t="s">
        <v>3882</v>
      </c>
      <c r="B1946" s="14" t="s">
        <v>26</v>
      </c>
      <c r="C1946" s="14" t="s">
        <v>285</v>
      </c>
      <c r="D1946" s="14" t="s">
        <v>286</v>
      </c>
      <c r="E1946" s="14" t="s">
        <v>4136</v>
      </c>
      <c r="F1946" s="8">
        <v>0</v>
      </c>
      <c r="G1946" s="14" t="s">
        <v>2237</v>
      </c>
      <c r="H1946" s="16">
        <v>0</v>
      </c>
      <c r="I1946" s="14" t="s">
        <v>2237</v>
      </c>
      <c r="J1946" s="16">
        <v>0</v>
      </c>
      <c r="K1946" s="14" t="s">
        <v>2237</v>
      </c>
      <c r="L1946" s="16">
        <v>0</v>
      </c>
      <c r="M1946" s="14" t="s">
        <v>2237</v>
      </c>
      <c r="N1946" s="8">
        <v>0</v>
      </c>
      <c r="O1946" s="14" t="s">
        <v>2237</v>
      </c>
      <c r="P1946" s="14" t="s">
        <v>2236</v>
      </c>
      <c r="Q1946" s="17" t="s">
        <v>2242</v>
      </c>
      <c r="R1946" s="17" t="s">
        <v>2238</v>
      </c>
      <c r="S1946" s="17" t="s">
        <v>2243</v>
      </c>
      <c r="T1946" s="17" t="s">
        <v>4137</v>
      </c>
      <c r="U19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4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4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4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E530-301297906-D235301</v>
      </c>
      <c r="Y19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46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46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9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47" spans="1:31" x14ac:dyDescent="0.3">
      <c r="A1947" s="14" t="s">
        <v>3883</v>
      </c>
      <c r="B1947" s="14" t="s">
        <v>30</v>
      </c>
      <c r="C1947" s="14" t="s">
        <v>285</v>
      </c>
      <c r="D1947" s="14" t="s">
        <v>287</v>
      </c>
      <c r="E1947" s="14" t="s">
        <v>4136</v>
      </c>
      <c r="F1947" s="8">
        <v>0</v>
      </c>
      <c r="G1947" s="14" t="s">
        <v>2237</v>
      </c>
      <c r="H1947" s="16">
        <v>0</v>
      </c>
      <c r="I1947" s="14" t="s">
        <v>2237</v>
      </c>
      <c r="J1947" s="16">
        <v>0</v>
      </c>
      <c r="K1947" s="14" t="s">
        <v>2237</v>
      </c>
      <c r="L1947" s="16">
        <v>0</v>
      </c>
      <c r="M1947" s="14" t="s">
        <v>2237</v>
      </c>
      <c r="N1947" s="8">
        <v>0</v>
      </c>
      <c r="O1947" s="14" t="s">
        <v>2237</v>
      </c>
      <c r="P1947" s="14" t="s">
        <v>2236</v>
      </c>
      <c r="Q1947" s="17" t="s">
        <v>2242</v>
      </c>
      <c r="R1947" s="17" t="s">
        <v>2238</v>
      </c>
      <c r="S1947" s="17" t="s">
        <v>2243</v>
      </c>
      <c r="T1947" s="17" t="s">
        <v>4142</v>
      </c>
      <c r="U19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4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4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4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E530-301297906-D235301</v>
      </c>
      <c r="Y1947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E530-30129790606-D235301</v>
      </c>
      <c r="Z194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47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47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47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94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9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48" spans="1:31" x14ac:dyDescent="0.3">
      <c r="A1948" s="14" t="s">
        <v>3884</v>
      </c>
      <c r="B1948" s="14" t="s">
        <v>26</v>
      </c>
      <c r="C1948" s="14" t="s">
        <v>289</v>
      </c>
      <c r="D1948" s="14" t="s">
        <v>290</v>
      </c>
      <c r="E1948" s="14" t="s">
        <v>4136</v>
      </c>
      <c r="F1948" s="8">
        <v>39930.33</v>
      </c>
      <c r="G1948" s="14" t="s">
        <v>2237</v>
      </c>
      <c r="H1948" s="16">
        <v>39930.33</v>
      </c>
      <c r="I1948" s="14" t="s">
        <v>2237</v>
      </c>
      <c r="J1948" s="16">
        <v>0</v>
      </c>
      <c r="K1948" s="14" t="s">
        <v>2237</v>
      </c>
      <c r="L1948" s="16">
        <v>0</v>
      </c>
      <c r="M1948" s="14" t="s">
        <v>2237</v>
      </c>
      <c r="N1948" s="8">
        <v>39000.07</v>
      </c>
      <c r="O1948" s="14" t="s">
        <v>2237</v>
      </c>
      <c r="P1948" s="14" t="s">
        <v>2236</v>
      </c>
      <c r="Q1948" s="17" t="s">
        <v>2242</v>
      </c>
      <c r="R1948" s="17" t="s">
        <v>2238</v>
      </c>
      <c r="S1948" s="17" t="s">
        <v>2243</v>
      </c>
      <c r="T1948" s="17" t="s">
        <v>4141</v>
      </c>
      <c r="U19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4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4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4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E530-301297905-D235301</v>
      </c>
      <c r="Y19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4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48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48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4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9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49" spans="1:31" x14ac:dyDescent="0.3">
      <c r="A1949" s="14" t="s">
        <v>3885</v>
      </c>
      <c r="B1949" s="14" t="s">
        <v>30</v>
      </c>
      <c r="C1949" s="14" t="s">
        <v>289</v>
      </c>
      <c r="D1949" s="14" t="s">
        <v>291</v>
      </c>
      <c r="E1949" s="14" t="s">
        <v>4136</v>
      </c>
      <c r="F1949" s="8">
        <v>0</v>
      </c>
      <c r="G1949" s="14" t="s">
        <v>2237</v>
      </c>
      <c r="H1949" s="16">
        <v>0</v>
      </c>
      <c r="I1949" s="14" t="s">
        <v>2237</v>
      </c>
      <c r="J1949" s="16">
        <v>0</v>
      </c>
      <c r="K1949" s="14" t="s">
        <v>2237</v>
      </c>
      <c r="L1949" s="16">
        <v>0</v>
      </c>
      <c r="M1949" s="14" t="s">
        <v>2237</v>
      </c>
      <c r="N1949" s="8">
        <v>39000.07</v>
      </c>
      <c r="O1949" s="14" t="s">
        <v>2237</v>
      </c>
      <c r="P1949" s="14" t="s">
        <v>2236</v>
      </c>
      <c r="Q1949" s="17" t="s">
        <v>2242</v>
      </c>
      <c r="R1949" s="17" t="s">
        <v>2238</v>
      </c>
      <c r="S1949" s="17" t="s">
        <v>2243</v>
      </c>
      <c r="T1949" s="17" t="s">
        <v>4142</v>
      </c>
      <c r="U19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4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4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4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E530-301297905-D235301</v>
      </c>
      <c r="Y1949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E530-30129790505-D235301</v>
      </c>
      <c r="Z194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49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49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49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94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9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0" spans="1:31" x14ac:dyDescent="0.3">
      <c r="A1950" s="14" t="s">
        <v>3886</v>
      </c>
      <c r="B1950" s="14" t="s">
        <v>26</v>
      </c>
      <c r="C1950" s="14" t="s">
        <v>292</v>
      </c>
      <c r="D1950" s="14" t="s">
        <v>293</v>
      </c>
      <c r="E1950" s="14" t="s">
        <v>4136</v>
      </c>
      <c r="F1950" s="8">
        <v>39930.33</v>
      </c>
      <c r="G1950" s="14" t="s">
        <v>2237</v>
      </c>
      <c r="H1950" s="16">
        <v>39930.33</v>
      </c>
      <c r="I1950" s="14" t="s">
        <v>2237</v>
      </c>
      <c r="J1950" s="16">
        <v>0</v>
      </c>
      <c r="K1950" s="14" t="s">
        <v>2237</v>
      </c>
      <c r="L1950" s="16">
        <v>0</v>
      </c>
      <c r="M1950" s="14" t="s">
        <v>2237</v>
      </c>
      <c r="N1950" s="8">
        <v>39145.5</v>
      </c>
      <c r="O1950" s="14" t="s">
        <v>2237</v>
      </c>
      <c r="P1950" s="14" t="s">
        <v>2236</v>
      </c>
      <c r="Q1950" s="17" t="s">
        <v>2242</v>
      </c>
      <c r="R1950" s="17" t="s">
        <v>2238</v>
      </c>
      <c r="S1950" s="17" t="s">
        <v>2243</v>
      </c>
      <c r="T1950" s="17" t="s">
        <v>4141</v>
      </c>
      <c r="U19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E530-301297904-D235301</v>
      </c>
      <c r="Y19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5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0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0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5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19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1" spans="1:31" x14ac:dyDescent="0.3">
      <c r="A1951" s="14" t="s">
        <v>3887</v>
      </c>
      <c r="B1951" s="14" t="s">
        <v>30</v>
      </c>
      <c r="C1951" s="14" t="s">
        <v>292</v>
      </c>
      <c r="D1951" s="14" t="s">
        <v>294</v>
      </c>
      <c r="E1951" s="14" t="s">
        <v>4136</v>
      </c>
      <c r="F1951" s="8">
        <v>0</v>
      </c>
      <c r="G1951" s="14" t="s">
        <v>2237</v>
      </c>
      <c r="H1951" s="16">
        <v>0</v>
      </c>
      <c r="I1951" s="14" t="s">
        <v>2237</v>
      </c>
      <c r="J1951" s="16">
        <v>0</v>
      </c>
      <c r="K1951" s="14" t="s">
        <v>2237</v>
      </c>
      <c r="L1951" s="16">
        <v>0</v>
      </c>
      <c r="M1951" s="14" t="s">
        <v>2237</v>
      </c>
      <c r="N1951" s="8">
        <v>39145.5</v>
      </c>
      <c r="O1951" s="14" t="s">
        <v>2237</v>
      </c>
      <c r="P1951" s="14" t="s">
        <v>2236</v>
      </c>
      <c r="Q1951" s="17" t="s">
        <v>2242</v>
      </c>
      <c r="R1951" s="17" t="s">
        <v>2238</v>
      </c>
      <c r="S1951" s="17" t="s">
        <v>2243</v>
      </c>
      <c r="T1951" s="17" t="s">
        <v>4142</v>
      </c>
      <c r="U19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E530-301297904-D235301</v>
      </c>
      <c r="Y195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E530-30129790404-D235301</v>
      </c>
      <c r="Z195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1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1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1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95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19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2" spans="1:31" x14ac:dyDescent="0.3">
      <c r="A1952" s="14" t="s">
        <v>3888</v>
      </c>
      <c r="B1952" s="14" t="s">
        <v>26</v>
      </c>
      <c r="C1952" s="14" t="s">
        <v>295</v>
      </c>
      <c r="D1952" s="14" t="s">
        <v>296</v>
      </c>
      <c r="E1952" s="14" t="s">
        <v>4136</v>
      </c>
      <c r="F1952" s="8">
        <v>39930.33</v>
      </c>
      <c r="G1952" s="14" t="s">
        <v>2237</v>
      </c>
      <c r="H1952" s="16">
        <v>39930.33</v>
      </c>
      <c r="I1952" s="14" t="s">
        <v>2237</v>
      </c>
      <c r="J1952" s="16">
        <v>0</v>
      </c>
      <c r="K1952" s="14" t="s">
        <v>2237</v>
      </c>
      <c r="L1952" s="16">
        <v>0</v>
      </c>
      <c r="M1952" s="14" t="s">
        <v>2237</v>
      </c>
      <c r="N1952" s="8">
        <v>39433.9</v>
      </c>
      <c r="O1952" s="14" t="s">
        <v>2237</v>
      </c>
      <c r="P1952" s="14" t="s">
        <v>2236</v>
      </c>
      <c r="Q1952" s="17" t="s">
        <v>2242</v>
      </c>
      <c r="R1952" s="17" t="s">
        <v>2238</v>
      </c>
      <c r="S1952" s="17" t="s">
        <v>2243</v>
      </c>
      <c r="T1952" s="17" t="s">
        <v>4141</v>
      </c>
      <c r="U19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E530-301297903-D235301</v>
      </c>
      <c r="Y19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5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2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2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5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19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3" spans="1:31" x14ac:dyDescent="0.3">
      <c r="A1953" s="14" t="s">
        <v>3889</v>
      </c>
      <c r="B1953" s="14" t="s">
        <v>30</v>
      </c>
      <c r="C1953" s="14" t="s">
        <v>295</v>
      </c>
      <c r="D1953" s="14" t="s">
        <v>297</v>
      </c>
      <c r="E1953" s="14" t="s">
        <v>4136</v>
      </c>
      <c r="F1953" s="8">
        <v>0</v>
      </c>
      <c r="G1953" s="14" t="s">
        <v>2237</v>
      </c>
      <c r="H1953" s="16">
        <v>0</v>
      </c>
      <c r="I1953" s="14" t="s">
        <v>2237</v>
      </c>
      <c r="J1953" s="16">
        <v>0</v>
      </c>
      <c r="K1953" s="14" t="s">
        <v>2237</v>
      </c>
      <c r="L1953" s="16">
        <v>0</v>
      </c>
      <c r="M1953" s="14" t="s">
        <v>2237</v>
      </c>
      <c r="N1953" s="8">
        <v>39433.9</v>
      </c>
      <c r="O1953" s="14" t="s">
        <v>2237</v>
      </c>
      <c r="P1953" s="14" t="s">
        <v>2236</v>
      </c>
      <c r="Q1953" s="17" t="s">
        <v>2242</v>
      </c>
      <c r="R1953" s="17" t="s">
        <v>2238</v>
      </c>
      <c r="S1953" s="17" t="s">
        <v>2243</v>
      </c>
      <c r="T1953" s="17" t="s">
        <v>4142</v>
      </c>
      <c r="U19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E530-301297903-D235301</v>
      </c>
      <c r="Y1953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E530-30129790303-D235301</v>
      </c>
      <c r="Z195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3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3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3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95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19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4" spans="1:31" x14ac:dyDescent="0.3">
      <c r="A1954" s="14" t="s">
        <v>3890</v>
      </c>
      <c r="B1954" s="14" t="s">
        <v>26</v>
      </c>
      <c r="C1954" s="14" t="s">
        <v>298</v>
      </c>
      <c r="D1954" s="14" t="s">
        <v>299</v>
      </c>
      <c r="E1954" s="14" t="s">
        <v>4136</v>
      </c>
      <c r="F1954" s="8">
        <v>39930.33</v>
      </c>
      <c r="G1954" s="14" t="s">
        <v>2237</v>
      </c>
      <c r="H1954" s="16">
        <v>39930.33</v>
      </c>
      <c r="I1954" s="14" t="s">
        <v>2237</v>
      </c>
      <c r="J1954" s="16">
        <v>0</v>
      </c>
      <c r="K1954" s="14" t="s">
        <v>2237</v>
      </c>
      <c r="L1954" s="16">
        <v>0</v>
      </c>
      <c r="M1954" s="14" t="s">
        <v>2237</v>
      </c>
      <c r="N1954" s="8">
        <v>38587.230000000003</v>
      </c>
      <c r="O1954" s="14" t="s">
        <v>2237</v>
      </c>
      <c r="P1954" s="14" t="s">
        <v>2236</v>
      </c>
      <c r="Q1954" s="17" t="s">
        <v>2242</v>
      </c>
      <c r="R1954" s="17" t="s">
        <v>2238</v>
      </c>
      <c r="S1954" s="17" t="s">
        <v>2243</v>
      </c>
      <c r="T1954" s="17" t="s">
        <v>4141</v>
      </c>
      <c r="U19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E530-301297902-D235301</v>
      </c>
      <c r="Y19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5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4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4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5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19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5" spans="1:31" x14ac:dyDescent="0.3">
      <c r="A1955" s="14" t="s">
        <v>3891</v>
      </c>
      <c r="B1955" s="14" t="s">
        <v>30</v>
      </c>
      <c r="C1955" s="14" t="s">
        <v>298</v>
      </c>
      <c r="D1955" s="14" t="s">
        <v>300</v>
      </c>
      <c r="E1955" s="14" t="s">
        <v>4136</v>
      </c>
      <c r="F1955" s="8">
        <v>0</v>
      </c>
      <c r="G1955" s="14" t="s">
        <v>2237</v>
      </c>
      <c r="H1955" s="16">
        <v>0</v>
      </c>
      <c r="I1955" s="14" t="s">
        <v>2237</v>
      </c>
      <c r="J1955" s="16">
        <v>0</v>
      </c>
      <c r="K1955" s="14" t="s">
        <v>2237</v>
      </c>
      <c r="L1955" s="16">
        <v>0</v>
      </c>
      <c r="M1955" s="14" t="s">
        <v>2237</v>
      </c>
      <c r="N1955" s="8">
        <v>38587.230000000003</v>
      </c>
      <c r="O1955" s="14" t="s">
        <v>2237</v>
      </c>
      <c r="P1955" s="14" t="s">
        <v>2236</v>
      </c>
      <c r="Q1955" s="17" t="s">
        <v>2242</v>
      </c>
      <c r="R1955" s="17" t="s">
        <v>2238</v>
      </c>
      <c r="S1955" s="17" t="s">
        <v>2243</v>
      </c>
      <c r="T1955" s="17" t="s">
        <v>4142</v>
      </c>
      <c r="U19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E530-301297902-D235301</v>
      </c>
      <c r="Y1955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E530-30129790202-D235301</v>
      </c>
      <c r="Z195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5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5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5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95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195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6" spans="1:31" x14ac:dyDescent="0.3">
      <c r="A1956" s="14" t="s">
        <v>3892</v>
      </c>
      <c r="B1956" s="14" t="s">
        <v>26</v>
      </c>
      <c r="C1956" s="14" t="s">
        <v>301</v>
      </c>
      <c r="D1956" s="14" t="s">
        <v>302</v>
      </c>
      <c r="E1956" s="14" t="s">
        <v>4136</v>
      </c>
      <c r="F1956" s="8">
        <v>39930.33</v>
      </c>
      <c r="G1956" s="14" t="s">
        <v>2237</v>
      </c>
      <c r="H1956" s="16">
        <v>39930.33</v>
      </c>
      <c r="I1956" s="14" t="s">
        <v>2237</v>
      </c>
      <c r="J1956" s="16">
        <v>0</v>
      </c>
      <c r="K1956" s="14" t="s">
        <v>2237</v>
      </c>
      <c r="L1956" s="16">
        <v>0</v>
      </c>
      <c r="M1956" s="14" t="s">
        <v>2237</v>
      </c>
      <c r="N1956" s="8">
        <v>39911.33</v>
      </c>
      <c r="O1956" s="14" t="s">
        <v>2237</v>
      </c>
      <c r="P1956" s="14" t="s">
        <v>2236</v>
      </c>
      <c r="Q1956" s="17" t="s">
        <v>2242</v>
      </c>
      <c r="R1956" s="17" t="s">
        <v>2238</v>
      </c>
      <c r="S1956" s="17" t="s">
        <v>2243</v>
      </c>
      <c r="T1956" s="17" t="s">
        <v>4138</v>
      </c>
      <c r="U195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E530-301297901-D235301</v>
      </c>
      <c r="Y19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5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6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6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5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195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7" spans="1:31" x14ac:dyDescent="0.3">
      <c r="A1957" s="14" t="s">
        <v>3893</v>
      </c>
      <c r="B1957" s="14" t="s">
        <v>30</v>
      </c>
      <c r="C1957" s="14" t="s">
        <v>301</v>
      </c>
      <c r="D1957" s="14" t="s">
        <v>303</v>
      </c>
      <c r="E1957" s="14" t="s">
        <v>4136</v>
      </c>
      <c r="F1957" s="8">
        <v>0</v>
      </c>
      <c r="G1957" s="14" t="s">
        <v>2237</v>
      </c>
      <c r="H1957" s="16">
        <v>0</v>
      </c>
      <c r="I1957" s="14" t="s">
        <v>2237</v>
      </c>
      <c r="J1957" s="16">
        <v>0</v>
      </c>
      <c r="K1957" s="14" t="s">
        <v>2237</v>
      </c>
      <c r="L1957" s="16">
        <v>0</v>
      </c>
      <c r="M1957" s="14" t="s">
        <v>2237</v>
      </c>
      <c r="N1957" s="8">
        <v>39911.33</v>
      </c>
      <c r="O1957" s="14" t="s">
        <v>2237</v>
      </c>
      <c r="P1957" s="14" t="s">
        <v>2236</v>
      </c>
      <c r="Q1957" s="17" t="s">
        <v>2242</v>
      </c>
      <c r="R1957" s="17" t="s">
        <v>2238</v>
      </c>
      <c r="S1957" s="17" t="s">
        <v>2243</v>
      </c>
      <c r="T1957" s="17" t="s">
        <v>4142</v>
      </c>
      <c r="U19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E530-3012979-D235301</v>
      </c>
      <c r="X195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E530-301297901-D235301</v>
      </c>
      <c r="Y1957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E530-30129790101-D235301</v>
      </c>
      <c r="Z195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7" s="10" t="str">
        <f>IF(IFERROR(INDEX(WBS_Dictionary!K$2:K$1212, MATCH(Table2[[#This Row],[WBS_ID]], Table26[WBS CODE],0)), "") = "", "null", IFERROR(INDEX(WBS_Dictionary!K$2:K$1212, MATCH(Table2[[#This Row],[WBS_ID]], Table26[WBS CODE],0)), ""))</f>
        <v>Well Insurance</v>
      </c>
      <c r="AB1957" s="10" t="str">
        <f>IF(IFERROR(INDEX(WBS_Dictionary!L$2:L$1212, MATCH(Table2[[#This Row],[WBS_ID]], Table26[WBS CODE],0)), "") = "", "null", IFERROR(INDEX(WBS_Dictionary!L$2:L$1212, MATCH(Table2[[#This Row],[WBS_ID]], Table26[WBS CODE],0)), ""))</f>
        <v>Well Insurance</v>
      </c>
      <c r="AC1957" s="10" t="str">
        <f>IF(IFERROR(INDEX(WBS_Dictionary!M$2:M$1212, MATCH(Table2[[#This Row],[WBS_ID]], Table26[WBS CODE],0)), "") = "", "null", IFERROR(INDEX(WBS_Dictionary!M$2:M$1212, MATCH(Table2[[#This Row],[WBS_ID]], Table26[WBS CODE],0)), ""))</f>
        <v>Insurance</v>
      </c>
      <c r="AD195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195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58" spans="1:31" hidden="1" x14ac:dyDescent="0.3">
      <c r="A1958" s="14" t="s">
        <v>3894</v>
      </c>
      <c r="B1958" s="14" t="s">
        <v>21</v>
      </c>
      <c r="C1958" s="14" t="s">
        <v>304</v>
      </c>
      <c r="D1958" s="14" t="s">
        <v>305</v>
      </c>
      <c r="E1958" s="14" t="s">
        <v>4136</v>
      </c>
      <c r="F1958" s="8">
        <v>124269.09</v>
      </c>
      <c r="G1958" s="14" t="s">
        <v>2237</v>
      </c>
      <c r="H1958" s="16">
        <v>124269.09</v>
      </c>
      <c r="I1958" s="14" t="s">
        <v>2237</v>
      </c>
      <c r="J1958" s="16">
        <v>0</v>
      </c>
      <c r="K1958" s="14" t="s">
        <v>2237</v>
      </c>
      <c r="L1958" s="16">
        <v>0</v>
      </c>
      <c r="M1958" s="14" t="s">
        <v>2237</v>
      </c>
      <c r="N1958" s="8">
        <v>120931.22</v>
      </c>
      <c r="O1958" s="14" t="s">
        <v>2237</v>
      </c>
      <c r="P1958" s="14" t="s">
        <v>2236</v>
      </c>
      <c r="Q1958" s="17" t="s">
        <v>2242</v>
      </c>
      <c r="R1958" s="17" t="s">
        <v>2238</v>
      </c>
      <c r="S1958" s="17" t="s">
        <v>2243</v>
      </c>
      <c r="T1958" s="17" t="s">
        <v>4137</v>
      </c>
      <c r="U19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E530-3012978-D235301</v>
      </c>
      <c r="X19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5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8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9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59" spans="1:31" hidden="1" x14ac:dyDescent="0.3">
      <c r="A1959" s="14" t="s">
        <v>3895</v>
      </c>
      <c r="B1959" s="14" t="s">
        <v>26</v>
      </c>
      <c r="C1959" s="14" t="s">
        <v>307</v>
      </c>
      <c r="D1959" s="14" t="s">
        <v>308</v>
      </c>
      <c r="E1959" s="14" t="s">
        <v>4136</v>
      </c>
      <c r="F1959" s="8">
        <v>40671</v>
      </c>
      <c r="G1959" s="14" t="s">
        <v>2237</v>
      </c>
      <c r="H1959" s="16">
        <v>40671</v>
      </c>
      <c r="I1959" s="14" t="s">
        <v>2237</v>
      </c>
      <c r="J1959" s="16">
        <v>0</v>
      </c>
      <c r="K1959" s="14" t="s">
        <v>2237</v>
      </c>
      <c r="L1959" s="16">
        <v>0</v>
      </c>
      <c r="M1959" s="14" t="s">
        <v>2237</v>
      </c>
      <c r="N1959" s="8">
        <v>37958.17</v>
      </c>
      <c r="O1959" s="14" t="s">
        <v>2237</v>
      </c>
      <c r="P1959" s="14" t="s">
        <v>2236</v>
      </c>
      <c r="Q1959" s="17" t="s">
        <v>2242</v>
      </c>
      <c r="R1959" s="17" t="s">
        <v>2238</v>
      </c>
      <c r="S1959" s="17" t="s">
        <v>2243</v>
      </c>
      <c r="T1959" s="17" t="s">
        <v>4138</v>
      </c>
      <c r="U195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5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5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E530-3012978-D235301</v>
      </c>
      <c r="X195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E530-301297856-D235301</v>
      </c>
      <c r="Y19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5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59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959" s="10" t="str">
        <f>IF(IFERROR(INDEX(WBS_Dictionary!L$2:L$1212, MATCH(Table2[[#This Row],[WBS_ID]], Table26[WBS CODE],0)), "") = "", "null", IFERROR(INDEX(WBS_Dictionary!L$2:L$1212, MATCH(Table2[[#This Row],[WBS_ID]], Table26[WBS CODE],0)), ""))</f>
        <v>Security</v>
      </c>
      <c r="AC19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0" spans="1:31" hidden="1" x14ac:dyDescent="0.3">
      <c r="A1960" s="14" t="s">
        <v>3896</v>
      </c>
      <c r="B1960" s="14" t="s">
        <v>30</v>
      </c>
      <c r="C1960" s="14" t="s">
        <v>307</v>
      </c>
      <c r="D1960" s="14" t="s">
        <v>309</v>
      </c>
      <c r="E1960" s="14" t="s">
        <v>4136</v>
      </c>
      <c r="F1960" s="8">
        <v>0</v>
      </c>
      <c r="G1960" s="14" t="s">
        <v>2237</v>
      </c>
      <c r="H1960" s="16">
        <v>0</v>
      </c>
      <c r="I1960" s="14" t="s">
        <v>2237</v>
      </c>
      <c r="J1960" s="16">
        <v>0</v>
      </c>
      <c r="K1960" s="14" t="s">
        <v>2237</v>
      </c>
      <c r="L1960" s="16">
        <v>0</v>
      </c>
      <c r="M1960" s="14" t="s">
        <v>2237</v>
      </c>
      <c r="N1960" s="8">
        <v>37958.17</v>
      </c>
      <c r="O1960" s="14" t="s">
        <v>2237</v>
      </c>
      <c r="P1960" s="14" t="s">
        <v>2236</v>
      </c>
      <c r="Q1960" s="17" t="s">
        <v>2242</v>
      </c>
      <c r="R1960" s="17" t="s">
        <v>2238</v>
      </c>
      <c r="S1960" s="17" t="s">
        <v>2243</v>
      </c>
      <c r="T1960" s="17" t="s">
        <v>4142</v>
      </c>
      <c r="U196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E530-3012978-D235301</v>
      </c>
      <c r="X196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E530-301297856-D235301</v>
      </c>
      <c r="Y1960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E530-30129785627-D235301</v>
      </c>
      <c r="Z196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0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960" s="10" t="str">
        <f>IF(IFERROR(INDEX(WBS_Dictionary!L$2:L$1212, MATCH(Table2[[#This Row],[WBS_ID]], Table26[WBS CODE],0)), "") = "", "null", IFERROR(INDEX(WBS_Dictionary!L$2:L$1212, MATCH(Table2[[#This Row],[WBS_ID]], Table26[WBS CODE],0)), ""))</f>
        <v>Security</v>
      </c>
      <c r="AC1960" s="10" t="str">
        <f>IF(IFERROR(INDEX(WBS_Dictionary!M$2:M$1212, MATCH(Table2[[#This Row],[WBS_ID]], Table26[WBS CODE],0)), "") = "", "null", IFERROR(INDEX(WBS_Dictionary!M$2:M$1212, MATCH(Table2[[#This Row],[WBS_ID]], Table26[WBS CODE],0)), ""))</f>
        <v>Security</v>
      </c>
      <c r="AD19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1" spans="1:31" hidden="1" x14ac:dyDescent="0.3">
      <c r="A1961" s="14" t="s">
        <v>3897</v>
      </c>
      <c r="B1961" s="14" t="s">
        <v>26</v>
      </c>
      <c r="C1961" s="14" t="s">
        <v>310</v>
      </c>
      <c r="D1961" s="14" t="s">
        <v>311</v>
      </c>
      <c r="E1961" s="14" t="s">
        <v>4136</v>
      </c>
      <c r="F1961" s="8">
        <v>83598.09</v>
      </c>
      <c r="G1961" s="14" t="s">
        <v>2237</v>
      </c>
      <c r="H1961" s="16">
        <v>83598.09</v>
      </c>
      <c r="I1961" s="14" t="s">
        <v>2237</v>
      </c>
      <c r="J1961" s="16">
        <v>0</v>
      </c>
      <c r="K1961" s="14" t="s">
        <v>2237</v>
      </c>
      <c r="L1961" s="16">
        <v>0</v>
      </c>
      <c r="M1961" s="14" t="s">
        <v>2237</v>
      </c>
      <c r="N1961" s="8">
        <v>82973.05</v>
      </c>
      <c r="O1961" s="14" t="s">
        <v>2237</v>
      </c>
      <c r="P1961" s="14" t="s">
        <v>2236</v>
      </c>
      <c r="Q1961" s="17" t="s">
        <v>2242</v>
      </c>
      <c r="R1961" s="17" t="s">
        <v>2238</v>
      </c>
      <c r="S1961" s="17" t="s">
        <v>2243</v>
      </c>
      <c r="T1961" s="17" t="s">
        <v>4138</v>
      </c>
      <c r="U196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E530-3012978-D235301</v>
      </c>
      <c r="X196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E530-301297862-D235301</v>
      </c>
      <c r="Y19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6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1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961" s="10" t="str">
        <f>IF(IFERROR(INDEX(WBS_Dictionary!L$2:L$1212, MATCH(Table2[[#This Row],[WBS_ID]], Table26[WBS CODE],0)), "") = "", "null", IFERROR(INDEX(WBS_Dictionary!L$2:L$1212, MATCH(Table2[[#This Row],[WBS_ID]], Table26[WBS CODE],0)), ""))</f>
        <v>PGPA</v>
      </c>
      <c r="AC19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2" spans="1:31" hidden="1" x14ac:dyDescent="0.3">
      <c r="A1962" s="14" t="s">
        <v>3898</v>
      </c>
      <c r="B1962" s="14" t="s">
        <v>30</v>
      </c>
      <c r="C1962" s="14" t="s">
        <v>310</v>
      </c>
      <c r="D1962" s="14" t="s">
        <v>312</v>
      </c>
      <c r="E1962" s="14" t="s">
        <v>4136</v>
      </c>
      <c r="F1962" s="8">
        <v>0</v>
      </c>
      <c r="G1962" s="14" t="s">
        <v>2237</v>
      </c>
      <c r="H1962" s="16">
        <v>0</v>
      </c>
      <c r="I1962" s="14" t="s">
        <v>2237</v>
      </c>
      <c r="J1962" s="16">
        <v>0</v>
      </c>
      <c r="K1962" s="14" t="s">
        <v>2237</v>
      </c>
      <c r="L1962" s="16">
        <v>0</v>
      </c>
      <c r="M1962" s="14" t="s">
        <v>2237</v>
      </c>
      <c r="N1962" s="8">
        <v>82973.05</v>
      </c>
      <c r="O1962" s="14" t="s">
        <v>2237</v>
      </c>
      <c r="P1962" s="14" t="s">
        <v>2236</v>
      </c>
      <c r="Q1962" s="17" t="s">
        <v>2242</v>
      </c>
      <c r="R1962" s="17" t="s">
        <v>2238</v>
      </c>
      <c r="S1962" s="17" t="s">
        <v>2243</v>
      </c>
      <c r="T1962" s="17" t="s">
        <v>4142</v>
      </c>
      <c r="U196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E530-3012978-D235301</v>
      </c>
      <c r="X196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E530-301297862-D235301</v>
      </c>
      <c r="Y1962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E530-30129786227-D235301</v>
      </c>
      <c r="Z196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2" s="10" t="str">
        <f>IF(IFERROR(INDEX(WBS_Dictionary!K$2:K$1212, MATCH(Table2[[#This Row],[WBS_ID]], Table26[WBS CODE],0)), "") = "", "null", IFERROR(INDEX(WBS_Dictionary!K$2:K$1212, MATCH(Table2[[#This Row],[WBS_ID]], Table26[WBS CODE],0)), ""))</f>
        <v>PGPA &amp; Security</v>
      </c>
      <c r="AB1962" s="10" t="str">
        <f>IF(IFERROR(INDEX(WBS_Dictionary!L$2:L$1212, MATCH(Table2[[#This Row],[WBS_ID]], Table26[WBS CODE],0)), "") = "", "null", IFERROR(INDEX(WBS_Dictionary!L$2:L$1212, MATCH(Table2[[#This Row],[WBS_ID]], Table26[WBS CODE],0)), ""))</f>
        <v>PGPA</v>
      </c>
      <c r="AC1962" s="10" t="str">
        <f>IF(IFERROR(INDEX(WBS_Dictionary!M$2:M$1212, MATCH(Table2[[#This Row],[WBS_ID]], Table26[WBS CODE],0)), "") = "", "null", IFERROR(INDEX(WBS_Dictionary!M$2:M$1212, MATCH(Table2[[#This Row],[WBS_ID]], Table26[WBS CODE],0)), ""))</f>
        <v>PGPA</v>
      </c>
      <c r="AD19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3" spans="1:31" hidden="1" x14ac:dyDescent="0.3">
      <c r="A1963" s="14" t="s">
        <v>3899</v>
      </c>
      <c r="B1963" s="14" t="s">
        <v>21</v>
      </c>
      <c r="C1963" s="14" t="s">
        <v>313</v>
      </c>
      <c r="D1963" s="14" t="s">
        <v>314</v>
      </c>
      <c r="E1963" s="14" t="s">
        <v>4136</v>
      </c>
      <c r="F1963" s="8">
        <v>642593.80000000005</v>
      </c>
      <c r="G1963" s="14" t="s">
        <v>2237</v>
      </c>
      <c r="H1963" s="16">
        <v>642593.80000000005</v>
      </c>
      <c r="I1963" s="14" t="s">
        <v>2237</v>
      </c>
      <c r="J1963" s="16">
        <v>0</v>
      </c>
      <c r="K1963" s="14" t="s">
        <v>2237</v>
      </c>
      <c r="L1963" s="16">
        <v>0</v>
      </c>
      <c r="M1963" s="14" t="s">
        <v>2237</v>
      </c>
      <c r="N1963" s="8">
        <v>523834.58</v>
      </c>
      <c r="O1963" s="14" t="s">
        <v>2237</v>
      </c>
      <c r="P1963" s="14" t="s">
        <v>2236</v>
      </c>
      <c r="Q1963" s="17" t="s">
        <v>2242</v>
      </c>
      <c r="R1963" s="17" t="s">
        <v>2238</v>
      </c>
      <c r="S1963" s="17" t="s">
        <v>2243</v>
      </c>
      <c r="T1963" s="17" t="s">
        <v>4137</v>
      </c>
      <c r="U196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6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3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4" spans="1:31" hidden="1" x14ac:dyDescent="0.3">
      <c r="A1964" s="14" t="s">
        <v>3900</v>
      </c>
      <c r="B1964" s="14" t="s">
        <v>26</v>
      </c>
      <c r="C1964" s="14" t="s">
        <v>315</v>
      </c>
      <c r="D1964" s="14" t="s">
        <v>316</v>
      </c>
      <c r="E1964" s="14" t="s">
        <v>4136</v>
      </c>
      <c r="F1964" s="8">
        <v>21085</v>
      </c>
      <c r="G1964" s="14" t="s">
        <v>2237</v>
      </c>
      <c r="H1964" s="16">
        <v>21085</v>
      </c>
      <c r="I1964" s="14" t="s">
        <v>2237</v>
      </c>
      <c r="J1964" s="16">
        <v>0</v>
      </c>
      <c r="K1964" s="14" t="s">
        <v>2237</v>
      </c>
      <c r="L1964" s="16">
        <v>0</v>
      </c>
      <c r="M1964" s="14" t="s">
        <v>2237</v>
      </c>
      <c r="N1964" s="8">
        <v>19289.669999999998</v>
      </c>
      <c r="O1964" s="14" t="s">
        <v>2237</v>
      </c>
      <c r="P1964" s="14" t="s">
        <v>2236</v>
      </c>
      <c r="Q1964" s="17" t="s">
        <v>2242</v>
      </c>
      <c r="R1964" s="17" t="s">
        <v>2238</v>
      </c>
      <c r="S1964" s="17" t="s">
        <v>2243</v>
      </c>
      <c r="T1964" s="17" t="s">
        <v>4138</v>
      </c>
      <c r="U196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6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E530-301297727-D235301</v>
      </c>
      <c r="Y19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6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4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64" s="10" t="str">
        <f>IF(IFERROR(INDEX(WBS_Dictionary!L$2:L$1212, MATCH(Table2[[#This Row],[WBS_ID]], Table26[WBS CODE],0)), "") = "", "null", IFERROR(INDEX(WBS_Dictionary!L$2:L$1212, MATCH(Table2[[#This Row],[WBS_ID]], Table26[WBS CODE],0)), ""))</f>
        <v>SHE Permit</v>
      </c>
      <c r="AC19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5" spans="1:31" hidden="1" x14ac:dyDescent="0.3">
      <c r="A1965" s="14" t="s">
        <v>3901</v>
      </c>
      <c r="B1965" s="14" t="s">
        <v>30</v>
      </c>
      <c r="C1965" s="14" t="s">
        <v>317</v>
      </c>
      <c r="D1965" s="14" t="s">
        <v>318</v>
      </c>
      <c r="E1965" s="14" t="s">
        <v>4136</v>
      </c>
      <c r="F1965" s="8">
        <v>0</v>
      </c>
      <c r="G1965" s="14" t="s">
        <v>2237</v>
      </c>
      <c r="H1965" s="16">
        <v>0</v>
      </c>
      <c r="I1965" s="14" t="s">
        <v>2237</v>
      </c>
      <c r="J1965" s="16">
        <v>0</v>
      </c>
      <c r="K1965" s="14" t="s">
        <v>2237</v>
      </c>
      <c r="L1965" s="16">
        <v>0</v>
      </c>
      <c r="M1965" s="14" t="s">
        <v>2237</v>
      </c>
      <c r="N1965" s="8">
        <v>19289.669999999998</v>
      </c>
      <c r="O1965" s="14" t="s">
        <v>2237</v>
      </c>
      <c r="P1965" s="14" t="s">
        <v>2236</v>
      </c>
      <c r="Q1965" s="17" t="s">
        <v>2242</v>
      </c>
      <c r="R1965" s="17" t="s">
        <v>2238</v>
      </c>
      <c r="S1965" s="17" t="s">
        <v>2243</v>
      </c>
      <c r="T1965" s="17" t="s">
        <v>4142</v>
      </c>
      <c r="U196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6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E530-301297727-D235301</v>
      </c>
      <c r="Y1965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E530-30129772724-D235301</v>
      </c>
      <c r="Z196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5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65" s="10" t="str">
        <f>IF(IFERROR(INDEX(WBS_Dictionary!L$2:L$1212, MATCH(Table2[[#This Row],[WBS_ID]], Table26[WBS CODE],0)), "") = "", "null", IFERROR(INDEX(WBS_Dictionary!L$2:L$1212, MATCH(Table2[[#This Row],[WBS_ID]], Table26[WBS CODE],0)), ""))</f>
        <v>SHE Permit</v>
      </c>
      <c r="AC1965" s="10" t="str">
        <f>IF(IFERROR(INDEX(WBS_Dictionary!M$2:M$1212, MATCH(Table2[[#This Row],[WBS_ID]], Table26[WBS CODE],0)), "") = "", "null", IFERROR(INDEX(WBS_Dictionary!M$2:M$1212, MATCH(Table2[[#This Row],[WBS_ID]], Table26[WBS CODE],0)), ""))</f>
        <v>Environment Permit</v>
      </c>
      <c r="AD19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6" spans="1:31" hidden="1" x14ac:dyDescent="0.3">
      <c r="A1966" s="14" t="s">
        <v>3902</v>
      </c>
      <c r="B1966" s="14" t="s">
        <v>26</v>
      </c>
      <c r="C1966" s="14" t="s">
        <v>319</v>
      </c>
      <c r="D1966" s="14" t="s">
        <v>320</v>
      </c>
      <c r="E1966" s="14" t="s">
        <v>4136</v>
      </c>
      <c r="F1966" s="8">
        <v>26134</v>
      </c>
      <c r="G1966" s="14" t="s">
        <v>2237</v>
      </c>
      <c r="H1966" s="16">
        <v>26134</v>
      </c>
      <c r="I1966" s="14" t="s">
        <v>2237</v>
      </c>
      <c r="J1966" s="16">
        <v>0</v>
      </c>
      <c r="K1966" s="14" t="s">
        <v>2237</v>
      </c>
      <c r="L1966" s="16">
        <v>0</v>
      </c>
      <c r="M1966" s="14" t="s">
        <v>2237</v>
      </c>
      <c r="N1966" s="8">
        <v>20422.64</v>
      </c>
      <c r="O1966" s="14" t="s">
        <v>2237</v>
      </c>
      <c r="P1966" s="14" t="s">
        <v>2236</v>
      </c>
      <c r="Q1966" s="17" t="s">
        <v>2242</v>
      </c>
      <c r="R1966" s="17" t="s">
        <v>2238</v>
      </c>
      <c r="S1966" s="17" t="s">
        <v>2243</v>
      </c>
      <c r="T1966" s="17" t="s">
        <v>4137</v>
      </c>
      <c r="U196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6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E530-301297759-D235301</v>
      </c>
      <c r="Y19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6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6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66" s="10" t="str">
        <f>IF(IFERROR(INDEX(WBS_Dictionary!L$2:L$1212, MATCH(Table2[[#This Row],[WBS_ID]], Table26[WBS CODE],0)), "") = "", "null", IFERROR(INDEX(WBS_Dictionary!L$2:L$1212, MATCH(Table2[[#This Row],[WBS_ID]], Table26[WBS CODE],0)), ""))</f>
        <v>Environmental Monitoring</v>
      </c>
      <c r="AC19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7" spans="1:31" hidden="1" x14ac:dyDescent="0.3">
      <c r="A1967" s="14" t="s">
        <v>3903</v>
      </c>
      <c r="B1967" s="14" t="s">
        <v>30</v>
      </c>
      <c r="C1967" s="14" t="s">
        <v>319</v>
      </c>
      <c r="D1967" s="14" t="s">
        <v>321</v>
      </c>
      <c r="E1967" s="14" t="s">
        <v>4136</v>
      </c>
      <c r="F1967" s="8">
        <v>0</v>
      </c>
      <c r="G1967" s="14" t="s">
        <v>2237</v>
      </c>
      <c r="H1967" s="16">
        <v>0</v>
      </c>
      <c r="I1967" s="14" t="s">
        <v>2237</v>
      </c>
      <c r="J1967" s="16">
        <v>0</v>
      </c>
      <c r="K1967" s="14" t="s">
        <v>2237</v>
      </c>
      <c r="L1967" s="16">
        <v>0</v>
      </c>
      <c r="M1967" s="14" t="s">
        <v>2237</v>
      </c>
      <c r="N1967" s="8">
        <v>20422.64</v>
      </c>
      <c r="O1967" s="14" t="s">
        <v>2237</v>
      </c>
      <c r="P1967" s="14" t="s">
        <v>2236</v>
      </c>
      <c r="Q1967" s="17" t="s">
        <v>2242</v>
      </c>
      <c r="R1967" s="17" t="s">
        <v>2238</v>
      </c>
      <c r="S1967" s="17" t="s">
        <v>2243</v>
      </c>
      <c r="T1967" s="17" t="s">
        <v>4142</v>
      </c>
      <c r="U196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6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E530-301297759-D235301</v>
      </c>
      <c r="Y1967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E530-30129775920-D235301</v>
      </c>
      <c r="Z196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7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67" s="10" t="str">
        <f>IF(IFERROR(INDEX(WBS_Dictionary!L$2:L$1212, MATCH(Table2[[#This Row],[WBS_ID]], Table26[WBS CODE],0)), "") = "", "null", IFERROR(INDEX(WBS_Dictionary!L$2:L$1212, MATCH(Table2[[#This Row],[WBS_ID]], Table26[WBS CODE],0)), ""))</f>
        <v>Environmental Monitoring</v>
      </c>
      <c r="AC1967" s="10" t="str">
        <f>IF(IFERROR(INDEX(WBS_Dictionary!M$2:M$1212, MATCH(Table2[[#This Row],[WBS_ID]], Table26[WBS CODE],0)), "") = "", "null", IFERROR(INDEX(WBS_Dictionary!M$2:M$1212, MATCH(Table2[[#This Row],[WBS_ID]], Table26[WBS CODE],0)), ""))</f>
        <v>Environmental Monitoring</v>
      </c>
      <c r="AD19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8" spans="1:31" hidden="1" x14ac:dyDescent="0.3">
      <c r="A1968" s="14" t="s">
        <v>3904</v>
      </c>
      <c r="B1968" s="14" t="s">
        <v>26</v>
      </c>
      <c r="C1968" s="14" t="s">
        <v>322</v>
      </c>
      <c r="D1968" s="14" t="s">
        <v>323</v>
      </c>
      <c r="E1968" s="14" t="s">
        <v>4136</v>
      </c>
      <c r="F1968" s="8">
        <v>18867.8</v>
      </c>
      <c r="G1968" s="14" t="s">
        <v>2237</v>
      </c>
      <c r="H1968" s="16">
        <v>18867.8</v>
      </c>
      <c r="I1968" s="14" t="s">
        <v>2237</v>
      </c>
      <c r="J1968" s="16">
        <v>0</v>
      </c>
      <c r="K1968" s="14" t="s">
        <v>2237</v>
      </c>
      <c r="L1968" s="16">
        <v>0</v>
      </c>
      <c r="M1968" s="14" t="s">
        <v>2237</v>
      </c>
      <c r="N1968" s="8">
        <v>18729.87</v>
      </c>
      <c r="O1968" s="14" t="s">
        <v>2237</v>
      </c>
      <c r="P1968" s="14" t="s">
        <v>2236</v>
      </c>
      <c r="Q1968" s="17" t="s">
        <v>2242</v>
      </c>
      <c r="R1968" s="17" t="s">
        <v>2238</v>
      </c>
      <c r="S1968" s="17" t="s">
        <v>2243</v>
      </c>
      <c r="T1968" s="17" t="s">
        <v>4138</v>
      </c>
      <c r="U196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6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E530-301297757-D235301</v>
      </c>
      <c r="Y19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6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8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68" s="10" t="str">
        <f>IF(IFERROR(INDEX(WBS_Dictionary!L$2:L$1212, MATCH(Table2[[#This Row],[WBS_ID]], Table26[WBS CODE],0)), "") = "", "null", IFERROR(INDEX(WBS_Dictionary!L$2:L$1212, MATCH(Table2[[#This Row],[WBS_ID]], Table26[WBS CODE],0)), ""))</f>
        <v>Hazardous Waste</v>
      </c>
      <c r="AC19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69" spans="1:31" hidden="1" x14ac:dyDescent="0.3">
      <c r="A1969" s="14" t="s">
        <v>3905</v>
      </c>
      <c r="B1969" s="14" t="s">
        <v>30</v>
      </c>
      <c r="C1969" s="14" t="s">
        <v>322</v>
      </c>
      <c r="D1969" s="14" t="s">
        <v>324</v>
      </c>
      <c r="E1969" s="14" t="s">
        <v>4136</v>
      </c>
      <c r="F1969" s="8">
        <v>0</v>
      </c>
      <c r="G1969" s="14" t="s">
        <v>2237</v>
      </c>
      <c r="H1969" s="16">
        <v>0</v>
      </c>
      <c r="I1969" s="14" t="s">
        <v>2237</v>
      </c>
      <c r="J1969" s="16">
        <v>0</v>
      </c>
      <c r="K1969" s="14" t="s">
        <v>2237</v>
      </c>
      <c r="L1969" s="16">
        <v>0</v>
      </c>
      <c r="M1969" s="14" t="s">
        <v>2237</v>
      </c>
      <c r="N1969" s="8">
        <v>18729.87</v>
      </c>
      <c r="O1969" s="14" t="s">
        <v>2237</v>
      </c>
      <c r="P1969" s="14" t="s">
        <v>2236</v>
      </c>
      <c r="Q1969" s="17" t="s">
        <v>2242</v>
      </c>
      <c r="R1969" s="17" t="s">
        <v>2238</v>
      </c>
      <c r="S1969" s="17" t="s">
        <v>2243</v>
      </c>
      <c r="T1969" s="17" t="s">
        <v>4142</v>
      </c>
      <c r="U196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6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6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6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E530-301297757-D235301</v>
      </c>
      <c r="Y1969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E530-30129775736-D235301</v>
      </c>
      <c r="Z196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69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69" s="10" t="str">
        <f>IF(IFERROR(INDEX(WBS_Dictionary!L$2:L$1212, MATCH(Table2[[#This Row],[WBS_ID]], Table26[WBS CODE],0)), "") = "", "null", IFERROR(INDEX(WBS_Dictionary!L$2:L$1212, MATCH(Table2[[#This Row],[WBS_ID]], Table26[WBS CODE],0)), ""))</f>
        <v>Hazardous Waste</v>
      </c>
      <c r="AC1969" s="10" t="str">
        <f>IF(IFERROR(INDEX(WBS_Dictionary!M$2:M$1212, MATCH(Table2[[#This Row],[WBS_ID]], Table26[WBS CODE],0)), "") = "", "null", IFERROR(INDEX(WBS_Dictionary!M$2:M$1212, MATCH(Table2[[#This Row],[WBS_ID]], Table26[WBS CODE],0)), ""))</f>
        <v>Hazardous Waste</v>
      </c>
      <c r="AD19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70" spans="1:31" hidden="1" x14ac:dyDescent="0.3">
      <c r="A1970" s="14" t="s">
        <v>3906</v>
      </c>
      <c r="B1970" s="14" t="s">
        <v>26</v>
      </c>
      <c r="C1970" s="14" t="s">
        <v>325</v>
      </c>
      <c r="D1970" s="14" t="s">
        <v>326</v>
      </c>
      <c r="E1970" s="14" t="s">
        <v>4136</v>
      </c>
      <c r="F1970" s="8">
        <v>576507</v>
      </c>
      <c r="G1970" s="14" t="s">
        <v>2237</v>
      </c>
      <c r="H1970" s="16">
        <v>576507</v>
      </c>
      <c r="I1970" s="14" t="s">
        <v>2237</v>
      </c>
      <c r="J1970" s="16">
        <v>0</v>
      </c>
      <c r="K1970" s="14" t="s">
        <v>2237</v>
      </c>
      <c r="L1970" s="16">
        <v>0</v>
      </c>
      <c r="M1970" s="14" t="s">
        <v>2237</v>
      </c>
      <c r="N1970" s="8">
        <v>465392.4</v>
      </c>
      <c r="O1970" s="14" t="s">
        <v>2237</v>
      </c>
      <c r="P1970" s="14" t="s">
        <v>2236</v>
      </c>
      <c r="Q1970" s="17" t="s">
        <v>2242</v>
      </c>
      <c r="R1970" s="17" t="s">
        <v>2238</v>
      </c>
      <c r="S1970" s="17" t="s">
        <v>2243</v>
      </c>
      <c r="T1970" s="17" t="s">
        <v>4138</v>
      </c>
      <c r="U197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7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E530-301297758-D235301</v>
      </c>
      <c r="Y19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7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0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70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19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71" spans="1:31" hidden="1" x14ac:dyDescent="0.3">
      <c r="A1971" s="14" t="s">
        <v>3907</v>
      </c>
      <c r="B1971" s="14" t="s">
        <v>30</v>
      </c>
      <c r="C1971" s="14" t="s">
        <v>327</v>
      </c>
      <c r="D1971" s="14" t="s">
        <v>328</v>
      </c>
      <c r="E1971" s="14" t="s">
        <v>4136</v>
      </c>
      <c r="F1971" s="8">
        <v>0</v>
      </c>
      <c r="G1971" s="14" t="s">
        <v>2237</v>
      </c>
      <c r="H1971" s="16">
        <v>0</v>
      </c>
      <c r="I1971" s="14" t="s">
        <v>2237</v>
      </c>
      <c r="J1971" s="16">
        <v>0</v>
      </c>
      <c r="K1971" s="14" t="s">
        <v>2237</v>
      </c>
      <c r="L1971" s="16">
        <v>0</v>
      </c>
      <c r="M1971" s="14" t="s">
        <v>2237</v>
      </c>
      <c r="N1971" s="8">
        <v>22092.53</v>
      </c>
      <c r="O1971" s="14" t="s">
        <v>2237</v>
      </c>
      <c r="P1971" s="14" t="s">
        <v>2236</v>
      </c>
      <c r="Q1971" s="17" t="s">
        <v>2242</v>
      </c>
      <c r="R1971" s="17" t="s">
        <v>2238</v>
      </c>
      <c r="S1971" s="17" t="s">
        <v>2243</v>
      </c>
      <c r="T1971" s="17" t="s">
        <v>4142</v>
      </c>
      <c r="U197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7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E530-301297758-D235301</v>
      </c>
      <c r="Y197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E530-30129775816-D235301</v>
      </c>
      <c r="Z197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1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71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1971" s="10" t="str">
        <f>IF(IFERROR(INDEX(WBS_Dictionary!M$2:M$1212, MATCH(Table2[[#This Row],[WBS_ID]], Table26[WBS CODE],0)), "") = "", "null", IFERROR(INDEX(WBS_Dictionary!M$2:M$1212, MATCH(Table2[[#This Row],[WBS_ID]], Table26[WBS CODE],0)), ""))</f>
        <v>Heavy Equipment for Drill Cutting</v>
      </c>
      <c r="AD19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72" spans="1:31" hidden="1" x14ac:dyDescent="0.3">
      <c r="A1972" s="14" t="s">
        <v>3908</v>
      </c>
      <c r="B1972" s="14" t="s">
        <v>30</v>
      </c>
      <c r="C1972" s="14" t="s">
        <v>329</v>
      </c>
      <c r="D1972" s="14" t="s">
        <v>330</v>
      </c>
      <c r="E1972" s="14" t="s">
        <v>4136</v>
      </c>
      <c r="F1972" s="8">
        <v>0</v>
      </c>
      <c r="G1972" s="14" t="s">
        <v>2237</v>
      </c>
      <c r="H1972" s="16">
        <v>0</v>
      </c>
      <c r="I1972" s="14" t="s">
        <v>2237</v>
      </c>
      <c r="J1972" s="16">
        <v>0</v>
      </c>
      <c r="K1972" s="14" t="s">
        <v>2237</v>
      </c>
      <c r="L1972" s="16">
        <v>0</v>
      </c>
      <c r="M1972" s="14" t="s">
        <v>2237</v>
      </c>
      <c r="N1972" s="8">
        <v>443299.87</v>
      </c>
      <c r="O1972" s="14" t="s">
        <v>2237</v>
      </c>
      <c r="P1972" s="14" t="s">
        <v>2236</v>
      </c>
      <c r="Q1972" s="17" t="s">
        <v>2242</v>
      </c>
      <c r="R1972" s="17" t="s">
        <v>2238</v>
      </c>
      <c r="S1972" s="17" t="s">
        <v>2243</v>
      </c>
      <c r="T1972" s="17" t="s">
        <v>4142</v>
      </c>
      <c r="U197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E530-3012977-D235301</v>
      </c>
      <c r="X197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E530-301297758-D235301</v>
      </c>
      <c r="Y1972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E530-30129775817-D235301</v>
      </c>
      <c r="Z197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2" s="10" t="str">
        <f>IF(IFERROR(INDEX(WBS_Dictionary!K$2:K$1212, MATCH(Table2[[#This Row],[WBS_ID]], Table26[WBS CODE],0)), "") = "", "null", IFERROR(INDEX(WBS_Dictionary!K$2:K$1212, MATCH(Table2[[#This Row],[WBS_ID]], Table26[WBS CODE],0)), ""))</f>
        <v>SHE</v>
      </c>
      <c r="AB1972" s="10" t="str">
        <f>IF(IFERROR(INDEX(WBS_Dictionary!L$2:L$1212, MATCH(Table2[[#This Row],[WBS_ID]], Table26[WBS CODE],0)), "") = "", "null", IFERROR(INDEX(WBS_Dictionary!L$2:L$1212, MATCH(Table2[[#This Row],[WBS_ID]], Table26[WBS CODE],0)), ""))</f>
        <v>Drill Cutting</v>
      </c>
      <c r="AC1972" s="10" t="str">
        <f>IF(IFERROR(INDEX(WBS_Dictionary!M$2:M$1212, MATCH(Table2[[#This Row],[WBS_ID]], Table26[WBS CODE],0)), "") = "", "null", IFERROR(INDEX(WBS_Dictionary!M$2:M$1212, MATCH(Table2[[#This Row],[WBS_ID]], Table26[WBS CODE],0)), ""))</f>
        <v>Drill Cutting - Transport &amp; Process</v>
      </c>
      <c r="AD19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73" spans="1:31" hidden="1" x14ac:dyDescent="0.3">
      <c r="A1973" s="14" t="s">
        <v>3909</v>
      </c>
      <c r="B1973" s="14" t="s">
        <v>21</v>
      </c>
      <c r="C1973" s="14" t="s">
        <v>332</v>
      </c>
      <c r="D1973" s="14" t="s">
        <v>333</v>
      </c>
      <c r="E1973" s="14" t="s">
        <v>4136</v>
      </c>
      <c r="F1973" s="8">
        <v>111636</v>
      </c>
      <c r="G1973" s="14" t="s">
        <v>2237</v>
      </c>
      <c r="H1973" s="16">
        <v>111636</v>
      </c>
      <c r="I1973" s="14" t="s">
        <v>2237</v>
      </c>
      <c r="J1973" s="16">
        <v>0</v>
      </c>
      <c r="K1973" s="14" t="s">
        <v>2237</v>
      </c>
      <c r="L1973" s="16">
        <v>0</v>
      </c>
      <c r="M1973" s="14" t="s">
        <v>2237</v>
      </c>
      <c r="N1973" s="8">
        <v>110325.8</v>
      </c>
      <c r="O1973" s="14" t="s">
        <v>2237</v>
      </c>
      <c r="P1973" s="14" t="s">
        <v>2236</v>
      </c>
      <c r="Q1973" s="17" t="s">
        <v>2242</v>
      </c>
      <c r="R1973" s="17" t="s">
        <v>2238</v>
      </c>
      <c r="S1973" s="17" t="s">
        <v>2243</v>
      </c>
      <c r="T1973" s="17" t="s">
        <v>4137</v>
      </c>
      <c r="U197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7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3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74" spans="1:31" x14ac:dyDescent="0.3">
      <c r="A1974" s="14" t="s">
        <v>3910</v>
      </c>
      <c r="B1974" s="14" t="s">
        <v>26</v>
      </c>
      <c r="C1974" s="14" t="s">
        <v>334</v>
      </c>
      <c r="D1974" s="14" t="s">
        <v>335</v>
      </c>
      <c r="E1974" s="14" t="s">
        <v>4136</v>
      </c>
      <c r="F1974" s="8">
        <v>0</v>
      </c>
      <c r="G1974" s="14" t="s">
        <v>2237</v>
      </c>
      <c r="H1974" s="16">
        <v>0</v>
      </c>
      <c r="I1974" s="14" t="s">
        <v>2237</v>
      </c>
      <c r="J1974" s="16">
        <v>0</v>
      </c>
      <c r="K1974" s="14" t="s">
        <v>2237</v>
      </c>
      <c r="L1974" s="16">
        <v>0</v>
      </c>
      <c r="M1974" s="14" t="s">
        <v>2237</v>
      </c>
      <c r="N1974" s="8">
        <v>0</v>
      </c>
      <c r="O1974" s="14" t="s">
        <v>2237</v>
      </c>
      <c r="P1974" s="14" t="s">
        <v>2236</v>
      </c>
      <c r="Q1974" s="17" t="s">
        <v>2242</v>
      </c>
      <c r="R1974" s="17" t="s">
        <v>2238</v>
      </c>
      <c r="S1974" s="17" t="s">
        <v>2243</v>
      </c>
      <c r="T1974" s="17" t="s">
        <v>4137</v>
      </c>
      <c r="U197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7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E530-301297606-D235301</v>
      </c>
      <c r="Y19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7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4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74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7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97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75" spans="1:31" x14ac:dyDescent="0.3">
      <c r="A1975" s="14" t="s">
        <v>3911</v>
      </c>
      <c r="B1975" s="14" t="s">
        <v>30</v>
      </c>
      <c r="C1975" s="14" t="s">
        <v>334</v>
      </c>
      <c r="D1975" s="14" t="s">
        <v>336</v>
      </c>
      <c r="E1975" s="14" t="s">
        <v>4136</v>
      </c>
      <c r="F1975" s="8">
        <v>0</v>
      </c>
      <c r="G1975" s="14" t="s">
        <v>2237</v>
      </c>
      <c r="H1975" s="16">
        <v>0</v>
      </c>
      <c r="I1975" s="14" t="s">
        <v>2237</v>
      </c>
      <c r="J1975" s="16">
        <v>0</v>
      </c>
      <c r="K1975" s="14" t="s">
        <v>2237</v>
      </c>
      <c r="L1975" s="16">
        <v>0</v>
      </c>
      <c r="M1975" s="14" t="s">
        <v>2237</v>
      </c>
      <c r="N1975" s="8">
        <v>0</v>
      </c>
      <c r="O1975" s="14" t="s">
        <v>2237</v>
      </c>
      <c r="P1975" s="14" t="s">
        <v>2236</v>
      </c>
      <c r="Q1975" s="17" t="s">
        <v>2242</v>
      </c>
      <c r="R1975" s="17" t="s">
        <v>2238</v>
      </c>
      <c r="S1975" s="17" t="s">
        <v>2243</v>
      </c>
      <c r="T1975" s="17" t="s">
        <v>4142</v>
      </c>
      <c r="U197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7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E530-301297606-D235301</v>
      </c>
      <c r="Y1975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E530-30129760606-D235301</v>
      </c>
      <c r="Z197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5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75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75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97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97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76" spans="1:31" x14ac:dyDescent="0.3">
      <c r="A1976" s="14" t="s">
        <v>3912</v>
      </c>
      <c r="B1976" s="14" t="s">
        <v>26</v>
      </c>
      <c r="C1976" s="14" t="s">
        <v>337</v>
      </c>
      <c r="D1976" s="14" t="s">
        <v>338</v>
      </c>
      <c r="E1976" s="14" t="s">
        <v>4136</v>
      </c>
      <c r="F1976" s="8">
        <v>20499</v>
      </c>
      <c r="G1976" s="14" t="s">
        <v>2237</v>
      </c>
      <c r="H1976" s="16">
        <v>20499</v>
      </c>
      <c r="I1976" s="14" t="s">
        <v>2237</v>
      </c>
      <c r="J1976" s="16">
        <v>0</v>
      </c>
      <c r="K1976" s="14" t="s">
        <v>2237</v>
      </c>
      <c r="L1976" s="16">
        <v>0</v>
      </c>
      <c r="M1976" s="14" t="s">
        <v>2237</v>
      </c>
      <c r="N1976" s="8">
        <v>20718.12</v>
      </c>
      <c r="O1976" s="14" t="s">
        <v>2237</v>
      </c>
      <c r="P1976" s="14" t="s">
        <v>2236</v>
      </c>
      <c r="Q1976" s="17" t="s">
        <v>2242</v>
      </c>
      <c r="R1976" s="17" t="s">
        <v>2238</v>
      </c>
      <c r="S1976" s="17" t="s">
        <v>2243</v>
      </c>
      <c r="T1976" s="17" t="s">
        <v>4138</v>
      </c>
      <c r="U197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76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E530-301297605-D235301</v>
      </c>
      <c r="Y19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7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6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76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7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9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77" spans="1:31" x14ac:dyDescent="0.3">
      <c r="A1977" s="14" t="s">
        <v>3913</v>
      </c>
      <c r="B1977" s="14" t="s">
        <v>30</v>
      </c>
      <c r="C1977" s="14" t="s">
        <v>337</v>
      </c>
      <c r="D1977" s="14" t="s">
        <v>339</v>
      </c>
      <c r="E1977" s="14" t="s">
        <v>4136</v>
      </c>
      <c r="F1977" s="8">
        <v>0</v>
      </c>
      <c r="G1977" s="14" t="s">
        <v>2237</v>
      </c>
      <c r="H1977" s="16">
        <v>0</v>
      </c>
      <c r="I1977" s="14" t="s">
        <v>2237</v>
      </c>
      <c r="J1977" s="16">
        <v>0</v>
      </c>
      <c r="K1977" s="14" t="s">
        <v>2237</v>
      </c>
      <c r="L1977" s="16">
        <v>0</v>
      </c>
      <c r="M1977" s="14" t="s">
        <v>2237</v>
      </c>
      <c r="N1977" s="8">
        <v>20718.12</v>
      </c>
      <c r="O1977" s="14" t="s">
        <v>2237</v>
      </c>
      <c r="P1977" s="14" t="s">
        <v>2236</v>
      </c>
      <c r="Q1977" s="17" t="s">
        <v>2242</v>
      </c>
      <c r="R1977" s="17" t="s">
        <v>2238</v>
      </c>
      <c r="S1977" s="17" t="s">
        <v>2243</v>
      </c>
      <c r="T1977" s="17" t="s">
        <v>4142</v>
      </c>
      <c r="U197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7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E530-301297605-D235301</v>
      </c>
      <c r="Y1977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E530-30129760505-D235301</v>
      </c>
      <c r="Z197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7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77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77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97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9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78" spans="1:31" x14ac:dyDescent="0.3">
      <c r="A1978" s="14" t="s">
        <v>3914</v>
      </c>
      <c r="B1978" s="14" t="s">
        <v>26</v>
      </c>
      <c r="C1978" s="14" t="s">
        <v>340</v>
      </c>
      <c r="D1978" s="14" t="s">
        <v>341</v>
      </c>
      <c r="E1978" s="14" t="s">
        <v>4136</v>
      </c>
      <c r="F1978" s="8">
        <v>31893</v>
      </c>
      <c r="G1978" s="14" t="s">
        <v>2237</v>
      </c>
      <c r="H1978" s="16">
        <v>31893</v>
      </c>
      <c r="I1978" s="14" t="s">
        <v>2237</v>
      </c>
      <c r="J1978" s="16">
        <v>0</v>
      </c>
      <c r="K1978" s="14" t="s">
        <v>2237</v>
      </c>
      <c r="L1978" s="16">
        <v>0</v>
      </c>
      <c r="M1978" s="14" t="s">
        <v>2237</v>
      </c>
      <c r="N1978" s="8">
        <v>31920.78</v>
      </c>
      <c r="O1978" s="14" t="s">
        <v>2237</v>
      </c>
      <c r="P1978" s="14" t="s">
        <v>2236</v>
      </c>
      <c r="Q1978" s="17" t="s">
        <v>2242</v>
      </c>
      <c r="R1978" s="17" t="s">
        <v>2238</v>
      </c>
      <c r="S1978" s="17" t="s">
        <v>2243</v>
      </c>
      <c r="T1978" s="17" t="s">
        <v>4137</v>
      </c>
      <c r="U197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7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E530-301297604-D235301</v>
      </c>
      <c r="Y19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7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8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78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7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19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79" spans="1:31" x14ac:dyDescent="0.3">
      <c r="A1979" s="14" t="s">
        <v>3915</v>
      </c>
      <c r="B1979" s="14" t="s">
        <v>30</v>
      </c>
      <c r="C1979" s="14" t="s">
        <v>340</v>
      </c>
      <c r="D1979" s="14" t="s">
        <v>342</v>
      </c>
      <c r="E1979" s="14" t="s">
        <v>4136</v>
      </c>
      <c r="F1979" s="8">
        <v>0</v>
      </c>
      <c r="G1979" s="14" t="s">
        <v>2237</v>
      </c>
      <c r="H1979" s="16">
        <v>0</v>
      </c>
      <c r="I1979" s="14" t="s">
        <v>2237</v>
      </c>
      <c r="J1979" s="16">
        <v>0</v>
      </c>
      <c r="K1979" s="14" t="s">
        <v>2237</v>
      </c>
      <c r="L1979" s="16">
        <v>0</v>
      </c>
      <c r="M1979" s="14" t="s">
        <v>2237</v>
      </c>
      <c r="N1979" s="8">
        <v>31920.78</v>
      </c>
      <c r="O1979" s="14" t="s">
        <v>2237</v>
      </c>
      <c r="P1979" s="14" t="s">
        <v>2236</v>
      </c>
      <c r="Q1979" s="17" t="s">
        <v>2242</v>
      </c>
      <c r="R1979" s="17" t="s">
        <v>2238</v>
      </c>
      <c r="S1979" s="17" t="s">
        <v>2243</v>
      </c>
      <c r="T1979" s="17" t="s">
        <v>4142</v>
      </c>
      <c r="U197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79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79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79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E530-301297604-D235301</v>
      </c>
      <c r="Y1979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E530-30129760404-D235301</v>
      </c>
      <c r="Z1979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79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79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79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97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197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0" spans="1:31" x14ac:dyDescent="0.3">
      <c r="A1980" s="14" t="s">
        <v>3916</v>
      </c>
      <c r="B1980" s="14" t="s">
        <v>26</v>
      </c>
      <c r="C1980" s="14" t="s">
        <v>343</v>
      </c>
      <c r="D1980" s="14" t="s">
        <v>344</v>
      </c>
      <c r="E1980" s="14" t="s">
        <v>4136</v>
      </c>
      <c r="F1980" s="8">
        <v>30428</v>
      </c>
      <c r="G1980" s="14" t="s">
        <v>2237</v>
      </c>
      <c r="H1980" s="16">
        <v>30428</v>
      </c>
      <c r="I1980" s="14" t="s">
        <v>2237</v>
      </c>
      <c r="J1980" s="16">
        <v>0</v>
      </c>
      <c r="K1980" s="14" t="s">
        <v>2237</v>
      </c>
      <c r="L1980" s="16">
        <v>0</v>
      </c>
      <c r="M1980" s="14" t="s">
        <v>2237</v>
      </c>
      <c r="N1980" s="8">
        <v>28870.46</v>
      </c>
      <c r="O1980" s="14" t="s">
        <v>2237</v>
      </c>
      <c r="P1980" s="14" t="s">
        <v>2236</v>
      </c>
      <c r="Q1980" s="17" t="s">
        <v>2242</v>
      </c>
      <c r="R1980" s="17" t="s">
        <v>2238</v>
      </c>
      <c r="S1980" s="17" t="s">
        <v>2243</v>
      </c>
      <c r="T1980" s="17" t="s">
        <v>4138</v>
      </c>
      <c r="U198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0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0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80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E530-301297603-D235301</v>
      </c>
      <c r="Y19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80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0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80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8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198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1" spans="1:31" x14ac:dyDescent="0.3">
      <c r="A1981" s="14" t="s">
        <v>3917</v>
      </c>
      <c r="B1981" s="14" t="s">
        <v>30</v>
      </c>
      <c r="C1981" s="14" t="s">
        <v>343</v>
      </c>
      <c r="D1981" s="14" t="s">
        <v>345</v>
      </c>
      <c r="E1981" s="14" t="s">
        <v>4136</v>
      </c>
      <c r="F1981" s="8">
        <v>0</v>
      </c>
      <c r="G1981" s="14" t="s">
        <v>2237</v>
      </c>
      <c r="H1981" s="16">
        <v>0</v>
      </c>
      <c r="I1981" s="14" t="s">
        <v>2237</v>
      </c>
      <c r="J1981" s="16">
        <v>0</v>
      </c>
      <c r="K1981" s="14" t="s">
        <v>2237</v>
      </c>
      <c r="L1981" s="16">
        <v>0</v>
      </c>
      <c r="M1981" s="14" t="s">
        <v>2237</v>
      </c>
      <c r="N1981" s="8">
        <v>28870.46</v>
      </c>
      <c r="O1981" s="14" t="s">
        <v>2237</v>
      </c>
      <c r="P1981" s="14" t="s">
        <v>2236</v>
      </c>
      <c r="Q1981" s="17" t="s">
        <v>2242</v>
      </c>
      <c r="R1981" s="17" t="s">
        <v>2238</v>
      </c>
      <c r="S1981" s="17" t="s">
        <v>2243</v>
      </c>
      <c r="T1981" s="17" t="s">
        <v>4142</v>
      </c>
      <c r="U198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8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E530-301297603-D235301</v>
      </c>
      <c r="Y1981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E530-30129760303-D235301</v>
      </c>
      <c r="Z198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1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81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81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98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198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2" spans="1:31" x14ac:dyDescent="0.3">
      <c r="A1982" s="14" t="s">
        <v>3918</v>
      </c>
      <c r="B1982" s="14" t="s">
        <v>26</v>
      </c>
      <c r="C1982" s="14" t="s">
        <v>346</v>
      </c>
      <c r="D1982" s="14" t="s">
        <v>347</v>
      </c>
      <c r="E1982" s="14" t="s">
        <v>4136</v>
      </c>
      <c r="F1982" s="8">
        <v>17660</v>
      </c>
      <c r="G1982" s="14" t="s">
        <v>2237</v>
      </c>
      <c r="H1982" s="16">
        <v>17660</v>
      </c>
      <c r="I1982" s="14" t="s">
        <v>2237</v>
      </c>
      <c r="J1982" s="16">
        <v>0</v>
      </c>
      <c r="K1982" s="14" t="s">
        <v>2237</v>
      </c>
      <c r="L1982" s="16">
        <v>0</v>
      </c>
      <c r="M1982" s="14" t="s">
        <v>2237</v>
      </c>
      <c r="N1982" s="8">
        <v>17660.22</v>
      </c>
      <c r="O1982" s="14" t="s">
        <v>2237</v>
      </c>
      <c r="P1982" s="14" t="s">
        <v>2236</v>
      </c>
      <c r="Q1982" s="17" t="s">
        <v>2242</v>
      </c>
      <c r="R1982" s="17" t="s">
        <v>2238</v>
      </c>
      <c r="S1982" s="17" t="s">
        <v>2243</v>
      </c>
      <c r="T1982" s="17" t="s">
        <v>4137</v>
      </c>
      <c r="U198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8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E530-301297602-D235301</v>
      </c>
      <c r="Y19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8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2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82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8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19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3" spans="1:31" x14ac:dyDescent="0.3">
      <c r="A1983" s="14" t="s">
        <v>3919</v>
      </c>
      <c r="B1983" s="14" t="s">
        <v>30</v>
      </c>
      <c r="C1983" s="14" t="s">
        <v>346</v>
      </c>
      <c r="D1983" s="14" t="s">
        <v>348</v>
      </c>
      <c r="E1983" s="14" t="s">
        <v>4136</v>
      </c>
      <c r="F1983" s="8">
        <v>0</v>
      </c>
      <c r="G1983" s="14" t="s">
        <v>2237</v>
      </c>
      <c r="H1983" s="16">
        <v>0</v>
      </c>
      <c r="I1983" s="14" t="s">
        <v>2237</v>
      </c>
      <c r="J1983" s="16">
        <v>0</v>
      </c>
      <c r="K1983" s="14" t="s">
        <v>2237</v>
      </c>
      <c r="L1983" s="16">
        <v>0</v>
      </c>
      <c r="M1983" s="14" t="s">
        <v>2237</v>
      </c>
      <c r="N1983" s="8">
        <v>17660.22</v>
      </c>
      <c r="O1983" s="14" t="s">
        <v>2237</v>
      </c>
      <c r="P1983" s="14" t="s">
        <v>2236</v>
      </c>
      <c r="Q1983" s="17" t="s">
        <v>2242</v>
      </c>
      <c r="R1983" s="17" t="s">
        <v>2238</v>
      </c>
      <c r="S1983" s="17" t="s">
        <v>2243</v>
      </c>
      <c r="T1983" s="17" t="s">
        <v>4142</v>
      </c>
      <c r="U19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8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E530-301297602-D235301</v>
      </c>
      <c r="Y1983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E530-30129760202-D235301</v>
      </c>
      <c r="Z198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3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83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83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98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19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4" spans="1:31" x14ac:dyDescent="0.3">
      <c r="A1984" s="14" t="s">
        <v>3920</v>
      </c>
      <c r="B1984" s="14" t="s">
        <v>26</v>
      </c>
      <c r="C1984" s="14" t="s">
        <v>349</v>
      </c>
      <c r="D1984" s="14" t="s">
        <v>350</v>
      </c>
      <c r="E1984" s="14" t="s">
        <v>4136</v>
      </c>
      <c r="F1984" s="8">
        <v>11156</v>
      </c>
      <c r="G1984" s="14" t="s">
        <v>2237</v>
      </c>
      <c r="H1984" s="16">
        <v>11156</v>
      </c>
      <c r="I1984" s="14" t="s">
        <v>2237</v>
      </c>
      <c r="J1984" s="16">
        <v>0</v>
      </c>
      <c r="K1984" s="14" t="s">
        <v>2237</v>
      </c>
      <c r="L1984" s="16">
        <v>0</v>
      </c>
      <c r="M1984" s="14" t="s">
        <v>2237</v>
      </c>
      <c r="N1984" s="8">
        <v>11156.22</v>
      </c>
      <c r="O1984" s="14" t="s">
        <v>2237</v>
      </c>
      <c r="P1984" s="14" t="s">
        <v>2236</v>
      </c>
      <c r="Q1984" s="17" t="s">
        <v>2242</v>
      </c>
      <c r="R1984" s="17" t="s">
        <v>2238</v>
      </c>
      <c r="S1984" s="17" t="s">
        <v>2243</v>
      </c>
      <c r="T1984" s="17" t="s">
        <v>4137</v>
      </c>
      <c r="U198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4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4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84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E530-301297601-D235301</v>
      </c>
      <c r="Y19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84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4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84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8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19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5" spans="1:31" x14ac:dyDescent="0.3">
      <c r="A1985" s="14" t="s">
        <v>3921</v>
      </c>
      <c r="B1985" s="14" t="s">
        <v>30</v>
      </c>
      <c r="C1985" s="14" t="s">
        <v>349</v>
      </c>
      <c r="D1985" s="14" t="s">
        <v>351</v>
      </c>
      <c r="E1985" s="14" t="s">
        <v>4136</v>
      </c>
      <c r="F1985" s="8">
        <v>0</v>
      </c>
      <c r="G1985" s="14" t="s">
        <v>2237</v>
      </c>
      <c r="H1985" s="16">
        <v>0</v>
      </c>
      <c r="I1985" s="14" t="s">
        <v>2237</v>
      </c>
      <c r="J1985" s="16">
        <v>0</v>
      </c>
      <c r="K1985" s="14" t="s">
        <v>2237</v>
      </c>
      <c r="L1985" s="16">
        <v>0</v>
      </c>
      <c r="M1985" s="14" t="s">
        <v>2237</v>
      </c>
      <c r="N1985" s="8">
        <v>11156.22</v>
      </c>
      <c r="O1985" s="14" t="s">
        <v>2237</v>
      </c>
      <c r="P1985" s="14" t="s">
        <v>2236</v>
      </c>
      <c r="Q1985" s="17" t="s">
        <v>2242</v>
      </c>
      <c r="R1985" s="17" t="s">
        <v>2238</v>
      </c>
      <c r="S1985" s="17" t="s">
        <v>2243</v>
      </c>
      <c r="T1985" s="17" t="s">
        <v>4142</v>
      </c>
      <c r="U198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5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5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E530-3012976-D235301</v>
      </c>
      <c r="X1985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E530-301297601-D235301</v>
      </c>
      <c r="Y1985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E530-30129760101-D235301</v>
      </c>
      <c r="Z1985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5" s="10" t="str">
        <f>IF(IFERROR(INDEX(WBS_Dictionary!K$2:K$1212, MATCH(Table2[[#This Row],[WBS_ID]], Table26[WBS CODE],0)), "") = "", "null", IFERROR(INDEX(WBS_Dictionary!K$2:K$1212, MATCH(Table2[[#This Row],[WBS_ID]], Table26[WBS CODE],0)), ""))</f>
        <v>Wellsite Geologist (WSG)</v>
      </c>
      <c r="AB1985" s="10" t="str">
        <f>IF(IFERROR(INDEX(WBS_Dictionary!L$2:L$1212, MATCH(Table2[[#This Row],[WBS_ID]], Table26[WBS CODE],0)), "") = "", "null", IFERROR(INDEX(WBS_Dictionary!L$2:L$1212, MATCH(Table2[[#This Row],[WBS_ID]], Table26[WBS CODE],0)), ""))</f>
        <v>Wellsite Geologist (WSG)</v>
      </c>
      <c r="AC1985" s="10" t="str">
        <f>IF(IFERROR(INDEX(WBS_Dictionary!M$2:M$1212, MATCH(Table2[[#This Row],[WBS_ID]], Table26[WBS CODE],0)), "") = "", "null", IFERROR(INDEX(WBS_Dictionary!M$2:M$1212, MATCH(Table2[[#This Row],[WBS_ID]], Table26[WBS CODE],0)), ""))</f>
        <v>Wellsite Geologist (WSG)</v>
      </c>
      <c r="AD198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198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6" spans="1:31" hidden="1" x14ac:dyDescent="0.3">
      <c r="A1986" s="14" t="s">
        <v>3922</v>
      </c>
      <c r="B1986" s="14" t="s">
        <v>21</v>
      </c>
      <c r="C1986" s="14" t="s">
        <v>352</v>
      </c>
      <c r="D1986" s="14" t="s">
        <v>353</v>
      </c>
      <c r="E1986" s="14" t="s">
        <v>4136</v>
      </c>
      <c r="F1986" s="8">
        <v>552020.77</v>
      </c>
      <c r="G1986" s="14" t="s">
        <v>2237</v>
      </c>
      <c r="H1986" s="16">
        <v>552020.77</v>
      </c>
      <c r="I1986" s="14" t="s">
        <v>2237</v>
      </c>
      <c r="J1986" s="16">
        <v>0</v>
      </c>
      <c r="K1986" s="14" t="s">
        <v>2237</v>
      </c>
      <c r="L1986" s="16">
        <v>0</v>
      </c>
      <c r="M1986" s="14" t="s">
        <v>2237</v>
      </c>
      <c r="N1986" s="8">
        <v>494955.41</v>
      </c>
      <c r="O1986" s="14" t="s">
        <v>2237</v>
      </c>
      <c r="P1986" s="14" t="s">
        <v>2236</v>
      </c>
      <c r="Q1986" s="17" t="s">
        <v>2242</v>
      </c>
      <c r="R1986" s="17" t="s">
        <v>2238</v>
      </c>
      <c r="S1986" s="17" t="s">
        <v>2243</v>
      </c>
      <c r="T1986" s="17" t="s">
        <v>4137</v>
      </c>
      <c r="U198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6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6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19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86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6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87" spans="1:31" x14ac:dyDescent="0.3">
      <c r="A1987" s="14" t="s">
        <v>3923</v>
      </c>
      <c r="B1987" s="14" t="s">
        <v>26</v>
      </c>
      <c r="C1987" s="14" t="s">
        <v>355</v>
      </c>
      <c r="D1987" s="14" t="s">
        <v>356</v>
      </c>
      <c r="E1987" s="14" t="s">
        <v>4136</v>
      </c>
      <c r="F1987" s="8">
        <v>0</v>
      </c>
      <c r="G1987" s="14" t="s">
        <v>2237</v>
      </c>
      <c r="H1987" s="16">
        <v>0</v>
      </c>
      <c r="I1987" s="14" t="s">
        <v>2237</v>
      </c>
      <c r="J1987" s="16">
        <v>0</v>
      </c>
      <c r="K1987" s="14" t="s">
        <v>2237</v>
      </c>
      <c r="L1987" s="16">
        <v>0</v>
      </c>
      <c r="M1987" s="14" t="s">
        <v>2237</v>
      </c>
      <c r="N1987" s="8">
        <v>0.3</v>
      </c>
      <c r="O1987" s="14" t="s">
        <v>2237</v>
      </c>
      <c r="P1987" s="14" t="s">
        <v>2236</v>
      </c>
      <c r="Q1987" s="17" t="s">
        <v>2242</v>
      </c>
      <c r="R1987" s="17" t="s">
        <v>2238</v>
      </c>
      <c r="S1987" s="17" t="s">
        <v>2243</v>
      </c>
      <c r="T1987" s="17" t="s">
        <v>4137</v>
      </c>
      <c r="U198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198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E530-301297506-D235301</v>
      </c>
      <c r="Y19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8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7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87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8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98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8" spans="1:31" x14ac:dyDescent="0.3">
      <c r="A1988" s="14" t="s">
        <v>3924</v>
      </c>
      <c r="B1988" s="14" t="s">
        <v>30</v>
      </c>
      <c r="C1988" s="14" t="s">
        <v>355</v>
      </c>
      <c r="D1988" s="14" t="s">
        <v>357</v>
      </c>
      <c r="E1988" s="14" t="s">
        <v>4136</v>
      </c>
      <c r="F1988" s="8">
        <v>0</v>
      </c>
      <c r="G1988" s="14" t="s">
        <v>2237</v>
      </c>
      <c r="H1988" s="16">
        <v>0</v>
      </c>
      <c r="I1988" s="14" t="s">
        <v>2237</v>
      </c>
      <c r="J1988" s="16">
        <v>0</v>
      </c>
      <c r="K1988" s="14" t="s">
        <v>2237</v>
      </c>
      <c r="L1988" s="16">
        <v>0</v>
      </c>
      <c r="M1988" s="14" t="s">
        <v>2237</v>
      </c>
      <c r="N1988" s="8">
        <v>0.3</v>
      </c>
      <c r="O1988" s="14" t="s">
        <v>2237</v>
      </c>
      <c r="P1988" s="14" t="s">
        <v>2236</v>
      </c>
      <c r="Q1988" s="17" t="s">
        <v>2242</v>
      </c>
      <c r="R1988" s="17" t="s">
        <v>2238</v>
      </c>
      <c r="S1988" s="17" t="s">
        <v>2243</v>
      </c>
      <c r="T1988" s="17" t="s">
        <v>4142</v>
      </c>
      <c r="U198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8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8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198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E530-301297506-D235301</v>
      </c>
      <c r="Y198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E530-30129750606-D235301</v>
      </c>
      <c r="Z198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88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88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88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98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198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89" spans="1:31" hidden="1" x14ac:dyDescent="0.3">
      <c r="A1989" s="14" t="s">
        <v>3925</v>
      </c>
      <c r="B1989" s="14" t="s">
        <v>2366</v>
      </c>
      <c r="C1989" s="14" t="s">
        <v>5051</v>
      </c>
      <c r="D1989" s="14" t="s">
        <v>5052</v>
      </c>
      <c r="E1989" s="14" t="s">
        <v>2236</v>
      </c>
      <c r="F1989" s="8">
        <v>0</v>
      </c>
      <c r="G1989" s="14" t="s">
        <v>2237</v>
      </c>
      <c r="H1989" s="16">
        <v>0</v>
      </c>
      <c r="I1989" s="14" t="s">
        <v>2237</v>
      </c>
      <c r="J1989" s="16">
        <v>0</v>
      </c>
      <c r="K1989" s="14" t="s">
        <v>2237</v>
      </c>
      <c r="L1989" s="16">
        <v>0</v>
      </c>
      <c r="M1989" s="14" t="s">
        <v>2237</v>
      </c>
      <c r="N1989" s="8">
        <v>0.3</v>
      </c>
      <c r="O1989" s="14" t="s">
        <v>2237</v>
      </c>
      <c r="P1989" s="14" t="s">
        <v>2236</v>
      </c>
      <c r="Q1989" s="17" t="s">
        <v>2236</v>
      </c>
      <c r="R1989" s="17" t="s">
        <v>2236</v>
      </c>
      <c r="S1989" s="17" t="s">
        <v>2236</v>
      </c>
      <c r="T1989" s="17" t="s">
        <v>2929</v>
      </c>
      <c r="U19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0" spans="1:31" hidden="1" x14ac:dyDescent="0.3">
      <c r="A1990" s="14" t="s">
        <v>3926</v>
      </c>
      <c r="B1990" s="14" t="s">
        <v>2371</v>
      </c>
      <c r="C1990" s="14" t="s">
        <v>5051</v>
      </c>
      <c r="D1990" s="14" t="s">
        <v>5053</v>
      </c>
      <c r="E1990" s="14" t="s">
        <v>2236</v>
      </c>
      <c r="F1990" s="8">
        <v>0</v>
      </c>
      <c r="G1990" s="14" t="s">
        <v>2237</v>
      </c>
      <c r="H1990" s="16">
        <v>0</v>
      </c>
      <c r="I1990" s="14" t="s">
        <v>2237</v>
      </c>
      <c r="J1990" s="16">
        <v>0</v>
      </c>
      <c r="K1990" s="14" t="s">
        <v>2237</v>
      </c>
      <c r="L1990" s="16">
        <v>0</v>
      </c>
      <c r="M1990" s="14" t="s">
        <v>2237</v>
      </c>
      <c r="N1990" s="8">
        <v>0</v>
      </c>
      <c r="O1990" s="14" t="s">
        <v>2237</v>
      </c>
      <c r="P1990" s="14" t="s">
        <v>2236</v>
      </c>
      <c r="Q1990" s="17" t="s">
        <v>2236</v>
      </c>
      <c r="R1990" s="17" t="s">
        <v>2236</v>
      </c>
      <c r="S1990" s="17" t="s">
        <v>2236</v>
      </c>
      <c r="T1990" s="17" t="s">
        <v>2236</v>
      </c>
      <c r="U19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1" spans="1:31" x14ac:dyDescent="0.3">
      <c r="A1991" s="14" t="s">
        <v>3927</v>
      </c>
      <c r="B1991" s="14" t="s">
        <v>26</v>
      </c>
      <c r="C1991" s="14" t="s">
        <v>358</v>
      </c>
      <c r="D1991" s="14" t="s">
        <v>359</v>
      </c>
      <c r="E1991" s="14" t="s">
        <v>4136</v>
      </c>
      <c r="F1991" s="8">
        <v>106817.99</v>
      </c>
      <c r="G1991" s="14" t="s">
        <v>2237</v>
      </c>
      <c r="H1991" s="16">
        <v>106817.99</v>
      </c>
      <c r="I1991" s="14" t="s">
        <v>2237</v>
      </c>
      <c r="J1991" s="16">
        <v>0</v>
      </c>
      <c r="K1991" s="14" t="s">
        <v>2237</v>
      </c>
      <c r="L1991" s="16">
        <v>0</v>
      </c>
      <c r="M1991" s="14" t="s">
        <v>2237</v>
      </c>
      <c r="N1991" s="8">
        <v>104669.83</v>
      </c>
      <c r="O1991" s="14" t="s">
        <v>2237</v>
      </c>
      <c r="P1991" s="14" t="s">
        <v>2236</v>
      </c>
      <c r="Q1991" s="17" t="s">
        <v>2242</v>
      </c>
      <c r="R1991" s="17" t="s">
        <v>2238</v>
      </c>
      <c r="S1991" s="17" t="s">
        <v>2243</v>
      </c>
      <c r="T1991" s="17" t="s">
        <v>4138</v>
      </c>
      <c r="U199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91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91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1991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E530-301297505-D235301</v>
      </c>
      <c r="Y19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1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91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91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99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92" spans="1:31" x14ac:dyDescent="0.3">
      <c r="A1992" s="14" t="s">
        <v>3928</v>
      </c>
      <c r="B1992" s="14" t="s">
        <v>30</v>
      </c>
      <c r="C1992" s="14" t="s">
        <v>358</v>
      </c>
      <c r="D1992" s="14" t="s">
        <v>360</v>
      </c>
      <c r="E1992" s="14" t="s">
        <v>4136</v>
      </c>
      <c r="F1992" s="8">
        <v>0</v>
      </c>
      <c r="G1992" s="14" t="s">
        <v>2237</v>
      </c>
      <c r="H1992" s="16">
        <v>0</v>
      </c>
      <c r="I1992" s="14" t="s">
        <v>2237</v>
      </c>
      <c r="J1992" s="16">
        <v>0</v>
      </c>
      <c r="K1992" s="14" t="s">
        <v>2237</v>
      </c>
      <c r="L1992" s="16">
        <v>0</v>
      </c>
      <c r="M1992" s="14" t="s">
        <v>2237</v>
      </c>
      <c r="N1992" s="8">
        <v>104669.83</v>
      </c>
      <c r="O1992" s="14" t="s">
        <v>2237</v>
      </c>
      <c r="P1992" s="14" t="s">
        <v>2236</v>
      </c>
      <c r="Q1992" s="17" t="s">
        <v>2242</v>
      </c>
      <c r="R1992" s="17" t="s">
        <v>2238</v>
      </c>
      <c r="S1992" s="17" t="s">
        <v>2243</v>
      </c>
      <c r="T1992" s="17" t="s">
        <v>4142</v>
      </c>
      <c r="U199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199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199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199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E530-301297505-D235301</v>
      </c>
      <c r="Y1992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E530-30129750505-D235301</v>
      </c>
      <c r="Z199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1992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1992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1992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199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199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1993" spans="1:31" hidden="1" x14ac:dyDescent="0.3">
      <c r="A1993" s="14" t="s">
        <v>3929</v>
      </c>
      <c r="B1993" s="14" t="s">
        <v>2366</v>
      </c>
      <c r="C1993" s="14" t="s">
        <v>5054</v>
      </c>
      <c r="D1993" s="14" t="s">
        <v>5055</v>
      </c>
      <c r="E1993" s="14" t="s">
        <v>2236</v>
      </c>
      <c r="F1993" s="8">
        <v>0</v>
      </c>
      <c r="G1993" s="14" t="s">
        <v>2237</v>
      </c>
      <c r="H1993" s="16">
        <v>0</v>
      </c>
      <c r="I1993" s="14" t="s">
        <v>2237</v>
      </c>
      <c r="J1993" s="16">
        <v>0</v>
      </c>
      <c r="K1993" s="14" t="s">
        <v>2237</v>
      </c>
      <c r="L1993" s="16">
        <v>0</v>
      </c>
      <c r="M1993" s="14" t="s">
        <v>2237</v>
      </c>
      <c r="N1993" s="8">
        <v>37691.14</v>
      </c>
      <c r="O1993" s="14" t="s">
        <v>2237</v>
      </c>
      <c r="P1993" s="14" t="s">
        <v>2236</v>
      </c>
      <c r="Q1993" s="17" t="s">
        <v>2236</v>
      </c>
      <c r="R1993" s="17" t="s">
        <v>2236</v>
      </c>
      <c r="S1993" s="17" t="s">
        <v>2236</v>
      </c>
      <c r="T1993" s="17" t="s">
        <v>2866</v>
      </c>
      <c r="U19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4" spans="1:31" hidden="1" x14ac:dyDescent="0.3">
      <c r="A1994" s="14" t="s">
        <v>3930</v>
      </c>
      <c r="B1994" s="14" t="s">
        <v>2371</v>
      </c>
      <c r="C1994" s="14" t="s">
        <v>5056</v>
      </c>
      <c r="D1994" s="14" t="s">
        <v>5057</v>
      </c>
      <c r="E1994" s="14" t="s">
        <v>2236</v>
      </c>
      <c r="F1994" s="8">
        <v>0</v>
      </c>
      <c r="G1994" s="14" t="s">
        <v>2237</v>
      </c>
      <c r="H1994" s="16">
        <v>0</v>
      </c>
      <c r="I1994" s="14" t="s">
        <v>2237</v>
      </c>
      <c r="J1994" s="16">
        <v>0</v>
      </c>
      <c r="K1994" s="14" t="s">
        <v>2237</v>
      </c>
      <c r="L1994" s="16">
        <v>0</v>
      </c>
      <c r="M1994" s="14" t="s">
        <v>2237</v>
      </c>
      <c r="N1994" s="8">
        <v>0</v>
      </c>
      <c r="O1994" s="14" t="s">
        <v>2237</v>
      </c>
      <c r="P1994" s="14" t="s">
        <v>2236</v>
      </c>
      <c r="Q1994" s="17" t="s">
        <v>2236</v>
      </c>
      <c r="R1994" s="17" t="s">
        <v>2236</v>
      </c>
      <c r="S1994" s="17" t="s">
        <v>2236</v>
      </c>
      <c r="T1994" s="17" t="s">
        <v>2236</v>
      </c>
      <c r="U19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5" spans="1:31" hidden="1" x14ac:dyDescent="0.3">
      <c r="A1995" s="14" t="s">
        <v>3931</v>
      </c>
      <c r="B1995" s="14" t="s">
        <v>2371</v>
      </c>
      <c r="C1995" s="14" t="s">
        <v>5058</v>
      </c>
      <c r="D1995" s="14" t="s">
        <v>5059</v>
      </c>
      <c r="E1995" s="14" t="s">
        <v>2236</v>
      </c>
      <c r="F1995" s="8">
        <v>0</v>
      </c>
      <c r="G1995" s="14" t="s">
        <v>2237</v>
      </c>
      <c r="H1995" s="16">
        <v>0</v>
      </c>
      <c r="I1995" s="14" t="s">
        <v>2237</v>
      </c>
      <c r="J1995" s="16">
        <v>0</v>
      </c>
      <c r="K1995" s="14" t="s">
        <v>2237</v>
      </c>
      <c r="L1995" s="16">
        <v>0</v>
      </c>
      <c r="M1995" s="14" t="s">
        <v>2237</v>
      </c>
      <c r="N1995" s="8">
        <v>0</v>
      </c>
      <c r="O1995" s="14" t="s">
        <v>2237</v>
      </c>
      <c r="P1995" s="14" t="s">
        <v>2236</v>
      </c>
      <c r="Q1995" s="17" t="s">
        <v>2236</v>
      </c>
      <c r="R1995" s="17" t="s">
        <v>2236</v>
      </c>
      <c r="S1995" s="17" t="s">
        <v>2236</v>
      </c>
      <c r="T1995" s="17" t="s">
        <v>2236</v>
      </c>
      <c r="U19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6" spans="1:31" hidden="1" x14ac:dyDescent="0.3">
      <c r="A1996" s="14" t="s">
        <v>3932</v>
      </c>
      <c r="B1996" s="14" t="s">
        <v>2371</v>
      </c>
      <c r="C1996" s="14" t="s">
        <v>5060</v>
      </c>
      <c r="D1996" s="14" t="s">
        <v>5061</v>
      </c>
      <c r="E1996" s="14" t="s">
        <v>2236</v>
      </c>
      <c r="F1996" s="8">
        <v>0</v>
      </c>
      <c r="G1996" s="14" t="s">
        <v>2237</v>
      </c>
      <c r="H1996" s="16">
        <v>0</v>
      </c>
      <c r="I1996" s="14" t="s">
        <v>2237</v>
      </c>
      <c r="J1996" s="16">
        <v>0</v>
      </c>
      <c r="K1996" s="14" t="s">
        <v>2237</v>
      </c>
      <c r="L1996" s="16">
        <v>0</v>
      </c>
      <c r="M1996" s="14" t="s">
        <v>2237</v>
      </c>
      <c r="N1996" s="8">
        <v>0</v>
      </c>
      <c r="O1996" s="14" t="s">
        <v>2237</v>
      </c>
      <c r="P1996" s="14" t="s">
        <v>2236</v>
      </c>
      <c r="Q1996" s="17" t="s">
        <v>2236</v>
      </c>
      <c r="R1996" s="17" t="s">
        <v>2236</v>
      </c>
      <c r="S1996" s="17" t="s">
        <v>2236</v>
      </c>
      <c r="T1996" s="17" t="s">
        <v>2236</v>
      </c>
      <c r="U19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7" spans="1:31" hidden="1" x14ac:dyDescent="0.3">
      <c r="A1997" s="14" t="s">
        <v>3933</v>
      </c>
      <c r="B1997" s="14" t="s">
        <v>2371</v>
      </c>
      <c r="C1997" s="14" t="s">
        <v>5062</v>
      </c>
      <c r="D1997" s="14" t="s">
        <v>5063</v>
      </c>
      <c r="E1997" s="14" t="s">
        <v>2236</v>
      </c>
      <c r="F1997" s="8">
        <v>0</v>
      </c>
      <c r="G1997" s="14" t="s">
        <v>2237</v>
      </c>
      <c r="H1997" s="16">
        <v>0</v>
      </c>
      <c r="I1997" s="14" t="s">
        <v>2237</v>
      </c>
      <c r="J1997" s="16">
        <v>0</v>
      </c>
      <c r="K1997" s="14" t="s">
        <v>2237</v>
      </c>
      <c r="L1997" s="16">
        <v>0</v>
      </c>
      <c r="M1997" s="14" t="s">
        <v>2237</v>
      </c>
      <c r="N1997" s="8">
        <v>0</v>
      </c>
      <c r="O1997" s="14" t="s">
        <v>2237</v>
      </c>
      <c r="P1997" s="14" t="s">
        <v>2236</v>
      </c>
      <c r="Q1997" s="17" t="s">
        <v>2236</v>
      </c>
      <c r="R1997" s="17" t="s">
        <v>2236</v>
      </c>
      <c r="S1997" s="17" t="s">
        <v>2236</v>
      </c>
      <c r="T1997" s="17" t="s">
        <v>2236</v>
      </c>
      <c r="U19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8" spans="1:31" hidden="1" x14ac:dyDescent="0.3">
      <c r="A1998" s="14" t="s">
        <v>3934</v>
      </c>
      <c r="B1998" s="14" t="s">
        <v>2371</v>
      </c>
      <c r="C1998" s="14" t="s">
        <v>5064</v>
      </c>
      <c r="D1998" s="14" t="s">
        <v>5065</v>
      </c>
      <c r="E1998" s="14" t="s">
        <v>2236</v>
      </c>
      <c r="F1998" s="8">
        <v>0</v>
      </c>
      <c r="G1998" s="14" t="s">
        <v>2237</v>
      </c>
      <c r="H1998" s="16">
        <v>0</v>
      </c>
      <c r="I1998" s="14" t="s">
        <v>2237</v>
      </c>
      <c r="J1998" s="16">
        <v>0</v>
      </c>
      <c r="K1998" s="14" t="s">
        <v>2237</v>
      </c>
      <c r="L1998" s="16">
        <v>0</v>
      </c>
      <c r="M1998" s="14" t="s">
        <v>2237</v>
      </c>
      <c r="N1998" s="8">
        <v>0</v>
      </c>
      <c r="O1998" s="14" t="s">
        <v>2237</v>
      </c>
      <c r="P1998" s="14" t="s">
        <v>2236</v>
      </c>
      <c r="Q1998" s="17" t="s">
        <v>2236</v>
      </c>
      <c r="R1998" s="17" t="s">
        <v>2236</v>
      </c>
      <c r="S1998" s="17" t="s">
        <v>2236</v>
      </c>
      <c r="T1998" s="17" t="s">
        <v>2236</v>
      </c>
      <c r="U19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1999" spans="1:31" hidden="1" x14ac:dyDescent="0.3">
      <c r="A1999" s="14" t="s">
        <v>3935</v>
      </c>
      <c r="B1999" s="14" t="s">
        <v>2371</v>
      </c>
      <c r="C1999" s="14" t="s">
        <v>5066</v>
      </c>
      <c r="D1999" s="14" t="s">
        <v>5067</v>
      </c>
      <c r="E1999" s="14" t="s">
        <v>2236</v>
      </c>
      <c r="F1999" s="8">
        <v>0</v>
      </c>
      <c r="G1999" s="14" t="s">
        <v>2237</v>
      </c>
      <c r="H1999" s="16">
        <v>0</v>
      </c>
      <c r="I1999" s="14" t="s">
        <v>2237</v>
      </c>
      <c r="J1999" s="16">
        <v>0</v>
      </c>
      <c r="K1999" s="14" t="s">
        <v>2237</v>
      </c>
      <c r="L1999" s="16">
        <v>0</v>
      </c>
      <c r="M1999" s="14" t="s">
        <v>2237</v>
      </c>
      <c r="N1999" s="8">
        <v>0</v>
      </c>
      <c r="O1999" s="14" t="s">
        <v>2237</v>
      </c>
      <c r="P1999" s="14" t="s">
        <v>2236</v>
      </c>
      <c r="Q1999" s="17" t="s">
        <v>2236</v>
      </c>
      <c r="R1999" s="17" t="s">
        <v>2236</v>
      </c>
      <c r="S1999" s="17" t="s">
        <v>2236</v>
      </c>
      <c r="T1999" s="17" t="s">
        <v>2236</v>
      </c>
      <c r="U19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19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19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19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19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19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19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19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19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19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19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0" spans="1:31" hidden="1" x14ac:dyDescent="0.3">
      <c r="A2000" s="14" t="s">
        <v>3936</v>
      </c>
      <c r="B2000" s="14" t="s">
        <v>2371</v>
      </c>
      <c r="C2000" s="14" t="s">
        <v>5068</v>
      </c>
      <c r="D2000" s="14" t="s">
        <v>5069</v>
      </c>
      <c r="E2000" s="14" t="s">
        <v>2236</v>
      </c>
      <c r="F2000" s="8">
        <v>0</v>
      </c>
      <c r="G2000" s="14" t="s">
        <v>2237</v>
      </c>
      <c r="H2000" s="16">
        <v>0</v>
      </c>
      <c r="I2000" s="14" t="s">
        <v>2237</v>
      </c>
      <c r="J2000" s="16">
        <v>0</v>
      </c>
      <c r="K2000" s="14" t="s">
        <v>2237</v>
      </c>
      <c r="L2000" s="16">
        <v>0</v>
      </c>
      <c r="M2000" s="14" t="s">
        <v>2237</v>
      </c>
      <c r="N2000" s="8">
        <v>0</v>
      </c>
      <c r="O2000" s="14" t="s">
        <v>2237</v>
      </c>
      <c r="P2000" s="14" t="s">
        <v>2236</v>
      </c>
      <c r="Q2000" s="17" t="s">
        <v>2236</v>
      </c>
      <c r="R2000" s="17" t="s">
        <v>2236</v>
      </c>
      <c r="S2000" s="17" t="s">
        <v>2236</v>
      </c>
      <c r="T2000" s="17" t="s">
        <v>2236</v>
      </c>
      <c r="U20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1" spans="1:31" hidden="1" x14ac:dyDescent="0.3">
      <c r="A2001" s="14" t="s">
        <v>3937</v>
      </c>
      <c r="B2001" s="14" t="s">
        <v>2371</v>
      </c>
      <c r="C2001" s="14" t="s">
        <v>5070</v>
      </c>
      <c r="D2001" s="14" t="s">
        <v>5071</v>
      </c>
      <c r="E2001" s="14" t="s">
        <v>2236</v>
      </c>
      <c r="F2001" s="8">
        <v>0</v>
      </c>
      <c r="G2001" s="14" t="s">
        <v>2237</v>
      </c>
      <c r="H2001" s="16">
        <v>0</v>
      </c>
      <c r="I2001" s="14" t="s">
        <v>2237</v>
      </c>
      <c r="J2001" s="16">
        <v>0</v>
      </c>
      <c r="K2001" s="14" t="s">
        <v>2237</v>
      </c>
      <c r="L2001" s="16">
        <v>0</v>
      </c>
      <c r="M2001" s="14" t="s">
        <v>2237</v>
      </c>
      <c r="N2001" s="8">
        <v>0</v>
      </c>
      <c r="O2001" s="14" t="s">
        <v>2237</v>
      </c>
      <c r="P2001" s="14" t="s">
        <v>2236</v>
      </c>
      <c r="Q2001" s="17" t="s">
        <v>2236</v>
      </c>
      <c r="R2001" s="17" t="s">
        <v>2236</v>
      </c>
      <c r="S2001" s="17" t="s">
        <v>2236</v>
      </c>
      <c r="T2001" s="17" t="s">
        <v>2236</v>
      </c>
      <c r="U20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2" spans="1:31" hidden="1" x14ac:dyDescent="0.3">
      <c r="A2002" s="14" t="s">
        <v>3938</v>
      </c>
      <c r="B2002" s="14" t="s">
        <v>2371</v>
      </c>
      <c r="C2002" s="14" t="s">
        <v>5072</v>
      </c>
      <c r="D2002" s="14" t="s">
        <v>5073</v>
      </c>
      <c r="E2002" s="14" t="s">
        <v>2236</v>
      </c>
      <c r="F2002" s="8">
        <v>0</v>
      </c>
      <c r="G2002" s="14" t="s">
        <v>2237</v>
      </c>
      <c r="H2002" s="16">
        <v>0</v>
      </c>
      <c r="I2002" s="14" t="s">
        <v>2237</v>
      </c>
      <c r="J2002" s="16">
        <v>0</v>
      </c>
      <c r="K2002" s="14" t="s">
        <v>2237</v>
      </c>
      <c r="L2002" s="16">
        <v>0</v>
      </c>
      <c r="M2002" s="14" t="s">
        <v>2237</v>
      </c>
      <c r="N2002" s="8">
        <v>0</v>
      </c>
      <c r="O2002" s="14" t="s">
        <v>2237</v>
      </c>
      <c r="P2002" s="14" t="s">
        <v>2236</v>
      </c>
      <c r="Q2002" s="17" t="s">
        <v>2236</v>
      </c>
      <c r="R2002" s="17" t="s">
        <v>2236</v>
      </c>
      <c r="S2002" s="17" t="s">
        <v>2236</v>
      </c>
      <c r="T2002" s="17" t="s">
        <v>2236</v>
      </c>
      <c r="U20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3" spans="1:31" hidden="1" x14ac:dyDescent="0.3">
      <c r="A2003" s="14" t="s">
        <v>3939</v>
      </c>
      <c r="B2003" s="14" t="s">
        <v>2371</v>
      </c>
      <c r="C2003" s="14" t="s">
        <v>5074</v>
      </c>
      <c r="D2003" s="14" t="s">
        <v>5075</v>
      </c>
      <c r="E2003" s="14" t="s">
        <v>2236</v>
      </c>
      <c r="F2003" s="8">
        <v>0</v>
      </c>
      <c r="G2003" s="14" t="s">
        <v>2237</v>
      </c>
      <c r="H2003" s="16">
        <v>0</v>
      </c>
      <c r="I2003" s="14" t="s">
        <v>2237</v>
      </c>
      <c r="J2003" s="16">
        <v>0</v>
      </c>
      <c r="K2003" s="14" t="s">
        <v>2237</v>
      </c>
      <c r="L2003" s="16">
        <v>0</v>
      </c>
      <c r="M2003" s="14" t="s">
        <v>2237</v>
      </c>
      <c r="N2003" s="8">
        <v>0</v>
      </c>
      <c r="O2003" s="14" t="s">
        <v>2237</v>
      </c>
      <c r="P2003" s="14" t="s">
        <v>2236</v>
      </c>
      <c r="Q2003" s="17" t="s">
        <v>2236</v>
      </c>
      <c r="R2003" s="17" t="s">
        <v>2236</v>
      </c>
      <c r="S2003" s="17" t="s">
        <v>2236</v>
      </c>
      <c r="T2003" s="17" t="s">
        <v>2236</v>
      </c>
      <c r="U20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4" spans="1:31" hidden="1" x14ac:dyDescent="0.3">
      <c r="A2004" s="14" t="s">
        <v>3940</v>
      </c>
      <c r="B2004" s="14" t="s">
        <v>2371</v>
      </c>
      <c r="C2004" s="14" t="s">
        <v>5076</v>
      </c>
      <c r="D2004" s="14" t="s">
        <v>5077</v>
      </c>
      <c r="E2004" s="14" t="s">
        <v>2236</v>
      </c>
      <c r="F2004" s="8">
        <v>0</v>
      </c>
      <c r="G2004" s="14" t="s">
        <v>2237</v>
      </c>
      <c r="H2004" s="16">
        <v>0</v>
      </c>
      <c r="I2004" s="14" t="s">
        <v>2237</v>
      </c>
      <c r="J2004" s="16">
        <v>0</v>
      </c>
      <c r="K2004" s="14" t="s">
        <v>2237</v>
      </c>
      <c r="L2004" s="16">
        <v>0</v>
      </c>
      <c r="M2004" s="14" t="s">
        <v>2237</v>
      </c>
      <c r="N2004" s="8">
        <v>0</v>
      </c>
      <c r="O2004" s="14" t="s">
        <v>2237</v>
      </c>
      <c r="P2004" s="14" t="s">
        <v>2236</v>
      </c>
      <c r="Q2004" s="17" t="s">
        <v>2236</v>
      </c>
      <c r="R2004" s="17" t="s">
        <v>2236</v>
      </c>
      <c r="S2004" s="17" t="s">
        <v>2236</v>
      </c>
      <c r="T2004" s="17" t="s">
        <v>2236</v>
      </c>
      <c r="U20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5" spans="1:31" hidden="1" x14ac:dyDescent="0.3">
      <c r="A2005" s="14" t="s">
        <v>3941</v>
      </c>
      <c r="B2005" s="14" t="s">
        <v>2371</v>
      </c>
      <c r="C2005" s="14" t="s">
        <v>3176</v>
      </c>
      <c r="D2005" s="14" t="s">
        <v>5078</v>
      </c>
      <c r="E2005" s="14" t="s">
        <v>2236</v>
      </c>
      <c r="F2005" s="8">
        <v>0</v>
      </c>
      <c r="G2005" s="14" t="s">
        <v>2237</v>
      </c>
      <c r="H2005" s="16">
        <v>0</v>
      </c>
      <c r="I2005" s="14" t="s">
        <v>2237</v>
      </c>
      <c r="J2005" s="16">
        <v>0</v>
      </c>
      <c r="K2005" s="14" t="s">
        <v>2237</v>
      </c>
      <c r="L2005" s="16">
        <v>0</v>
      </c>
      <c r="M2005" s="14" t="s">
        <v>2237</v>
      </c>
      <c r="N2005" s="8">
        <v>0</v>
      </c>
      <c r="O2005" s="14" t="s">
        <v>2237</v>
      </c>
      <c r="P2005" s="14" t="s">
        <v>2236</v>
      </c>
      <c r="Q2005" s="17" t="s">
        <v>2236</v>
      </c>
      <c r="R2005" s="17" t="s">
        <v>2236</v>
      </c>
      <c r="S2005" s="17" t="s">
        <v>2236</v>
      </c>
      <c r="T2005" s="17" t="s">
        <v>2236</v>
      </c>
      <c r="U20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6" spans="1:31" hidden="1" x14ac:dyDescent="0.3">
      <c r="A2006" s="14" t="s">
        <v>3942</v>
      </c>
      <c r="B2006" s="14" t="s">
        <v>2371</v>
      </c>
      <c r="C2006" s="14" t="s">
        <v>3704</v>
      </c>
      <c r="D2006" s="14" t="s">
        <v>5079</v>
      </c>
      <c r="E2006" s="14" t="s">
        <v>2236</v>
      </c>
      <c r="F2006" s="8">
        <v>0</v>
      </c>
      <c r="G2006" s="14" t="s">
        <v>2237</v>
      </c>
      <c r="H2006" s="16">
        <v>0</v>
      </c>
      <c r="I2006" s="14" t="s">
        <v>2237</v>
      </c>
      <c r="J2006" s="16">
        <v>0</v>
      </c>
      <c r="K2006" s="14" t="s">
        <v>2237</v>
      </c>
      <c r="L2006" s="16">
        <v>0</v>
      </c>
      <c r="M2006" s="14" t="s">
        <v>2237</v>
      </c>
      <c r="N2006" s="8">
        <v>0</v>
      </c>
      <c r="O2006" s="14" t="s">
        <v>2237</v>
      </c>
      <c r="P2006" s="14" t="s">
        <v>2236</v>
      </c>
      <c r="Q2006" s="17" t="s">
        <v>2236</v>
      </c>
      <c r="R2006" s="17" t="s">
        <v>2236</v>
      </c>
      <c r="S2006" s="17" t="s">
        <v>2236</v>
      </c>
      <c r="T2006" s="17" t="s">
        <v>2236</v>
      </c>
      <c r="U20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7" spans="1:31" hidden="1" x14ac:dyDescent="0.3">
      <c r="A2007" s="14" t="s">
        <v>3943</v>
      </c>
      <c r="B2007" s="14" t="s">
        <v>2371</v>
      </c>
      <c r="C2007" s="14" t="s">
        <v>5080</v>
      </c>
      <c r="D2007" s="14" t="s">
        <v>5081</v>
      </c>
      <c r="E2007" s="14" t="s">
        <v>2236</v>
      </c>
      <c r="F2007" s="8">
        <v>0</v>
      </c>
      <c r="G2007" s="14" t="s">
        <v>2237</v>
      </c>
      <c r="H2007" s="16">
        <v>0</v>
      </c>
      <c r="I2007" s="14" t="s">
        <v>2237</v>
      </c>
      <c r="J2007" s="16">
        <v>0</v>
      </c>
      <c r="K2007" s="14" t="s">
        <v>2237</v>
      </c>
      <c r="L2007" s="16">
        <v>0</v>
      </c>
      <c r="M2007" s="14" t="s">
        <v>2237</v>
      </c>
      <c r="N2007" s="8">
        <v>0</v>
      </c>
      <c r="O2007" s="14" t="s">
        <v>2237</v>
      </c>
      <c r="P2007" s="14" t="s">
        <v>2236</v>
      </c>
      <c r="Q2007" s="17" t="s">
        <v>2236</v>
      </c>
      <c r="R2007" s="17" t="s">
        <v>2236</v>
      </c>
      <c r="S2007" s="17" t="s">
        <v>2236</v>
      </c>
      <c r="T2007" s="17" t="s">
        <v>2236</v>
      </c>
      <c r="U20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8" spans="1:31" hidden="1" x14ac:dyDescent="0.3">
      <c r="A2008" s="14" t="s">
        <v>3944</v>
      </c>
      <c r="B2008" s="14" t="s">
        <v>2371</v>
      </c>
      <c r="C2008" s="14" t="s">
        <v>5082</v>
      </c>
      <c r="D2008" s="14" t="s">
        <v>5083</v>
      </c>
      <c r="E2008" s="14" t="s">
        <v>2236</v>
      </c>
      <c r="F2008" s="8">
        <v>0</v>
      </c>
      <c r="G2008" s="14" t="s">
        <v>2237</v>
      </c>
      <c r="H2008" s="16">
        <v>0</v>
      </c>
      <c r="I2008" s="14" t="s">
        <v>2237</v>
      </c>
      <c r="J2008" s="16">
        <v>0</v>
      </c>
      <c r="K2008" s="14" t="s">
        <v>2237</v>
      </c>
      <c r="L2008" s="16">
        <v>0</v>
      </c>
      <c r="M2008" s="14" t="s">
        <v>2237</v>
      </c>
      <c r="N2008" s="8">
        <v>0</v>
      </c>
      <c r="O2008" s="14" t="s">
        <v>2237</v>
      </c>
      <c r="P2008" s="14" t="s">
        <v>2236</v>
      </c>
      <c r="Q2008" s="17" t="s">
        <v>2236</v>
      </c>
      <c r="R2008" s="17" t="s">
        <v>2236</v>
      </c>
      <c r="S2008" s="17" t="s">
        <v>2236</v>
      </c>
      <c r="T2008" s="17" t="s">
        <v>2236</v>
      </c>
      <c r="U20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09" spans="1:31" hidden="1" x14ac:dyDescent="0.3">
      <c r="A2009" s="14" t="s">
        <v>3945</v>
      </c>
      <c r="B2009" s="14" t="s">
        <v>2371</v>
      </c>
      <c r="C2009" s="14" t="s">
        <v>5084</v>
      </c>
      <c r="D2009" s="14" t="s">
        <v>5085</v>
      </c>
      <c r="E2009" s="14" t="s">
        <v>2236</v>
      </c>
      <c r="F2009" s="8">
        <v>0</v>
      </c>
      <c r="G2009" s="14" t="s">
        <v>2237</v>
      </c>
      <c r="H2009" s="16">
        <v>0</v>
      </c>
      <c r="I2009" s="14" t="s">
        <v>2237</v>
      </c>
      <c r="J2009" s="16">
        <v>0</v>
      </c>
      <c r="K2009" s="14" t="s">
        <v>2237</v>
      </c>
      <c r="L2009" s="16">
        <v>0</v>
      </c>
      <c r="M2009" s="14" t="s">
        <v>2237</v>
      </c>
      <c r="N2009" s="8">
        <v>0</v>
      </c>
      <c r="O2009" s="14" t="s">
        <v>2237</v>
      </c>
      <c r="P2009" s="14" t="s">
        <v>2236</v>
      </c>
      <c r="Q2009" s="17" t="s">
        <v>2236</v>
      </c>
      <c r="R2009" s="17" t="s">
        <v>2236</v>
      </c>
      <c r="S2009" s="17" t="s">
        <v>2236</v>
      </c>
      <c r="T2009" s="17" t="s">
        <v>2236</v>
      </c>
      <c r="U20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0" spans="1:31" hidden="1" x14ac:dyDescent="0.3">
      <c r="A2010" s="14" t="s">
        <v>3946</v>
      </c>
      <c r="B2010" s="14" t="s">
        <v>2366</v>
      </c>
      <c r="C2010" s="14" t="s">
        <v>5086</v>
      </c>
      <c r="D2010" s="14" t="s">
        <v>5087</v>
      </c>
      <c r="E2010" s="14" t="s">
        <v>2236</v>
      </c>
      <c r="F2010" s="8">
        <v>0</v>
      </c>
      <c r="G2010" s="14" t="s">
        <v>2237</v>
      </c>
      <c r="H2010" s="16">
        <v>0</v>
      </c>
      <c r="I2010" s="14" t="s">
        <v>2237</v>
      </c>
      <c r="J2010" s="16">
        <v>0</v>
      </c>
      <c r="K2010" s="14" t="s">
        <v>2237</v>
      </c>
      <c r="L2010" s="16">
        <v>0</v>
      </c>
      <c r="M2010" s="14" t="s">
        <v>2237</v>
      </c>
      <c r="N2010" s="8">
        <v>425.37</v>
      </c>
      <c r="O2010" s="14" t="s">
        <v>2237</v>
      </c>
      <c r="P2010" s="14" t="s">
        <v>2236</v>
      </c>
      <c r="Q2010" s="17" t="s">
        <v>2236</v>
      </c>
      <c r="R2010" s="17" t="s">
        <v>2236</v>
      </c>
      <c r="S2010" s="17" t="s">
        <v>2236</v>
      </c>
      <c r="T2010" s="17" t="s">
        <v>3196</v>
      </c>
      <c r="U20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1" spans="1:31" hidden="1" x14ac:dyDescent="0.3">
      <c r="A2011" s="14" t="s">
        <v>3947</v>
      </c>
      <c r="B2011" s="14" t="s">
        <v>2371</v>
      </c>
      <c r="C2011" s="14" t="s">
        <v>5088</v>
      </c>
      <c r="D2011" s="14" t="s">
        <v>5089</v>
      </c>
      <c r="E2011" s="14" t="s">
        <v>2236</v>
      </c>
      <c r="F2011" s="8">
        <v>0</v>
      </c>
      <c r="G2011" s="14" t="s">
        <v>2237</v>
      </c>
      <c r="H2011" s="16">
        <v>0</v>
      </c>
      <c r="I2011" s="14" t="s">
        <v>2237</v>
      </c>
      <c r="J2011" s="16">
        <v>0</v>
      </c>
      <c r="K2011" s="14" t="s">
        <v>2237</v>
      </c>
      <c r="L2011" s="16">
        <v>0</v>
      </c>
      <c r="M2011" s="14" t="s">
        <v>2237</v>
      </c>
      <c r="N2011" s="8">
        <v>0</v>
      </c>
      <c r="O2011" s="14" t="s">
        <v>2237</v>
      </c>
      <c r="P2011" s="14" t="s">
        <v>2236</v>
      </c>
      <c r="Q2011" s="17" t="s">
        <v>2236</v>
      </c>
      <c r="R2011" s="17" t="s">
        <v>2236</v>
      </c>
      <c r="S2011" s="17" t="s">
        <v>2236</v>
      </c>
      <c r="T2011" s="17" t="s">
        <v>2236</v>
      </c>
      <c r="U20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2" spans="1:31" hidden="1" x14ac:dyDescent="0.3">
      <c r="A2012" s="14" t="s">
        <v>3948</v>
      </c>
      <c r="B2012" s="14" t="s">
        <v>2371</v>
      </c>
      <c r="C2012" s="14" t="s">
        <v>5090</v>
      </c>
      <c r="D2012" s="14" t="s">
        <v>5091</v>
      </c>
      <c r="E2012" s="14" t="s">
        <v>2236</v>
      </c>
      <c r="F2012" s="8">
        <v>0</v>
      </c>
      <c r="G2012" s="14" t="s">
        <v>2237</v>
      </c>
      <c r="H2012" s="16">
        <v>0</v>
      </c>
      <c r="I2012" s="14" t="s">
        <v>2237</v>
      </c>
      <c r="J2012" s="16">
        <v>0</v>
      </c>
      <c r="K2012" s="14" t="s">
        <v>2237</v>
      </c>
      <c r="L2012" s="16">
        <v>0</v>
      </c>
      <c r="M2012" s="14" t="s">
        <v>2237</v>
      </c>
      <c r="N2012" s="8">
        <v>0</v>
      </c>
      <c r="O2012" s="14" t="s">
        <v>2237</v>
      </c>
      <c r="P2012" s="14" t="s">
        <v>2236</v>
      </c>
      <c r="Q2012" s="17" t="s">
        <v>2236</v>
      </c>
      <c r="R2012" s="17" t="s">
        <v>2236</v>
      </c>
      <c r="S2012" s="17" t="s">
        <v>2236</v>
      </c>
      <c r="T2012" s="17" t="s">
        <v>2236</v>
      </c>
      <c r="U20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3" spans="1:31" hidden="1" x14ac:dyDescent="0.3">
      <c r="A2013" s="14" t="s">
        <v>3949</v>
      </c>
      <c r="B2013" s="14" t="s">
        <v>2371</v>
      </c>
      <c r="C2013" s="14" t="s">
        <v>5092</v>
      </c>
      <c r="D2013" s="14" t="s">
        <v>5093</v>
      </c>
      <c r="E2013" s="14" t="s">
        <v>2236</v>
      </c>
      <c r="F2013" s="8">
        <v>0</v>
      </c>
      <c r="G2013" s="14" t="s">
        <v>2237</v>
      </c>
      <c r="H2013" s="16">
        <v>0</v>
      </c>
      <c r="I2013" s="14" t="s">
        <v>2237</v>
      </c>
      <c r="J2013" s="16">
        <v>0</v>
      </c>
      <c r="K2013" s="14" t="s">
        <v>2237</v>
      </c>
      <c r="L2013" s="16">
        <v>0</v>
      </c>
      <c r="M2013" s="14" t="s">
        <v>2237</v>
      </c>
      <c r="N2013" s="8">
        <v>0</v>
      </c>
      <c r="O2013" s="14" t="s">
        <v>2237</v>
      </c>
      <c r="P2013" s="14" t="s">
        <v>2236</v>
      </c>
      <c r="Q2013" s="17" t="s">
        <v>2236</v>
      </c>
      <c r="R2013" s="17" t="s">
        <v>2236</v>
      </c>
      <c r="S2013" s="17" t="s">
        <v>2236</v>
      </c>
      <c r="T2013" s="17" t="s">
        <v>2236</v>
      </c>
      <c r="U20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4" spans="1:31" hidden="1" x14ac:dyDescent="0.3">
      <c r="A2014" s="14" t="s">
        <v>3950</v>
      </c>
      <c r="B2014" s="14" t="s">
        <v>2371</v>
      </c>
      <c r="C2014" s="14" t="s">
        <v>4607</v>
      </c>
      <c r="D2014" s="14" t="s">
        <v>5094</v>
      </c>
      <c r="E2014" s="14" t="s">
        <v>2236</v>
      </c>
      <c r="F2014" s="8">
        <v>0</v>
      </c>
      <c r="G2014" s="14" t="s">
        <v>2237</v>
      </c>
      <c r="H2014" s="16">
        <v>0</v>
      </c>
      <c r="I2014" s="14" t="s">
        <v>2237</v>
      </c>
      <c r="J2014" s="16">
        <v>0</v>
      </c>
      <c r="K2014" s="14" t="s">
        <v>2237</v>
      </c>
      <c r="L2014" s="16">
        <v>0</v>
      </c>
      <c r="M2014" s="14" t="s">
        <v>2237</v>
      </c>
      <c r="N2014" s="8">
        <v>0</v>
      </c>
      <c r="O2014" s="14" t="s">
        <v>2237</v>
      </c>
      <c r="P2014" s="14" t="s">
        <v>2236</v>
      </c>
      <c r="Q2014" s="17" t="s">
        <v>2236</v>
      </c>
      <c r="R2014" s="17" t="s">
        <v>2236</v>
      </c>
      <c r="S2014" s="17" t="s">
        <v>2236</v>
      </c>
      <c r="T2014" s="17" t="s">
        <v>2236</v>
      </c>
      <c r="U20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5" spans="1:31" hidden="1" x14ac:dyDescent="0.3">
      <c r="A2015" s="14" t="s">
        <v>3951</v>
      </c>
      <c r="B2015" s="14" t="s">
        <v>2371</v>
      </c>
      <c r="C2015" s="14" t="s">
        <v>5095</v>
      </c>
      <c r="D2015" s="14" t="s">
        <v>5096</v>
      </c>
      <c r="E2015" s="14" t="s">
        <v>2236</v>
      </c>
      <c r="F2015" s="8">
        <v>0</v>
      </c>
      <c r="G2015" s="14" t="s">
        <v>2237</v>
      </c>
      <c r="H2015" s="16">
        <v>0</v>
      </c>
      <c r="I2015" s="14" t="s">
        <v>2237</v>
      </c>
      <c r="J2015" s="16">
        <v>0</v>
      </c>
      <c r="K2015" s="14" t="s">
        <v>2237</v>
      </c>
      <c r="L2015" s="16">
        <v>0</v>
      </c>
      <c r="M2015" s="14" t="s">
        <v>2237</v>
      </c>
      <c r="N2015" s="8">
        <v>0</v>
      </c>
      <c r="O2015" s="14" t="s">
        <v>2237</v>
      </c>
      <c r="P2015" s="14" t="s">
        <v>2236</v>
      </c>
      <c r="Q2015" s="17" t="s">
        <v>2236</v>
      </c>
      <c r="R2015" s="17" t="s">
        <v>2236</v>
      </c>
      <c r="S2015" s="17" t="s">
        <v>2236</v>
      </c>
      <c r="T2015" s="17" t="s">
        <v>2236</v>
      </c>
      <c r="U20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6" spans="1:31" hidden="1" x14ac:dyDescent="0.3">
      <c r="A2016" s="14" t="s">
        <v>3952</v>
      </c>
      <c r="B2016" s="14" t="s">
        <v>2371</v>
      </c>
      <c r="C2016" s="14" t="s">
        <v>5097</v>
      </c>
      <c r="D2016" s="14" t="s">
        <v>5098</v>
      </c>
      <c r="E2016" s="14" t="s">
        <v>2236</v>
      </c>
      <c r="F2016" s="8">
        <v>0</v>
      </c>
      <c r="G2016" s="14" t="s">
        <v>2237</v>
      </c>
      <c r="H2016" s="16">
        <v>0</v>
      </c>
      <c r="I2016" s="14" t="s">
        <v>2237</v>
      </c>
      <c r="J2016" s="16">
        <v>0</v>
      </c>
      <c r="K2016" s="14" t="s">
        <v>2237</v>
      </c>
      <c r="L2016" s="16">
        <v>0</v>
      </c>
      <c r="M2016" s="14" t="s">
        <v>2237</v>
      </c>
      <c r="N2016" s="8">
        <v>0</v>
      </c>
      <c r="O2016" s="14" t="s">
        <v>2237</v>
      </c>
      <c r="P2016" s="14" t="s">
        <v>2236</v>
      </c>
      <c r="Q2016" s="17" t="s">
        <v>2236</v>
      </c>
      <c r="R2016" s="17" t="s">
        <v>2236</v>
      </c>
      <c r="S2016" s="17" t="s">
        <v>2236</v>
      </c>
      <c r="T2016" s="17" t="s">
        <v>2236</v>
      </c>
      <c r="U20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7" spans="1:31" hidden="1" x14ac:dyDescent="0.3">
      <c r="A2017" s="14" t="s">
        <v>3953</v>
      </c>
      <c r="B2017" s="14" t="s">
        <v>2371</v>
      </c>
      <c r="C2017" s="14" t="s">
        <v>5099</v>
      </c>
      <c r="D2017" s="14" t="s">
        <v>5100</v>
      </c>
      <c r="E2017" s="14" t="s">
        <v>2236</v>
      </c>
      <c r="F2017" s="8">
        <v>0</v>
      </c>
      <c r="G2017" s="14" t="s">
        <v>2237</v>
      </c>
      <c r="H2017" s="16">
        <v>0</v>
      </c>
      <c r="I2017" s="14" t="s">
        <v>2237</v>
      </c>
      <c r="J2017" s="16">
        <v>0</v>
      </c>
      <c r="K2017" s="14" t="s">
        <v>2237</v>
      </c>
      <c r="L2017" s="16">
        <v>0</v>
      </c>
      <c r="M2017" s="14" t="s">
        <v>2237</v>
      </c>
      <c r="N2017" s="8">
        <v>0</v>
      </c>
      <c r="O2017" s="14" t="s">
        <v>2237</v>
      </c>
      <c r="P2017" s="14" t="s">
        <v>2236</v>
      </c>
      <c r="Q2017" s="17" t="s">
        <v>2236</v>
      </c>
      <c r="R2017" s="17" t="s">
        <v>2236</v>
      </c>
      <c r="S2017" s="17" t="s">
        <v>2236</v>
      </c>
      <c r="T2017" s="17" t="s">
        <v>2236</v>
      </c>
      <c r="U20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8" spans="1:31" hidden="1" x14ac:dyDescent="0.3">
      <c r="A2018" s="14" t="s">
        <v>3954</v>
      </c>
      <c r="B2018" s="14" t="s">
        <v>2371</v>
      </c>
      <c r="C2018" s="14" t="s">
        <v>4648</v>
      </c>
      <c r="D2018" s="14" t="s">
        <v>5101</v>
      </c>
      <c r="E2018" s="14" t="s">
        <v>2236</v>
      </c>
      <c r="F2018" s="8">
        <v>0</v>
      </c>
      <c r="G2018" s="14" t="s">
        <v>2237</v>
      </c>
      <c r="H2018" s="16">
        <v>0</v>
      </c>
      <c r="I2018" s="14" t="s">
        <v>2237</v>
      </c>
      <c r="J2018" s="16">
        <v>0</v>
      </c>
      <c r="K2018" s="14" t="s">
        <v>2237</v>
      </c>
      <c r="L2018" s="16">
        <v>0</v>
      </c>
      <c r="M2018" s="14" t="s">
        <v>2237</v>
      </c>
      <c r="N2018" s="8">
        <v>0</v>
      </c>
      <c r="O2018" s="14" t="s">
        <v>2237</v>
      </c>
      <c r="P2018" s="14" t="s">
        <v>2236</v>
      </c>
      <c r="Q2018" s="17" t="s">
        <v>2236</v>
      </c>
      <c r="R2018" s="17" t="s">
        <v>2236</v>
      </c>
      <c r="S2018" s="17" t="s">
        <v>2236</v>
      </c>
      <c r="T2018" s="17" t="s">
        <v>2236</v>
      </c>
      <c r="U20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19" spans="1:31" hidden="1" x14ac:dyDescent="0.3">
      <c r="A2019" s="14" t="s">
        <v>3955</v>
      </c>
      <c r="B2019" s="14" t="s">
        <v>2371</v>
      </c>
      <c r="C2019" s="14" t="s">
        <v>5102</v>
      </c>
      <c r="D2019" s="14" t="s">
        <v>5103</v>
      </c>
      <c r="E2019" s="14" t="s">
        <v>2236</v>
      </c>
      <c r="F2019" s="8">
        <v>0</v>
      </c>
      <c r="G2019" s="14" t="s">
        <v>2237</v>
      </c>
      <c r="H2019" s="16">
        <v>0</v>
      </c>
      <c r="I2019" s="14" t="s">
        <v>2237</v>
      </c>
      <c r="J2019" s="16">
        <v>0</v>
      </c>
      <c r="K2019" s="14" t="s">
        <v>2237</v>
      </c>
      <c r="L2019" s="16">
        <v>0</v>
      </c>
      <c r="M2019" s="14" t="s">
        <v>2237</v>
      </c>
      <c r="N2019" s="8">
        <v>0</v>
      </c>
      <c r="O2019" s="14" t="s">
        <v>2237</v>
      </c>
      <c r="P2019" s="14" t="s">
        <v>2236</v>
      </c>
      <c r="Q2019" s="17" t="s">
        <v>2236</v>
      </c>
      <c r="R2019" s="17" t="s">
        <v>2236</v>
      </c>
      <c r="S2019" s="17" t="s">
        <v>2236</v>
      </c>
      <c r="T2019" s="17" t="s">
        <v>2236</v>
      </c>
      <c r="U20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0" spans="1:31" hidden="1" x14ac:dyDescent="0.3">
      <c r="A2020" s="14" t="s">
        <v>3956</v>
      </c>
      <c r="B2020" s="14" t="s">
        <v>2371</v>
      </c>
      <c r="C2020" s="14" t="s">
        <v>5104</v>
      </c>
      <c r="D2020" s="14" t="s">
        <v>5105</v>
      </c>
      <c r="E2020" s="14" t="s">
        <v>2236</v>
      </c>
      <c r="F2020" s="8">
        <v>0</v>
      </c>
      <c r="G2020" s="14" t="s">
        <v>2237</v>
      </c>
      <c r="H2020" s="16">
        <v>0</v>
      </c>
      <c r="I2020" s="14" t="s">
        <v>2237</v>
      </c>
      <c r="J2020" s="16">
        <v>0</v>
      </c>
      <c r="K2020" s="14" t="s">
        <v>2237</v>
      </c>
      <c r="L2020" s="16">
        <v>0</v>
      </c>
      <c r="M2020" s="14" t="s">
        <v>2237</v>
      </c>
      <c r="N2020" s="8">
        <v>0</v>
      </c>
      <c r="O2020" s="14" t="s">
        <v>2237</v>
      </c>
      <c r="P2020" s="14" t="s">
        <v>2236</v>
      </c>
      <c r="Q2020" s="17" t="s">
        <v>2236</v>
      </c>
      <c r="R2020" s="17" t="s">
        <v>2236</v>
      </c>
      <c r="S2020" s="17" t="s">
        <v>2236</v>
      </c>
      <c r="T2020" s="17" t="s">
        <v>2236</v>
      </c>
      <c r="U20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1" spans="1:31" hidden="1" x14ac:dyDescent="0.3">
      <c r="A2021" s="14" t="s">
        <v>3957</v>
      </c>
      <c r="B2021" s="14" t="s">
        <v>2371</v>
      </c>
      <c r="C2021" s="14" t="s">
        <v>5106</v>
      </c>
      <c r="D2021" s="14" t="s">
        <v>5107</v>
      </c>
      <c r="E2021" s="14" t="s">
        <v>2236</v>
      </c>
      <c r="F2021" s="8">
        <v>0</v>
      </c>
      <c r="G2021" s="14" t="s">
        <v>2237</v>
      </c>
      <c r="H2021" s="16">
        <v>0</v>
      </c>
      <c r="I2021" s="14" t="s">
        <v>2237</v>
      </c>
      <c r="J2021" s="16">
        <v>0</v>
      </c>
      <c r="K2021" s="14" t="s">
        <v>2237</v>
      </c>
      <c r="L2021" s="16">
        <v>0</v>
      </c>
      <c r="M2021" s="14" t="s">
        <v>2237</v>
      </c>
      <c r="N2021" s="8">
        <v>0</v>
      </c>
      <c r="O2021" s="14" t="s">
        <v>2237</v>
      </c>
      <c r="P2021" s="14" t="s">
        <v>2236</v>
      </c>
      <c r="Q2021" s="17" t="s">
        <v>2236</v>
      </c>
      <c r="R2021" s="17" t="s">
        <v>2236</v>
      </c>
      <c r="S2021" s="17" t="s">
        <v>2236</v>
      </c>
      <c r="T2021" s="17" t="s">
        <v>2236</v>
      </c>
      <c r="U20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2" spans="1:31" hidden="1" x14ac:dyDescent="0.3">
      <c r="A2022" s="14" t="s">
        <v>3958</v>
      </c>
      <c r="B2022" s="14" t="s">
        <v>2371</v>
      </c>
      <c r="C2022" s="14" t="s">
        <v>5108</v>
      </c>
      <c r="D2022" s="14" t="s">
        <v>5109</v>
      </c>
      <c r="E2022" s="14" t="s">
        <v>2236</v>
      </c>
      <c r="F2022" s="8">
        <v>0</v>
      </c>
      <c r="G2022" s="14" t="s">
        <v>2237</v>
      </c>
      <c r="H2022" s="16">
        <v>0</v>
      </c>
      <c r="I2022" s="14" t="s">
        <v>2237</v>
      </c>
      <c r="J2022" s="16">
        <v>0</v>
      </c>
      <c r="K2022" s="14" t="s">
        <v>2237</v>
      </c>
      <c r="L2022" s="16">
        <v>0</v>
      </c>
      <c r="M2022" s="14" t="s">
        <v>2237</v>
      </c>
      <c r="N2022" s="8">
        <v>0</v>
      </c>
      <c r="O2022" s="14" t="s">
        <v>2237</v>
      </c>
      <c r="P2022" s="14" t="s">
        <v>2236</v>
      </c>
      <c r="Q2022" s="17" t="s">
        <v>2236</v>
      </c>
      <c r="R2022" s="17" t="s">
        <v>2236</v>
      </c>
      <c r="S2022" s="17" t="s">
        <v>2236</v>
      </c>
      <c r="T2022" s="17" t="s">
        <v>2236</v>
      </c>
      <c r="U20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3" spans="1:31" hidden="1" x14ac:dyDescent="0.3">
      <c r="A2023" s="14" t="s">
        <v>3959</v>
      </c>
      <c r="B2023" s="14" t="s">
        <v>2371</v>
      </c>
      <c r="C2023" s="14" t="s">
        <v>5110</v>
      </c>
      <c r="D2023" s="14" t="s">
        <v>5111</v>
      </c>
      <c r="E2023" s="14" t="s">
        <v>2236</v>
      </c>
      <c r="F2023" s="8">
        <v>0</v>
      </c>
      <c r="G2023" s="14" t="s">
        <v>2237</v>
      </c>
      <c r="H2023" s="16">
        <v>0</v>
      </c>
      <c r="I2023" s="14" t="s">
        <v>2237</v>
      </c>
      <c r="J2023" s="16">
        <v>0</v>
      </c>
      <c r="K2023" s="14" t="s">
        <v>2237</v>
      </c>
      <c r="L2023" s="16">
        <v>0</v>
      </c>
      <c r="M2023" s="14" t="s">
        <v>2237</v>
      </c>
      <c r="N2023" s="8">
        <v>0</v>
      </c>
      <c r="O2023" s="14" t="s">
        <v>2237</v>
      </c>
      <c r="P2023" s="14" t="s">
        <v>2236</v>
      </c>
      <c r="Q2023" s="17" t="s">
        <v>2236</v>
      </c>
      <c r="R2023" s="17" t="s">
        <v>2236</v>
      </c>
      <c r="S2023" s="17" t="s">
        <v>2236</v>
      </c>
      <c r="T2023" s="17" t="s">
        <v>2236</v>
      </c>
      <c r="U20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4" spans="1:31" hidden="1" x14ac:dyDescent="0.3">
      <c r="A2024" s="14" t="s">
        <v>3960</v>
      </c>
      <c r="B2024" s="14" t="s">
        <v>2371</v>
      </c>
      <c r="C2024" s="14" t="s">
        <v>5112</v>
      </c>
      <c r="D2024" s="14" t="s">
        <v>5113</v>
      </c>
      <c r="E2024" s="14" t="s">
        <v>2236</v>
      </c>
      <c r="F2024" s="8">
        <v>0</v>
      </c>
      <c r="G2024" s="14" t="s">
        <v>2237</v>
      </c>
      <c r="H2024" s="16">
        <v>0</v>
      </c>
      <c r="I2024" s="14" t="s">
        <v>2237</v>
      </c>
      <c r="J2024" s="16">
        <v>0</v>
      </c>
      <c r="K2024" s="14" t="s">
        <v>2237</v>
      </c>
      <c r="L2024" s="16">
        <v>0</v>
      </c>
      <c r="M2024" s="14" t="s">
        <v>2237</v>
      </c>
      <c r="N2024" s="8">
        <v>0</v>
      </c>
      <c r="O2024" s="14" t="s">
        <v>2237</v>
      </c>
      <c r="P2024" s="14" t="s">
        <v>2236</v>
      </c>
      <c r="Q2024" s="17" t="s">
        <v>2236</v>
      </c>
      <c r="R2024" s="17" t="s">
        <v>2236</v>
      </c>
      <c r="S2024" s="17" t="s">
        <v>2236</v>
      </c>
      <c r="T2024" s="17" t="s">
        <v>2236</v>
      </c>
      <c r="U20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5" spans="1:31" hidden="1" x14ac:dyDescent="0.3">
      <c r="A2025" s="14" t="s">
        <v>3961</v>
      </c>
      <c r="B2025" s="14" t="s">
        <v>2371</v>
      </c>
      <c r="C2025" s="14" t="s">
        <v>5114</v>
      </c>
      <c r="D2025" s="14" t="s">
        <v>5115</v>
      </c>
      <c r="E2025" s="14" t="s">
        <v>2236</v>
      </c>
      <c r="F2025" s="8">
        <v>0</v>
      </c>
      <c r="G2025" s="14" t="s">
        <v>2237</v>
      </c>
      <c r="H2025" s="16">
        <v>0</v>
      </c>
      <c r="I2025" s="14" t="s">
        <v>2237</v>
      </c>
      <c r="J2025" s="16">
        <v>0</v>
      </c>
      <c r="K2025" s="14" t="s">
        <v>2237</v>
      </c>
      <c r="L2025" s="16">
        <v>0</v>
      </c>
      <c r="M2025" s="14" t="s">
        <v>2237</v>
      </c>
      <c r="N2025" s="8">
        <v>0</v>
      </c>
      <c r="O2025" s="14" t="s">
        <v>2237</v>
      </c>
      <c r="P2025" s="14" t="s">
        <v>2236</v>
      </c>
      <c r="Q2025" s="17" t="s">
        <v>2236</v>
      </c>
      <c r="R2025" s="17" t="s">
        <v>2236</v>
      </c>
      <c r="S2025" s="17" t="s">
        <v>2236</v>
      </c>
      <c r="T2025" s="17" t="s">
        <v>2236</v>
      </c>
      <c r="U20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6" spans="1:31" hidden="1" x14ac:dyDescent="0.3">
      <c r="A2026" s="14" t="s">
        <v>3962</v>
      </c>
      <c r="B2026" s="14" t="s">
        <v>2371</v>
      </c>
      <c r="C2026" s="14" t="s">
        <v>5116</v>
      </c>
      <c r="D2026" s="14" t="s">
        <v>5117</v>
      </c>
      <c r="E2026" s="14" t="s">
        <v>2236</v>
      </c>
      <c r="F2026" s="8">
        <v>0</v>
      </c>
      <c r="G2026" s="14" t="s">
        <v>2237</v>
      </c>
      <c r="H2026" s="16">
        <v>0</v>
      </c>
      <c r="I2026" s="14" t="s">
        <v>2237</v>
      </c>
      <c r="J2026" s="16">
        <v>0</v>
      </c>
      <c r="K2026" s="14" t="s">
        <v>2237</v>
      </c>
      <c r="L2026" s="16">
        <v>0</v>
      </c>
      <c r="M2026" s="14" t="s">
        <v>2237</v>
      </c>
      <c r="N2026" s="8">
        <v>0</v>
      </c>
      <c r="O2026" s="14" t="s">
        <v>2237</v>
      </c>
      <c r="P2026" s="14" t="s">
        <v>2236</v>
      </c>
      <c r="Q2026" s="17" t="s">
        <v>2236</v>
      </c>
      <c r="R2026" s="17" t="s">
        <v>2236</v>
      </c>
      <c r="S2026" s="17" t="s">
        <v>2236</v>
      </c>
      <c r="T2026" s="17" t="s">
        <v>2236</v>
      </c>
      <c r="U20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7" spans="1:31" hidden="1" x14ac:dyDescent="0.3">
      <c r="A2027" s="14" t="s">
        <v>3963</v>
      </c>
      <c r="B2027" s="14" t="s">
        <v>2371</v>
      </c>
      <c r="C2027" s="14" t="s">
        <v>5118</v>
      </c>
      <c r="D2027" s="14" t="s">
        <v>5119</v>
      </c>
      <c r="E2027" s="14" t="s">
        <v>2236</v>
      </c>
      <c r="F2027" s="8">
        <v>0</v>
      </c>
      <c r="G2027" s="14" t="s">
        <v>2237</v>
      </c>
      <c r="H2027" s="16">
        <v>0</v>
      </c>
      <c r="I2027" s="14" t="s">
        <v>2237</v>
      </c>
      <c r="J2027" s="16">
        <v>0</v>
      </c>
      <c r="K2027" s="14" t="s">
        <v>2237</v>
      </c>
      <c r="L2027" s="16">
        <v>0</v>
      </c>
      <c r="M2027" s="14" t="s">
        <v>2237</v>
      </c>
      <c r="N2027" s="8">
        <v>0</v>
      </c>
      <c r="O2027" s="14" t="s">
        <v>2237</v>
      </c>
      <c r="P2027" s="14" t="s">
        <v>2236</v>
      </c>
      <c r="Q2027" s="17" t="s">
        <v>2236</v>
      </c>
      <c r="R2027" s="17" t="s">
        <v>2236</v>
      </c>
      <c r="S2027" s="17" t="s">
        <v>2236</v>
      </c>
      <c r="T2027" s="17" t="s">
        <v>2236</v>
      </c>
      <c r="U20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8" spans="1:31" hidden="1" x14ac:dyDescent="0.3">
      <c r="A2028" s="14" t="s">
        <v>3964</v>
      </c>
      <c r="B2028" s="14" t="s">
        <v>2371</v>
      </c>
      <c r="C2028" s="14" t="s">
        <v>5120</v>
      </c>
      <c r="D2028" s="14" t="s">
        <v>5121</v>
      </c>
      <c r="E2028" s="14" t="s">
        <v>2236</v>
      </c>
      <c r="F2028" s="8">
        <v>0</v>
      </c>
      <c r="G2028" s="14" t="s">
        <v>2237</v>
      </c>
      <c r="H2028" s="16">
        <v>0</v>
      </c>
      <c r="I2028" s="14" t="s">
        <v>2237</v>
      </c>
      <c r="J2028" s="16">
        <v>0</v>
      </c>
      <c r="K2028" s="14" t="s">
        <v>2237</v>
      </c>
      <c r="L2028" s="16">
        <v>0</v>
      </c>
      <c r="M2028" s="14" t="s">
        <v>2237</v>
      </c>
      <c r="N2028" s="8">
        <v>0</v>
      </c>
      <c r="O2028" s="14" t="s">
        <v>2237</v>
      </c>
      <c r="P2028" s="14" t="s">
        <v>2236</v>
      </c>
      <c r="Q2028" s="17" t="s">
        <v>2236</v>
      </c>
      <c r="R2028" s="17" t="s">
        <v>2236</v>
      </c>
      <c r="S2028" s="17" t="s">
        <v>2236</v>
      </c>
      <c r="T2028" s="17" t="s">
        <v>2236</v>
      </c>
      <c r="U20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29" spans="1:31" hidden="1" x14ac:dyDescent="0.3">
      <c r="A2029" s="14" t="s">
        <v>3965</v>
      </c>
      <c r="B2029" s="14" t="s">
        <v>2371</v>
      </c>
      <c r="C2029" s="14" t="s">
        <v>5122</v>
      </c>
      <c r="D2029" s="14" t="s">
        <v>5123</v>
      </c>
      <c r="E2029" s="14" t="s">
        <v>2236</v>
      </c>
      <c r="F2029" s="8">
        <v>0</v>
      </c>
      <c r="G2029" s="14" t="s">
        <v>2237</v>
      </c>
      <c r="H2029" s="16">
        <v>0</v>
      </c>
      <c r="I2029" s="14" t="s">
        <v>2237</v>
      </c>
      <c r="J2029" s="16">
        <v>0</v>
      </c>
      <c r="K2029" s="14" t="s">
        <v>2237</v>
      </c>
      <c r="L2029" s="16">
        <v>0</v>
      </c>
      <c r="M2029" s="14" t="s">
        <v>2237</v>
      </c>
      <c r="N2029" s="8">
        <v>0</v>
      </c>
      <c r="O2029" s="14" t="s">
        <v>2237</v>
      </c>
      <c r="P2029" s="14" t="s">
        <v>2236</v>
      </c>
      <c r="Q2029" s="17" t="s">
        <v>2236</v>
      </c>
      <c r="R2029" s="17" t="s">
        <v>2236</v>
      </c>
      <c r="S2029" s="17" t="s">
        <v>2236</v>
      </c>
      <c r="T2029" s="17" t="s">
        <v>2236</v>
      </c>
      <c r="U20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0" spans="1:31" hidden="1" x14ac:dyDescent="0.3">
      <c r="A2030" s="14" t="s">
        <v>3966</v>
      </c>
      <c r="B2030" s="14" t="s">
        <v>2371</v>
      </c>
      <c r="C2030" s="14" t="s">
        <v>5124</v>
      </c>
      <c r="D2030" s="14" t="s">
        <v>5125</v>
      </c>
      <c r="E2030" s="14" t="s">
        <v>2236</v>
      </c>
      <c r="F2030" s="8">
        <v>0</v>
      </c>
      <c r="G2030" s="14" t="s">
        <v>2237</v>
      </c>
      <c r="H2030" s="16">
        <v>0</v>
      </c>
      <c r="I2030" s="14" t="s">
        <v>2237</v>
      </c>
      <c r="J2030" s="16">
        <v>0</v>
      </c>
      <c r="K2030" s="14" t="s">
        <v>2237</v>
      </c>
      <c r="L2030" s="16">
        <v>0</v>
      </c>
      <c r="M2030" s="14" t="s">
        <v>2237</v>
      </c>
      <c r="N2030" s="8">
        <v>0</v>
      </c>
      <c r="O2030" s="14" t="s">
        <v>2237</v>
      </c>
      <c r="P2030" s="14" t="s">
        <v>2236</v>
      </c>
      <c r="Q2030" s="17" t="s">
        <v>2236</v>
      </c>
      <c r="R2030" s="17" t="s">
        <v>2236</v>
      </c>
      <c r="S2030" s="17" t="s">
        <v>2236</v>
      </c>
      <c r="T2030" s="17" t="s">
        <v>2236</v>
      </c>
      <c r="U20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1" spans="1:31" hidden="1" x14ac:dyDescent="0.3">
      <c r="A2031" s="14" t="s">
        <v>3967</v>
      </c>
      <c r="B2031" s="14" t="s">
        <v>2371</v>
      </c>
      <c r="C2031" s="14" t="s">
        <v>5126</v>
      </c>
      <c r="D2031" s="14" t="s">
        <v>5127</v>
      </c>
      <c r="E2031" s="14" t="s">
        <v>2236</v>
      </c>
      <c r="F2031" s="8">
        <v>0</v>
      </c>
      <c r="G2031" s="14" t="s">
        <v>2237</v>
      </c>
      <c r="H2031" s="16">
        <v>0</v>
      </c>
      <c r="I2031" s="14" t="s">
        <v>2237</v>
      </c>
      <c r="J2031" s="16">
        <v>0</v>
      </c>
      <c r="K2031" s="14" t="s">
        <v>2237</v>
      </c>
      <c r="L2031" s="16">
        <v>0</v>
      </c>
      <c r="M2031" s="14" t="s">
        <v>2237</v>
      </c>
      <c r="N2031" s="8">
        <v>0</v>
      </c>
      <c r="O2031" s="14" t="s">
        <v>2237</v>
      </c>
      <c r="P2031" s="14" t="s">
        <v>2236</v>
      </c>
      <c r="Q2031" s="17" t="s">
        <v>2236</v>
      </c>
      <c r="R2031" s="17" t="s">
        <v>2236</v>
      </c>
      <c r="S2031" s="17" t="s">
        <v>2236</v>
      </c>
      <c r="T2031" s="17" t="s">
        <v>2236</v>
      </c>
      <c r="U20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2" spans="1:31" hidden="1" x14ac:dyDescent="0.3">
      <c r="A2032" s="14" t="s">
        <v>3968</v>
      </c>
      <c r="B2032" s="14" t="s">
        <v>2371</v>
      </c>
      <c r="C2032" s="14" t="s">
        <v>5128</v>
      </c>
      <c r="D2032" s="14" t="s">
        <v>5129</v>
      </c>
      <c r="E2032" s="14" t="s">
        <v>2236</v>
      </c>
      <c r="F2032" s="8">
        <v>0</v>
      </c>
      <c r="G2032" s="14" t="s">
        <v>2237</v>
      </c>
      <c r="H2032" s="16">
        <v>0</v>
      </c>
      <c r="I2032" s="14" t="s">
        <v>2237</v>
      </c>
      <c r="J2032" s="16">
        <v>0</v>
      </c>
      <c r="K2032" s="14" t="s">
        <v>2237</v>
      </c>
      <c r="L2032" s="16">
        <v>0</v>
      </c>
      <c r="M2032" s="14" t="s">
        <v>2237</v>
      </c>
      <c r="N2032" s="8">
        <v>0</v>
      </c>
      <c r="O2032" s="14" t="s">
        <v>2237</v>
      </c>
      <c r="P2032" s="14" t="s">
        <v>2236</v>
      </c>
      <c r="Q2032" s="17" t="s">
        <v>2236</v>
      </c>
      <c r="R2032" s="17" t="s">
        <v>2236</v>
      </c>
      <c r="S2032" s="17" t="s">
        <v>2236</v>
      </c>
      <c r="T2032" s="17" t="s">
        <v>2236</v>
      </c>
      <c r="U20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3" spans="1:31" hidden="1" x14ac:dyDescent="0.3">
      <c r="A2033" s="14" t="s">
        <v>3969</v>
      </c>
      <c r="B2033" s="14" t="s">
        <v>2371</v>
      </c>
      <c r="C2033" s="14" t="s">
        <v>5130</v>
      </c>
      <c r="D2033" s="14" t="s">
        <v>5131</v>
      </c>
      <c r="E2033" s="14" t="s">
        <v>2236</v>
      </c>
      <c r="F2033" s="8">
        <v>0</v>
      </c>
      <c r="G2033" s="14" t="s">
        <v>2237</v>
      </c>
      <c r="H2033" s="16">
        <v>0</v>
      </c>
      <c r="I2033" s="14" t="s">
        <v>2237</v>
      </c>
      <c r="J2033" s="16">
        <v>0</v>
      </c>
      <c r="K2033" s="14" t="s">
        <v>2237</v>
      </c>
      <c r="L2033" s="16">
        <v>0</v>
      </c>
      <c r="M2033" s="14" t="s">
        <v>2237</v>
      </c>
      <c r="N2033" s="8">
        <v>0</v>
      </c>
      <c r="O2033" s="14" t="s">
        <v>2237</v>
      </c>
      <c r="P2033" s="14" t="s">
        <v>2236</v>
      </c>
      <c r="Q2033" s="17" t="s">
        <v>2236</v>
      </c>
      <c r="R2033" s="17" t="s">
        <v>2236</v>
      </c>
      <c r="S2033" s="17" t="s">
        <v>2236</v>
      </c>
      <c r="T2033" s="17" t="s">
        <v>2236</v>
      </c>
      <c r="U20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4" spans="1:31" hidden="1" x14ac:dyDescent="0.3">
      <c r="A2034" s="14" t="s">
        <v>3970</v>
      </c>
      <c r="B2034" s="14" t="s">
        <v>2371</v>
      </c>
      <c r="C2034" s="14" t="s">
        <v>5132</v>
      </c>
      <c r="D2034" s="14" t="s">
        <v>5133</v>
      </c>
      <c r="E2034" s="14" t="s">
        <v>2236</v>
      </c>
      <c r="F2034" s="8">
        <v>0</v>
      </c>
      <c r="G2034" s="14" t="s">
        <v>2237</v>
      </c>
      <c r="H2034" s="16">
        <v>0</v>
      </c>
      <c r="I2034" s="14" t="s">
        <v>2237</v>
      </c>
      <c r="J2034" s="16">
        <v>0</v>
      </c>
      <c r="K2034" s="14" t="s">
        <v>2237</v>
      </c>
      <c r="L2034" s="16">
        <v>0</v>
      </c>
      <c r="M2034" s="14" t="s">
        <v>2237</v>
      </c>
      <c r="N2034" s="8">
        <v>0</v>
      </c>
      <c r="O2034" s="14" t="s">
        <v>2237</v>
      </c>
      <c r="P2034" s="14" t="s">
        <v>2236</v>
      </c>
      <c r="Q2034" s="17" t="s">
        <v>2236</v>
      </c>
      <c r="R2034" s="17" t="s">
        <v>2236</v>
      </c>
      <c r="S2034" s="17" t="s">
        <v>2236</v>
      </c>
      <c r="T2034" s="17" t="s">
        <v>2236</v>
      </c>
      <c r="U20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5" spans="1:31" hidden="1" x14ac:dyDescent="0.3">
      <c r="A2035" s="14" t="s">
        <v>3971</v>
      </c>
      <c r="B2035" s="14" t="s">
        <v>2371</v>
      </c>
      <c r="C2035" s="14" t="s">
        <v>5134</v>
      </c>
      <c r="D2035" s="14" t="s">
        <v>5135</v>
      </c>
      <c r="E2035" s="14" t="s">
        <v>2236</v>
      </c>
      <c r="F2035" s="8">
        <v>0</v>
      </c>
      <c r="G2035" s="14" t="s">
        <v>2237</v>
      </c>
      <c r="H2035" s="16">
        <v>0</v>
      </c>
      <c r="I2035" s="14" t="s">
        <v>2237</v>
      </c>
      <c r="J2035" s="16">
        <v>0</v>
      </c>
      <c r="K2035" s="14" t="s">
        <v>2237</v>
      </c>
      <c r="L2035" s="16">
        <v>0</v>
      </c>
      <c r="M2035" s="14" t="s">
        <v>2237</v>
      </c>
      <c r="N2035" s="8">
        <v>0</v>
      </c>
      <c r="O2035" s="14" t="s">
        <v>2237</v>
      </c>
      <c r="P2035" s="14" t="s">
        <v>2236</v>
      </c>
      <c r="Q2035" s="17" t="s">
        <v>2236</v>
      </c>
      <c r="R2035" s="17" t="s">
        <v>2236</v>
      </c>
      <c r="S2035" s="17" t="s">
        <v>2236</v>
      </c>
      <c r="T2035" s="17" t="s">
        <v>2236</v>
      </c>
      <c r="U20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6" spans="1:31" hidden="1" x14ac:dyDescent="0.3">
      <c r="A2036" s="14" t="s">
        <v>3972</v>
      </c>
      <c r="B2036" s="14" t="s">
        <v>2371</v>
      </c>
      <c r="C2036" s="14" t="s">
        <v>5136</v>
      </c>
      <c r="D2036" s="14" t="s">
        <v>5137</v>
      </c>
      <c r="E2036" s="14" t="s">
        <v>2236</v>
      </c>
      <c r="F2036" s="8">
        <v>0</v>
      </c>
      <c r="G2036" s="14" t="s">
        <v>2237</v>
      </c>
      <c r="H2036" s="16">
        <v>0</v>
      </c>
      <c r="I2036" s="14" t="s">
        <v>2237</v>
      </c>
      <c r="J2036" s="16">
        <v>0</v>
      </c>
      <c r="K2036" s="14" t="s">
        <v>2237</v>
      </c>
      <c r="L2036" s="16">
        <v>0</v>
      </c>
      <c r="M2036" s="14" t="s">
        <v>2237</v>
      </c>
      <c r="N2036" s="8">
        <v>0</v>
      </c>
      <c r="O2036" s="14" t="s">
        <v>2237</v>
      </c>
      <c r="P2036" s="14" t="s">
        <v>2236</v>
      </c>
      <c r="Q2036" s="17" t="s">
        <v>2236</v>
      </c>
      <c r="R2036" s="17" t="s">
        <v>2236</v>
      </c>
      <c r="S2036" s="17" t="s">
        <v>2236</v>
      </c>
      <c r="T2036" s="17" t="s">
        <v>2236</v>
      </c>
      <c r="U20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37" spans="1:31" x14ac:dyDescent="0.3">
      <c r="A2037" s="14" t="s">
        <v>3973</v>
      </c>
      <c r="B2037" s="14" t="s">
        <v>26</v>
      </c>
      <c r="C2037" s="14" t="s">
        <v>361</v>
      </c>
      <c r="D2037" s="14" t="s">
        <v>362</v>
      </c>
      <c r="E2037" s="14" t="s">
        <v>4136</v>
      </c>
      <c r="F2037" s="8">
        <v>128066</v>
      </c>
      <c r="G2037" s="14" t="s">
        <v>2237</v>
      </c>
      <c r="H2037" s="16">
        <v>128066</v>
      </c>
      <c r="I2037" s="14" t="s">
        <v>2237</v>
      </c>
      <c r="J2037" s="16">
        <v>0</v>
      </c>
      <c r="K2037" s="14" t="s">
        <v>2237</v>
      </c>
      <c r="L2037" s="16">
        <v>0</v>
      </c>
      <c r="M2037" s="14" t="s">
        <v>2237</v>
      </c>
      <c r="N2037" s="8">
        <v>85251.03</v>
      </c>
      <c r="O2037" s="14" t="s">
        <v>2237</v>
      </c>
      <c r="P2037" s="14" t="s">
        <v>2236</v>
      </c>
      <c r="Q2037" s="17" t="s">
        <v>2242</v>
      </c>
      <c r="R2037" s="17" t="s">
        <v>2238</v>
      </c>
      <c r="S2037" s="17" t="s">
        <v>2243</v>
      </c>
      <c r="T2037" s="17" t="s">
        <v>4137</v>
      </c>
      <c r="U20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03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03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03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E530-301297504-D235301</v>
      </c>
      <c r="Y20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037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037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0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0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38" spans="1:31" x14ac:dyDescent="0.3">
      <c r="A2038" s="14" t="s">
        <v>3974</v>
      </c>
      <c r="B2038" s="14" t="s">
        <v>30</v>
      </c>
      <c r="C2038" s="14" t="s">
        <v>361</v>
      </c>
      <c r="D2038" s="14" t="s">
        <v>363</v>
      </c>
      <c r="E2038" s="14" t="s">
        <v>4136</v>
      </c>
      <c r="F2038" s="8">
        <v>0</v>
      </c>
      <c r="G2038" s="14" t="s">
        <v>2237</v>
      </c>
      <c r="H2038" s="16">
        <v>0</v>
      </c>
      <c r="I2038" s="14" t="s">
        <v>2237</v>
      </c>
      <c r="J2038" s="16">
        <v>0</v>
      </c>
      <c r="K2038" s="14" t="s">
        <v>2237</v>
      </c>
      <c r="L2038" s="16">
        <v>0</v>
      </c>
      <c r="M2038" s="14" t="s">
        <v>2237</v>
      </c>
      <c r="N2038" s="8">
        <v>85251.03</v>
      </c>
      <c r="O2038" s="14" t="s">
        <v>2237</v>
      </c>
      <c r="P2038" s="14" t="s">
        <v>2236</v>
      </c>
      <c r="Q2038" s="17" t="s">
        <v>2242</v>
      </c>
      <c r="R2038" s="17" t="s">
        <v>2238</v>
      </c>
      <c r="S2038" s="17" t="s">
        <v>2243</v>
      </c>
      <c r="T2038" s="17" t="s">
        <v>4142</v>
      </c>
      <c r="U20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03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03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03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E530-301297504-D235301</v>
      </c>
      <c r="Y203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E530-30129750404-D235301</v>
      </c>
      <c r="Z203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038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038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038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203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0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39" spans="1:31" hidden="1" x14ac:dyDescent="0.3">
      <c r="A2039" s="14" t="s">
        <v>3975</v>
      </c>
      <c r="B2039" s="14" t="s">
        <v>2366</v>
      </c>
      <c r="C2039" s="14" t="s">
        <v>5138</v>
      </c>
      <c r="D2039" s="14" t="s">
        <v>5139</v>
      </c>
      <c r="E2039" s="14" t="s">
        <v>2236</v>
      </c>
      <c r="F2039" s="8">
        <v>0</v>
      </c>
      <c r="G2039" s="14" t="s">
        <v>2237</v>
      </c>
      <c r="H2039" s="16">
        <v>0</v>
      </c>
      <c r="I2039" s="14" t="s">
        <v>2237</v>
      </c>
      <c r="J2039" s="16">
        <v>0</v>
      </c>
      <c r="K2039" s="14" t="s">
        <v>2237</v>
      </c>
      <c r="L2039" s="16">
        <v>0</v>
      </c>
      <c r="M2039" s="14" t="s">
        <v>2237</v>
      </c>
      <c r="N2039" s="8">
        <v>860.29</v>
      </c>
      <c r="O2039" s="14" t="s">
        <v>2237</v>
      </c>
      <c r="P2039" s="14" t="s">
        <v>2236</v>
      </c>
      <c r="Q2039" s="17" t="s">
        <v>2236</v>
      </c>
      <c r="R2039" s="17" t="s">
        <v>2236</v>
      </c>
      <c r="S2039" s="17" t="s">
        <v>2236</v>
      </c>
      <c r="T2039" s="17" t="s">
        <v>5140</v>
      </c>
      <c r="U20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0" spans="1:31" hidden="1" x14ac:dyDescent="0.3">
      <c r="A2040" s="14" t="s">
        <v>3976</v>
      </c>
      <c r="B2040" s="14" t="s">
        <v>2371</v>
      </c>
      <c r="C2040" s="14" t="s">
        <v>5138</v>
      </c>
      <c r="D2040" s="14" t="s">
        <v>5141</v>
      </c>
      <c r="E2040" s="14" t="s">
        <v>2236</v>
      </c>
      <c r="F2040" s="8">
        <v>0</v>
      </c>
      <c r="G2040" s="14" t="s">
        <v>2237</v>
      </c>
      <c r="H2040" s="16">
        <v>0</v>
      </c>
      <c r="I2040" s="14" t="s">
        <v>2237</v>
      </c>
      <c r="J2040" s="16">
        <v>0</v>
      </c>
      <c r="K2040" s="14" t="s">
        <v>2237</v>
      </c>
      <c r="L2040" s="16">
        <v>0</v>
      </c>
      <c r="M2040" s="14" t="s">
        <v>2237</v>
      </c>
      <c r="N2040" s="8">
        <v>0</v>
      </c>
      <c r="O2040" s="14" t="s">
        <v>2237</v>
      </c>
      <c r="P2040" s="14" t="s">
        <v>2236</v>
      </c>
      <c r="Q2040" s="17" t="s">
        <v>2236</v>
      </c>
      <c r="R2040" s="17" t="s">
        <v>2236</v>
      </c>
      <c r="S2040" s="17" t="s">
        <v>2236</v>
      </c>
      <c r="T2040" s="17" t="s">
        <v>2236</v>
      </c>
      <c r="U20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1" spans="1:31" hidden="1" x14ac:dyDescent="0.3">
      <c r="A2041" s="14" t="s">
        <v>3977</v>
      </c>
      <c r="B2041" s="14" t="s">
        <v>2366</v>
      </c>
      <c r="C2041" s="14" t="s">
        <v>5142</v>
      </c>
      <c r="D2041" s="14" t="s">
        <v>5143</v>
      </c>
      <c r="E2041" s="14" t="s">
        <v>2236</v>
      </c>
      <c r="F2041" s="8">
        <v>0</v>
      </c>
      <c r="G2041" s="14" t="s">
        <v>2237</v>
      </c>
      <c r="H2041" s="16">
        <v>0</v>
      </c>
      <c r="I2041" s="14" t="s">
        <v>2237</v>
      </c>
      <c r="J2041" s="16">
        <v>0</v>
      </c>
      <c r="K2041" s="14" t="s">
        <v>2237</v>
      </c>
      <c r="L2041" s="16">
        <v>0</v>
      </c>
      <c r="M2041" s="14" t="s">
        <v>2237</v>
      </c>
      <c r="N2041" s="8">
        <v>2.4</v>
      </c>
      <c r="O2041" s="14" t="s">
        <v>2237</v>
      </c>
      <c r="P2041" s="14" t="s">
        <v>2236</v>
      </c>
      <c r="Q2041" s="17" t="s">
        <v>2236</v>
      </c>
      <c r="R2041" s="17" t="s">
        <v>2236</v>
      </c>
      <c r="S2041" s="17" t="s">
        <v>2236</v>
      </c>
      <c r="T2041" s="17" t="s">
        <v>2929</v>
      </c>
      <c r="U20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2" spans="1:31" hidden="1" x14ac:dyDescent="0.3">
      <c r="A2042" s="14" t="s">
        <v>3978</v>
      </c>
      <c r="B2042" s="14" t="s">
        <v>2371</v>
      </c>
      <c r="C2042" s="14" t="s">
        <v>4734</v>
      </c>
      <c r="D2042" s="14" t="s">
        <v>5144</v>
      </c>
      <c r="E2042" s="14" t="s">
        <v>2236</v>
      </c>
      <c r="F2042" s="8">
        <v>0</v>
      </c>
      <c r="G2042" s="14" t="s">
        <v>2237</v>
      </c>
      <c r="H2042" s="16">
        <v>0</v>
      </c>
      <c r="I2042" s="14" t="s">
        <v>2237</v>
      </c>
      <c r="J2042" s="16">
        <v>0</v>
      </c>
      <c r="K2042" s="14" t="s">
        <v>2237</v>
      </c>
      <c r="L2042" s="16">
        <v>0</v>
      </c>
      <c r="M2042" s="14" t="s">
        <v>2237</v>
      </c>
      <c r="N2042" s="8">
        <v>0</v>
      </c>
      <c r="O2042" s="14" t="s">
        <v>2237</v>
      </c>
      <c r="P2042" s="14" t="s">
        <v>2236</v>
      </c>
      <c r="Q2042" s="17" t="s">
        <v>2236</v>
      </c>
      <c r="R2042" s="17" t="s">
        <v>2236</v>
      </c>
      <c r="S2042" s="17" t="s">
        <v>2236</v>
      </c>
      <c r="T2042" s="17" t="s">
        <v>2236</v>
      </c>
      <c r="U20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3" spans="1:31" hidden="1" x14ac:dyDescent="0.3">
      <c r="A2043" s="14" t="s">
        <v>3979</v>
      </c>
      <c r="B2043" s="14" t="s">
        <v>2371</v>
      </c>
      <c r="C2043" s="14" t="s">
        <v>5145</v>
      </c>
      <c r="D2043" s="14" t="s">
        <v>5146</v>
      </c>
      <c r="E2043" s="14" t="s">
        <v>2236</v>
      </c>
      <c r="F2043" s="8">
        <v>0</v>
      </c>
      <c r="G2043" s="14" t="s">
        <v>2237</v>
      </c>
      <c r="H2043" s="16">
        <v>0</v>
      </c>
      <c r="I2043" s="14" t="s">
        <v>2237</v>
      </c>
      <c r="J2043" s="16">
        <v>0</v>
      </c>
      <c r="K2043" s="14" t="s">
        <v>2237</v>
      </c>
      <c r="L2043" s="16">
        <v>0</v>
      </c>
      <c r="M2043" s="14" t="s">
        <v>2237</v>
      </c>
      <c r="N2043" s="8">
        <v>0</v>
      </c>
      <c r="O2043" s="14" t="s">
        <v>2237</v>
      </c>
      <c r="P2043" s="14" t="s">
        <v>2236</v>
      </c>
      <c r="Q2043" s="17" t="s">
        <v>2236</v>
      </c>
      <c r="R2043" s="17" t="s">
        <v>2236</v>
      </c>
      <c r="S2043" s="17" t="s">
        <v>2236</v>
      </c>
      <c r="T2043" s="17" t="s">
        <v>2236</v>
      </c>
      <c r="U20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4" spans="1:31" hidden="1" x14ac:dyDescent="0.3">
      <c r="A2044" s="14" t="s">
        <v>3980</v>
      </c>
      <c r="B2044" s="14" t="s">
        <v>2371</v>
      </c>
      <c r="C2044" s="14" t="s">
        <v>5147</v>
      </c>
      <c r="D2044" s="14" t="s">
        <v>5148</v>
      </c>
      <c r="E2044" s="14" t="s">
        <v>2236</v>
      </c>
      <c r="F2044" s="8">
        <v>0</v>
      </c>
      <c r="G2044" s="14" t="s">
        <v>2237</v>
      </c>
      <c r="H2044" s="16">
        <v>0</v>
      </c>
      <c r="I2044" s="14" t="s">
        <v>2237</v>
      </c>
      <c r="J2044" s="16">
        <v>0</v>
      </c>
      <c r="K2044" s="14" t="s">
        <v>2237</v>
      </c>
      <c r="L2044" s="16">
        <v>0</v>
      </c>
      <c r="M2044" s="14" t="s">
        <v>2237</v>
      </c>
      <c r="N2044" s="8">
        <v>0</v>
      </c>
      <c r="O2044" s="14" t="s">
        <v>2237</v>
      </c>
      <c r="P2044" s="14" t="s">
        <v>2236</v>
      </c>
      <c r="Q2044" s="17" t="s">
        <v>2236</v>
      </c>
      <c r="R2044" s="17" t="s">
        <v>2236</v>
      </c>
      <c r="S2044" s="17" t="s">
        <v>2236</v>
      </c>
      <c r="T2044" s="17" t="s">
        <v>2236</v>
      </c>
      <c r="U20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5" spans="1:31" hidden="1" x14ac:dyDescent="0.3">
      <c r="A2045" s="14" t="s">
        <v>3981</v>
      </c>
      <c r="B2045" s="14" t="s">
        <v>2371</v>
      </c>
      <c r="C2045" s="14" t="s">
        <v>4740</v>
      </c>
      <c r="D2045" s="14" t="s">
        <v>5149</v>
      </c>
      <c r="E2045" s="14" t="s">
        <v>2236</v>
      </c>
      <c r="F2045" s="8">
        <v>0</v>
      </c>
      <c r="G2045" s="14" t="s">
        <v>2237</v>
      </c>
      <c r="H2045" s="16">
        <v>0</v>
      </c>
      <c r="I2045" s="14" t="s">
        <v>2237</v>
      </c>
      <c r="J2045" s="16">
        <v>0</v>
      </c>
      <c r="K2045" s="14" t="s">
        <v>2237</v>
      </c>
      <c r="L2045" s="16">
        <v>0</v>
      </c>
      <c r="M2045" s="14" t="s">
        <v>2237</v>
      </c>
      <c r="N2045" s="8">
        <v>0</v>
      </c>
      <c r="O2045" s="14" t="s">
        <v>2237</v>
      </c>
      <c r="P2045" s="14" t="s">
        <v>2236</v>
      </c>
      <c r="Q2045" s="17" t="s">
        <v>2236</v>
      </c>
      <c r="R2045" s="17" t="s">
        <v>2236</v>
      </c>
      <c r="S2045" s="17" t="s">
        <v>2236</v>
      </c>
      <c r="T2045" s="17" t="s">
        <v>2236</v>
      </c>
      <c r="U20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6" spans="1:31" hidden="1" x14ac:dyDescent="0.3">
      <c r="A2046" s="14" t="s">
        <v>3982</v>
      </c>
      <c r="B2046" s="14" t="s">
        <v>2371</v>
      </c>
      <c r="C2046" s="14" t="s">
        <v>4742</v>
      </c>
      <c r="D2046" s="14" t="s">
        <v>5150</v>
      </c>
      <c r="E2046" s="14" t="s">
        <v>2236</v>
      </c>
      <c r="F2046" s="8">
        <v>0</v>
      </c>
      <c r="G2046" s="14" t="s">
        <v>2237</v>
      </c>
      <c r="H2046" s="16">
        <v>0</v>
      </c>
      <c r="I2046" s="14" t="s">
        <v>2237</v>
      </c>
      <c r="J2046" s="16">
        <v>0</v>
      </c>
      <c r="K2046" s="14" t="s">
        <v>2237</v>
      </c>
      <c r="L2046" s="16">
        <v>0</v>
      </c>
      <c r="M2046" s="14" t="s">
        <v>2237</v>
      </c>
      <c r="N2046" s="8">
        <v>0</v>
      </c>
      <c r="O2046" s="14" t="s">
        <v>2237</v>
      </c>
      <c r="P2046" s="14" t="s">
        <v>2236</v>
      </c>
      <c r="Q2046" s="17" t="s">
        <v>2236</v>
      </c>
      <c r="R2046" s="17" t="s">
        <v>2236</v>
      </c>
      <c r="S2046" s="17" t="s">
        <v>2236</v>
      </c>
      <c r="T2046" s="17" t="s">
        <v>2236</v>
      </c>
      <c r="U20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7" spans="1:31" hidden="1" x14ac:dyDescent="0.3">
      <c r="A2047" s="14" t="s">
        <v>3983</v>
      </c>
      <c r="B2047" s="14" t="s">
        <v>2371</v>
      </c>
      <c r="C2047" s="14" t="s">
        <v>5151</v>
      </c>
      <c r="D2047" s="14" t="s">
        <v>5152</v>
      </c>
      <c r="E2047" s="14" t="s">
        <v>2236</v>
      </c>
      <c r="F2047" s="8">
        <v>0</v>
      </c>
      <c r="G2047" s="14" t="s">
        <v>2237</v>
      </c>
      <c r="H2047" s="16">
        <v>0</v>
      </c>
      <c r="I2047" s="14" t="s">
        <v>2237</v>
      </c>
      <c r="J2047" s="16">
        <v>0</v>
      </c>
      <c r="K2047" s="14" t="s">
        <v>2237</v>
      </c>
      <c r="L2047" s="16">
        <v>0</v>
      </c>
      <c r="M2047" s="14" t="s">
        <v>2237</v>
      </c>
      <c r="N2047" s="8">
        <v>0</v>
      </c>
      <c r="O2047" s="14" t="s">
        <v>2237</v>
      </c>
      <c r="P2047" s="14" t="s">
        <v>2236</v>
      </c>
      <c r="Q2047" s="17" t="s">
        <v>2236</v>
      </c>
      <c r="R2047" s="17" t="s">
        <v>2236</v>
      </c>
      <c r="S2047" s="17" t="s">
        <v>2236</v>
      </c>
      <c r="T2047" s="17" t="s">
        <v>2236</v>
      </c>
      <c r="U20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8" spans="1:31" hidden="1" x14ac:dyDescent="0.3">
      <c r="A2048" s="14" t="s">
        <v>3984</v>
      </c>
      <c r="B2048" s="14" t="s">
        <v>2371</v>
      </c>
      <c r="C2048" s="14" t="s">
        <v>4746</v>
      </c>
      <c r="D2048" s="14" t="s">
        <v>5153</v>
      </c>
      <c r="E2048" s="14" t="s">
        <v>2236</v>
      </c>
      <c r="F2048" s="8">
        <v>0</v>
      </c>
      <c r="G2048" s="14" t="s">
        <v>2237</v>
      </c>
      <c r="H2048" s="16">
        <v>0</v>
      </c>
      <c r="I2048" s="14" t="s">
        <v>2237</v>
      </c>
      <c r="J2048" s="16">
        <v>0</v>
      </c>
      <c r="K2048" s="14" t="s">
        <v>2237</v>
      </c>
      <c r="L2048" s="16">
        <v>0</v>
      </c>
      <c r="M2048" s="14" t="s">
        <v>2237</v>
      </c>
      <c r="N2048" s="8">
        <v>0</v>
      </c>
      <c r="O2048" s="14" t="s">
        <v>2237</v>
      </c>
      <c r="P2048" s="14" t="s">
        <v>2236</v>
      </c>
      <c r="Q2048" s="17" t="s">
        <v>2236</v>
      </c>
      <c r="R2048" s="17" t="s">
        <v>2236</v>
      </c>
      <c r="S2048" s="17" t="s">
        <v>2236</v>
      </c>
      <c r="T2048" s="17" t="s">
        <v>2236</v>
      </c>
      <c r="U20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49" spans="1:31" hidden="1" x14ac:dyDescent="0.3">
      <c r="A2049" s="14" t="s">
        <v>3985</v>
      </c>
      <c r="B2049" s="14" t="s">
        <v>2371</v>
      </c>
      <c r="C2049" s="14" t="s">
        <v>5154</v>
      </c>
      <c r="D2049" s="14" t="s">
        <v>5155</v>
      </c>
      <c r="E2049" s="14" t="s">
        <v>2236</v>
      </c>
      <c r="F2049" s="8">
        <v>0</v>
      </c>
      <c r="G2049" s="14" t="s">
        <v>2237</v>
      </c>
      <c r="H2049" s="16">
        <v>0</v>
      </c>
      <c r="I2049" s="14" t="s">
        <v>2237</v>
      </c>
      <c r="J2049" s="16">
        <v>0</v>
      </c>
      <c r="K2049" s="14" t="s">
        <v>2237</v>
      </c>
      <c r="L2049" s="16">
        <v>0</v>
      </c>
      <c r="M2049" s="14" t="s">
        <v>2237</v>
      </c>
      <c r="N2049" s="8">
        <v>0</v>
      </c>
      <c r="O2049" s="14" t="s">
        <v>2237</v>
      </c>
      <c r="P2049" s="14" t="s">
        <v>2236</v>
      </c>
      <c r="Q2049" s="17" t="s">
        <v>2236</v>
      </c>
      <c r="R2049" s="17" t="s">
        <v>2236</v>
      </c>
      <c r="S2049" s="17" t="s">
        <v>2236</v>
      </c>
      <c r="T2049" s="17" t="s">
        <v>2236</v>
      </c>
      <c r="U20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0" spans="1:31" hidden="1" x14ac:dyDescent="0.3">
      <c r="A2050" s="14" t="s">
        <v>3986</v>
      </c>
      <c r="B2050" s="14" t="s">
        <v>2371</v>
      </c>
      <c r="C2050" s="14" t="s">
        <v>4750</v>
      </c>
      <c r="D2050" s="14" t="s">
        <v>5156</v>
      </c>
      <c r="E2050" s="14" t="s">
        <v>2236</v>
      </c>
      <c r="F2050" s="8">
        <v>0</v>
      </c>
      <c r="G2050" s="14" t="s">
        <v>2237</v>
      </c>
      <c r="H2050" s="16">
        <v>0</v>
      </c>
      <c r="I2050" s="14" t="s">
        <v>2237</v>
      </c>
      <c r="J2050" s="16">
        <v>0</v>
      </c>
      <c r="K2050" s="14" t="s">
        <v>2237</v>
      </c>
      <c r="L2050" s="16">
        <v>0</v>
      </c>
      <c r="M2050" s="14" t="s">
        <v>2237</v>
      </c>
      <c r="N2050" s="8">
        <v>0</v>
      </c>
      <c r="O2050" s="14" t="s">
        <v>2237</v>
      </c>
      <c r="P2050" s="14" t="s">
        <v>2236</v>
      </c>
      <c r="Q2050" s="17" t="s">
        <v>2236</v>
      </c>
      <c r="R2050" s="17" t="s">
        <v>2236</v>
      </c>
      <c r="S2050" s="17" t="s">
        <v>2236</v>
      </c>
      <c r="T2050" s="17" t="s">
        <v>2236</v>
      </c>
      <c r="U20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1" spans="1:31" hidden="1" x14ac:dyDescent="0.3">
      <c r="A2051" s="14" t="s">
        <v>3987</v>
      </c>
      <c r="B2051" s="14" t="s">
        <v>2371</v>
      </c>
      <c r="C2051" s="14" t="s">
        <v>5157</v>
      </c>
      <c r="D2051" s="14" t="s">
        <v>5158</v>
      </c>
      <c r="E2051" s="14" t="s">
        <v>2236</v>
      </c>
      <c r="F2051" s="8">
        <v>0</v>
      </c>
      <c r="G2051" s="14" t="s">
        <v>2237</v>
      </c>
      <c r="H2051" s="16">
        <v>0</v>
      </c>
      <c r="I2051" s="14" t="s">
        <v>2237</v>
      </c>
      <c r="J2051" s="16">
        <v>0</v>
      </c>
      <c r="K2051" s="14" t="s">
        <v>2237</v>
      </c>
      <c r="L2051" s="16">
        <v>0</v>
      </c>
      <c r="M2051" s="14" t="s">
        <v>2237</v>
      </c>
      <c r="N2051" s="8">
        <v>0</v>
      </c>
      <c r="O2051" s="14" t="s">
        <v>2237</v>
      </c>
      <c r="P2051" s="14" t="s">
        <v>2236</v>
      </c>
      <c r="Q2051" s="17" t="s">
        <v>2236</v>
      </c>
      <c r="R2051" s="17" t="s">
        <v>2236</v>
      </c>
      <c r="S2051" s="17" t="s">
        <v>2236</v>
      </c>
      <c r="T2051" s="17" t="s">
        <v>2236</v>
      </c>
      <c r="U20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2" spans="1:31" x14ac:dyDescent="0.3">
      <c r="A2052" s="14" t="s">
        <v>3988</v>
      </c>
      <c r="B2052" s="14" t="s">
        <v>26</v>
      </c>
      <c r="C2052" s="14" t="s">
        <v>364</v>
      </c>
      <c r="D2052" s="14" t="s">
        <v>365</v>
      </c>
      <c r="E2052" s="14" t="s">
        <v>4136</v>
      </c>
      <c r="F2052" s="8">
        <v>104666.99</v>
      </c>
      <c r="G2052" s="14" t="s">
        <v>2237</v>
      </c>
      <c r="H2052" s="16">
        <v>104666.99</v>
      </c>
      <c r="I2052" s="14" t="s">
        <v>2237</v>
      </c>
      <c r="J2052" s="16">
        <v>0</v>
      </c>
      <c r="K2052" s="14" t="s">
        <v>2237</v>
      </c>
      <c r="L2052" s="16">
        <v>0</v>
      </c>
      <c r="M2052" s="14" t="s">
        <v>2237</v>
      </c>
      <c r="N2052" s="8">
        <v>96575.49</v>
      </c>
      <c r="O2052" s="14" t="s">
        <v>2237</v>
      </c>
      <c r="P2052" s="14" t="s">
        <v>2236</v>
      </c>
      <c r="Q2052" s="17" t="s">
        <v>2242</v>
      </c>
      <c r="R2052" s="17" t="s">
        <v>2238</v>
      </c>
      <c r="S2052" s="17" t="s">
        <v>2243</v>
      </c>
      <c r="T2052" s="17" t="s">
        <v>4138</v>
      </c>
      <c r="U20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0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0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05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E530-301297503-D235301</v>
      </c>
      <c r="Y20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052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052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0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0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53" spans="1:31" x14ac:dyDescent="0.3">
      <c r="A2053" s="14" t="s">
        <v>3989</v>
      </c>
      <c r="B2053" s="14" t="s">
        <v>30</v>
      </c>
      <c r="C2053" s="14" t="s">
        <v>364</v>
      </c>
      <c r="D2053" s="14" t="s">
        <v>366</v>
      </c>
      <c r="E2053" s="14" t="s">
        <v>4136</v>
      </c>
      <c r="F2053" s="8">
        <v>0</v>
      </c>
      <c r="G2053" s="14" t="s">
        <v>2237</v>
      </c>
      <c r="H2053" s="16">
        <v>0</v>
      </c>
      <c r="I2053" s="14" t="s">
        <v>2237</v>
      </c>
      <c r="J2053" s="16">
        <v>0</v>
      </c>
      <c r="K2053" s="14" t="s">
        <v>2237</v>
      </c>
      <c r="L2053" s="16">
        <v>0</v>
      </c>
      <c r="M2053" s="14" t="s">
        <v>2237</v>
      </c>
      <c r="N2053" s="8">
        <v>96575.49</v>
      </c>
      <c r="O2053" s="14" t="s">
        <v>2237</v>
      </c>
      <c r="P2053" s="14" t="s">
        <v>2236</v>
      </c>
      <c r="Q2053" s="17" t="s">
        <v>2242</v>
      </c>
      <c r="R2053" s="17" t="s">
        <v>2238</v>
      </c>
      <c r="S2053" s="17" t="s">
        <v>2243</v>
      </c>
      <c r="T2053" s="17" t="s">
        <v>4142</v>
      </c>
      <c r="U20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0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0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05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E530-301297503-D235301</v>
      </c>
      <c r="Y2053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E530-30129750303-D235301</v>
      </c>
      <c r="Z205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053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053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053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205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0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054" spans="1:31" hidden="1" x14ac:dyDescent="0.3">
      <c r="A2054" s="14" t="s">
        <v>3990</v>
      </c>
      <c r="B2054" s="14" t="s">
        <v>2366</v>
      </c>
      <c r="C2054" s="14" t="s">
        <v>5159</v>
      </c>
      <c r="D2054" s="14" t="s">
        <v>5160</v>
      </c>
      <c r="E2054" s="14" t="s">
        <v>2236</v>
      </c>
      <c r="F2054" s="8">
        <v>0</v>
      </c>
      <c r="G2054" s="14" t="s">
        <v>2237</v>
      </c>
      <c r="H2054" s="16">
        <v>0</v>
      </c>
      <c r="I2054" s="14" t="s">
        <v>2237</v>
      </c>
      <c r="J2054" s="16">
        <v>0</v>
      </c>
      <c r="K2054" s="14" t="s">
        <v>2237</v>
      </c>
      <c r="L2054" s="16">
        <v>0</v>
      </c>
      <c r="M2054" s="14" t="s">
        <v>2237</v>
      </c>
      <c r="N2054" s="8">
        <v>1251.8499999999999</v>
      </c>
      <c r="O2054" s="14" t="s">
        <v>2237</v>
      </c>
      <c r="P2054" s="14" t="s">
        <v>2236</v>
      </c>
      <c r="Q2054" s="17" t="s">
        <v>2236</v>
      </c>
      <c r="R2054" s="17" t="s">
        <v>2236</v>
      </c>
      <c r="S2054" s="17" t="s">
        <v>2236</v>
      </c>
      <c r="T2054" s="17" t="s">
        <v>3120</v>
      </c>
      <c r="U20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5" spans="1:31" hidden="1" x14ac:dyDescent="0.3">
      <c r="A2055" s="14" t="s">
        <v>3991</v>
      </c>
      <c r="B2055" s="14" t="s">
        <v>2371</v>
      </c>
      <c r="C2055" s="14" t="s">
        <v>3286</v>
      </c>
      <c r="D2055" s="14" t="s">
        <v>5161</v>
      </c>
      <c r="E2055" s="14" t="s">
        <v>2236</v>
      </c>
      <c r="F2055" s="8">
        <v>0</v>
      </c>
      <c r="G2055" s="14" t="s">
        <v>2237</v>
      </c>
      <c r="H2055" s="16">
        <v>0</v>
      </c>
      <c r="I2055" s="14" t="s">
        <v>2237</v>
      </c>
      <c r="J2055" s="16">
        <v>0</v>
      </c>
      <c r="K2055" s="14" t="s">
        <v>2237</v>
      </c>
      <c r="L2055" s="16">
        <v>0</v>
      </c>
      <c r="M2055" s="14" t="s">
        <v>2237</v>
      </c>
      <c r="N2055" s="8">
        <v>0</v>
      </c>
      <c r="O2055" s="14" t="s">
        <v>2237</v>
      </c>
      <c r="P2055" s="14" t="s">
        <v>2236</v>
      </c>
      <c r="Q2055" s="17" t="s">
        <v>2236</v>
      </c>
      <c r="R2055" s="17" t="s">
        <v>2236</v>
      </c>
      <c r="S2055" s="17" t="s">
        <v>2236</v>
      </c>
      <c r="T2055" s="17" t="s">
        <v>2236</v>
      </c>
      <c r="U20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6" spans="1:31" hidden="1" x14ac:dyDescent="0.3">
      <c r="A2056" s="14" t="s">
        <v>3992</v>
      </c>
      <c r="B2056" s="14" t="s">
        <v>2371</v>
      </c>
      <c r="C2056" s="14" t="s">
        <v>5162</v>
      </c>
      <c r="D2056" s="14" t="s">
        <v>5163</v>
      </c>
      <c r="E2056" s="14" t="s">
        <v>2236</v>
      </c>
      <c r="F2056" s="8">
        <v>0</v>
      </c>
      <c r="G2056" s="14" t="s">
        <v>2237</v>
      </c>
      <c r="H2056" s="16">
        <v>0</v>
      </c>
      <c r="I2056" s="14" t="s">
        <v>2237</v>
      </c>
      <c r="J2056" s="16">
        <v>0</v>
      </c>
      <c r="K2056" s="14" t="s">
        <v>2237</v>
      </c>
      <c r="L2056" s="16">
        <v>0</v>
      </c>
      <c r="M2056" s="14" t="s">
        <v>2237</v>
      </c>
      <c r="N2056" s="8">
        <v>0</v>
      </c>
      <c r="O2056" s="14" t="s">
        <v>2237</v>
      </c>
      <c r="P2056" s="14" t="s">
        <v>2236</v>
      </c>
      <c r="Q2056" s="17" t="s">
        <v>2236</v>
      </c>
      <c r="R2056" s="17" t="s">
        <v>2236</v>
      </c>
      <c r="S2056" s="17" t="s">
        <v>2236</v>
      </c>
      <c r="T2056" s="17" t="s">
        <v>2236</v>
      </c>
      <c r="U20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7" spans="1:31" hidden="1" x14ac:dyDescent="0.3">
      <c r="A2057" s="14" t="s">
        <v>3993</v>
      </c>
      <c r="B2057" s="14" t="s">
        <v>2371</v>
      </c>
      <c r="C2057" s="14" t="s">
        <v>5164</v>
      </c>
      <c r="D2057" s="14" t="s">
        <v>5165</v>
      </c>
      <c r="E2057" s="14" t="s">
        <v>2236</v>
      </c>
      <c r="F2057" s="8">
        <v>0</v>
      </c>
      <c r="G2057" s="14" t="s">
        <v>2237</v>
      </c>
      <c r="H2057" s="16">
        <v>0</v>
      </c>
      <c r="I2057" s="14" t="s">
        <v>2237</v>
      </c>
      <c r="J2057" s="16">
        <v>0</v>
      </c>
      <c r="K2057" s="14" t="s">
        <v>2237</v>
      </c>
      <c r="L2057" s="16">
        <v>0</v>
      </c>
      <c r="M2057" s="14" t="s">
        <v>2237</v>
      </c>
      <c r="N2057" s="8">
        <v>0</v>
      </c>
      <c r="O2057" s="14" t="s">
        <v>2237</v>
      </c>
      <c r="P2057" s="14" t="s">
        <v>2236</v>
      </c>
      <c r="Q2057" s="17" t="s">
        <v>2236</v>
      </c>
      <c r="R2057" s="17" t="s">
        <v>2236</v>
      </c>
      <c r="S2057" s="17" t="s">
        <v>2236</v>
      </c>
      <c r="T2057" s="17" t="s">
        <v>2236</v>
      </c>
      <c r="U205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8" spans="1:31" hidden="1" x14ac:dyDescent="0.3">
      <c r="A2058" s="14" t="s">
        <v>3994</v>
      </c>
      <c r="B2058" s="14" t="s">
        <v>2371</v>
      </c>
      <c r="C2058" s="14" t="s">
        <v>5166</v>
      </c>
      <c r="D2058" s="14" t="s">
        <v>5167</v>
      </c>
      <c r="E2058" s="14" t="s">
        <v>2236</v>
      </c>
      <c r="F2058" s="8">
        <v>0</v>
      </c>
      <c r="G2058" s="14" t="s">
        <v>2237</v>
      </c>
      <c r="H2058" s="16">
        <v>0</v>
      </c>
      <c r="I2058" s="14" t="s">
        <v>2237</v>
      </c>
      <c r="J2058" s="16">
        <v>0</v>
      </c>
      <c r="K2058" s="14" t="s">
        <v>2237</v>
      </c>
      <c r="L2058" s="16">
        <v>0</v>
      </c>
      <c r="M2058" s="14" t="s">
        <v>2237</v>
      </c>
      <c r="N2058" s="8">
        <v>0</v>
      </c>
      <c r="O2058" s="14" t="s">
        <v>2237</v>
      </c>
      <c r="P2058" s="14" t="s">
        <v>2236</v>
      </c>
      <c r="Q2058" s="17" t="s">
        <v>2236</v>
      </c>
      <c r="R2058" s="17" t="s">
        <v>2236</v>
      </c>
      <c r="S2058" s="17" t="s">
        <v>2236</v>
      </c>
      <c r="T2058" s="17" t="s">
        <v>2236</v>
      </c>
      <c r="U205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59" spans="1:31" hidden="1" x14ac:dyDescent="0.3">
      <c r="A2059" s="14" t="s">
        <v>3995</v>
      </c>
      <c r="B2059" s="14" t="s">
        <v>2371</v>
      </c>
      <c r="C2059" s="14" t="s">
        <v>5168</v>
      </c>
      <c r="D2059" s="14" t="s">
        <v>5169</v>
      </c>
      <c r="E2059" s="14" t="s">
        <v>2236</v>
      </c>
      <c r="F2059" s="8">
        <v>0</v>
      </c>
      <c r="G2059" s="14" t="s">
        <v>2237</v>
      </c>
      <c r="H2059" s="16">
        <v>0</v>
      </c>
      <c r="I2059" s="14" t="s">
        <v>2237</v>
      </c>
      <c r="J2059" s="16">
        <v>0</v>
      </c>
      <c r="K2059" s="14" t="s">
        <v>2237</v>
      </c>
      <c r="L2059" s="16">
        <v>0</v>
      </c>
      <c r="M2059" s="14" t="s">
        <v>2237</v>
      </c>
      <c r="N2059" s="8">
        <v>0</v>
      </c>
      <c r="O2059" s="14" t="s">
        <v>2237</v>
      </c>
      <c r="P2059" s="14" t="s">
        <v>2236</v>
      </c>
      <c r="Q2059" s="17" t="s">
        <v>2236</v>
      </c>
      <c r="R2059" s="17" t="s">
        <v>2236</v>
      </c>
      <c r="S2059" s="17" t="s">
        <v>2236</v>
      </c>
      <c r="T2059" s="17" t="s">
        <v>2236</v>
      </c>
      <c r="U20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0" spans="1:31" hidden="1" x14ac:dyDescent="0.3">
      <c r="A2060" s="14" t="s">
        <v>3996</v>
      </c>
      <c r="B2060" s="14" t="s">
        <v>2371</v>
      </c>
      <c r="C2060" s="14" t="s">
        <v>2932</v>
      </c>
      <c r="D2060" s="14" t="s">
        <v>5170</v>
      </c>
      <c r="E2060" s="14" t="s">
        <v>2236</v>
      </c>
      <c r="F2060" s="8">
        <v>0</v>
      </c>
      <c r="G2060" s="14" t="s">
        <v>2237</v>
      </c>
      <c r="H2060" s="16">
        <v>0</v>
      </c>
      <c r="I2060" s="14" t="s">
        <v>2237</v>
      </c>
      <c r="J2060" s="16">
        <v>0</v>
      </c>
      <c r="K2060" s="14" t="s">
        <v>2237</v>
      </c>
      <c r="L2060" s="16">
        <v>0</v>
      </c>
      <c r="M2060" s="14" t="s">
        <v>2237</v>
      </c>
      <c r="N2060" s="8">
        <v>0</v>
      </c>
      <c r="O2060" s="14" t="s">
        <v>2237</v>
      </c>
      <c r="P2060" s="14" t="s">
        <v>2236</v>
      </c>
      <c r="Q2060" s="17" t="s">
        <v>2236</v>
      </c>
      <c r="R2060" s="17" t="s">
        <v>2236</v>
      </c>
      <c r="S2060" s="17" t="s">
        <v>2236</v>
      </c>
      <c r="T2060" s="17" t="s">
        <v>2236</v>
      </c>
      <c r="U20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1" spans="1:31" hidden="1" x14ac:dyDescent="0.3">
      <c r="A2061" s="14" t="s">
        <v>3997</v>
      </c>
      <c r="B2061" s="14" t="s">
        <v>2366</v>
      </c>
      <c r="C2061" s="14" t="s">
        <v>5171</v>
      </c>
      <c r="D2061" s="14" t="s">
        <v>5172</v>
      </c>
      <c r="E2061" s="14" t="s">
        <v>2236</v>
      </c>
      <c r="F2061" s="8">
        <v>0</v>
      </c>
      <c r="G2061" s="14" t="s">
        <v>2237</v>
      </c>
      <c r="H2061" s="16">
        <v>0</v>
      </c>
      <c r="I2061" s="14" t="s">
        <v>2237</v>
      </c>
      <c r="J2061" s="16">
        <v>0</v>
      </c>
      <c r="K2061" s="14" t="s">
        <v>2237</v>
      </c>
      <c r="L2061" s="16">
        <v>0</v>
      </c>
      <c r="M2061" s="14" t="s">
        <v>2237</v>
      </c>
      <c r="N2061" s="8">
        <v>2130.0300000000002</v>
      </c>
      <c r="O2061" s="14" t="s">
        <v>2237</v>
      </c>
      <c r="P2061" s="14" t="s">
        <v>2236</v>
      </c>
      <c r="Q2061" s="17" t="s">
        <v>2236</v>
      </c>
      <c r="R2061" s="17" t="s">
        <v>2236</v>
      </c>
      <c r="S2061" s="17" t="s">
        <v>2236</v>
      </c>
      <c r="T2061" s="17" t="s">
        <v>2866</v>
      </c>
      <c r="U20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2" spans="1:31" hidden="1" x14ac:dyDescent="0.3">
      <c r="A2062" s="14" t="s">
        <v>3998</v>
      </c>
      <c r="B2062" s="14" t="s">
        <v>2371</v>
      </c>
      <c r="C2062" s="14" t="s">
        <v>5173</v>
      </c>
      <c r="D2062" s="14" t="s">
        <v>5174</v>
      </c>
      <c r="E2062" s="14" t="s">
        <v>2236</v>
      </c>
      <c r="F2062" s="8">
        <v>0</v>
      </c>
      <c r="G2062" s="14" t="s">
        <v>2237</v>
      </c>
      <c r="H2062" s="16">
        <v>0</v>
      </c>
      <c r="I2062" s="14" t="s">
        <v>2237</v>
      </c>
      <c r="J2062" s="16">
        <v>0</v>
      </c>
      <c r="K2062" s="14" t="s">
        <v>2237</v>
      </c>
      <c r="L2062" s="16">
        <v>0</v>
      </c>
      <c r="M2062" s="14" t="s">
        <v>2237</v>
      </c>
      <c r="N2062" s="8">
        <v>0</v>
      </c>
      <c r="O2062" s="14" t="s">
        <v>2237</v>
      </c>
      <c r="P2062" s="14" t="s">
        <v>2236</v>
      </c>
      <c r="Q2062" s="17" t="s">
        <v>2236</v>
      </c>
      <c r="R2062" s="17" t="s">
        <v>2236</v>
      </c>
      <c r="S2062" s="17" t="s">
        <v>2236</v>
      </c>
      <c r="T2062" s="17" t="s">
        <v>2236</v>
      </c>
      <c r="U20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3" spans="1:31" hidden="1" x14ac:dyDescent="0.3">
      <c r="A2063" s="14" t="s">
        <v>3999</v>
      </c>
      <c r="B2063" s="14" t="s">
        <v>2371</v>
      </c>
      <c r="C2063" s="14" t="s">
        <v>5175</v>
      </c>
      <c r="D2063" s="14" t="s">
        <v>5176</v>
      </c>
      <c r="E2063" s="14" t="s">
        <v>2236</v>
      </c>
      <c r="F2063" s="8">
        <v>0</v>
      </c>
      <c r="G2063" s="14" t="s">
        <v>2237</v>
      </c>
      <c r="H2063" s="16">
        <v>0</v>
      </c>
      <c r="I2063" s="14" t="s">
        <v>2237</v>
      </c>
      <c r="J2063" s="16">
        <v>0</v>
      </c>
      <c r="K2063" s="14" t="s">
        <v>2237</v>
      </c>
      <c r="L2063" s="16">
        <v>0</v>
      </c>
      <c r="M2063" s="14" t="s">
        <v>2237</v>
      </c>
      <c r="N2063" s="8">
        <v>0</v>
      </c>
      <c r="O2063" s="14" t="s">
        <v>2237</v>
      </c>
      <c r="P2063" s="14" t="s">
        <v>2236</v>
      </c>
      <c r="Q2063" s="17" t="s">
        <v>2236</v>
      </c>
      <c r="R2063" s="17" t="s">
        <v>2236</v>
      </c>
      <c r="S2063" s="17" t="s">
        <v>2236</v>
      </c>
      <c r="T2063" s="17" t="s">
        <v>2236</v>
      </c>
      <c r="U20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4" spans="1:31" hidden="1" x14ac:dyDescent="0.3">
      <c r="A2064" s="14" t="s">
        <v>4000</v>
      </c>
      <c r="B2064" s="14" t="s">
        <v>2371</v>
      </c>
      <c r="C2064" s="14" t="s">
        <v>5177</v>
      </c>
      <c r="D2064" s="14" t="s">
        <v>5178</v>
      </c>
      <c r="E2064" s="14" t="s">
        <v>2236</v>
      </c>
      <c r="F2064" s="8">
        <v>0</v>
      </c>
      <c r="G2064" s="14" t="s">
        <v>2237</v>
      </c>
      <c r="H2064" s="16">
        <v>0</v>
      </c>
      <c r="I2064" s="14" t="s">
        <v>2237</v>
      </c>
      <c r="J2064" s="16">
        <v>0</v>
      </c>
      <c r="K2064" s="14" t="s">
        <v>2237</v>
      </c>
      <c r="L2064" s="16">
        <v>0</v>
      </c>
      <c r="M2064" s="14" t="s">
        <v>2237</v>
      </c>
      <c r="N2064" s="8">
        <v>0</v>
      </c>
      <c r="O2064" s="14" t="s">
        <v>2237</v>
      </c>
      <c r="P2064" s="14" t="s">
        <v>2236</v>
      </c>
      <c r="Q2064" s="17" t="s">
        <v>2236</v>
      </c>
      <c r="R2064" s="17" t="s">
        <v>2236</v>
      </c>
      <c r="S2064" s="17" t="s">
        <v>2236</v>
      </c>
      <c r="T2064" s="17" t="s">
        <v>2236</v>
      </c>
      <c r="U20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5" spans="1:31" hidden="1" x14ac:dyDescent="0.3">
      <c r="A2065" s="14" t="s">
        <v>4001</v>
      </c>
      <c r="B2065" s="14" t="s">
        <v>2371</v>
      </c>
      <c r="C2065" s="14" t="s">
        <v>5179</v>
      </c>
      <c r="D2065" s="14" t="s">
        <v>5180</v>
      </c>
      <c r="E2065" s="14" t="s">
        <v>2236</v>
      </c>
      <c r="F2065" s="8">
        <v>0</v>
      </c>
      <c r="G2065" s="14" t="s">
        <v>2237</v>
      </c>
      <c r="H2065" s="16">
        <v>0</v>
      </c>
      <c r="I2065" s="14" t="s">
        <v>2237</v>
      </c>
      <c r="J2065" s="16">
        <v>0</v>
      </c>
      <c r="K2065" s="14" t="s">
        <v>2237</v>
      </c>
      <c r="L2065" s="16">
        <v>0</v>
      </c>
      <c r="M2065" s="14" t="s">
        <v>2237</v>
      </c>
      <c r="N2065" s="8">
        <v>0</v>
      </c>
      <c r="O2065" s="14" t="s">
        <v>2237</v>
      </c>
      <c r="P2065" s="14" t="s">
        <v>2236</v>
      </c>
      <c r="Q2065" s="17" t="s">
        <v>2236</v>
      </c>
      <c r="R2065" s="17" t="s">
        <v>2236</v>
      </c>
      <c r="S2065" s="17" t="s">
        <v>2236</v>
      </c>
      <c r="T2065" s="17" t="s">
        <v>2236</v>
      </c>
      <c r="U20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6" spans="1:31" hidden="1" x14ac:dyDescent="0.3">
      <c r="A2066" s="14" t="s">
        <v>4002</v>
      </c>
      <c r="B2066" s="14" t="s">
        <v>2371</v>
      </c>
      <c r="C2066" s="14" t="s">
        <v>5181</v>
      </c>
      <c r="D2066" s="14" t="s">
        <v>5182</v>
      </c>
      <c r="E2066" s="14" t="s">
        <v>2236</v>
      </c>
      <c r="F2066" s="8">
        <v>0</v>
      </c>
      <c r="G2066" s="14" t="s">
        <v>2237</v>
      </c>
      <c r="H2066" s="16">
        <v>0</v>
      </c>
      <c r="I2066" s="14" t="s">
        <v>2237</v>
      </c>
      <c r="J2066" s="16">
        <v>0</v>
      </c>
      <c r="K2066" s="14" t="s">
        <v>2237</v>
      </c>
      <c r="L2066" s="16">
        <v>0</v>
      </c>
      <c r="M2066" s="14" t="s">
        <v>2237</v>
      </c>
      <c r="N2066" s="8">
        <v>0</v>
      </c>
      <c r="O2066" s="14" t="s">
        <v>2237</v>
      </c>
      <c r="P2066" s="14" t="s">
        <v>2236</v>
      </c>
      <c r="Q2066" s="17" t="s">
        <v>2236</v>
      </c>
      <c r="R2066" s="17" t="s">
        <v>2236</v>
      </c>
      <c r="S2066" s="17" t="s">
        <v>2236</v>
      </c>
      <c r="T2066" s="17" t="s">
        <v>2236</v>
      </c>
      <c r="U20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7" spans="1:31" hidden="1" x14ac:dyDescent="0.3">
      <c r="A2067" s="14" t="s">
        <v>4003</v>
      </c>
      <c r="B2067" s="14" t="s">
        <v>2371</v>
      </c>
      <c r="C2067" s="14" t="s">
        <v>5183</v>
      </c>
      <c r="D2067" s="14" t="s">
        <v>5184</v>
      </c>
      <c r="E2067" s="14" t="s">
        <v>2236</v>
      </c>
      <c r="F2067" s="8">
        <v>0</v>
      </c>
      <c r="G2067" s="14" t="s">
        <v>2237</v>
      </c>
      <c r="H2067" s="16">
        <v>0</v>
      </c>
      <c r="I2067" s="14" t="s">
        <v>2237</v>
      </c>
      <c r="J2067" s="16">
        <v>0</v>
      </c>
      <c r="K2067" s="14" t="s">
        <v>2237</v>
      </c>
      <c r="L2067" s="16">
        <v>0</v>
      </c>
      <c r="M2067" s="14" t="s">
        <v>2237</v>
      </c>
      <c r="N2067" s="8">
        <v>0</v>
      </c>
      <c r="O2067" s="14" t="s">
        <v>2237</v>
      </c>
      <c r="P2067" s="14" t="s">
        <v>2236</v>
      </c>
      <c r="Q2067" s="17" t="s">
        <v>2236</v>
      </c>
      <c r="R2067" s="17" t="s">
        <v>2236</v>
      </c>
      <c r="S2067" s="17" t="s">
        <v>2236</v>
      </c>
      <c r="T2067" s="17" t="s">
        <v>2236</v>
      </c>
      <c r="U20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8" spans="1:31" hidden="1" x14ac:dyDescent="0.3">
      <c r="A2068" s="14" t="s">
        <v>4004</v>
      </c>
      <c r="B2068" s="14" t="s">
        <v>2371</v>
      </c>
      <c r="C2068" s="14" t="s">
        <v>5185</v>
      </c>
      <c r="D2068" s="14" t="s">
        <v>5186</v>
      </c>
      <c r="E2068" s="14" t="s">
        <v>2236</v>
      </c>
      <c r="F2068" s="8">
        <v>0</v>
      </c>
      <c r="G2068" s="14" t="s">
        <v>2237</v>
      </c>
      <c r="H2068" s="16">
        <v>0</v>
      </c>
      <c r="I2068" s="14" t="s">
        <v>2237</v>
      </c>
      <c r="J2068" s="16">
        <v>0</v>
      </c>
      <c r="K2068" s="14" t="s">
        <v>2237</v>
      </c>
      <c r="L2068" s="16">
        <v>0</v>
      </c>
      <c r="M2068" s="14" t="s">
        <v>2237</v>
      </c>
      <c r="N2068" s="8">
        <v>0</v>
      </c>
      <c r="O2068" s="14" t="s">
        <v>2237</v>
      </c>
      <c r="P2068" s="14" t="s">
        <v>2236</v>
      </c>
      <c r="Q2068" s="17" t="s">
        <v>2236</v>
      </c>
      <c r="R2068" s="17" t="s">
        <v>2236</v>
      </c>
      <c r="S2068" s="17" t="s">
        <v>2236</v>
      </c>
      <c r="T2068" s="17" t="s">
        <v>2236</v>
      </c>
      <c r="U20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69" spans="1:31" hidden="1" x14ac:dyDescent="0.3">
      <c r="A2069" s="14" t="s">
        <v>4005</v>
      </c>
      <c r="B2069" s="14" t="s">
        <v>2371</v>
      </c>
      <c r="C2069" s="14" t="s">
        <v>5187</v>
      </c>
      <c r="D2069" s="14" t="s">
        <v>5188</v>
      </c>
      <c r="E2069" s="14" t="s">
        <v>2236</v>
      </c>
      <c r="F2069" s="8">
        <v>0</v>
      </c>
      <c r="G2069" s="14" t="s">
        <v>2237</v>
      </c>
      <c r="H2069" s="16">
        <v>0</v>
      </c>
      <c r="I2069" s="14" t="s">
        <v>2237</v>
      </c>
      <c r="J2069" s="16">
        <v>0</v>
      </c>
      <c r="K2069" s="14" t="s">
        <v>2237</v>
      </c>
      <c r="L2069" s="16">
        <v>0</v>
      </c>
      <c r="M2069" s="14" t="s">
        <v>2237</v>
      </c>
      <c r="N2069" s="8">
        <v>0</v>
      </c>
      <c r="O2069" s="14" t="s">
        <v>2237</v>
      </c>
      <c r="P2069" s="14" t="s">
        <v>2236</v>
      </c>
      <c r="Q2069" s="17" t="s">
        <v>2236</v>
      </c>
      <c r="R2069" s="17" t="s">
        <v>2236</v>
      </c>
      <c r="S2069" s="17" t="s">
        <v>2236</v>
      </c>
      <c r="T2069" s="17" t="s">
        <v>2236</v>
      </c>
      <c r="U20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0" spans="1:31" hidden="1" x14ac:dyDescent="0.3">
      <c r="A2070" s="14" t="s">
        <v>4006</v>
      </c>
      <c r="B2070" s="14" t="s">
        <v>2371</v>
      </c>
      <c r="C2070" s="14" t="s">
        <v>5189</v>
      </c>
      <c r="D2070" s="14" t="s">
        <v>5190</v>
      </c>
      <c r="E2070" s="14" t="s">
        <v>2236</v>
      </c>
      <c r="F2070" s="8">
        <v>0</v>
      </c>
      <c r="G2070" s="14" t="s">
        <v>2237</v>
      </c>
      <c r="H2070" s="16">
        <v>0</v>
      </c>
      <c r="I2070" s="14" t="s">
        <v>2237</v>
      </c>
      <c r="J2070" s="16">
        <v>0</v>
      </c>
      <c r="K2070" s="14" t="s">
        <v>2237</v>
      </c>
      <c r="L2070" s="16">
        <v>0</v>
      </c>
      <c r="M2070" s="14" t="s">
        <v>2237</v>
      </c>
      <c r="N2070" s="8">
        <v>0</v>
      </c>
      <c r="O2070" s="14" t="s">
        <v>2237</v>
      </c>
      <c r="P2070" s="14" t="s">
        <v>2236</v>
      </c>
      <c r="Q2070" s="17" t="s">
        <v>2236</v>
      </c>
      <c r="R2070" s="17" t="s">
        <v>2236</v>
      </c>
      <c r="S2070" s="17" t="s">
        <v>2236</v>
      </c>
      <c r="T2070" s="17" t="s">
        <v>2236</v>
      </c>
      <c r="U20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1" spans="1:31" hidden="1" x14ac:dyDescent="0.3">
      <c r="A2071" s="14" t="s">
        <v>4007</v>
      </c>
      <c r="B2071" s="14" t="s">
        <v>2371</v>
      </c>
      <c r="C2071" s="14" t="s">
        <v>3176</v>
      </c>
      <c r="D2071" s="14" t="s">
        <v>5191</v>
      </c>
      <c r="E2071" s="14" t="s">
        <v>2236</v>
      </c>
      <c r="F2071" s="8">
        <v>0</v>
      </c>
      <c r="G2071" s="14" t="s">
        <v>2237</v>
      </c>
      <c r="H2071" s="16">
        <v>0</v>
      </c>
      <c r="I2071" s="14" t="s">
        <v>2237</v>
      </c>
      <c r="J2071" s="16">
        <v>0</v>
      </c>
      <c r="K2071" s="14" t="s">
        <v>2237</v>
      </c>
      <c r="L2071" s="16">
        <v>0</v>
      </c>
      <c r="M2071" s="14" t="s">
        <v>2237</v>
      </c>
      <c r="N2071" s="8">
        <v>0</v>
      </c>
      <c r="O2071" s="14" t="s">
        <v>2237</v>
      </c>
      <c r="P2071" s="14" t="s">
        <v>2236</v>
      </c>
      <c r="Q2071" s="17" t="s">
        <v>2236</v>
      </c>
      <c r="R2071" s="17" t="s">
        <v>2236</v>
      </c>
      <c r="S2071" s="17" t="s">
        <v>2236</v>
      </c>
      <c r="T2071" s="17" t="s">
        <v>2236</v>
      </c>
      <c r="U20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2" spans="1:31" hidden="1" x14ac:dyDescent="0.3">
      <c r="A2072" s="14" t="s">
        <v>4008</v>
      </c>
      <c r="B2072" s="14" t="s">
        <v>2371</v>
      </c>
      <c r="C2072" s="14" t="s">
        <v>5192</v>
      </c>
      <c r="D2072" s="14" t="s">
        <v>5193</v>
      </c>
      <c r="E2072" s="14" t="s">
        <v>2236</v>
      </c>
      <c r="F2072" s="8">
        <v>0</v>
      </c>
      <c r="G2072" s="14" t="s">
        <v>2237</v>
      </c>
      <c r="H2072" s="16">
        <v>0</v>
      </c>
      <c r="I2072" s="14" t="s">
        <v>2237</v>
      </c>
      <c r="J2072" s="16">
        <v>0</v>
      </c>
      <c r="K2072" s="14" t="s">
        <v>2237</v>
      </c>
      <c r="L2072" s="16">
        <v>0</v>
      </c>
      <c r="M2072" s="14" t="s">
        <v>2237</v>
      </c>
      <c r="N2072" s="8">
        <v>0</v>
      </c>
      <c r="O2072" s="14" t="s">
        <v>2237</v>
      </c>
      <c r="P2072" s="14" t="s">
        <v>2236</v>
      </c>
      <c r="Q2072" s="17" t="s">
        <v>2236</v>
      </c>
      <c r="R2072" s="17" t="s">
        <v>2236</v>
      </c>
      <c r="S2072" s="17" t="s">
        <v>2236</v>
      </c>
      <c r="T2072" s="17" t="s">
        <v>2236</v>
      </c>
      <c r="U20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3" spans="1:31" hidden="1" x14ac:dyDescent="0.3">
      <c r="A2073" s="14" t="s">
        <v>4009</v>
      </c>
      <c r="B2073" s="14" t="s">
        <v>2371</v>
      </c>
      <c r="C2073" s="14" t="s">
        <v>5194</v>
      </c>
      <c r="D2073" s="14" t="s">
        <v>5195</v>
      </c>
      <c r="E2073" s="14" t="s">
        <v>2236</v>
      </c>
      <c r="F2073" s="8">
        <v>0</v>
      </c>
      <c r="G2073" s="14" t="s">
        <v>2237</v>
      </c>
      <c r="H2073" s="16">
        <v>0</v>
      </c>
      <c r="I2073" s="14" t="s">
        <v>2237</v>
      </c>
      <c r="J2073" s="16">
        <v>0</v>
      </c>
      <c r="K2073" s="14" t="s">
        <v>2237</v>
      </c>
      <c r="L2073" s="16">
        <v>0</v>
      </c>
      <c r="M2073" s="14" t="s">
        <v>2237</v>
      </c>
      <c r="N2073" s="8">
        <v>0</v>
      </c>
      <c r="O2073" s="14" t="s">
        <v>2237</v>
      </c>
      <c r="P2073" s="14" t="s">
        <v>2236</v>
      </c>
      <c r="Q2073" s="17" t="s">
        <v>2236</v>
      </c>
      <c r="R2073" s="17" t="s">
        <v>2236</v>
      </c>
      <c r="S2073" s="17" t="s">
        <v>2236</v>
      </c>
      <c r="T2073" s="17" t="s">
        <v>2236</v>
      </c>
      <c r="U20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4" spans="1:31" hidden="1" x14ac:dyDescent="0.3">
      <c r="A2074" s="14" t="s">
        <v>4010</v>
      </c>
      <c r="B2074" s="14" t="s">
        <v>2371</v>
      </c>
      <c r="C2074" s="14" t="s">
        <v>5196</v>
      </c>
      <c r="D2074" s="14" t="s">
        <v>5197</v>
      </c>
      <c r="E2074" s="14" t="s">
        <v>2236</v>
      </c>
      <c r="F2074" s="8">
        <v>0</v>
      </c>
      <c r="G2074" s="14" t="s">
        <v>2237</v>
      </c>
      <c r="H2074" s="16">
        <v>0</v>
      </c>
      <c r="I2074" s="14" t="s">
        <v>2237</v>
      </c>
      <c r="J2074" s="16">
        <v>0</v>
      </c>
      <c r="K2074" s="14" t="s">
        <v>2237</v>
      </c>
      <c r="L2074" s="16">
        <v>0</v>
      </c>
      <c r="M2074" s="14" t="s">
        <v>2237</v>
      </c>
      <c r="N2074" s="8">
        <v>0</v>
      </c>
      <c r="O2074" s="14" t="s">
        <v>2237</v>
      </c>
      <c r="P2074" s="14" t="s">
        <v>2236</v>
      </c>
      <c r="Q2074" s="17" t="s">
        <v>2236</v>
      </c>
      <c r="R2074" s="17" t="s">
        <v>2236</v>
      </c>
      <c r="S2074" s="17" t="s">
        <v>2236</v>
      </c>
      <c r="T2074" s="17" t="s">
        <v>2236</v>
      </c>
      <c r="U20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5" spans="1:31" hidden="1" x14ac:dyDescent="0.3">
      <c r="A2075" s="14" t="s">
        <v>4011</v>
      </c>
      <c r="B2075" s="14" t="s">
        <v>2371</v>
      </c>
      <c r="C2075" s="14" t="s">
        <v>5198</v>
      </c>
      <c r="D2075" s="14" t="s">
        <v>5199</v>
      </c>
      <c r="E2075" s="14" t="s">
        <v>2236</v>
      </c>
      <c r="F2075" s="8">
        <v>0</v>
      </c>
      <c r="G2075" s="14" t="s">
        <v>2237</v>
      </c>
      <c r="H2075" s="16">
        <v>0</v>
      </c>
      <c r="I2075" s="14" t="s">
        <v>2237</v>
      </c>
      <c r="J2075" s="16">
        <v>0</v>
      </c>
      <c r="K2075" s="14" t="s">
        <v>2237</v>
      </c>
      <c r="L2075" s="16">
        <v>0</v>
      </c>
      <c r="M2075" s="14" t="s">
        <v>2237</v>
      </c>
      <c r="N2075" s="8">
        <v>0</v>
      </c>
      <c r="O2075" s="14" t="s">
        <v>2237</v>
      </c>
      <c r="P2075" s="14" t="s">
        <v>2236</v>
      </c>
      <c r="Q2075" s="17" t="s">
        <v>2236</v>
      </c>
      <c r="R2075" s="17" t="s">
        <v>2236</v>
      </c>
      <c r="S2075" s="17" t="s">
        <v>2236</v>
      </c>
      <c r="T2075" s="17" t="s">
        <v>2236</v>
      </c>
      <c r="U20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6" spans="1:31" hidden="1" x14ac:dyDescent="0.3">
      <c r="A2076" s="14" t="s">
        <v>4012</v>
      </c>
      <c r="B2076" s="14" t="s">
        <v>2371</v>
      </c>
      <c r="C2076" s="14" t="s">
        <v>5200</v>
      </c>
      <c r="D2076" s="14" t="s">
        <v>5201</v>
      </c>
      <c r="E2076" s="14" t="s">
        <v>2236</v>
      </c>
      <c r="F2076" s="8">
        <v>0</v>
      </c>
      <c r="G2076" s="14" t="s">
        <v>2237</v>
      </c>
      <c r="H2076" s="16">
        <v>0</v>
      </c>
      <c r="I2076" s="14" t="s">
        <v>2237</v>
      </c>
      <c r="J2076" s="16">
        <v>0</v>
      </c>
      <c r="K2076" s="14" t="s">
        <v>2237</v>
      </c>
      <c r="L2076" s="16">
        <v>0</v>
      </c>
      <c r="M2076" s="14" t="s">
        <v>2237</v>
      </c>
      <c r="N2076" s="8">
        <v>0</v>
      </c>
      <c r="O2076" s="14" t="s">
        <v>2237</v>
      </c>
      <c r="P2076" s="14" t="s">
        <v>2236</v>
      </c>
      <c r="Q2076" s="17" t="s">
        <v>2236</v>
      </c>
      <c r="R2076" s="17" t="s">
        <v>2236</v>
      </c>
      <c r="S2076" s="17" t="s">
        <v>2236</v>
      </c>
      <c r="T2076" s="17" t="s">
        <v>2236</v>
      </c>
      <c r="U20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7" spans="1:31" hidden="1" x14ac:dyDescent="0.3">
      <c r="A2077" s="14" t="s">
        <v>4013</v>
      </c>
      <c r="B2077" s="14" t="s">
        <v>2371</v>
      </c>
      <c r="C2077" s="14" t="s">
        <v>5202</v>
      </c>
      <c r="D2077" s="14" t="s">
        <v>5203</v>
      </c>
      <c r="E2077" s="14" t="s">
        <v>2236</v>
      </c>
      <c r="F2077" s="8">
        <v>0</v>
      </c>
      <c r="G2077" s="14" t="s">
        <v>2237</v>
      </c>
      <c r="H2077" s="16">
        <v>0</v>
      </c>
      <c r="I2077" s="14" t="s">
        <v>2237</v>
      </c>
      <c r="J2077" s="16">
        <v>0</v>
      </c>
      <c r="K2077" s="14" t="s">
        <v>2237</v>
      </c>
      <c r="L2077" s="16">
        <v>0</v>
      </c>
      <c r="M2077" s="14" t="s">
        <v>2237</v>
      </c>
      <c r="N2077" s="8">
        <v>0</v>
      </c>
      <c r="O2077" s="14" t="s">
        <v>2237</v>
      </c>
      <c r="P2077" s="14" t="s">
        <v>2236</v>
      </c>
      <c r="Q2077" s="17" t="s">
        <v>2236</v>
      </c>
      <c r="R2077" s="17" t="s">
        <v>2236</v>
      </c>
      <c r="S2077" s="17" t="s">
        <v>2236</v>
      </c>
      <c r="T2077" s="17" t="s">
        <v>2236</v>
      </c>
      <c r="U20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8" spans="1:31" hidden="1" x14ac:dyDescent="0.3">
      <c r="A2078" s="14" t="s">
        <v>4014</v>
      </c>
      <c r="B2078" s="14" t="s">
        <v>2371</v>
      </c>
      <c r="C2078" s="14" t="s">
        <v>5204</v>
      </c>
      <c r="D2078" s="14" t="s">
        <v>5205</v>
      </c>
      <c r="E2078" s="14" t="s">
        <v>2236</v>
      </c>
      <c r="F2078" s="8">
        <v>0</v>
      </c>
      <c r="G2078" s="14" t="s">
        <v>2237</v>
      </c>
      <c r="H2078" s="16">
        <v>0</v>
      </c>
      <c r="I2078" s="14" t="s">
        <v>2237</v>
      </c>
      <c r="J2078" s="16">
        <v>0</v>
      </c>
      <c r="K2078" s="14" t="s">
        <v>2237</v>
      </c>
      <c r="L2078" s="16">
        <v>0</v>
      </c>
      <c r="M2078" s="14" t="s">
        <v>2237</v>
      </c>
      <c r="N2078" s="8">
        <v>0</v>
      </c>
      <c r="O2078" s="14" t="s">
        <v>2237</v>
      </c>
      <c r="P2078" s="14" t="s">
        <v>2236</v>
      </c>
      <c r="Q2078" s="17" t="s">
        <v>2236</v>
      </c>
      <c r="R2078" s="17" t="s">
        <v>2236</v>
      </c>
      <c r="S2078" s="17" t="s">
        <v>2236</v>
      </c>
      <c r="T2078" s="17" t="s">
        <v>2236</v>
      </c>
      <c r="U20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79" spans="1:31" hidden="1" x14ac:dyDescent="0.3">
      <c r="A2079" s="14" t="s">
        <v>4015</v>
      </c>
      <c r="B2079" s="14" t="s">
        <v>2371</v>
      </c>
      <c r="C2079" s="14" t="s">
        <v>5206</v>
      </c>
      <c r="D2079" s="14" t="s">
        <v>5207</v>
      </c>
      <c r="E2079" s="14" t="s">
        <v>2236</v>
      </c>
      <c r="F2079" s="8">
        <v>0</v>
      </c>
      <c r="G2079" s="14" t="s">
        <v>2237</v>
      </c>
      <c r="H2079" s="16">
        <v>0</v>
      </c>
      <c r="I2079" s="14" t="s">
        <v>2237</v>
      </c>
      <c r="J2079" s="16">
        <v>0</v>
      </c>
      <c r="K2079" s="14" t="s">
        <v>2237</v>
      </c>
      <c r="L2079" s="16">
        <v>0</v>
      </c>
      <c r="M2079" s="14" t="s">
        <v>2237</v>
      </c>
      <c r="N2079" s="8">
        <v>0</v>
      </c>
      <c r="O2079" s="14" t="s">
        <v>2237</v>
      </c>
      <c r="P2079" s="14" t="s">
        <v>2236</v>
      </c>
      <c r="Q2079" s="17" t="s">
        <v>2236</v>
      </c>
      <c r="R2079" s="17" t="s">
        <v>2236</v>
      </c>
      <c r="S2079" s="17" t="s">
        <v>2236</v>
      </c>
      <c r="T2079" s="17" t="s">
        <v>2236</v>
      </c>
      <c r="U20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0" spans="1:31" hidden="1" x14ac:dyDescent="0.3">
      <c r="A2080" s="14" t="s">
        <v>4016</v>
      </c>
      <c r="B2080" s="14" t="s">
        <v>2371</v>
      </c>
      <c r="C2080" s="14" t="s">
        <v>5208</v>
      </c>
      <c r="D2080" s="14" t="s">
        <v>5209</v>
      </c>
      <c r="E2080" s="14" t="s">
        <v>2236</v>
      </c>
      <c r="F2080" s="8">
        <v>0</v>
      </c>
      <c r="G2080" s="14" t="s">
        <v>2237</v>
      </c>
      <c r="H2080" s="16">
        <v>0</v>
      </c>
      <c r="I2080" s="14" t="s">
        <v>2237</v>
      </c>
      <c r="J2080" s="16">
        <v>0</v>
      </c>
      <c r="K2080" s="14" t="s">
        <v>2237</v>
      </c>
      <c r="L2080" s="16">
        <v>0</v>
      </c>
      <c r="M2080" s="14" t="s">
        <v>2237</v>
      </c>
      <c r="N2080" s="8">
        <v>0</v>
      </c>
      <c r="O2080" s="14" t="s">
        <v>2237</v>
      </c>
      <c r="P2080" s="14" t="s">
        <v>2236</v>
      </c>
      <c r="Q2080" s="17" t="s">
        <v>2236</v>
      </c>
      <c r="R2080" s="17" t="s">
        <v>2236</v>
      </c>
      <c r="S2080" s="17" t="s">
        <v>2236</v>
      </c>
      <c r="T2080" s="17" t="s">
        <v>2236</v>
      </c>
      <c r="U20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1" spans="1:31" hidden="1" x14ac:dyDescent="0.3">
      <c r="A2081" s="14" t="s">
        <v>4017</v>
      </c>
      <c r="B2081" s="14" t="s">
        <v>2371</v>
      </c>
      <c r="C2081" s="14" t="s">
        <v>5210</v>
      </c>
      <c r="D2081" s="14" t="s">
        <v>5211</v>
      </c>
      <c r="E2081" s="14" t="s">
        <v>2236</v>
      </c>
      <c r="F2081" s="8">
        <v>0</v>
      </c>
      <c r="G2081" s="14" t="s">
        <v>2237</v>
      </c>
      <c r="H2081" s="16">
        <v>0</v>
      </c>
      <c r="I2081" s="14" t="s">
        <v>2237</v>
      </c>
      <c r="J2081" s="16">
        <v>0</v>
      </c>
      <c r="K2081" s="14" t="s">
        <v>2237</v>
      </c>
      <c r="L2081" s="16">
        <v>0</v>
      </c>
      <c r="M2081" s="14" t="s">
        <v>2237</v>
      </c>
      <c r="N2081" s="8">
        <v>0</v>
      </c>
      <c r="O2081" s="14" t="s">
        <v>2237</v>
      </c>
      <c r="P2081" s="14" t="s">
        <v>2236</v>
      </c>
      <c r="Q2081" s="17" t="s">
        <v>2236</v>
      </c>
      <c r="R2081" s="17" t="s">
        <v>2236</v>
      </c>
      <c r="S2081" s="17" t="s">
        <v>2236</v>
      </c>
      <c r="T2081" s="17" t="s">
        <v>2236</v>
      </c>
      <c r="U20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2" spans="1:31" hidden="1" x14ac:dyDescent="0.3">
      <c r="A2082" s="14" t="s">
        <v>4018</v>
      </c>
      <c r="B2082" s="14" t="s">
        <v>2371</v>
      </c>
      <c r="C2082" s="14" t="s">
        <v>5212</v>
      </c>
      <c r="D2082" s="14" t="s">
        <v>5213</v>
      </c>
      <c r="E2082" s="14" t="s">
        <v>2236</v>
      </c>
      <c r="F2082" s="8">
        <v>0</v>
      </c>
      <c r="G2082" s="14" t="s">
        <v>2237</v>
      </c>
      <c r="H2082" s="16">
        <v>0</v>
      </c>
      <c r="I2082" s="14" t="s">
        <v>2237</v>
      </c>
      <c r="J2082" s="16">
        <v>0</v>
      </c>
      <c r="K2082" s="14" t="s">
        <v>2237</v>
      </c>
      <c r="L2082" s="16">
        <v>0</v>
      </c>
      <c r="M2082" s="14" t="s">
        <v>2237</v>
      </c>
      <c r="N2082" s="8">
        <v>0</v>
      </c>
      <c r="O2082" s="14" t="s">
        <v>2237</v>
      </c>
      <c r="P2082" s="14" t="s">
        <v>2236</v>
      </c>
      <c r="Q2082" s="17" t="s">
        <v>2236</v>
      </c>
      <c r="R2082" s="17" t="s">
        <v>2236</v>
      </c>
      <c r="S2082" s="17" t="s">
        <v>2236</v>
      </c>
      <c r="T2082" s="17" t="s">
        <v>2236</v>
      </c>
      <c r="U208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3" spans="1:31" hidden="1" x14ac:dyDescent="0.3">
      <c r="A2083" s="14" t="s">
        <v>4019</v>
      </c>
      <c r="B2083" s="14" t="s">
        <v>2366</v>
      </c>
      <c r="C2083" s="14" t="s">
        <v>5214</v>
      </c>
      <c r="D2083" s="14" t="s">
        <v>5215</v>
      </c>
      <c r="E2083" s="14" t="s">
        <v>2236</v>
      </c>
      <c r="F2083" s="8">
        <v>0</v>
      </c>
      <c r="G2083" s="14" t="s">
        <v>2237</v>
      </c>
      <c r="H2083" s="16">
        <v>0</v>
      </c>
      <c r="I2083" s="14" t="s">
        <v>2237</v>
      </c>
      <c r="J2083" s="16">
        <v>0</v>
      </c>
      <c r="K2083" s="14" t="s">
        <v>2237</v>
      </c>
      <c r="L2083" s="16">
        <v>0</v>
      </c>
      <c r="M2083" s="14" t="s">
        <v>2237</v>
      </c>
      <c r="N2083" s="8">
        <v>131.66999999999999</v>
      </c>
      <c r="O2083" s="14" t="s">
        <v>2237</v>
      </c>
      <c r="P2083" s="14" t="s">
        <v>2236</v>
      </c>
      <c r="Q2083" s="17" t="s">
        <v>2236</v>
      </c>
      <c r="R2083" s="17" t="s">
        <v>2236</v>
      </c>
      <c r="S2083" s="17" t="s">
        <v>2236</v>
      </c>
      <c r="T2083" s="17" t="s">
        <v>3120</v>
      </c>
      <c r="U208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4" spans="1:31" hidden="1" x14ac:dyDescent="0.3">
      <c r="A2084" s="14" t="s">
        <v>4020</v>
      </c>
      <c r="B2084" s="14" t="s">
        <v>2371</v>
      </c>
      <c r="C2084" s="14" t="s">
        <v>5214</v>
      </c>
      <c r="D2084" s="14" t="s">
        <v>5216</v>
      </c>
      <c r="E2084" s="14" t="s">
        <v>2236</v>
      </c>
      <c r="F2084" s="8">
        <v>0</v>
      </c>
      <c r="G2084" s="14" t="s">
        <v>2237</v>
      </c>
      <c r="H2084" s="16">
        <v>0</v>
      </c>
      <c r="I2084" s="14" t="s">
        <v>2237</v>
      </c>
      <c r="J2084" s="16">
        <v>0</v>
      </c>
      <c r="K2084" s="14" t="s">
        <v>2237</v>
      </c>
      <c r="L2084" s="16">
        <v>0</v>
      </c>
      <c r="M2084" s="14" t="s">
        <v>2237</v>
      </c>
      <c r="N2084" s="8">
        <v>0</v>
      </c>
      <c r="O2084" s="14" t="s">
        <v>2237</v>
      </c>
      <c r="P2084" s="14" t="s">
        <v>2236</v>
      </c>
      <c r="Q2084" s="17" t="s">
        <v>2236</v>
      </c>
      <c r="R2084" s="17" t="s">
        <v>2236</v>
      </c>
      <c r="S2084" s="17" t="s">
        <v>2236</v>
      </c>
      <c r="T2084" s="17" t="s">
        <v>2236</v>
      </c>
      <c r="U20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5" spans="1:31" hidden="1" x14ac:dyDescent="0.3">
      <c r="A2085" s="14" t="s">
        <v>4021</v>
      </c>
      <c r="B2085" s="14" t="s">
        <v>2371</v>
      </c>
      <c r="C2085" s="14" t="s">
        <v>5217</v>
      </c>
      <c r="D2085" s="14" t="s">
        <v>5218</v>
      </c>
      <c r="E2085" s="14" t="s">
        <v>2236</v>
      </c>
      <c r="F2085" s="8">
        <v>0</v>
      </c>
      <c r="G2085" s="14" t="s">
        <v>2237</v>
      </c>
      <c r="H2085" s="16">
        <v>0</v>
      </c>
      <c r="I2085" s="14" t="s">
        <v>2237</v>
      </c>
      <c r="J2085" s="16">
        <v>0</v>
      </c>
      <c r="K2085" s="14" t="s">
        <v>2237</v>
      </c>
      <c r="L2085" s="16">
        <v>0</v>
      </c>
      <c r="M2085" s="14" t="s">
        <v>2237</v>
      </c>
      <c r="N2085" s="8">
        <v>0</v>
      </c>
      <c r="O2085" s="14" t="s">
        <v>2237</v>
      </c>
      <c r="P2085" s="14" t="s">
        <v>2236</v>
      </c>
      <c r="Q2085" s="17" t="s">
        <v>2236</v>
      </c>
      <c r="R2085" s="17" t="s">
        <v>2236</v>
      </c>
      <c r="S2085" s="17" t="s">
        <v>2236</v>
      </c>
      <c r="T2085" s="17" t="s">
        <v>2236</v>
      </c>
      <c r="U20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6" spans="1:31" hidden="1" x14ac:dyDescent="0.3">
      <c r="A2086" s="14" t="s">
        <v>4022</v>
      </c>
      <c r="B2086" s="14" t="s">
        <v>2371</v>
      </c>
      <c r="C2086" s="14" t="s">
        <v>5219</v>
      </c>
      <c r="D2086" s="14" t="s">
        <v>5220</v>
      </c>
      <c r="E2086" s="14" t="s">
        <v>2236</v>
      </c>
      <c r="F2086" s="8">
        <v>0</v>
      </c>
      <c r="G2086" s="14" t="s">
        <v>2237</v>
      </c>
      <c r="H2086" s="16">
        <v>0</v>
      </c>
      <c r="I2086" s="14" t="s">
        <v>2237</v>
      </c>
      <c r="J2086" s="16">
        <v>0</v>
      </c>
      <c r="K2086" s="14" t="s">
        <v>2237</v>
      </c>
      <c r="L2086" s="16">
        <v>0</v>
      </c>
      <c r="M2086" s="14" t="s">
        <v>2237</v>
      </c>
      <c r="N2086" s="8">
        <v>0</v>
      </c>
      <c r="O2086" s="14" t="s">
        <v>2237</v>
      </c>
      <c r="P2086" s="14" t="s">
        <v>2236</v>
      </c>
      <c r="Q2086" s="17" t="s">
        <v>2236</v>
      </c>
      <c r="R2086" s="17" t="s">
        <v>2236</v>
      </c>
      <c r="S2086" s="17" t="s">
        <v>2236</v>
      </c>
      <c r="T2086" s="17" t="s">
        <v>2236</v>
      </c>
      <c r="U20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7" spans="1:31" hidden="1" x14ac:dyDescent="0.3">
      <c r="A2087" s="14" t="s">
        <v>4023</v>
      </c>
      <c r="B2087" s="14" t="s">
        <v>2371</v>
      </c>
      <c r="C2087" s="14" t="s">
        <v>3253</v>
      </c>
      <c r="D2087" s="14" t="s">
        <v>5221</v>
      </c>
      <c r="E2087" s="14" t="s">
        <v>2236</v>
      </c>
      <c r="F2087" s="8">
        <v>0</v>
      </c>
      <c r="G2087" s="14" t="s">
        <v>2237</v>
      </c>
      <c r="H2087" s="16">
        <v>0</v>
      </c>
      <c r="I2087" s="14" t="s">
        <v>2237</v>
      </c>
      <c r="J2087" s="16">
        <v>0</v>
      </c>
      <c r="K2087" s="14" t="s">
        <v>2237</v>
      </c>
      <c r="L2087" s="16">
        <v>0</v>
      </c>
      <c r="M2087" s="14" t="s">
        <v>2237</v>
      </c>
      <c r="N2087" s="8">
        <v>0</v>
      </c>
      <c r="O2087" s="14" t="s">
        <v>2237</v>
      </c>
      <c r="P2087" s="14" t="s">
        <v>2236</v>
      </c>
      <c r="Q2087" s="17" t="s">
        <v>2236</v>
      </c>
      <c r="R2087" s="17" t="s">
        <v>2236</v>
      </c>
      <c r="S2087" s="17" t="s">
        <v>2236</v>
      </c>
      <c r="T2087" s="17" t="s">
        <v>2236</v>
      </c>
      <c r="U20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8" spans="1:31" hidden="1" x14ac:dyDescent="0.3">
      <c r="A2088" s="14" t="s">
        <v>4024</v>
      </c>
      <c r="B2088" s="14" t="s">
        <v>2366</v>
      </c>
      <c r="C2088" s="14" t="s">
        <v>5222</v>
      </c>
      <c r="D2088" s="14" t="s">
        <v>5223</v>
      </c>
      <c r="E2088" s="14" t="s">
        <v>2236</v>
      </c>
      <c r="F2088" s="8">
        <v>0</v>
      </c>
      <c r="G2088" s="14" t="s">
        <v>2237</v>
      </c>
      <c r="H2088" s="16">
        <v>0</v>
      </c>
      <c r="I2088" s="14" t="s">
        <v>2237</v>
      </c>
      <c r="J2088" s="16">
        <v>0</v>
      </c>
      <c r="K2088" s="14" t="s">
        <v>2237</v>
      </c>
      <c r="L2088" s="16">
        <v>0</v>
      </c>
      <c r="M2088" s="14" t="s">
        <v>2237</v>
      </c>
      <c r="N2088" s="8">
        <v>6728.55</v>
      </c>
      <c r="O2088" s="14" t="s">
        <v>2237</v>
      </c>
      <c r="P2088" s="14" t="s">
        <v>2236</v>
      </c>
      <c r="Q2088" s="17" t="s">
        <v>2236</v>
      </c>
      <c r="R2088" s="17" t="s">
        <v>2236</v>
      </c>
      <c r="S2088" s="17" t="s">
        <v>2236</v>
      </c>
      <c r="T2088" s="17" t="s">
        <v>2877</v>
      </c>
      <c r="U20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89" spans="1:31" hidden="1" x14ac:dyDescent="0.3">
      <c r="A2089" s="14" t="s">
        <v>4025</v>
      </c>
      <c r="B2089" s="14" t="s">
        <v>2371</v>
      </c>
      <c r="C2089" s="14" t="s">
        <v>5224</v>
      </c>
      <c r="D2089" s="14" t="s">
        <v>5225</v>
      </c>
      <c r="E2089" s="14" t="s">
        <v>2236</v>
      </c>
      <c r="F2089" s="8">
        <v>0</v>
      </c>
      <c r="G2089" s="14" t="s">
        <v>2237</v>
      </c>
      <c r="H2089" s="16">
        <v>0</v>
      </c>
      <c r="I2089" s="14" t="s">
        <v>2237</v>
      </c>
      <c r="J2089" s="16">
        <v>0</v>
      </c>
      <c r="K2089" s="14" t="s">
        <v>2237</v>
      </c>
      <c r="L2089" s="16">
        <v>0</v>
      </c>
      <c r="M2089" s="14" t="s">
        <v>2237</v>
      </c>
      <c r="N2089" s="8">
        <v>0</v>
      </c>
      <c r="O2089" s="14" t="s">
        <v>2237</v>
      </c>
      <c r="P2089" s="14" t="s">
        <v>2236</v>
      </c>
      <c r="Q2089" s="17" t="s">
        <v>2236</v>
      </c>
      <c r="R2089" s="17" t="s">
        <v>2236</v>
      </c>
      <c r="S2089" s="17" t="s">
        <v>2236</v>
      </c>
      <c r="T2089" s="17" t="s">
        <v>2236</v>
      </c>
      <c r="U20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0" spans="1:31" hidden="1" x14ac:dyDescent="0.3">
      <c r="A2090" s="14" t="s">
        <v>4026</v>
      </c>
      <c r="B2090" s="14" t="s">
        <v>2371</v>
      </c>
      <c r="C2090" s="14" t="s">
        <v>5226</v>
      </c>
      <c r="D2090" s="14" t="s">
        <v>5227</v>
      </c>
      <c r="E2090" s="14" t="s">
        <v>2236</v>
      </c>
      <c r="F2090" s="8">
        <v>0</v>
      </c>
      <c r="G2090" s="14" t="s">
        <v>2237</v>
      </c>
      <c r="H2090" s="16">
        <v>0</v>
      </c>
      <c r="I2090" s="14" t="s">
        <v>2237</v>
      </c>
      <c r="J2090" s="16">
        <v>0</v>
      </c>
      <c r="K2090" s="14" t="s">
        <v>2237</v>
      </c>
      <c r="L2090" s="16">
        <v>0</v>
      </c>
      <c r="M2090" s="14" t="s">
        <v>2237</v>
      </c>
      <c r="N2090" s="8">
        <v>0</v>
      </c>
      <c r="O2090" s="14" t="s">
        <v>2237</v>
      </c>
      <c r="P2090" s="14" t="s">
        <v>2236</v>
      </c>
      <c r="Q2090" s="17" t="s">
        <v>2236</v>
      </c>
      <c r="R2090" s="17" t="s">
        <v>2236</v>
      </c>
      <c r="S2090" s="17" t="s">
        <v>2236</v>
      </c>
      <c r="T2090" s="17" t="s">
        <v>2236</v>
      </c>
      <c r="U20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1" spans="1:31" hidden="1" x14ac:dyDescent="0.3">
      <c r="A2091" s="14" t="s">
        <v>4027</v>
      </c>
      <c r="B2091" s="14" t="s">
        <v>2371</v>
      </c>
      <c r="C2091" s="14" t="s">
        <v>5228</v>
      </c>
      <c r="D2091" s="14" t="s">
        <v>5229</v>
      </c>
      <c r="E2091" s="14" t="s">
        <v>2236</v>
      </c>
      <c r="F2091" s="8">
        <v>0</v>
      </c>
      <c r="G2091" s="14" t="s">
        <v>2237</v>
      </c>
      <c r="H2091" s="16">
        <v>0</v>
      </c>
      <c r="I2091" s="14" t="s">
        <v>2237</v>
      </c>
      <c r="J2091" s="16">
        <v>0</v>
      </c>
      <c r="K2091" s="14" t="s">
        <v>2237</v>
      </c>
      <c r="L2091" s="16">
        <v>0</v>
      </c>
      <c r="M2091" s="14" t="s">
        <v>2237</v>
      </c>
      <c r="N2091" s="8">
        <v>0</v>
      </c>
      <c r="O2091" s="14" t="s">
        <v>2237</v>
      </c>
      <c r="P2091" s="14" t="s">
        <v>2236</v>
      </c>
      <c r="Q2091" s="17" t="s">
        <v>2236</v>
      </c>
      <c r="R2091" s="17" t="s">
        <v>2236</v>
      </c>
      <c r="S2091" s="17" t="s">
        <v>2236</v>
      </c>
      <c r="T2091" s="17" t="s">
        <v>2236</v>
      </c>
      <c r="U20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2" spans="1:31" hidden="1" x14ac:dyDescent="0.3">
      <c r="A2092" s="14" t="s">
        <v>4028</v>
      </c>
      <c r="B2092" s="14" t="s">
        <v>2371</v>
      </c>
      <c r="C2092" s="14" t="s">
        <v>5230</v>
      </c>
      <c r="D2092" s="14" t="s">
        <v>5231</v>
      </c>
      <c r="E2092" s="14" t="s">
        <v>2236</v>
      </c>
      <c r="F2092" s="8">
        <v>0</v>
      </c>
      <c r="G2092" s="14" t="s">
        <v>2237</v>
      </c>
      <c r="H2092" s="16">
        <v>0</v>
      </c>
      <c r="I2092" s="14" t="s">
        <v>2237</v>
      </c>
      <c r="J2092" s="16">
        <v>0</v>
      </c>
      <c r="K2092" s="14" t="s">
        <v>2237</v>
      </c>
      <c r="L2092" s="16">
        <v>0</v>
      </c>
      <c r="M2092" s="14" t="s">
        <v>2237</v>
      </c>
      <c r="N2092" s="8">
        <v>0</v>
      </c>
      <c r="O2092" s="14" t="s">
        <v>2237</v>
      </c>
      <c r="P2092" s="14" t="s">
        <v>2236</v>
      </c>
      <c r="Q2092" s="17" t="s">
        <v>2236</v>
      </c>
      <c r="R2092" s="17" t="s">
        <v>2236</v>
      </c>
      <c r="S2092" s="17" t="s">
        <v>2236</v>
      </c>
      <c r="T2092" s="17" t="s">
        <v>2236</v>
      </c>
      <c r="U20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3" spans="1:31" hidden="1" x14ac:dyDescent="0.3">
      <c r="A2093" s="14" t="s">
        <v>4030</v>
      </c>
      <c r="B2093" s="14" t="s">
        <v>2371</v>
      </c>
      <c r="C2093" s="14" t="s">
        <v>3268</v>
      </c>
      <c r="D2093" s="14" t="s">
        <v>5232</v>
      </c>
      <c r="E2093" s="14" t="s">
        <v>2236</v>
      </c>
      <c r="F2093" s="8">
        <v>0</v>
      </c>
      <c r="G2093" s="14" t="s">
        <v>2237</v>
      </c>
      <c r="H2093" s="16">
        <v>0</v>
      </c>
      <c r="I2093" s="14" t="s">
        <v>2237</v>
      </c>
      <c r="J2093" s="16">
        <v>0</v>
      </c>
      <c r="K2093" s="14" t="s">
        <v>2237</v>
      </c>
      <c r="L2093" s="16">
        <v>0</v>
      </c>
      <c r="M2093" s="14" t="s">
        <v>2237</v>
      </c>
      <c r="N2093" s="8">
        <v>0</v>
      </c>
      <c r="O2093" s="14" t="s">
        <v>2237</v>
      </c>
      <c r="P2093" s="14" t="s">
        <v>2236</v>
      </c>
      <c r="Q2093" s="17" t="s">
        <v>2236</v>
      </c>
      <c r="R2093" s="17" t="s">
        <v>2236</v>
      </c>
      <c r="S2093" s="17" t="s">
        <v>2236</v>
      </c>
      <c r="T2093" s="17" t="s">
        <v>2236</v>
      </c>
      <c r="U20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4" spans="1:31" hidden="1" x14ac:dyDescent="0.3">
      <c r="A2094" s="14" t="s">
        <v>4031</v>
      </c>
      <c r="B2094" s="14" t="s">
        <v>2371</v>
      </c>
      <c r="C2094" s="14" t="s">
        <v>2902</v>
      </c>
      <c r="D2094" s="14" t="s">
        <v>5233</v>
      </c>
      <c r="E2094" s="14" t="s">
        <v>2236</v>
      </c>
      <c r="F2094" s="8">
        <v>0</v>
      </c>
      <c r="G2094" s="14" t="s">
        <v>2237</v>
      </c>
      <c r="H2094" s="16">
        <v>0</v>
      </c>
      <c r="I2094" s="14" t="s">
        <v>2237</v>
      </c>
      <c r="J2094" s="16">
        <v>0</v>
      </c>
      <c r="K2094" s="14" t="s">
        <v>2237</v>
      </c>
      <c r="L2094" s="16">
        <v>0</v>
      </c>
      <c r="M2094" s="14" t="s">
        <v>2237</v>
      </c>
      <c r="N2094" s="8">
        <v>0</v>
      </c>
      <c r="O2094" s="14" t="s">
        <v>2237</v>
      </c>
      <c r="P2094" s="14" t="s">
        <v>2236</v>
      </c>
      <c r="Q2094" s="17" t="s">
        <v>2236</v>
      </c>
      <c r="R2094" s="17" t="s">
        <v>2236</v>
      </c>
      <c r="S2094" s="17" t="s">
        <v>2236</v>
      </c>
      <c r="T2094" s="17" t="s">
        <v>2236</v>
      </c>
      <c r="U20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5" spans="1:31" hidden="1" x14ac:dyDescent="0.3">
      <c r="A2095" s="14" t="s">
        <v>4033</v>
      </c>
      <c r="B2095" s="14" t="s">
        <v>2371</v>
      </c>
      <c r="C2095" s="14" t="s">
        <v>5234</v>
      </c>
      <c r="D2095" s="14" t="s">
        <v>5235</v>
      </c>
      <c r="E2095" s="14" t="s">
        <v>2236</v>
      </c>
      <c r="F2095" s="8">
        <v>0</v>
      </c>
      <c r="G2095" s="14" t="s">
        <v>2237</v>
      </c>
      <c r="H2095" s="16">
        <v>0</v>
      </c>
      <c r="I2095" s="14" t="s">
        <v>2237</v>
      </c>
      <c r="J2095" s="16">
        <v>0</v>
      </c>
      <c r="K2095" s="14" t="s">
        <v>2237</v>
      </c>
      <c r="L2095" s="16">
        <v>0</v>
      </c>
      <c r="M2095" s="14" t="s">
        <v>2237</v>
      </c>
      <c r="N2095" s="8">
        <v>0</v>
      </c>
      <c r="O2095" s="14" t="s">
        <v>2237</v>
      </c>
      <c r="P2095" s="14" t="s">
        <v>2236</v>
      </c>
      <c r="Q2095" s="17" t="s">
        <v>2236</v>
      </c>
      <c r="R2095" s="17" t="s">
        <v>2236</v>
      </c>
      <c r="S2095" s="17" t="s">
        <v>2236</v>
      </c>
      <c r="T2095" s="17" t="s">
        <v>2236</v>
      </c>
      <c r="U20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6" spans="1:31" hidden="1" x14ac:dyDescent="0.3">
      <c r="A2096" s="14" t="s">
        <v>4035</v>
      </c>
      <c r="B2096" s="14" t="s">
        <v>2371</v>
      </c>
      <c r="C2096" s="14" t="s">
        <v>5236</v>
      </c>
      <c r="D2096" s="14" t="s">
        <v>5237</v>
      </c>
      <c r="E2096" s="14" t="s">
        <v>2236</v>
      </c>
      <c r="F2096" s="8">
        <v>0</v>
      </c>
      <c r="G2096" s="14" t="s">
        <v>2237</v>
      </c>
      <c r="H2096" s="16">
        <v>0</v>
      </c>
      <c r="I2096" s="14" t="s">
        <v>2237</v>
      </c>
      <c r="J2096" s="16">
        <v>0</v>
      </c>
      <c r="K2096" s="14" t="s">
        <v>2237</v>
      </c>
      <c r="L2096" s="16">
        <v>0</v>
      </c>
      <c r="M2096" s="14" t="s">
        <v>2237</v>
      </c>
      <c r="N2096" s="8">
        <v>0</v>
      </c>
      <c r="O2096" s="14" t="s">
        <v>2237</v>
      </c>
      <c r="P2096" s="14" t="s">
        <v>2236</v>
      </c>
      <c r="Q2096" s="17" t="s">
        <v>2236</v>
      </c>
      <c r="R2096" s="17" t="s">
        <v>2236</v>
      </c>
      <c r="S2096" s="17" t="s">
        <v>2236</v>
      </c>
      <c r="T2096" s="17" t="s">
        <v>2236</v>
      </c>
      <c r="U20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7" spans="1:31" hidden="1" x14ac:dyDescent="0.3">
      <c r="A2097" s="14" t="s">
        <v>4036</v>
      </c>
      <c r="B2097" s="14" t="s">
        <v>2371</v>
      </c>
      <c r="C2097" s="14" t="s">
        <v>5238</v>
      </c>
      <c r="D2097" s="14" t="s">
        <v>5239</v>
      </c>
      <c r="E2097" s="14" t="s">
        <v>2236</v>
      </c>
      <c r="F2097" s="8">
        <v>0</v>
      </c>
      <c r="G2097" s="14" t="s">
        <v>2237</v>
      </c>
      <c r="H2097" s="16">
        <v>0</v>
      </c>
      <c r="I2097" s="14" t="s">
        <v>2237</v>
      </c>
      <c r="J2097" s="16">
        <v>0</v>
      </c>
      <c r="K2097" s="14" t="s">
        <v>2237</v>
      </c>
      <c r="L2097" s="16">
        <v>0</v>
      </c>
      <c r="M2097" s="14" t="s">
        <v>2237</v>
      </c>
      <c r="N2097" s="8">
        <v>0</v>
      </c>
      <c r="O2097" s="14" t="s">
        <v>2237</v>
      </c>
      <c r="P2097" s="14" t="s">
        <v>2236</v>
      </c>
      <c r="Q2097" s="17" t="s">
        <v>2236</v>
      </c>
      <c r="R2097" s="17" t="s">
        <v>2236</v>
      </c>
      <c r="S2097" s="17" t="s">
        <v>2236</v>
      </c>
      <c r="T2097" s="17" t="s">
        <v>2236</v>
      </c>
      <c r="U20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8" spans="1:31" hidden="1" x14ac:dyDescent="0.3">
      <c r="A2098" s="14" t="s">
        <v>4038</v>
      </c>
      <c r="B2098" s="14" t="s">
        <v>2371</v>
      </c>
      <c r="C2098" s="14" t="s">
        <v>5240</v>
      </c>
      <c r="D2098" s="14" t="s">
        <v>5241</v>
      </c>
      <c r="E2098" s="14" t="s">
        <v>2236</v>
      </c>
      <c r="F2098" s="8">
        <v>0</v>
      </c>
      <c r="G2098" s="14" t="s">
        <v>2237</v>
      </c>
      <c r="H2098" s="16">
        <v>0</v>
      </c>
      <c r="I2098" s="14" t="s">
        <v>2237</v>
      </c>
      <c r="J2098" s="16">
        <v>0</v>
      </c>
      <c r="K2098" s="14" t="s">
        <v>2237</v>
      </c>
      <c r="L2098" s="16">
        <v>0</v>
      </c>
      <c r="M2098" s="14" t="s">
        <v>2237</v>
      </c>
      <c r="N2098" s="8">
        <v>0</v>
      </c>
      <c r="O2098" s="14" t="s">
        <v>2237</v>
      </c>
      <c r="P2098" s="14" t="s">
        <v>2236</v>
      </c>
      <c r="Q2098" s="17" t="s">
        <v>2236</v>
      </c>
      <c r="R2098" s="17" t="s">
        <v>2236</v>
      </c>
      <c r="S2098" s="17" t="s">
        <v>2236</v>
      </c>
      <c r="T2098" s="17" t="s">
        <v>2236</v>
      </c>
      <c r="U20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099" spans="1:31" hidden="1" x14ac:dyDescent="0.3">
      <c r="A2099" s="14" t="s">
        <v>4039</v>
      </c>
      <c r="B2099" s="14" t="s">
        <v>2371</v>
      </c>
      <c r="C2099" s="14" t="s">
        <v>5242</v>
      </c>
      <c r="D2099" s="14" t="s">
        <v>5243</v>
      </c>
      <c r="E2099" s="14" t="s">
        <v>2236</v>
      </c>
      <c r="F2099" s="8">
        <v>0</v>
      </c>
      <c r="G2099" s="14" t="s">
        <v>2237</v>
      </c>
      <c r="H2099" s="16">
        <v>0</v>
      </c>
      <c r="I2099" s="14" t="s">
        <v>2237</v>
      </c>
      <c r="J2099" s="16">
        <v>0</v>
      </c>
      <c r="K2099" s="14" t="s">
        <v>2237</v>
      </c>
      <c r="L2099" s="16">
        <v>0</v>
      </c>
      <c r="M2099" s="14" t="s">
        <v>2237</v>
      </c>
      <c r="N2099" s="8">
        <v>0</v>
      </c>
      <c r="O2099" s="14" t="s">
        <v>2237</v>
      </c>
      <c r="P2099" s="14" t="s">
        <v>2236</v>
      </c>
      <c r="Q2099" s="17" t="s">
        <v>2236</v>
      </c>
      <c r="R2099" s="17" t="s">
        <v>2236</v>
      </c>
      <c r="S2099" s="17" t="s">
        <v>2236</v>
      </c>
      <c r="T2099" s="17" t="s">
        <v>2236</v>
      </c>
      <c r="U20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0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0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0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0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0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0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0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0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0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0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0" spans="1:31" hidden="1" x14ac:dyDescent="0.3">
      <c r="A2100" s="14" t="s">
        <v>4040</v>
      </c>
      <c r="B2100" s="14" t="s">
        <v>2371</v>
      </c>
      <c r="C2100" s="14" t="s">
        <v>5244</v>
      </c>
      <c r="D2100" s="14" t="s">
        <v>5245</v>
      </c>
      <c r="E2100" s="14" t="s">
        <v>2236</v>
      </c>
      <c r="F2100" s="8">
        <v>0</v>
      </c>
      <c r="G2100" s="14" t="s">
        <v>2237</v>
      </c>
      <c r="H2100" s="16">
        <v>0</v>
      </c>
      <c r="I2100" s="14" t="s">
        <v>2237</v>
      </c>
      <c r="J2100" s="16">
        <v>0</v>
      </c>
      <c r="K2100" s="14" t="s">
        <v>2237</v>
      </c>
      <c r="L2100" s="16">
        <v>0</v>
      </c>
      <c r="M2100" s="14" t="s">
        <v>2237</v>
      </c>
      <c r="N2100" s="8">
        <v>0</v>
      </c>
      <c r="O2100" s="14" t="s">
        <v>2237</v>
      </c>
      <c r="P2100" s="14" t="s">
        <v>2236</v>
      </c>
      <c r="Q2100" s="17" t="s">
        <v>2236</v>
      </c>
      <c r="R2100" s="17" t="s">
        <v>2236</v>
      </c>
      <c r="S2100" s="17" t="s">
        <v>2236</v>
      </c>
      <c r="T2100" s="17" t="s">
        <v>2236</v>
      </c>
      <c r="U21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1" spans="1:31" hidden="1" x14ac:dyDescent="0.3">
      <c r="A2101" s="14" t="s">
        <v>4041</v>
      </c>
      <c r="B2101" s="14" t="s">
        <v>2371</v>
      </c>
      <c r="C2101" s="14" t="s">
        <v>5246</v>
      </c>
      <c r="D2101" s="14" t="s">
        <v>5247</v>
      </c>
      <c r="E2101" s="14" t="s">
        <v>2236</v>
      </c>
      <c r="F2101" s="8">
        <v>0</v>
      </c>
      <c r="G2101" s="14" t="s">
        <v>2237</v>
      </c>
      <c r="H2101" s="16">
        <v>0</v>
      </c>
      <c r="I2101" s="14" t="s">
        <v>2237</v>
      </c>
      <c r="J2101" s="16">
        <v>0</v>
      </c>
      <c r="K2101" s="14" t="s">
        <v>2237</v>
      </c>
      <c r="L2101" s="16">
        <v>0</v>
      </c>
      <c r="M2101" s="14" t="s">
        <v>2237</v>
      </c>
      <c r="N2101" s="8">
        <v>0</v>
      </c>
      <c r="O2101" s="14" t="s">
        <v>2237</v>
      </c>
      <c r="P2101" s="14" t="s">
        <v>2236</v>
      </c>
      <c r="Q2101" s="17" t="s">
        <v>2236</v>
      </c>
      <c r="R2101" s="17" t="s">
        <v>2236</v>
      </c>
      <c r="S2101" s="17" t="s">
        <v>2236</v>
      </c>
      <c r="T2101" s="17" t="s">
        <v>2236</v>
      </c>
      <c r="U21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2" spans="1:31" hidden="1" x14ac:dyDescent="0.3">
      <c r="A2102" s="14" t="s">
        <v>4042</v>
      </c>
      <c r="B2102" s="14" t="s">
        <v>2371</v>
      </c>
      <c r="C2102" s="14" t="s">
        <v>5248</v>
      </c>
      <c r="D2102" s="14" t="s">
        <v>5249</v>
      </c>
      <c r="E2102" s="14" t="s">
        <v>2236</v>
      </c>
      <c r="F2102" s="8">
        <v>0</v>
      </c>
      <c r="G2102" s="14" t="s">
        <v>2237</v>
      </c>
      <c r="H2102" s="16">
        <v>0</v>
      </c>
      <c r="I2102" s="14" t="s">
        <v>2237</v>
      </c>
      <c r="J2102" s="16">
        <v>0</v>
      </c>
      <c r="K2102" s="14" t="s">
        <v>2237</v>
      </c>
      <c r="L2102" s="16">
        <v>0</v>
      </c>
      <c r="M2102" s="14" t="s">
        <v>2237</v>
      </c>
      <c r="N2102" s="8">
        <v>0</v>
      </c>
      <c r="O2102" s="14" t="s">
        <v>2237</v>
      </c>
      <c r="P2102" s="14" t="s">
        <v>2236</v>
      </c>
      <c r="Q2102" s="17" t="s">
        <v>2236</v>
      </c>
      <c r="R2102" s="17" t="s">
        <v>2236</v>
      </c>
      <c r="S2102" s="17" t="s">
        <v>2236</v>
      </c>
      <c r="T2102" s="17" t="s">
        <v>2236</v>
      </c>
      <c r="U21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3" spans="1:31" hidden="1" x14ac:dyDescent="0.3">
      <c r="A2103" s="14" t="s">
        <v>4043</v>
      </c>
      <c r="B2103" s="14" t="s">
        <v>2371</v>
      </c>
      <c r="C2103" s="14" t="s">
        <v>5250</v>
      </c>
      <c r="D2103" s="14" t="s">
        <v>5251</v>
      </c>
      <c r="E2103" s="14" t="s">
        <v>2236</v>
      </c>
      <c r="F2103" s="8">
        <v>0</v>
      </c>
      <c r="G2103" s="14" t="s">
        <v>2237</v>
      </c>
      <c r="H2103" s="16">
        <v>0</v>
      </c>
      <c r="I2103" s="14" t="s">
        <v>2237</v>
      </c>
      <c r="J2103" s="16">
        <v>0</v>
      </c>
      <c r="K2103" s="14" t="s">
        <v>2237</v>
      </c>
      <c r="L2103" s="16">
        <v>0</v>
      </c>
      <c r="M2103" s="14" t="s">
        <v>2237</v>
      </c>
      <c r="N2103" s="8">
        <v>0</v>
      </c>
      <c r="O2103" s="14" t="s">
        <v>2237</v>
      </c>
      <c r="P2103" s="14" t="s">
        <v>2236</v>
      </c>
      <c r="Q2103" s="17" t="s">
        <v>2236</v>
      </c>
      <c r="R2103" s="17" t="s">
        <v>2236</v>
      </c>
      <c r="S2103" s="17" t="s">
        <v>2236</v>
      </c>
      <c r="T2103" s="17" t="s">
        <v>2236</v>
      </c>
      <c r="U21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4" spans="1:31" hidden="1" x14ac:dyDescent="0.3">
      <c r="A2104" s="14" t="s">
        <v>4044</v>
      </c>
      <c r="B2104" s="14" t="s">
        <v>2371</v>
      </c>
      <c r="C2104" s="14" t="s">
        <v>5252</v>
      </c>
      <c r="D2104" s="14" t="s">
        <v>5253</v>
      </c>
      <c r="E2104" s="14" t="s">
        <v>2236</v>
      </c>
      <c r="F2104" s="8">
        <v>0</v>
      </c>
      <c r="G2104" s="14" t="s">
        <v>2237</v>
      </c>
      <c r="H2104" s="16">
        <v>0</v>
      </c>
      <c r="I2104" s="14" t="s">
        <v>2237</v>
      </c>
      <c r="J2104" s="16">
        <v>0</v>
      </c>
      <c r="K2104" s="14" t="s">
        <v>2237</v>
      </c>
      <c r="L2104" s="16">
        <v>0</v>
      </c>
      <c r="M2104" s="14" t="s">
        <v>2237</v>
      </c>
      <c r="N2104" s="8">
        <v>0</v>
      </c>
      <c r="O2104" s="14" t="s">
        <v>2237</v>
      </c>
      <c r="P2104" s="14" t="s">
        <v>2236</v>
      </c>
      <c r="Q2104" s="17" t="s">
        <v>2236</v>
      </c>
      <c r="R2104" s="17" t="s">
        <v>2236</v>
      </c>
      <c r="S2104" s="17" t="s">
        <v>2236</v>
      </c>
      <c r="T2104" s="17" t="s">
        <v>2236</v>
      </c>
      <c r="U21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5" spans="1:31" hidden="1" x14ac:dyDescent="0.3">
      <c r="A2105" s="14" t="s">
        <v>4045</v>
      </c>
      <c r="B2105" s="14" t="s">
        <v>2371</v>
      </c>
      <c r="C2105" s="14" t="s">
        <v>5254</v>
      </c>
      <c r="D2105" s="14" t="s">
        <v>5255</v>
      </c>
      <c r="E2105" s="14" t="s">
        <v>2236</v>
      </c>
      <c r="F2105" s="8">
        <v>0</v>
      </c>
      <c r="G2105" s="14" t="s">
        <v>2237</v>
      </c>
      <c r="H2105" s="16">
        <v>0</v>
      </c>
      <c r="I2105" s="14" t="s">
        <v>2237</v>
      </c>
      <c r="J2105" s="16">
        <v>0</v>
      </c>
      <c r="K2105" s="14" t="s">
        <v>2237</v>
      </c>
      <c r="L2105" s="16">
        <v>0</v>
      </c>
      <c r="M2105" s="14" t="s">
        <v>2237</v>
      </c>
      <c r="N2105" s="8">
        <v>0</v>
      </c>
      <c r="O2105" s="14" t="s">
        <v>2237</v>
      </c>
      <c r="P2105" s="14" t="s">
        <v>2236</v>
      </c>
      <c r="Q2105" s="17" t="s">
        <v>2236</v>
      </c>
      <c r="R2105" s="17" t="s">
        <v>2236</v>
      </c>
      <c r="S2105" s="17" t="s">
        <v>2236</v>
      </c>
      <c r="T2105" s="17" t="s">
        <v>2236</v>
      </c>
      <c r="U21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6" spans="1:31" hidden="1" x14ac:dyDescent="0.3">
      <c r="A2106" s="14" t="s">
        <v>4046</v>
      </c>
      <c r="B2106" s="14" t="s">
        <v>2371</v>
      </c>
      <c r="C2106" s="14" t="s">
        <v>2972</v>
      </c>
      <c r="D2106" s="14" t="s">
        <v>5256</v>
      </c>
      <c r="E2106" s="14" t="s">
        <v>2236</v>
      </c>
      <c r="F2106" s="8">
        <v>0</v>
      </c>
      <c r="G2106" s="14" t="s">
        <v>2237</v>
      </c>
      <c r="H2106" s="16">
        <v>0</v>
      </c>
      <c r="I2106" s="14" t="s">
        <v>2237</v>
      </c>
      <c r="J2106" s="16">
        <v>0</v>
      </c>
      <c r="K2106" s="14" t="s">
        <v>2237</v>
      </c>
      <c r="L2106" s="16">
        <v>0</v>
      </c>
      <c r="M2106" s="14" t="s">
        <v>2237</v>
      </c>
      <c r="N2106" s="8">
        <v>0</v>
      </c>
      <c r="O2106" s="14" t="s">
        <v>2237</v>
      </c>
      <c r="P2106" s="14" t="s">
        <v>2236</v>
      </c>
      <c r="Q2106" s="17" t="s">
        <v>2236</v>
      </c>
      <c r="R2106" s="17" t="s">
        <v>2236</v>
      </c>
      <c r="S2106" s="17" t="s">
        <v>2236</v>
      </c>
      <c r="T2106" s="17" t="s">
        <v>2236</v>
      </c>
      <c r="U21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7" spans="1:31" hidden="1" x14ac:dyDescent="0.3">
      <c r="A2107" s="14" t="s">
        <v>4047</v>
      </c>
      <c r="B2107" s="14" t="s">
        <v>2371</v>
      </c>
      <c r="C2107" s="14" t="s">
        <v>5257</v>
      </c>
      <c r="D2107" s="14" t="s">
        <v>5258</v>
      </c>
      <c r="E2107" s="14" t="s">
        <v>2236</v>
      </c>
      <c r="F2107" s="8">
        <v>0</v>
      </c>
      <c r="G2107" s="14" t="s">
        <v>2237</v>
      </c>
      <c r="H2107" s="16">
        <v>0</v>
      </c>
      <c r="I2107" s="14" t="s">
        <v>2237</v>
      </c>
      <c r="J2107" s="16">
        <v>0</v>
      </c>
      <c r="K2107" s="14" t="s">
        <v>2237</v>
      </c>
      <c r="L2107" s="16">
        <v>0</v>
      </c>
      <c r="M2107" s="14" t="s">
        <v>2237</v>
      </c>
      <c r="N2107" s="8">
        <v>0</v>
      </c>
      <c r="O2107" s="14" t="s">
        <v>2237</v>
      </c>
      <c r="P2107" s="14" t="s">
        <v>2236</v>
      </c>
      <c r="Q2107" s="17" t="s">
        <v>2236</v>
      </c>
      <c r="R2107" s="17" t="s">
        <v>2236</v>
      </c>
      <c r="S2107" s="17" t="s">
        <v>2236</v>
      </c>
      <c r="T2107" s="17" t="s">
        <v>2236</v>
      </c>
      <c r="U21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8" spans="1:31" hidden="1" x14ac:dyDescent="0.3">
      <c r="A2108" s="14" t="s">
        <v>4049</v>
      </c>
      <c r="B2108" s="14" t="s">
        <v>2371</v>
      </c>
      <c r="C2108" s="14" t="s">
        <v>5259</v>
      </c>
      <c r="D2108" s="14" t="s">
        <v>5260</v>
      </c>
      <c r="E2108" s="14" t="s">
        <v>2236</v>
      </c>
      <c r="F2108" s="8">
        <v>0</v>
      </c>
      <c r="G2108" s="14" t="s">
        <v>2237</v>
      </c>
      <c r="H2108" s="16">
        <v>0</v>
      </c>
      <c r="I2108" s="14" t="s">
        <v>2237</v>
      </c>
      <c r="J2108" s="16">
        <v>0</v>
      </c>
      <c r="K2108" s="14" t="s">
        <v>2237</v>
      </c>
      <c r="L2108" s="16">
        <v>0</v>
      </c>
      <c r="M2108" s="14" t="s">
        <v>2237</v>
      </c>
      <c r="N2108" s="8">
        <v>0</v>
      </c>
      <c r="O2108" s="14" t="s">
        <v>2237</v>
      </c>
      <c r="P2108" s="14" t="s">
        <v>2236</v>
      </c>
      <c r="Q2108" s="17" t="s">
        <v>2236</v>
      </c>
      <c r="R2108" s="17" t="s">
        <v>2236</v>
      </c>
      <c r="S2108" s="17" t="s">
        <v>2236</v>
      </c>
      <c r="T2108" s="17" t="s">
        <v>2236</v>
      </c>
      <c r="U21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09" spans="1:31" hidden="1" x14ac:dyDescent="0.3">
      <c r="A2109" s="14" t="s">
        <v>4050</v>
      </c>
      <c r="B2109" s="14" t="s">
        <v>2371</v>
      </c>
      <c r="C2109" s="14" t="s">
        <v>5261</v>
      </c>
      <c r="D2109" s="14" t="s">
        <v>5262</v>
      </c>
      <c r="E2109" s="14" t="s">
        <v>2236</v>
      </c>
      <c r="F2109" s="8">
        <v>0</v>
      </c>
      <c r="G2109" s="14" t="s">
        <v>2237</v>
      </c>
      <c r="H2109" s="16">
        <v>0</v>
      </c>
      <c r="I2109" s="14" t="s">
        <v>2237</v>
      </c>
      <c r="J2109" s="16">
        <v>0</v>
      </c>
      <c r="K2109" s="14" t="s">
        <v>2237</v>
      </c>
      <c r="L2109" s="16">
        <v>0</v>
      </c>
      <c r="M2109" s="14" t="s">
        <v>2237</v>
      </c>
      <c r="N2109" s="8">
        <v>0</v>
      </c>
      <c r="O2109" s="14" t="s">
        <v>2237</v>
      </c>
      <c r="P2109" s="14" t="s">
        <v>2236</v>
      </c>
      <c r="Q2109" s="17" t="s">
        <v>2236</v>
      </c>
      <c r="R2109" s="17" t="s">
        <v>2236</v>
      </c>
      <c r="S2109" s="17" t="s">
        <v>2236</v>
      </c>
      <c r="T2109" s="17" t="s">
        <v>2236</v>
      </c>
      <c r="U21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0" spans="1:31" hidden="1" x14ac:dyDescent="0.3">
      <c r="A2110" s="14" t="s">
        <v>4051</v>
      </c>
      <c r="B2110" s="14" t="s">
        <v>2371</v>
      </c>
      <c r="C2110" s="14" t="s">
        <v>5263</v>
      </c>
      <c r="D2110" s="14" t="s">
        <v>5264</v>
      </c>
      <c r="E2110" s="14" t="s">
        <v>2236</v>
      </c>
      <c r="F2110" s="8">
        <v>0</v>
      </c>
      <c r="G2110" s="14" t="s">
        <v>2237</v>
      </c>
      <c r="H2110" s="16">
        <v>0</v>
      </c>
      <c r="I2110" s="14" t="s">
        <v>2237</v>
      </c>
      <c r="J2110" s="16">
        <v>0</v>
      </c>
      <c r="K2110" s="14" t="s">
        <v>2237</v>
      </c>
      <c r="L2110" s="16">
        <v>0</v>
      </c>
      <c r="M2110" s="14" t="s">
        <v>2237</v>
      </c>
      <c r="N2110" s="8">
        <v>0</v>
      </c>
      <c r="O2110" s="14" t="s">
        <v>2237</v>
      </c>
      <c r="P2110" s="14" t="s">
        <v>2236</v>
      </c>
      <c r="Q2110" s="17" t="s">
        <v>2236</v>
      </c>
      <c r="R2110" s="17" t="s">
        <v>2236</v>
      </c>
      <c r="S2110" s="17" t="s">
        <v>2236</v>
      </c>
      <c r="T2110" s="17" t="s">
        <v>2236</v>
      </c>
      <c r="U21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1" spans="1:31" hidden="1" x14ac:dyDescent="0.3">
      <c r="A2111" s="14" t="s">
        <v>4052</v>
      </c>
      <c r="B2111" s="14" t="s">
        <v>2371</v>
      </c>
      <c r="C2111" s="14" t="s">
        <v>5265</v>
      </c>
      <c r="D2111" s="14" t="s">
        <v>5266</v>
      </c>
      <c r="E2111" s="14" t="s">
        <v>2236</v>
      </c>
      <c r="F2111" s="8">
        <v>0</v>
      </c>
      <c r="G2111" s="14" t="s">
        <v>2237</v>
      </c>
      <c r="H2111" s="16">
        <v>0</v>
      </c>
      <c r="I2111" s="14" t="s">
        <v>2237</v>
      </c>
      <c r="J2111" s="16">
        <v>0</v>
      </c>
      <c r="K2111" s="14" t="s">
        <v>2237</v>
      </c>
      <c r="L2111" s="16">
        <v>0</v>
      </c>
      <c r="M2111" s="14" t="s">
        <v>2237</v>
      </c>
      <c r="N2111" s="8">
        <v>0</v>
      </c>
      <c r="O2111" s="14" t="s">
        <v>2237</v>
      </c>
      <c r="P2111" s="14" t="s">
        <v>2236</v>
      </c>
      <c r="Q2111" s="17" t="s">
        <v>2236</v>
      </c>
      <c r="R2111" s="17" t="s">
        <v>2236</v>
      </c>
      <c r="S2111" s="17" t="s">
        <v>2236</v>
      </c>
      <c r="T2111" s="17" t="s">
        <v>2236</v>
      </c>
      <c r="U21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2" spans="1:31" hidden="1" x14ac:dyDescent="0.3">
      <c r="A2112" s="14" t="s">
        <v>4053</v>
      </c>
      <c r="B2112" s="14" t="s">
        <v>2371</v>
      </c>
      <c r="C2112" s="14" t="s">
        <v>5267</v>
      </c>
      <c r="D2112" s="14" t="s">
        <v>5268</v>
      </c>
      <c r="E2112" s="14" t="s">
        <v>2236</v>
      </c>
      <c r="F2112" s="8">
        <v>0</v>
      </c>
      <c r="G2112" s="14" t="s">
        <v>2237</v>
      </c>
      <c r="H2112" s="16">
        <v>0</v>
      </c>
      <c r="I2112" s="14" t="s">
        <v>2237</v>
      </c>
      <c r="J2112" s="16">
        <v>0</v>
      </c>
      <c r="K2112" s="14" t="s">
        <v>2237</v>
      </c>
      <c r="L2112" s="16">
        <v>0</v>
      </c>
      <c r="M2112" s="14" t="s">
        <v>2237</v>
      </c>
      <c r="N2112" s="8">
        <v>0</v>
      </c>
      <c r="O2112" s="14" t="s">
        <v>2237</v>
      </c>
      <c r="P2112" s="14" t="s">
        <v>2236</v>
      </c>
      <c r="Q2112" s="17" t="s">
        <v>2236</v>
      </c>
      <c r="R2112" s="17" t="s">
        <v>2236</v>
      </c>
      <c r="S2112" s="17" t="s">
        <v>2236</v>
      </c>
      <c r="T2112" s="17" t="s">
        <v>2236</v>
      </c>
      <c r="U21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3" spans="1:31" hidden="1" x14ac:dyDescent="0.3">
      <c r="A2113" s="14" t="s">
        <v>4055</v>
      </c>
      <c r="B2113" s="14" t="s">
        <v>2371</v>
      </c>
      <c r="C2113" s="14" t="s">
        <v>5269</v>
      </c>
      <c r="D2113" s="14" t="s">
        <v>5270</v>
      </c>
      <c r="E2113" s="14" t="s">
        <v>2236</v>
      </c>
      <c r="F2113" s="8">
        <v>0</v>
      </c>
      <c r="G2113" s="14" t="s">
        <v>2237</v>
      </c>
      <c r="H2113" s="16">
        <v>0</v>
      </c>
      <c r="I2113" s="14" t="s">
        <v>2237</v>
      </c>
      <c r="J2113" s="16">
        <v>0</v>
      </c>
      <c r="K2113" s="14" t="s">
        <v>2237</v>
      </c>
      <c r="L2113" s="16">
        <v>0</v>
      </c>
      <c r="M2113" s="14" t="s">
        <v>2237</v>
      </c>
      <c r="N2113" s="8">
        <v>0</v>
      </c>
      <c r="O2113" s="14" t="s">
        <v>2237</v>
      </c>
      <c r="P2113" s="14" t="s">
        <v>2236</v>
      </c>
      <c r="Q2113" s="17" t="s">
        <v>2236</v>
      </c>
      <c r="R2113" s="17" t="s">
        <v>2236</v>
      </c>
      <c r="S2113" s="17" t="s">
        <v>2236</v>
      </c>
      <c r="T2113" s="17" t="s">
        <v>2236</v>
      </c>
      <c r="U21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4" spans="1:31" hidden="1" x14ac:dyDescent="0.3">
      <c r="A2114" s="14" t="s">
        <v>4056</v>
      </c>
      <c r="B2114" s="14" t="s">
        <v>2371</v>
      </c>
      <c r="C2114" s="14" t="s">
        <v>5271</v>
      </c>
      <c r="D2114" s="14" t="s">
        <v>5272</v>
      </c>
      <c r="E2114" s="14" t="s">
        <v>2236</v>
      </c>
      <c r="F2114" s="8">
        <v>0</v>
      </c>
      <c r="G2114" s="14" t="s">
        <v>2237</v>
      </c>
      <c r="H2114" s="16">
        <v>0</v>
      </c>
      <c r="I2114" s="14" t="s">
        <v>2237</v>
      </c>
      <c r="J2114" s="16">
        <v>0</v>
      </c>
      <c r="K2114" s="14" t="s">
        <v>2237</v>
      </c>
      <c r="L2114" s="16">
        <v>0</v>
      </c>
      <c r="M2114" s="14" t="s">
        <v>2237</v>
      </c>
      <c r="N2114" s="8">
        <v>0</v>
      </c>
      <c r="O2114" s="14" t="s">
        <v>2237</v>
      </c>
      <c r="P2114" s="14" t="s">
        <v>2236</v>
      </c>
      <c r="Q2114" s="17" t="s">
        <v>2236</v>
      </c>
      <c r="R2114" s="17" t="s">
        <v>2236</v>
      </c>
      <c r="S2114" s="17" t="s">
        <v>2236</v>
      </c>
      <c r="T2114" s="17" t="s">
        <v>2236</v>
      </c>
      <c r="U21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5" spans="1:31" hidden="1" x14ac:dyDescent="0.3">
      <c r="A2115" s="14" t="s">
        <v>4057</v>
      </c>
      <c r="B2115" s="14" t="s">
        <v>2371</v>
      </c>
      <c r="C2115" s="14" t="s">
        <v>5273</v>
      </c>
      <c r="D2115" s="14" t="s">
        <v>5274</v>
      </c>
      <c r="E2115" s="14" t="s">
        <v>2236</v>
      </c>
      <c r="F2115" s="8">
        <v>0</v>
      </c>
      <c r="G2115" s="14" t="s">
        <v>2237</v>
      </c>
      <c r="H2115" s="16">
        <v>0</v>
      </c>
      <c r="I2115" s="14" t="s">
        <v>2237</v>
      </c>
      <c r="J2115" s="16">
        <v>0</v>
      </c>
      <c r="K2115" s="14" t="s">
        <v>2237</v>
      </c>
      <c r="L2115" s="16">
        <v>0</v>
      </c>
      <c r="M2115" s="14" t="s">
        <v>2237</v>
      </c>
      <c r="N2115" s="8">
        <v>0</v>
      </c>
      <c r="O2115" s="14" t="s">
        <v>2237</v>
      </c>
      <c r="P2115" s="14" t="s">
        <v>2236</v>
      </c>
      <c r="Q2115" s="17" t="s">
        <v>2236</v>
      </c>
      <c r="R2115" s="17" t="s">
        <v>2236</v>
      </c>
      <c r="S2115" s="17" t="s">
        <v>2236</v>
      </c>
      <c r="T2115" s="17" t="s">
        <v>2236</v>
      </c>
      <c r="U21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6" spans="1:31" hidden="1" x14ac:dyDescent="0.3">
      <c r="A2116" s="14" t="s">
        <v>4058</v>
      </c>
      <c r="B2116" s="14" t="s">
        <v>2371</v>
      </c>
      <c r="C2116" s="14" t="s">
        <v>5275</v>
      </c>
      <c r="D2116" s="14" t="s">
        <v>5276</v>
      </c>
      <c r="E2116" s="14" t="s">
        <v>2236</v>
      </c>
      <c r="F2116" s="8">
        <v>0</v>
      </c>
      <c r="G2116" s="14" t="s">
        <v>2237</v>
      </c>
      <c r="H2116" s="16">
        <v>0</v>
      </c>
      <c r="I2116" s="14" t="s">
        <v>2237</v>
      </c>
      <c r="J2116" s="16">
        <v>0</v>
      </c>
      <c r="K2116" s="14" t="s">
        <v>2237</v>
      </c>
      <c r="L2116" s="16">
        <v>0</v>
      </c>
      <c r="M2116" s="14" t="s">
        <v>2237</v>
      </c>
      <c r="N2116" s="8">
        <v>0</v>
      </c>
      <c r="O2116" s="14" t="s">
        <v>2237</v>
      </c>
      <c r="P2116" s="14" t="s">
        <v>2236</v>
      </c>
      <c r="Q2116" s="17" t="s">
        <v>2236</v>
      </c>
      <c r="R2116" s="17" t="s">
        <v>2236</v>
      </c>
      <c r="S2116" s="17" t="s">
        <v>2236</v>
      </c>
      <c r="T2116" s="17" t="s">
        <v>2236</v>
      </c>
      <c r="U21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7" spans="1:31" hidden="1" x14ac:dyDescent="0.3">
      <c r="A2117" s="14" t="s">
        <v>4059</v>
      </c>
      <c r="B2117" s="14" t="s">
        <v>2371</v>
      </c>
      <c r="C2117" s="14" t="s">
        <v>5277</v>
      </c>
      <c r="D2117" s="14" t="s">
        <v>5278</v>
      </c>
      <c r="E2117" s="14" t="s">
        <v>2236</v>
      </c>
      <c r="F2117" s="8">
        <v>0</v>
      </c>
      <c r="G2117" s="14" t="s">
        <v>2237</v>
      </c>
      <c r="H2117" s="16">
        <v>0</v>
      </c>
      <c r="I2117" s="14" t="s">
        <v>2237</v>
      </c>
      <c r="J2117" s="16">
        <v>0</v>
      </c>
      <c r="K2117" s="14" t="s">
        <v>2237</v>
      </c>
      <c r="L2117" s="16">
        <v>0</v>
      </c>
      <c r="M2117" s="14" t="s">
        <v>2237</v>
      </c>
      <c r="N2117" s="8">
        <v>0</v>
      </c>
      <c r="O2117" s="14" t="s">
        <v>2237</v>
      </c>
      <c r="P2117" s="14" t="s">
        <v>2236</v>
      </c>
      <c r="Q2117" s="17" t="s">
        <v>2236</v>
      </c>
      <c r="R2117" s="17" t="s">
        <v>2236</v>
      </c>
      <c r="S2117" s="17" t="s">
        <v>2236</v>
      </c>
      <c r="T2117" s="17" t="s">
        <v>2236</v>
      </c>
      <c r="U211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8" spans="1:31" hidden="1" x14ac:dyDescent="0.3">
      <c r="A2118" s="14" t="s">
        <v>4060</v>
      </c>
      <c r="B2118" s="14" t="s">
        <v>2371</v>
      </c>
      <c r="C2118" s="14" t="s">
        <v>5279</v>
      </c>
      <c r="D2118" s="14" t="s">
        <v>5280</v>
      </c>
      <c r="E2118" s="14" t="s">
        <v>2236</v>
      </c>
      <c r="F2118" s="8">
        <v>0</v>
      </c>
      <c r="G2118" s="14" t="s">
        <v>2237</v>
      </c>
      <c r="H2118" s="16">
        <v>0</v>
      </c>
      <c r="I2118" s="14" t="s">
        <v>2237</v>
      </c>
      <c r="J2118" s="16">
        <v>0</v>
      </c>
      <c r="K2118" s="14" t="s">
        <v>2237</v>
      </c>
      <c r="L2118" s="16">
        <v>0</v>
      </c>
      <c r="M2118" s="14" t="s">
        <v>2237</v>
      </c>
      <c r="N2118" s="8">
        <v>0</v>
      </c>
      <c r="O2118" s="14" t="s">
        <v>2237</v>
      </c>
      <c r="P2118" s="14" t="s">
        <v>2236</v>
      </c>
      <c r="Q2118" s="17" t="s">
        <v>2236</v>
      </c>
      <c r="R2118" s="17" t="s">
        <v>2236</v>
      </c>
      <c r="S2118" s="17" t="s">
        <v>2236</v>
      </c>
      <c r="T2118" s="17" t="s">
        <v>2236</v>
      </c>
      <c r="U211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19" spans="1:31" hidden="1" x14ac:dyDescent="0.3">
      <c r="A2119" s="14" t="s">
        <v>4061</v>
      </c>
      <c r="B2119" s="14" t="s">
        <v>2371</v>
      </c>
      <c r="C2119" s="14" t="s">
        <v>2972</v>
      </c>
      <c r="D2119" s="14" t="s">
        <v>5281</v>
      </c>
      <c r="E2119" s="14" t="s">
        <v>2236</v>
      </c>
      <c r="F2119" s="8">
        <v>0</v>
      </c>
      <c r="G2119" s="14" t="s">
        <v>2237</v>
      </c>
      <c r="H2119" s="16">
        <v>0</v>
      </c>
      <c r="I2119" s="14" t="s">
        <v>2237</v>
      </c>
      <c r="J2119" s="16">
        <v>0</v>
      </c>
      <c r="K2119" s="14" t="s">
        <v>2237</v>
      </c>
      <c r="L2119" s="16">
        <v>0</v>
      </c>
      <c r="M2119" s="14" t="s">
        <v>2237</v>
      </c>
      <c r="N2119" s="8">
        <v>0</v>
      </c>
      <c r="O2119" s="14" t="s">
        <v>2237</v>
      </c>
      <c r="P2119" s="14" t="s">
        <v>2236</v>
      </c>
      <c r="Q2119" s="17" t="s">
        <v>2236</v>
      </c>
      <c r="R2119" s="17" t="s">
        <v>2236</v>
      </c>
      <c r="S2119" s="17" t="s">
        <v>2236</v>
      </c>
      <c r="T2119" s="17" t="s">
        <v>2236</v>
      </c>
      <c r="U211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1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1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1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1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1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1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0" spans="1:31" hidden="1" x14ac:dyDescent="0.3">
      <c r="A2120" s="14" t="s">
        <v>4063</v>
      </c>
      <c r="B2120" s="14" t="s">
        <v>2371</v>
      </c>
      <c r="C2120" s="14" t="s">
        <v>5282</v>
      </c>
      <c r="D2120" s="14" t="s">
        <v>5283</v>
      </c>
      <c r="E2120" s="14" t="s">
        <v>2236</v>
      </c>
      <c r="F2120" s="8">
        <v>0</v>
      </c>
      <c r="G2120" s="14" t="s">
        <v>2237</v>
      </c>
      <c r="H2120" s="16">
        <v>0</v>
      </c>
      <c r="I2120" s="14" t="s">
        <v>2237</v>
      </c>
      <c r="J2120" s="16">
        <v>0</v>
      </c>
      <c r="K2120" s="14" t="s">
        <v>2237</v>
      </c>
      <c r="L2120" s="16">
        <v>0</v>
      </c>
      <c r="M2120" s="14" t="s">
        <v>2237</v>
      </c>
      <c r="N2120" s="8">
        <v>0</v>
      </c>
      <c r="O2120" s="14" t="s">
        <v>2237</v>
      </c>
      <c r="P2120" s="14" t="s">
        <v>2236</v>
      </c>
      <c r="Q2120" s="17" t="s">
        <v>2236</v>
      </c>
      <c r="R2120" s="17" t="s">
        <v>2236</v>
      </c>
      <c r="S2120" s="17" t="s">
        <v>2236</v>
      </c>
      <c r="T2120" s="17" t="s">
        <v>2236</v>
      </c>
      <c r="U212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1" spans="1:31" hidden="1" x14ac:dyDescent="0.3">
      <c r="A2121" s="14" t="s">
        <v>4065</v>
      </c>
      <c r="B2121" s="14" t="s">
        <v>2371</v>
      </c>
      <c r="C2121" s="14" t="s">
        <v>2961</v>
      </c>
      <c r="D2121" s="14" t="s">
        <v>5284</v>
      </c>
      <c r="E2121" s="14" t="s">
        <v>2236</v>
      </c>
      <c r="F2121" s="8">
        <v>0</v>
      </c>
      <c r="G2121" s="14" t="s">
        <v>2237</v>
      </c>
      <c r="H2121" s="16">
        <v>0</v>
      </c>
      <c r="I2121" s="14" t="s">
        <v>2237</v>
      </c>
      <c r="J2121" s="16">
        <v>0</v>
      </c>
      <c r="K2121" s="14" t="s">
        <v>2237</v>
      </c>
      <c r="L2121" s="16">
        <v>0</v>
      </c>
      <c r="M2121" s="14" t="s">
        <v>2237</v>
      </c>
      <c r="N2121" s="8">
        <v>0</v>
      </c>
      <c r="O2121" s="14" t="s">
        <v>2237</v>
      </c>
      <c r="P2121" s="14" t="s">
        <v>2236</v>
      </c>
      <c r="Q2121" s="17" t="s">
        <v>2236</v>
      </c>
      <c r="R2121" s="17" t="s">
        <v>2236</v>
      </c>
      <c r="S2121" s="17" t="s">
        <v>2236</v>
      </c>
      <c r="T2121" s="17" t="s">
        <v>2236</v>
      </c>
      <c r="U212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2" spans="1:31" hidden="1" x14ac:dyDescent="0.3">
      <c r="A2122" s="14" t="s">
        <v>4066</v>
      </c>
      <c r="B2122" s="14" t="s">
        <v>2371</v>
      </c>
      <c r="C2122" s="14" t="s">
        <v>3522</v>
      </c>
      <c r="D2122" s="14" t="s">
        <v>5285</v>
      </c>
      <c r="E2122" s="14" t="s">
        <v>2236</v>
      </c>
      <c r="F2122" s="8">
        <v>0</v>
      </c>
      <c r="G2122" s="14" t="s">
        <v>2237</v>
      </c>
      <c r="H2122" s="16">
        <v>0</v>
      </c>
      <c r="I2122" s="14" t="s">
        <v>2237</v>
      </c>
      <c r="J2122" s="16">
        <v>0</v>
      </c>
      <c r="K2122" s="14" t="s">
        <v>2237</v>
      </c>
      <c r="L2122" s="16">
        <v>0</v>
      </c>
      <c r="M2122" s="14" t="s">
        <v>2237</v>
      </c>
      <c r="N2122" s="8">
        <v>0</v>
      </c>
      <c r="O2122" s="14" t="s">
        <v>2237</v>
      </c>
      <c r="P2122" s="14" t="s">
        <v>2236</v>
      </c>
      <c r="Q2122" s="17" t="s">
        <v>2236</v>
      </c>
      <c r="R2122" s="17" t="s">
        <v>2236</v>
      </c>
      <c r="S2122" s="17" t="s">
        <v>2236</v>
      </c>
      <c r="T2122" s="17" t="s">
        <v>2236</v>
      </c>
      <c r="U212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3" spans="1:31" hidden="1" x14ac:dyDescent="0.3">
      <c r="A2123" s="14" t="s">
        <v>4068</v>
      </c>
      <c r="B2123" s="14" t="s">
        <v>2371</v>
      </c>
      <c r="C2123" s="14" t="s">
        <v>3693</v>
      </c>
      <c r="D2123" s="14" t="s">
        <v>5286</v>
      </c>
      <c r="E2123" s="14" t="s">
        <v>2236</v>
      </c>
      <c r="F2123" s="8">
        <v>0</v>
      </c>
      <c r="G2123" s="14" t="s">
        <v>2237</v>
      </c>
      <c r="H2123" s="16">
        <v>0</v>
      </c>
      <c r="I2123" s="14" t="s">
        <v>2237</v>
      </c>
      <c r="J2123" s="16">
        <v>0</v>
      </c>
      <c r="K2123" s="14" t="s">
        <v>2237</v>
      </c>
      <c r="L2123" s="16">
        <v>0</v>
      </c>
      <c r="M2123" s="14" t="s">
        <v>2237</v>
      </c>
      <c r="N2123" s="8">
        <v>0</v>
      </c>
      <c r="O2123" s="14" t="s">
        <v>2237</v>
      </c>
      <c r="P2123" s="14" t="s">
        <v>2236</v>
      </c>
      <c r="Q2123" s="17" t="s">
        <v>2236</v>
      </c>
      <c r="R2123" s="17" t="s">
        <v>2236</v>
      </c>
      <c r="S2123" s="17" t="s">
        <v>2236</v>
      </c>
      <c r="T2123" s="17" t="s">
        <v>2236</v>
      </c>
      <c r="U212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4" spans="1:31" hidden="1" x14ac:dyDescent="0.3">
      <c r="A2124" s="14" t="s">
        <v>4070</v>
      </c>
      <c r="B2124" s="14" t="s">
        <v>2371</v>
      </c>
      <c r="C2124" s="14" t="s">
        <v>5287</v>
      </c>
      <c r="D2124" s="14" t="s">
        <v>5288</v>
      </c>
      <c r="E2124" s="14" t="s">
        <v>2236</v>
      </c>
      <c r="F2124" s="8">
        <v>0</v>
      </c>
      <c r="G2124" s="14" t="s">
        <v>2237</v>
      </c>
      <c r="H2124" s="16">
        <v>0</v>
      </c>
      <c r="I2124" s="14" t="s">
        <v>2237</v>
      </c>
      <c r="J2124" s="16">
        <v>0</v>
      </c>
      <c r="K2124" s="14" t="s">
        <v>2237</v>
      </c>
      <c r="L2124" s="16">
        <v>0</v>
      </c>
      <c r="M2124" s="14" t="s">
        <v>2237</v>
      </c>
      <c r="N2124" s="8">
        <v>0</v>
      </c>
      <c r="O2124" s="14" t="s">
        <v>2237</v>
      </c>
      <c r="P2124" s="14" t="s">
        <v>2236</v>
      </c>
      <c r="Q2124" s="17" t="s">
        <v>2236</v>
      </c>
      <c r="R2124" s="17" t="s">
        <v>2236</v>
      </c>
      <c r="S2124" s="17" t="s">
        <v>2236</v>
      </c>
      <c r="T2124" s="17" t="s">
        <v>2236</v>
      </c>
      <c r="U212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5" spans="1:31" hidden="1" x14ac:dyDescent="0.3">
      <c r="A2125" s="14" t="s">
        <v>4072</v>
      </c>
      <c r="B2125" s="14" t="s">
        <v>2371</v>
      </c>
      <c r="C2125" s="14" t="s">
        <v>5289</v>
      </c>
      <c r="D2125" s="14" t="s">
        <v>5290</v>
      </c>
      <c r="E2125" s="14" t="s">
        <v>2236</v>
      </c>
      <c r="F2125" s="8">
        <v>0</v>
      </c>
      <c r="G2125" s="14" t="s">
        <v>2237</v>
      </c>
      <c r="H2125" s="16">
        <v>0</v>
      </c>
      <c r="I2125" s="14" t="s">
        <v>2237</v>
      </c>
      <c r="J2125" s="16">
        <v>0</v>
      </c>
      <c r="K2125" s="14" t="s">
        <v>2237</v>
      </c>
      <c r="L2125" s="16">
        <v>0</v>
      </c>
      <c r="M2125" s="14" t="s">
        <v>2237</v>
      </c>
      <c r="N2125" s="8">
        <v>0</v>
      </c>
      <c r="O2125" s="14" t="s">
        <v>2237</v>
      </c>
      <c r="P2125" s="14" t="s">
        <v>2236</v>
      </c>
      <c r="Q2125" s="17" t="s">
        <v>2236</v>
      </c>
      <c r="R2125" s="17" t="s">
        <v>2236</v>
      </c>
      <c r="S2125" s="17" t="s">
        <v>2236</v>
      </c>
      <c r="T2125" s="17" t="s">
        <v>2236</v>
      </c>
      <c r="U212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6" spans="1:31" hidden="1" x14ac:dyDescent="0.3">
      <c r="A2126" s="14" t="s">
        <v>4074</v>
      </c>
      <c r="B2126" s="14" t="s">
        <v>2371</v>
      </c>
      <c r="C2126" s="14" t="s">
        <v>5291</v>
      </c>
      <c r="D2126" s="14" t="s">
        <v>5292</v>
      </c>
      <c r="E2126" s="14" t="s">
        <v>2236</v>
      </c>
      <c r="F2126" s="8">
        <v>0</v>
      </c>
      <c r="G2126" s="14" t="s">
        <v>2237</v>
      </c>
      <c r="H2126" s="16">
        <v>0</v>
      </c>
      <c r="I2126" s="14" t="s">
        <v>2237</v>
      </c>
      <c r="J2126" s="16">
        <v>0</v>
      </c>
      <c r="K2126" s="14" t="s">
        <v>2237</v>
      </c>
      <c r="L2126" s="16">
        <v>0</v>
      </c>
      <c r="M2126" s="14" t="s">
        <v>2237</v>
      </c>
      <c r="N2126" s="8">
        <v>0</v>
      </c>
      <c r="O2126" s="14" t="s">
        <v>2237</v>
      </c>
      <c r="P2126" s="14" t="s">
        <v>2236</v>
      </c>
      <c r="Q2126" s="17" t="s">
        <v>2236</v>
      </c>
      <c r="R2126" s="17" t="s">
        <v>2236</v>
      </c>
      <c r="S2126" s="17" t="s">
        <v>2236</v>
      </c>
      <c r="T2126" s="17" t="s">
        <v>2236</v>
      </c>
      <c r="U212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7" spans="1:31" hidden="1" x14ac:dyDescent="0.3">
      <c r="A2127" s="14" t="s">
        <v>4076</v>
      </c>
      <c r="B2127" s="14" t="s">
        <v>2371</v>
      </c>
      <c r="C2127" s="14" t="s">
        <v>5293</v>
      </c>
      <c r="D2127" s="14" t="s">
        <v>5294</v>
      </c>
      <c r="E2127" s="14" t="s">
        <v>2236</v>
      </c>
      <c r="F2127" s="8">
        <v>0</v>
      </c>
      <c r="G2127" s="14" t="s">
        <v>2237</v>
      </c>
      <c r="H2127" s="16">
        <v>0</v>
      </c>
      <c r="I2127" s="14" t="s">
        <v>2237</v>
      </c>
      <c r="J2127" s="16">
        <v>0</v>
      </c>
      <c r="K2127" s="14" t="s">
        <v>2237</v>
      </c>
      <c r="L2127" s="16">
        <v>0</v>
      </c>
      <c r="M2127" s="14" t="s">
        <v>2237</v>
      </c>
      <c r="N2127" s="8">
        <v>0</v>
      </c>
      <c r="O2127" s="14" t="s">
        <v>2237</v>
      </c>
      <c r="P2127" s="14" t="s">
        <v>2236</v>
      </c>
      <c r="Q2127" s="17" t="s">
        <v>2236</v>
      </c>
      <c r="R2127" s="17" t="s">
        <v>2236</v>
      </c>
      <c r="S2127" s="17" t="s">
        <v>2236</v>
      </c>
      <c r="T2127" s="17" t="s">
        <v>2236</v>
      </c>
      <c r="U212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8" spans="1:31" hidden="1" x14ac:dyDescent="0.3">
      <c r="A2128" s="14" t="s">
        <v>4078</v>
      </c>
      <c r="B2128" s="14" t="s">
        <v>2371</v>
      </c>
      <c r="C2128" s="14" t="s">
        <v>5295</v>
      </c>
      <c r="D2128" s="14" t="s">
        <v>5296</v>
      </c>
      <c r="E2128" s="14" t="s">
        <v>2236</v>
      </c>
      <c r="F2128" s="8">
        <v>0</v>
      </c>
      <c r="G2128" s="14" t="s">
        <v>2237</v>
      </c>
      <c r="H2128" s="16">
        <v>0</v>
      </c>
      <c r="I2128" s="14" t="s">
        <v>2237</v>
      </c>
      <c r="J2128" s="16">
        <v>0</v>
      </c>
      <c r="K2128" s="14" t="s">
        <v>2237</v>
      </c>
      <c r="L2128" s="16">
        <v>0</v>
      </c>
      <c r="M2128" s="14" t="s">
        <v>2237</v>
      </c>
      <c r="N2128" s="8">
        <v>0</v>
      </c>
      <c r="O2128" s="14" t="s">
        <v>2237</v>
      </c>
      <c r="P2128" s="14" t="s">
        <v>2236</v>
      </c>
      <c r="Q2128" s="17" t="s">
        <v>2236</v>
      </c>
      <c r="R2128" s="17" t="s">
        <v>2236</v>
      </c>
      <c r="S2128" s="17" t="s">
        <v>2236</v>
      </c>
      <c r="T2128" s="17" t="s">
        <v>2236</v>
      </c>
      <c r="U212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29" spans="1:31" hidden="1" x14ac:dyDescent="0.3">
      <c r="A2129" s="14" t="s">
        <v>4080</v>
      </c>
      <c r="B2129" s="14" t="s">
        <v>2371</v>
      </c>
      <c r="C2129" s="14" t="s">
        <v>5297</v>
      </c>
      <c r="D2129" s="14" t="s">
        <v>5298</v>
      </c>
      <c r="E2129" s="14" t="s">
        <v>2236</v>
      </c>
      <c r="F2129" s="8">
        <v>0</v>
      </c>
      <c r="G2129" s="14" t="s">
        <v>2237</v>
      </c>
      <c r="H2129" s="16">
        <v>0</v>
      </c>
      <c r="I2129" s="14" t="s">
        <v>2237</v>
      </c>
      <c r="J2129" s="16">
        <v>0</v>
      </c>
      <c r="K2129" s="14" t="s">
        <v>2237</v>
      </c>
      <c r="L2129" s="16">
        <v>0</v>
      </c>
      <c r="M2129" s="14" t="s">
        <v>2237</v>
      </c>
      <c r="N2129" s="8">
        <v>0</v>
      </c>
      <c r="O2129" s="14" t="s">
        <v>2237</v>
      </c>
      <c r="P2129" s="14" t="s">
        <v>2236</v>
      </c>
      <c r="Q2129" s="17" t="s">
        <v>2236</v>
      </c>
      <c r="R2129" s="17" t="s">
        <v>2236</v>
      </c>
      <c r="S2129" s="17" t="s">
        <v>2236</v>
      </c>
      <c r="T2129" s="17" t="s">
        <v>2236</v>
      </c>
      <c r="U212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2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2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2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2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2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2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2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2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2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2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0" spans="1:31" hidden="1" x14ac:dyDescent="0.3">
      <c r="A2130" s="14" t="s">
        <v>4081</v>
      </c>
      <c r="B2130" s="14" t="s">
        <v>2371</v>
      </c>
      <c r="C2130" s="14" t="s">
        <v>5299</v>
      </c>
      <c r="D2130" s="14" t="s">
        <v>5300</v>
      </c>
      <c r="E2130" s="14" t="s">
        <v>2236</v>
      </c>
      <c r="F2130" s="8">
        <v>0</v>
      </c>
      <c r="G2130" s="14" t="s">
        <v>2237</v>
      </c>
      <c r="H2130" s="16">
        <v>0</v>
      </c>
      <c r="I2130" s="14" t="s">
        <v>2237</v>
      </c>
      <c r="J2130" s="16">
        <v>0</v>
      </c>
      <c r="K2130" s="14" t="s">
        <v>2237</v>
      </c>
      <c r="L2130" s="16">
        <v>0</v>
      </c>
      <c r="M2130" s="14" t="s">
        <v>2237</v>
      </c>
      <c r="N2130" s="8">
        <v>0</v>
      </c>
      <c r="O2130" s="14" t="s">
        <v>2237</v>
      </c>
      <c r="P2130" s="14" t="s">
        <v>2236</v>
      </c>
      <c r="Q2130" s="17" t="s">
        <v>2236</v>
      </c>
      <c r="R2130" s="17" t="s">
        <v>2236</v>
      </c>
      <c r="S2130" s="17" t="s">
        <v>2236</v>
      </c>
      <c r="T2130" s="17" t="s">
        <v>2236</v>
      </c>
      <c r="U213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1" spans="1:31" hidden="1" x14ac:dyDescent="0.3">
      <c r="A2131" s="14" t="s">
        <v>4083</v>
      </c>
      <c r="B2131" s="14" t="s">
        <v>2371</v>
      </c>
      <c r="C2131" s="14" t="s">
        <v>5301</v>
      </c>
      <c r="D2131" s="14" t="s">
        <v>5302</v>
      </c>
      <c r="E2131" s="14" t="s">
        <v>2236</v>
      </c>
      <c r="F2131" s="8">
        <v>0</v>
      </c>
      <c r="G2131" s="14" t="s">
        <v>2237</v>
      </c>
      <c r="H2131" s="16">
        <v>0</v>
      </c>
      <c r="I2131" s="14" t="s">
        <v>2237</v>
      </c>
      <c r="J2131" s="16">
        <v>0</v>
      </c>
      <c r="K2131" s="14" t="s">
        <v>2237</v>
      </c>
      <c r="L2131" s="16">
        <v>0</v>
      </c>
      <c r="M2131" s="14" t="s">
        <v>2237</v>
      </c>
      <c r="N2131" s="8">
        <v>0</v>
      </c>
      <c r="O2131" s="14" t="s">
        <v>2237</v>
      </c>
      <c r="P2131" s="14" t="s">
        <v>2236</v>
      </c>
      <c r="Q2131" s="17" t="s">
        <v>2236</v>
      </c>
      <c r="R2131" s="17" t="s">
        <v>2236</v>
      </c>
      <c r="S2131" s="17" t="s">
        <v>2236</v>
      </c>
      <c r="T2131" s="17" t="s">
        <v>2236</v>
      </c>
      <c r="U213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2" spans="1:31" hidden="1" x14ac:dyDescent="0.3">
      <c r="A2132" s="14" t="s">
        <v>4085</v>
      </c>
      <c r="B2132" s="14" t="s">
        <v>2371</v>
      </c>
      <c r="C2132" s="14" t="s">
        <v>5303</v>
      </c>
      <c r="D2132" s="14" t="s">
        <v>5304</v>
      </c>
      <c r="E2132" s="14" t="s">
        <v>2236</v>
      </c>
      <c r="F2132" s="8">
        <v>0</v>
      </c>
      <c r="G2132" s="14" t="s">
        <v>2237</v>
      </c>
      <c r="H2132" s="16">
        <v>0</v>
      </c>
      <c r="I2132" s="14" t="s">
        <v>2237</v>
      </c>
      <c r="J2132" s="16">
        <v>0</v>
      </c>
      <c r="K2132" s="14" t="s">
        <v>2237</v>
      </c>
      <c r="L2132" s="16">
        <v>0</v>
      </c>
      <c r="M2132" s="14" t="s">
        <v>2237</v>
      </c>
      <c r="N2132" s="8">
        <v>0</v>
      </c>
      <c r="O2132" s="14" t="s">
        <v>2237</v>
      </c>
      <c r="P2132" s="14" t="s">
        <v>2236</v>
      </c>
      <c r="Q2132" s="17" t="s">
        <v>2236</v>
      </c>
      <c r="R2132" s="17" t="s">
        <v>2236</v>
      </c>
      <c r="S2132" s="17" t="s">
        <v>2236</v>
      </c>
      <c r="T2132" s="17" t="s">
        <v>2236</v>
      </c>
      <c r="U213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3" spans="1:31" hidden="1" x14ac:dyDescent="0.3">
      <c r="A2133" s="14" t="s">
        <v>4087</v>
      </c>
      <c r="B2133" s="14" t="s">
        <v>2371</v>
      </c>
      <c r="C2133" s="14" t="s">
        <v>5305</v>
      </c>
      <c r="D2133" s="14" t="s">
        <v>5306</v>
      </c>
      <c r="E2133" s="14" t="s">
        <v>2236</v>
      </c>
      <c r="F2133" s="8">
        <v>0</v>
      </c>
      <c r="G2133" s="14" t="s">
        <v>2237</v>
      </c>
      <c r="H2133" s="16">
        <v>0</v>
      </c>
      <c r="I2133" s="14" t="s">
        <v>2237</v>
      </c>
      <c r="J2133" s="16">
        <v>0</v>
      </c>
      <c r="K2133" s="14" t="s">
        <v>2237</v>
      </c>
      <c r="L2133" s="16">
        <v>0</v>
      </c>
      <c r="M2133" s="14" t="s">
        <v>2237</v>
      </c>
      <c r="N2133" s="8">
        <v>0</v>
      </c>
      <c r="O2133" s="14" t="s">
        <v>2237</v>
      </c>
      <c r="P2133" s="14" t="s">
        <v>2236</v>
      </c>
      <c r="Q2133" s="17" t="s">
        <v>2236</v>
      </c>
      <c r="R2133" s="17" t="s">
        <v>2236</v>
      </c>
      <c r="S2133" s="17" t="s">
        <v>2236</v>
      </c>
      <c r="T2133" s="17" t="s">
        <v>2236</v>
      </c>
      <c r="U213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4" spans="1:31" hidden="1" x14ac:dyDescent="0.3">
      <c r="A2134" s="14" t="s">
        <v>4089</v>
      </c>
      <c r="B2134" s="14" t="s">
        <v>2371</v>
      </c>
      <c r="C2134" s="14" t="s">
        <v>5307</v>
      </c>
      <c r="D2134" s="14" t="s">
        <v>5308</v>
      </c>
      <c r="E2134" s="14" t="s">
        <v>2236</v>
      </c>
      <c r="F2134" s="8">
        <v>0</v>
      </c>
      <c r="G2134" s="14" t="s">
        <v>2237</v>
      </c>
      <c r="H2134" s="16">
        <v>0</v>
      </c>
      <c r="I2134" s="14" t="s">
        <v>2237</v>
      </c>
      <c r="J2134" s="16">
        <v>0</v>
      </c>
      <c r="K2134" s="14" t="s">
        <v>2237</v>
      </c>
      <c r="L2134" s="16">
        <v>0</v>
      </c>
      <c r="M2134" s="14" t="s">
        <v>2237</v>
      </c>
      <c r="N2134" s="8">
        <v>0</v>
      </c>
      <c r="O2134" s="14" t="s">
        <v>2237</v>
      </c>
      <c r="P2134" s="14" t="s">
        <v>2236</v>
      </c>
      <c r="Q2134" s="17" t="s">
        <v>2236</v>
      </c>
      <c r="R2134" s="17" t="s">
        <v>2236</v>
      </c>
      <c r="S2134" s="17" t="s">
        <v>2236</v>
      </c>
      <c r="T2134" s="17" t="s">
        <v>2236</v>
      </c>
      <c r="U213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5" spans="1:31" hidden="1" x14ac:dyDescent="0.3">
      <c r="A2135" s="14" t="s">
        <v>4090</v>
      </c>
      <c r="B2135" s="14" t="s">
        <v>2371</v>
      </c>
      <c r="C2135" s="14" t="s">
        <v>5309</v>
      </c>
      <c r="D2135" s="14" t="s">
        <v>5310</v>
      </c>
      <c r="E2135" s="14" t="s">
        <v>2236</v>
      </c>
      <c r="F2135" s="8">
        <v>0</v>
      </c>
      <c r="G2135" s="14" t="s">
        <v>2237</v>
      </c>
      <c r="H2135" s="16">
        <v>0</v>
      </c>
      <c r="I2135" s="14" t="s">
        <v>2237</v>
      </c>
      <c r="J2135" s="16">
        <v>0</v>
      </c>
      <c r="K2135" s="14" t="s">
        <v>2237</v>
      </c>
      <c r="L2135" s="16">
        <v>0</v>
      </c>
      <c r="M2135" s="14" t="s">
        <v>2237</v>
      </c>
      <c r="N2135" s="8">
        <v>0</v>
      </c>
      <c r="O2135" s="14" t="s">
        <v>2237</v>
      </c>
      <c r="P2135" s="14" t="s">
        <v>2236</v>
      </c>
      <c r="Q2135" s="17" t="s">
        <v>2236</v>
      </c>
      <c r="R2135" s="17" t="s">
        <v>2236</v>
      </c>
      <c r="S2135" s="17" t="s">
        <v>2236</v>
      </c>
      <c r="T2135" s="17" t="s">
        <v>2236</v>
      </c>
      <c r="U213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6" spans="1:31" hidden="1" x14ac:dyDescent="0.3">
      <c r="A2136" s="14" t="s">
        <v>4092</v>
      </c>
      <c r="B2136" s="14" t="s">
        <v>2371</v>
      </c>
      <c r="C2136" s="14" t="s">
        <v>5311</v>
      </c>
      <c r="D2136" s="14" t="s">
        <v>5312</v>
      </c>
      <c r="E2136" s="14" t="s">
        <v>2236</v>
      </c>
      <c r="F2136" s="8">
        <v>0</v>
      </c>
      <c r="G2136" s="14" t="s">
        <v>2237</v>
      </c>
      <c r="H2136" s="16">
        <v>0</v>
      </c>
      <c r="I2136" s="14" t="s">
        <v>2237</v>
      </c>
      <c r="J2136" s="16">
        <v>0</v>
      </c>
      <c r="K2136" s="14" t="s">
        <v>2237</v>
      </c>
      <c r="L2136" s="16">
        <v>0</v>
      </c>
      <c r="M2136" s="14" t="s">
        <v>2237</v>
      </c>
      <c r="N2136" s="8">
        <v>0</v>
      </c>
      <c r="O2136" s="14" t="s">
        <v>2237</v>
      </c>
      <c r="P2136" s="14" t="s">
        <v>2236</v>
      </c>
      <c r="Q2136" s="17" t="s">
        <v>2236</v>
      </c>
      <c r="R2136" s="17" t="s">
        <v>2236</v>
      </c>
      <c r="S2136" s="17" t="s">
        <v>2236</v>
      </c>
      <c r="T2136" s="17" t="s">
        <v>2236</v>
      </c>
      <c r="U213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7" spans="1:31" hidden="1" x14ac:dyDescent="0.3">
      <c r="A2137" s="14" t="s">
        <v>4094</v>
      </c>
      <c r="B2137" s="14" t="s">
        <v>2371</v>
      </c>
      <c r="C2137" s="14" t="s">
        <v>5313</v>
      </c>
      <c r="D2137" s="14" t="s">
        <v>5314</v>
      </c>
      <c r="E2137" s="14" t="s">
        <v>2236</v>
      </c>
      <c r="F2137" s="8">
        <v>0</v>
      </c>
      <c r="G2137" s="14" t="s">
        <v>2237</v>
      </c>
      <c r="H2137" s="16">
        <v>0</v>
      </c>
      <c r="I2137" s="14" t="s">
        <v>2237</v>
      </c>
      <c r="J2137" s="16">
        <v>0</v>
      </c>
      <c r="K2137" s="14" t="s">
        <v>2237</v>
      </c>
      <c r="L2137" s="16">
        <v>0</v>
      </c>
      <c r="M2137" s="14" t="s">
        <v>2237</v>
      </c>
      <c r="N2137" s="8">
        <v>0</v>
      </c>
      <c r="O2137" s="14" t="s">
        <v>2237</v>
      </c>
      <c r="P2137" s="14" t="s">
        <v>2236</v>
      </c>
      <c r="Q2137" s="17" t="s">
        <v>2236</v>
      </c>
      <c r="R2137" s="17" t="s">
        <v>2236</v>
      </c>
      <c r="S2137" s="17" t="s">
        <v>2236</v>
      </c>
      <c r="T2137" s="17" t="s">
        <v>2236</v>
      </c>
      <c r="U213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8" spans="1:31" hidden="1" x14ac:dyDescent="0.3">
      <c r="A2138" s="14" t="s">
        <v>4095</v>
      </c>
      <c r="B2138" s="14" t="s">
        <v>2371</v>
      </c>
      <c r="C2138" s="14" t="s">
        <v>5315</v>
      </c>
      <c r="D2138" s="14" t="s">
        <v>5316</v>
      </c>
      <c r="E2138" s="14" t="s">
        <v>2236</v>
      </c>
      <c r="F2138" s="8">
        <v>0</v>
      </c>
      <c r="G2138" s="14" t="s">
        <v>2237</v>
      </c>
      <c r="H2138" s="16">
        <v>0</v>
      </c>
      <c r="I2138" s="14" t="s">
        <v>2237</v>
      </c>
      <c r="J2138" s="16">
        <v>0</v>
      </c>
      <c r="K2138" s="14" t="s">
        <v>2237</v>
      </c>
      <c r="L2138" s="16">
        <v>0</v>
      </c>
      <c r="M2138" s="14" t="s">
        <v>2237</v>
      </c>
      <c r="N2138" s="8">
        <v>0</v>
      </c>
      <c r="O2138" s="14" t="s">
        <v>2237</v>
      </c>
      <c r="P2138" s="14" t="s">
        <v>2236</v>
      </c>
      <c r="Q2138" s="17" t="s">
        <v>2236</v>
      </c>
      <c r="R2138" s="17" t="s">
        <v>2236</v>
      </c>
      <c r="S2138" s="17" t="s">
        <v>2236</v>
      </c>
      <c r="T2138" s="17" t="s">
        <v>2236</v>
      </c>
      <c r="U213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39" spans="1:31" hidden="1" x14ac:dyDescent="0.3">
      <c r="A2139" s="14" t="s">
        <v>4097</v>
      </c>
      <c r="B2139" s="14" t="s">
        <v>2366</v>
      </c>
      <c r="C2139" s="14" t="s">
        <v>5317</v>
      </c>
      <c r="D2139" s="14" t="s">
        <v>5318</v>
      </c>
      <c r="E2139" s="14" t="s">
        <v>2236</v>
      </c>
      <c r="F2139" s="8">
        <v>0</v>
      </c>
      <c r="G2139" s="14" t="s">
        <v>2237</v>
      </c>
      <c r="H2139" s="16">
        <v>0</v>
      </c>
      <c r="I2139" s="14" t="s">
        <v>2237</v>
      </c>
      <c r="J2139" s="16">
        <v>0</v>
      </c>
      <c r="K2139" s="14" t="s">
        <v>2237</v>
      </c>
      <c r="L2139" s="16">
        <v>0</v>
      </c>
      <c r="M2139" s="14" t="s">
        <v>2237</v>
      </c>
      <c r="N2139" s="8">
        <v>242.79</v>
      </c>
      <c r="O2139" s="14" t="s">
        <v>2237</v>
      </c>
      <c r="P2139" s="14" t="s">
        <v>2236</v>
      </c>
      <c r="Q2139" s="17" t="s">
        <v>2236</v>
      </c>
      <c r="R2139" s="17" t="s">
        <v>2236</v>
      </c>
      <c r="S2139" s="17" t="s">
        <v>2236</v>
      </c>
      <c r="T2139" s="17" t="s">
        <v>2866</v>
      </c>
      <c r="U213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3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3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3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3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3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3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3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3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3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3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0" spans="1:31" hidden="1" x14ac:dyDescent="0.3">
      <c r="A2140" s="14" t="s">
        <v>4099</v>
      </c>
      <c r="B2140" s="14" t="s">
        <v>2371</v>
      </c>
      <c r="C2140" s="14" t="s">
        <v>5319</v>
      </c>
      <c r="D2140" s="14" t="s">
        <v>5320</v>
      </c>
      <c r="E2140" s="14" t="s">
        <v>2236</v>
      </c>
      <c r="F2140" s="8">
        <v>0</v>
      </c>
      <c r="G2140" s="14" t="s">
        <v>2237</v>
      </c>
      <c r="H2140" s="16">
        <v>0</v>
      </c>
      <c r="I2140" s="14" t="s">
        <v>2237</v>
      </c>
      <c r="J2140" s="16">
        <v>0</v>
      </c>
      <c r="K2140" s="14" t="s">
        <v>2237</v>
      </c>
      <c r="L2140" s="16">
        <v>0</v>
      </c>
      <c r="M2140" s="14" t="s">
        <v>2237</v>
      </c>
      <c r="N2140" s="8">
        <v>0</v>
      </c>
      <c r="O2140" s="14" t="s">
        <v>2237</v>
      </c>
      <c r="P2140" s="14" t="s">
        <v>2236</v>
      </c>
      <c r="Q2140" s="17" t="s">
        <v>2236</v>
      </c>
      <c r="R2140" s="17" t="s">
        <v>2236</v>
      </c>
      <c r="S2140" s="17" t="s">
        <v>2236</v>
      </c>
      <c r="T2140" s="17" t="s">
        <v>2236</v>
      </c>
      <c r="U214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1" spans="1:31" hidden="1" x14ac:dyDescent="0.3">
      <c r="A2141" s="14" t="s">
        <v>4101</v>
      </c>
      <c r="B2141" s="14" t="s">
        <v>2371</v>
      </c>
      <c r="C2141" s="14" t="s">
        <v>3100</v>
      </c>
      <c r="D2141" s="14" t="s">
        <v>5321</v>
      </c>
      <c r="E2141" s="14" t="s">
        <v>2236</v>
      </c>
      <c r="F2141" s="8">
        <v>0</v>
      </c>
      <c r="G2141" s="14" t="s">
        <v>2237</v>
      </c>
      <c r="H2141" s="16">
        <v>0</v>
      </c>
      <c r="I2141" s="14" t="s">
        <v>2237</v>
      </c>
      <c r="J2141" s="16">
        <v>0</v>
      </c>
      <c r="K2141" s="14" t="s">
        <v>2237</v>
      </c>
      <c r="L2141" s="16">
        <v>0</v>
      </c>
      <c r="M2141" s="14" t="s">
        <v>2237</v>
      </c>
      <c r="N2141" s="8">
        <v>0</v>
      </c>
      <c r="O2141" s="14" t="s">
        <v>2237</v>
      </c>
      <c r="P2141" s="14" t="s">
        <v>2236</v>
      </c>
      <c r="Q2141" s="17" t="s">
        <v>2236</v>
      </c>
      <c r="R2141" s="17" t="s">
        <v>2236</v>
      </c>
      <c r="S2141" s="17" t="s">
        <v>2236</v>
      </c>
      <c r="T2141" s="17" t="s">
        <v>2236</v>
      </c>
      <c r="U214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2" spans="1:31" hidden="1" x14ac:dyDescent="0.3">
      <c r="A2142" s="14" t="s">
        <v>4103</v>
      </c>
      <c r="B2142" s="14" t="s">
        <v>2371</v>
      </c>
      <c r="C2142" s="14" t="s">
        <v>5322</v>
      </c>
      <c r="D2142" s="14" t="s">
        <v>5323</v>
      </c>
      <c r="E2142" s="14" t="s">
        <v>2236</v>
      </c>
      <c r="F2142" s="8">
        <v>0</v>
      </c>
      <c r="G2142" s="14" t="s">
        <v>2237</v>
      </c>
      <c r="H2142" s="16">
        <v>0</v>
      </c>
      <c r="I2142" s="14" t="s">
        <v>2237</v>
      </c>
      <c r="J2142" s="16">
        <v>0</v>
      </c>
      <c r="K2142" s="14" t="s">
        <v>2237</v>
      </c>
      <c r="L2142" s="16">
        <v>0</v>
      </c>
      <c r="M2142" s="14" t="s">
        <v>2237</v>
      </c>
      <c r="N2142" s="8">
        <v>0</v>
      </c>
      <c r="O2142" s="14" t="s">
        <v>2237</v>
      </c>
      <c r="P2142" s="14" t="s">
        <v>2236</v>
      </c>
      <c r="Q2142" s="17" t="s">
        <v>2236</v>
      </c>
      <c r="R2142" s="17" t="s">
        <v>2236</v>
      </c>
      <c r="S2142" s="17" t="s">
        <v>2236</v>
      </c>
      <c r="T2142" s="17" t="s">
        <v>2236</v>
      </c>
      <c r="U214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3" spans="1:31" hidden="1" x14ac:dyDescent="0.3">
      <c r="A2143" s="14" t="s">
        <v>4104</v>
      </c>
      <c r="B2143" s="14" t="s">
        <v>2371</v>
      </c>
      <c r="C2143" s="14" t="s">
        <v>5324</v>
      </c>
      <c r="D2143" s="14" t="s">
        <v>5325</v>
      </c>
      <c r="E2143" s="14" t="s">
        <v>2236</v>
      </c>
      <c r="F2143" s="8">
        <v>0</v>
      </c>
      <c r="G2143" s="14" t="s">
        <v>2237</v>
      </c>
      <c r="H2143" s="16">
        <v>0</v>
      </c>
      <c r="I2143" s="14" t="s">
        <v>2237</v>
      </c>
      <c r="J2143" s="16">
        <v>0</v>
      </c>
      <c r="K2143" s="14" t="s">
        <v>2237</v>
      </c>
      <c r="L2143" s="16">
        <v>0</v>
      </c>
      <c r="M2143" s="14" t="s">
        <v>2237</v>
      </c>
      <c r="N2143" s="8">
        <v>0</v>
      </c>
      <c r="O2143" s="14" t="s">
        <v>2237</v>
      </c>
      <c r="P2143" s="14" t="s">
        <v>2236</v>
      </c>
      <c r="Q2143" s="17" t="s">
        <v>2236</v>
      </c>
      <c r="R2143" s="17" t="s">
        <v>2236</v>
      </c>
      <c r="S2143" s="17" t="s">
        <v>2236</v>
      </c>
      <c r="T2143" s="17" t="s">
        <v>2236</v>
      </c>
      <c r="U214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4" spans="1:31" hidden="1" x14ac:dyDescent="0.3">
      <c r="A2144" s="14" t="s">
        <v>4106</v>
      </c>
      <c r="B2144" s="14" t="s">
        <v>2371</v>
      </c>
      <c r="C2144" s="14" t="s">
        <v>5326</v>
      </c>
      <c r="D2144" s="14" t="s">
        <v>5327</v>
      </c>
      <c r="E2144" s="14" t="s">
        <v>2236</v>
      </c>
      <c r="F2144" s="8">
        <v>0</v>
      </c>
      <c r="G2144" s="14" t="s">
        <v>2237</v>
      </c>
      <c r="H2144" s="16">
        <v>0</v>
      </c>
      <c r="I2144" s="14" t="s">
        <v>2237</v>
      </c>
      <c r="J2144" s="16">
        <v>0</v>
      </c>
      <c r="K2144" s="14" t="s">
        <v>2237</v>
      </c>
      <c r="L2144" s="16">
        <v>0</v>
      </c>
      <c r="M2144" s="14" t="s">
        <v>2237</v>
      </c>
      <c r="N2144" s="8">
        <v>0</v>
      </c>
      <c r="O2144" s="14" t="s">
        <v>2237</v>
      </c>
      <c r="P2144" s="14" t="s">
        <v>2236</v>
      </c>
      <c r="Q2144" s="17" t="s">
        <v>2236</v>
      </c>
      <c r="R2144" s="17" t="s">
        <v>2236</v>
      </c>
      <c r="S2144" s="17" t="s">
        <v>2236</v>
      </c>
      <c r="T2144" s="17" t="s">
        <v>2236</v>
      </c>
      <c r="U214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5" spans="1:31" hidden="1" x14ac:dyDescent="0.3">
      <c r="A2145" s="14" t="s">
        <v>4108</v>
      </c>
      <c r="B2145" s="14" t="s">
        <v>2371</v>
      </c>
      <c r="C2145" s="14" t="s">
        <v>5328</v>
      </c>
      <c r="D2145" s="14" t="s">
        <v>5329</v>
      </c>
      <c r="E2145" s="14" t="s">
        <v>2236</v>
      </c>
      <c r="F2145" s="8">
        <v>0</v>
      </c>
      <c r="G2145" s="14" t="s">
        <v>2237</v>
      </c>
      <c r="H2145" s="16">
        <v>0</v>
      </c>
      <c r="I2145" s="14" t="s">
        <v>2237</v>
      </c>
      <c r="J2145" s="16">
        <v>0</v>
      </c>
      <c r="K2145" s="14" t="s">
        <v>2237</v>
      </c>
      <c r="L2145" s="16">
        <v>0</v>
      </c>
      <c r="M2145" s="14" t="s">
        <v>2237</v>
      </c>
      <c r="N2145" s="8">
        <v>0</v>
      </c>
      <c r="O2145" s="14" t="s">
        <v>2237</v>
      </c>
      <c r="P2145" s="14" t="s">
        <v>2236</v>
      </c>
      <c r="Q2145" s="17" t="s">
        <v>2236</v>
      </c>
      <c r="R2145" s="17" t="s">
        <v>2236</v>
      </c>
      <c r="S2145" s="17" t="s">
        <v>2236</v>
      </c>
      <c r="T2145" s="17" t="s">
        <v>2236</v>
      </c>
      <c r="U214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6" spans="1:31" hidden="1" x14ac:dyDescent="0.3">
      <c r="A2146" s="14" t="s">
        <v>4109</v>
      </c>
      <c r="B2146" s="14" t="s">
        <v>2371</v>
      </c>
      <c r="C2146" s="14" t="s">
        <v>5330</v>
      </c>
      <c r="D2146" s="14" t="s">
        <v>5331</v>
      </c>
      <c r="E2146" s="14" t="s">
        <v>2236</v>
      </c>
      <c r="F2146" s="8">
        <v>0</v>
      </c>
      <c r="G2146" s="14" t="s">
        <v>2237</v>
      </c>
      <c r="H2146" s="16">
        <v>0</v>
      </c>
      <c r="I2146" s="14" t="s">
        <v>2237</v>
      </c>
      <c r="J2146" s="16">
        <v>0</v>
      </c>
      <c r="K2146" s="14" t="s">
        <v>2237</v>
      </c>
      <c r="L2146" s="16">
        <v>0</v>
      </c>
      <c r="M2146" s="14" t="s">
        <v>2237</v>
      </c>
      <c r="N2146" s="8">
        <v>0</v>
      </c>
      <c r="O2146" s="14" t="s">
        <v>2237</v>
      </c>
      <c r="P2146" s="14" t="s">
        <v>2236</v>
      </c>
      <c r="Q2146" s="17" t="s">
        <v>2236</v>
      </c>
      <c r="R2146" s="17" t="s">
        <v>2236</v>
      </c>
      <c r="S2146" s="17" t="s">
        <v>2236</v>
      </c>
      <c r="T2146" s="17" t="s">
        <v>2236</v>
      </c>
      <c r="U214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7" spans="1:31" hidden="1" x14ac:dyDescent="0.3">
      <c r="A2147" s="14" t="s">
        <v>4111</v>
      </c>
      <c r="B2147" s="14" t="s">
        <v>2371</v>
      </c>
      <c r="C2147" s="14" t="s">
        <v>5332</v>
      </c>
      <c r="D2147" s="14" t="s">
        <v>5333</v>
      </c>
      <c r="E2147" s="14" t="s">
        <v>2236</v>
      </c>
      <c r="F2147" s="8">
        <v>0</v>
      </c>
      <c r="G2147" s="14" t="s">
        <v>2237</v>
      </c>
      <c r="H2147" s="16">
        <v>0</v>
      </c>
      <c r="I2147" s="14" t="s">
        <v>2237</v>
      </c>
      <c r="J2147" s="16">
        <v>0</v>
      </c>
      <c r="K2147" s="14" t="s">
        <v>2237</v>
      </c>
      <c r="L2147" s="16">
        <v>0</v>
      </c>
      <c r="M2147" s="14" t="s">
        <v>2237</v>
      </c>
      <c r="N2147" s="8">
        <v>0</v>
      </c>
      <c r="O2147" s="14" t="s">
        <v>2237</v>
      </c>
      <c r="P2147" s="14" t="s">
        <v>2236</v>
      </c>
      <c r="Q2147" s="17" t="s">
        <v>2236</v>
      </c>
      <c r="R2147" s="17" t="s">
        <v>2236</v>
      </c>
      <c r="S2147" s="17" t="s">
        <v>2236</v>
      </c>
      <c r="T2147" s="17" t="s">
        <v>2236</v>
      </c>
      <c r="U214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8" spans="1:31" hidden="1" x14ac:dyDescent="0.3">
      <c r="A2148" s="14" t="s">
        <v>4113</v>
      </c>
      <c r="B2148" s="14" t="s">
        <v>2371</v>
      </c>
      <c r="C2148" s="14" t="s">
        <v>5334</v>
      </c>
      <c r="D2148" s="14" t="s">
        <v>5335</v>
      </c>
      <c r="E2148" s="14" t="s">
        <v>2236</v>
      </c>
      <c r="F2148" s="8">
        <v>0</v>
      </c>
      <c r="G2148" s="14" t="s">
        <v>2237</v>
      </c>
      <c r="H2148" s="16">
        <v>0</v>
      </c>
      <c r="I2148" s="14" t="s">
        <v>2237</v>
      </c>
      <c r="J2148" s="16">
        <v>0</v>
      </c>
      <c r="K2148" s="14" t="s">
        <v>2237</v>
      </c>
      <c r="L2148" s="16">
        <v>0</v>
      </c>
      <c r="M2148" s="14" t="s">
        <v>2237</v>
      </c>
      <c r="N2148" s="8">
        <v>0</v>
      </c>
      <c r="O2148" s="14" t="s">
        <v>2237</v>
      </c>
      <c r="P2148" s="14" t="s">
        <v>2236</v>
      </c>
      <c r="Q2148" s="17" t="s">
        <v>2236</v>
      </c>
      <c r="R2148" s="17" t="s">
        <v>2236</v>
      </c>
      <c r="S2148" s="17" t="s">
        <v>2236</v>
      </c>
      <c r="T2148" s="17" t="s">
        <v>2236</v>
      </c>
      <c r="U214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49" spans="1:31" hidden="1" x14ac:dyDescent="0.3">
      <c r="A2149" s="14" t="s">
        <v>4115</v>
      </c>
      <c r="B2149" s="14" t="s">
        <v>2371</v>
      </c>
      <c r="C2149" s="14" t="s">
        <v>3176</v>
      </c>
      <c r="D2149" s="14" t="s">
        <v>5336</v>
      </c>
      <c r="E2149" s="14" t="s">
        <v>2236</v>
      </c>
      <c r="F2149" s="8">
        <v>0</v>
      </c>
      <c r="G2149" s="14" t="s">
        <v>2237</v>
      </c>
      <c r="H2149" s="16">
        <v>0</v>
      </c>
      <c r="I2149" s="14" t="s">
        <v>2237</v>
      </c>
      <c r="J2149" s="16">
        <v>0</v>
      </c>
      <c r="K2149" s="14" t="s">
        <v>2237</v>
      </c>
      <c r="L2149" s="16">
        <v>0</v>
      </c>
      <c r="M2149" s="14" t="s">
        <v>2237</v>
      </c>
      <c r="N2149" s="8">
        <v>0</v>
      </c>
      <c r="O2149" s="14" t="s">
        <v>2237</v>
      </c>
      <c r="P2149" s="14" t="s">
        <v>2236</v>
      </c>
      <c r="Q2149" s="17" t="s">
        <v>2236</v>
      </c>
      <c r="R2149" s="17" t="s">
        <v>2236</v>
      </c>
      <c r="S2149" s="17" t="s">
        <v>2236</v>
      </c>
      <c r="T2149" s="17" t="s">
        <v>2236</v>
      </c>
      <c r="U214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4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4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4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4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4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4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4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4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0" spans="1:31" hidden="1" x14ac:dyDescent="0.3">
      <c r="A2150" s="14" t="s">
        <v>4117</v>
      </c>
      <c r="B2150" s="14" t="s">
        <v>2371</v>
      </c>
      <c r="C2150" s="14" t="s">
        <v>5337</v>
      </c>
      <c r="D2150" s="14" t="s">
        <v>5338</v>
      </c>
      <c r="E2150" s="14" t="s">
        <v>2236</v>
      </c>
      <c r="F2150" s="8">
        <v>0</v>
      </c>
      <c r="G2150" s="14" t="s">
        <v>2237</v>
      </c>
      <c r="H2150" s="16">
        <v>0</v>
      </c>
      <c r="I2150" s="14" t="s">
        <v>2237</v>
      </c>
      <c r="J2150" s="16">
        <v>0</v>
      </c>
      <c r="K2150" s="14" t="s">
        <v>2237</v>
      </c>
      <c r="L2150" s="16">
        <v>0</v>
      </c>
      <c r="M2150" s="14" t="s">
        <v>2237</v>
      </c>
      <c r="N2150" s="8">
        <v>0</v>
      </c>
      <c r="O2150" s="14" t="s">
        <v>2237</v>
      </c>
      <c r="P2150" s="14" t="s">
        <v>2236</v>
      </c>
      <c r="Q2150" s="17" t="s">
        <v>2236</v>
      </c>
      <c r="R2150" s="17" t="s">
        <v>2236</v>
      </c>
      <c r="S2150" s="17" t="s">
        <v>2236</v>
      </c>
      <c r="T2150" s="17" t="s">
        <v>2236</v>
      </c>
      <c r="U215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1" spans="1:31" hidden="1" x14ac:dyDescent="0.3">
      <c r="A2151" s="14" t="s">
        <v>4118</v>
      </c>
      <c r="B2151" s="14" t="s">
        <v>2371</v>
      </c>
      <c r="C2151" s="14" t="s">
        <v>5339</v>
      </c>
      <c r="D2151" s="14" t="s">
        <v>5340</v>
      </c>
      <c r="E2151" s="14" t="s">
        <v>2236</v>
      </c>
      <c r="F2151" s="8">
        <v>0</v>
      </c>
      <c r="G2151" s="14" t="s">
        <v>2237</v>
      </c>
      <c r="H2151" s="16">
        <v>0</v>
      </c>
      <c r="I2151" s="14" t="s">
        <v>2237</v>
      </c>
      <c r="J2151" s="16">
        <v>0</v>
      </c>
      <c r="K2151" s="14" t="s">
        <v>2237</v>
      </c>
      <c r="L2151" s="16">
        <v>0</v>
      </c>
      <c r="M2151" s="14" t="s">
        <v>2237</v>
      </c>
      <c r="N2151" s="8">
        <v>0</v>
      </c>
      <c r="O2151" s="14" t="s">
        <v>2237</v>
      </c>
      <c r="P2151" s="14" t="s">
        <v>2236</v>
      </c>
      <c r="Q2151" s="17" t="s">
        <v>2236</v>
      </c>
      <c r="R2151" s="17" t="s">
        <v>2236</v>
      </c>
      <c r="S2151" s="17" t="s">
        <v>2236</v>
      </c>
      <c r="T2151" s="17" t="s">
        <v>2236</v>
      </c>
      <c r="U215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2" spans="1:31" hidden="1" x14ac:dyDescent="0.3">
      <c r="A2152" s="14" t="s">
        <v>4120</v>
      </c>
      <c r="B2152" s="14" t="s">
        <v>2371</v>
      </c>
      <c r="C2152" s="14" t="s">
        <v>5341</v>
      </c>
      <c r="D2152" s="14" t="s">
        <v>5342</v>
      </c>
      <c r="E2152" s="14" t="s">
        <v>2236</v>
      </c>
      <c r="F2152" s="8">
        <v>0</v>
      </c>
      <c r="G2152" s="14" t="s">
        <v>2237</v>
      </c>
      <c r="H2152" s="16">
        <v>0</v>
      </c>
      <c r="I2152" s="14" t="s">
        <v>2237</v>
      </c>
      <c r="J2152" s="16">
        <v>0</v>
      </c>
      <c r="K2152" s="14" t="s">
        <v>2237</v>
      </c>
      <c r="L2152" s="16">
        <v>0</v>
      </c>
      <c r="M2152" s="14" t="s">
        <v>2237</v>
      </c>
      <c r="N2152" s="8">
        <v>0</v>
      </c>
      <c r="O2152" s="14" t="s">
        <v>2237</v>
      </c>
      <c r="P2152" s="14" t="s">
        <v>2236</v>
      </c>
      <c r="Q2152" s="17" t="s">
        <v>2236</v>
      </c>
      <c r="R2152" s="17" t="s">
        <v>2236</v>
      </c>
      <c r="S2152" s="17" t="s">
        <v>2236</v>
      </c>
      <c r="T2152" s="17" t="s">
        <v>2236</v>
      </c>
      <c r="U215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3" spans="1:31" hidden="1" x14ac:dyDescent="0.3">
      <c r="A2153" s="14" t="s">
        <v>4121</v>
      </c>
      <c r="B2153" s="14" t="s">
        <v>2371</v>
      </c>
      <c r="C2153" s="14" t="s">
        <v>3164</v>
      </c>
      <c r="D2153" s="14" t="s">
        <v>5343</v>
      </c>
      <c r="E2153" s="14" t="s">
        <v>2236</v>
      </c>
      <c r="F2153" s="8">
        <v>0</v>
      </c>
      <c r="G2153" s="14" t="s">
        <v>2237</v>
      </c>
      <c r="H2153" s="16">
        <v>0</v>
      </c>
      <c r="I2153" s="14" t="s">
        <v>2237</v>
      </c>
      <c r="J2153" s="16">
        <v>0</v>
      </c>
      <c r="K2153" s="14" t="s">
        <v>2237</v>
      </c>
      <c r="L2153" s="16">
        <v>0</v>
      </c>
      <c r="M2153" s="14" t="s">
        <v>2237</v>
      </c>
      <c r="N2153" s="8">
        <v>0</v>
      </c>
      <c r="O2153" s="14" t="s">
        <v>2237</v>
      </c>
      <c r="P2153" s="14" t="s">
        <v>2236</v>
      </c>
      <c r="Q2153" s="17" t="s">
        <v>2236</v>
      </c>
      <c r="R2153" s="17" t="s">
        <v>2236</v>
      </c>
      <c r="S2153" s="17" t="s">
        <v>2236</v>
      </c>
      <c r="T2153" s="17" t="s">
        <v>2236</v>
      </c>
      <c r="U215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4" spans="1:31" hidden="1" x14ac:dyDescent="0.3">
      <c r="A2154" s="14" t="s">
        <v>4123</v>
      </c>
      <c r="B2154" s="14" t="s">
        <v>2371</v>
      </c>
      <c r="C2154" s="14" t="s">
        <v>5344</v>
      </c>
      <c r="D2154" s="14" t="s">
        <v>5345</v>
      </c>
      <c r="E2154" s="14" t="s">
        <v>2236</v>
      </c>
      <c r="F2154" s="8">
        <v>0</v>
      </c>
      <c r="G2154" s="14" t="s">
        <v>2237</v>
      </c>
      <c r="H2154" s="16">
        <v>0</v>
      </c>
      <c r="I2154" s="14" t="s">
        <v>2237</v>
      </c>
      <c r="J2154" s="16">
        <v>0</v>
      </c>
      <c r="K2154" s="14" t="s">
        <v>2237</v>
      </c>
      <c r="L2154" s="16">
        <v>0</v>
      </c>
      <c r="M2154" s="14" t="s">
        <v>2237</v>
      </c>
      <c r="N2154" s="8">
        <v>0</v>
      </c>
      <c r="O2154" s="14" t="s">
        <v>2237</v>
      </c>
      <c r="P2154" s="14" t="s">
        <v>2236</v>
      </c>
      <c r="Q2154" s="17" t="s">
        <v>2236</v>
      </c>
      <c r="R2154" s="17" t="s">
        <v>2236</v>
      </c>
      <c r="S2154" s="17" t="s">
        <v>2236</v>
      </c>
      <c r="T2154" s="17" t="s">
        <v>2236</v>
      </c>
      <c r="U215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5" spans="1:31" hidden="1" x14ac:dyDescent="0.3">
      <c r="A2155" s="14" t="s">
        <v>4124</v>
      </c>
      <c r="B2155" s="14" t="s">
        <v>2371</v>
      </c>
      <c r="C2155" s="14" t="s">
        <v>5346</v>
      </c>
      <c r="D2155" s="14" t="s">
        <v>5347</v>
      </c>
      <c r="E2155" s="14" t="s">
        <v>2236</v>
      </c>
      <c r="F2155" s="8">
        <v>0</v>
      </c>
      <c r="G2155" s="14" t="s">
        <v>2237</v>
      </c>
      <c r="H2155" s="16">
        <v>0</v>
      </c>
      <c r="I2155" s="14" t="s">
        <v>2237</v>
      </c>
      <c r="J2155" s="16">
        <v>0</v>
      </c>
      <c r="K2155" s="14" t="s">
        <v>2237</v>
      </c>
      <c r="L2155" s="16">
        <v>0</v>
      </c>
      <c r="M2155" s="14" t="s">
        <v>2237</v>
      </c>
      <c r="N2155" s="8">
        <v>0</v>
      </c>
      <c r="O2155" s="14" t="s">
        <v>2237</v>
      </c>
      <c r="P2155" s="14" t="s">
        <v>2236</v>
      </c>
      <c r="Q2155" s="17" t="s">
        <v>2236</v>
      </c>
      <c r="R2155" s="17" t="s">
        <v>2236</v>
      </c>
      <c r="S2155" s="17" t="s">
        <v>2236</v>
      </c>
      <c r="T2155" s="17" t="s">
        <v>2236</v>
      </c>
      <c r="U215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6" spans="1:31" hidden="1" x14ac:dyDescent="0.3">
      <c r="A2156" s="14" t="s">
        <v>4125</v>
      </c>
      <c r="B2156" s="14" t="s">
        <v>2371</v>
      </c>
      <c r="C2156" s="14" t="s">
        <v>5348</v>
      </c>
      <c r="D2156" s="14" t="s">
        <v>5349</v>
      </c>
      <c r="E2156" s="14" t="s">
        <v>2236</v>
      </c>
      <c r="F2156" s="8">
        <v>0</v>
      </c>
      <c r="G2156" s="14" t="s">
        <v>2237</v>
      </c>
      <c r="H2156" s="16">
        <v>0</v>
      </c>
      <c r="I2156" s="14" t="s">
        <v>2237</v>
      </c>
      <c r="J2156" s="16">
        <v>0</v>
      </c>
      <c r="K2156" s="14" t="s">
        <v>2237</v>
      </c>
      <c r="L2156" s="16">
        <v>0</v>
      </c>
      <c r="M2156" s="14" t="s">
        <v>2237</v>
      </c>
      <c r="N2156" s="8">
        <v>0</v>
      </c>
      <c r="O2156" s="14" t="s">
        <v>2237</v>
      </c>
      <c r="P2156" s="14" t="s">
        <v>2236</v>
      </c>
      <c r="Q2156" s="17" t="s">
        <v>2236</v>
      </c>
      <c r="R2156" s="17" t="s">
        <v>2236</v>
      </c>
      <c r="S2156" s="17" t="s">
        <v>2236</v>
      </c>
      <c r="T2156" s="17" t="s">
        <v>2236</v>
      </c>
      <c r="U215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57" spans="1:31" x14ac:dyDescent="0.3">
      <c r="A2157" s="14" t="s">
        <v>4126</v>
      </c>
      <c r="B2157" s="14" t="s">
        <v>26</v>
      </c>
      <c r="C2157" s="14" t="s">
        <v>367</v>
      </c>
      <c r="D2157" s="14" t="s">
        <v>368</v>
      </c>
      <c r="E2157" s="14" t="s">
        <v>4136</v>
      </c>
      <c r="F2157" s="8">
        <v>106369.99</v>
      </c>
      <c r="G2157" s="14" t="s">
        <v>2237</v>
      </c>
      <c r="H2157" s="16">
        <v>106369.99</v>
      </c>
      <c r="I2157" s="14" t="s">
        <v>2237</v>
      </c>
      <c r="J2157" s="16">
        <v>0</v>
      </c>
      <c r="K2157" s="14" t="s">
        <v>2237</v>
      </c>
      <c r="L2157" s="16">
        <v>0</v>
      </c>
      <c r="M2157" s="14" t="s">
        <v>2237</v>
      </c>
      <c r="N2157" s="8">
        <v>108534.62</v>
      </c>
      <c r="O2157" s="14" t="s">
        <v>2237</v>
      </c>
      <c r="P2157" s="14" t="s">
        <v>2236</v>
      </c>
      <c r="Q2157" s="17" t="s">
        <v>2242</v>
      </c>
      <c r="R2157" s="17" t="s">
        <v>2238</v>
      </c>
      <c r="S2157" s="17" t="s">
        <v>2243</v>
      </c>
      <c r="T2157" s="17" t="s">
        <v>4138</v>
      </c>
      <c r="U21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157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157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157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E530-301297502-D235301</v>
      </c>
      <c r="Y215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7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157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157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15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15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58" spans="1:31" x14ac:dyDescent="0.3">
      <c r="A2158" s="14" t="s">
        <v>4127</v>
      </c>
      <c r="B2158" s="14" t="s">
        <v>30</v>
      </c>
      <c r="C2158" s="14" t="s">
        <v>367</v>
      </c>
      <c r="D2158" s="14" t="s">
        <v>369</v>
      </c>
      <c r="E2158" s="14" t="s">
        <v>4136</v>
      </c>
      <c r="F2158" s="8">
        <v>0</v>
      </c>
      <c r="G2158" s="14" t="s">
        <v>2237</v>
      </c>
      <c r="H2158" s="16">
        <v>0</v>
      </c>
      <c r="I2158" s="14" t="s">
        <v>2237</v>
      </c>
      <c r="J2158" s="16">
        <v>0</v>
      </c>
      <c r="K2158" s="14" t="s">
        <v>2237</v>
      </c>
      <c r="L2158" s="16">
        <v>0</v>
      </c>
      <c r="M2158" s="14" t="s">
        <v>2237</v>
      </c>
      <c r="N2158" s="8">
        <v>108534.62</v>
      </c>
      <c r="O2158" s="14" t="s">
        <v>2237</v>
      </c>
      <c r="P2158" s="14" t="s">
        <v>2236</v>
      </c>
      <c r="Q2158" s="17" t="s">
        <v>2242</v>
      </c>
      <c r="R2158" s="17" t="s">
        <v>2238</v>
      </c>
      <c r="S2158" s="17" t="s">
        <v>2243</v>
      </c>
      <c r="T2158" s="17" t="s">
        <v>4142</v>
      </c>
      <c r="U21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158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158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158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E530-301297502-D235301</v>
      </c>
      <c r="Y2158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E530-30129750202-D235301</v>
      </c>
      <c r="Z2158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158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158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158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215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15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59" spans="1:31" hidden="1" x14ac:dyDescent="0.3">
      <c r="A2159" s="14" t="s">
        <v>4128</v>
      </c>
      <c r="B2159" s="14" t="s">
        <v>2366</v>
      </c>
      <c r="C2159" s="14" t="s">
        <v>5350</v>
      </c>
      <c r="D2159" s="14" t="s">
        <v>5351</v>
      </c>
      <c r="E2159" s="14" t="s">
        <v>2236</v>
      </c>
      <c r="F2159" s="8">
        <v>0</v>
      </c>
      <c r="G2159" s="14" t="s">
        <v>2237</v>
      </c>
      <c r="H2159" s="16">
        <v>0</v>
      </c>
      <c r="I2159" s="14" t="s">
        <v>2237</v>
      </c>
      <c r="J2159" s="16">
        <v>0</v>
      </c>
      <c r="K2159" s="14" t="s">
        <v>2237</v>
      </c>
      <c r="L2159" s="16">
        <v>0</v>
      </c>
      <c r="M2159" s="14" t="s">
        <v>2237</v>
      </c>
      <c r="N2159" s="8">
        <v>1413.49</v>
      </c>
      <c r="O2159" s="14" t="s">
        <v>2237</v>
      </c>
      <c r="P2159" s="14" t="s">
        <v>2236</v>
      </c>
      <c r="Q2159" s="17" t="s">
        <v>2236</v>
      </c>
      <c r="R2159" s="17" t="s">
        <v>2236</v>
      </c>
      <c r="S2159" s="17" t="s">
        <v>2236</v>
      </c>
      <c r="T2159" s="17" t="s">
        <v>3120</v>
      </c>
      <c r="U215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5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5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5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5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5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5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5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5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5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5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0" spans="1:31" hidden="1" x14ac:dyDescent="0.3">
      <c r="A2160" s="14" t="s">
        <v>4129</v>
      </c>
      <c r="B2160" s="14" t="s">
        <v>2371</v>
      </c>
      <c r="C2160" s="14" t="s">
        <v>5352</v>
      </c>
      <c r="D2160" s="14" t="s">
        <v>5353</v>
      </c>
      <c r="E2160" s="14" t="s">
        <v>2236</v>
      </c>
      <c r="F2160" s="8">
        <v>0</v>
      </c>
      <c r="G2160" s="14" t="s">
        <v>2237</v>
      </c>
      <c r="H2160" s="16">
        <v>0</v>
      </c>
      <c r="I2160" s="14" t="s">
        <v>2237</v>
      </c>
      <c r="J2160" s="16">
        <v>0</v>
      </c>
      <c r="K2160" s="14" t="s">
        <v>2237</v>
      </c>
      <c r="L2160" s="16">
        <v>0</v>
      </c>
      <c r="M2160" s="14" t="s">
        <v>2237</v>
      </c>
      <c r="N2160" s="8">
        <v>0</v>
      </c>
      <c r="O2160" s="14" t="s">
        <v>2237</v>
      </c>
      <c r="P2160" s="14" t="s">
        <v>2236</v>
      </c>
      <c r="Q2160" s="17" t="s">
        <v>2236</v>
      </c>
      <c r="R2160" s="17" t="s">
        <v>2236</v>
      </c>
      <c r="S2160" s="17" t="s">
        <v>2236</v>
      </c>
      <c r="T2160" s="17" t="s">
        <v>2236</v>
      </c>
      <c r="U216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1" spans="1:31" hidden="1" x14ac:dyDescent="0.3">
      <c r="A2161" s="14" t="s">
        <v>4131</v>
      </c>
      <c r="B2161" s="14" t="s">
        <v>2371</v>
      </c>
      <c r="C2161" s="14" t="s">
        <v>5354</v>
      </c>
      <c r="D2161" s="14" t="s">
        <v>5355</v>
      </c>
      <c r="E2161" s="14" t="s">
        <v>2236</v>
      </c>
      <c r="F2161" s="8">
        <v>0</v>
      </c>
      <c r="G2161" s="14" t="s">
        <v>2237</v>
      </c>
      <c r="H2161" s="16">
        <v>0</v>
      </c>
      <c r="I2161" s="14" t="s">
        <v>2237</v>
      </c>
      <c r="J2161" s="16">
        <v>0</v>
      </c>
      <c r="K2161" s="14" t="s">
        <v>2237</v>
      </c>
      <c r="L2161" s="16">
        <v>0</v>
      </c>
      <c r="M2161" s="14" t="s">
        <v>2237</v>
      </c>
      <c r="N2161" s="8">
        <v>0</v>
      </c>
      <c r="O2161" s="14" t="s">
        <v>2237</v>
      </c>
      <c r="P2161" s="14" t="s">
        <v>2236</v>
      </c>
      <c r="Q2161" s="17" t="s">
        <v>2236</v>
      </c>
      <c r="R2161" s="17" t="s">
        <v>2236</v>
      </c>
      <c r="S2161" s="17" t="s">
        <v>2236</v>
      </c>
      <c r="T2161" s="17" t="s">
        <v>2236</v>
      </c>
      <c r="U216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2" spans="1:31" hidden="1" x14ac:dyDescent="0.3">
      <c r="A2162" s="14" t="s">
        <v>4132</v>
      </c>
      <c r="B2162" s="14" t="s">
        <v>2371</v>
      </c>
      <c r="C2162" s="14" t="s">
        <v>5356</v>
      </c>
      <c r="D2162" s="14" t="s">
        <v>5357</v>
      </c>
      <c r="E2162" s="14" t="s">
        <v>2236</v>
      </c>
      <c r="F2162" s="8">
        <v>0</v>
      </c>
      <c r="G2162" s="14" t="s">
        <v>2237</v>
      </c>
      <c r="H2162" s="16">
        <v>0</v>
      </c>
      <c r="I2162" s="14" t="s">
        <v>2237</v>
      </c>
      <c r="J2162" s="16">
        <v>0</v>
      </c>
      <c r="K2162" s="14" t="s">
        <v>2237</v>
      </c>
      <c r="L2162" s="16">
        <v>0</v>
      </c>
      <c r="M2162" s="14" t="s">
        <v>2237</v>
      </c>
      <c r="N2162" s="8">
        <v>0</v>
      </c>
      <c r="O2162" s="14" t="s">
        <v>2237</v>
      </c>
      <c r="P2162" s="14" t="s">
        <v>2236</v>
      </c>
      <c r="Q2162" s="17" t="s">
        <v>2236</v>
      </c>
      <c r="R2162" s="17" t="s">
        <v>2236</v>
      </c>
      <c r="S2162" s="17" t="s">
        <v>2236</v>
      </c>
      <c r="T2162" s="17" t="s">
        <v>2236</v>
      </c>
      <c r="U216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3" spans="1:31" hidden="1" x14ac:dyDescent="0.3">
      <c r="A2163" s="14" t="s">
        <v>4133</v>
      </c>
      <c r="B2163" s="14" t="s">
        <v>2371</v>
      </c>
      <c r="C2163" s="14" t="s">
        <v>2972</v>
      </c>
      <c r="D2163" s="14" t="s">
        <v>5358</v>
      </c>
      <c r="E2163" s="14" t="s">
        <v>2236</v>
      </c>
      <c r="F2163" s="8">
        <v>0</v>
      </c>
      <c r="G2163" s="14" t="s">
        <v>2237</v>
      </c>
      <c r="H2163" s="16">
        <v>0</v>
      </c>
      <c r="I2163" s="14" t="s">
        <v>2237</v>
      </c>
      <c r="J2163" s="16">
        <v>0</v>
      </c>
      <c r="K2163" s="14" t="s">
        <v>2237</v>
      </c>
      <c r="L2163" s="16">
        <v>0</v>
      </c>
      <c r="M2163" s="14" t="s">
        <v>2237</v>
      </c>
      <c r="N2163" s="8">
        <v>0</v>
      </c>
      <c r="O2163" s="14" t="s">
        <v>2237</v>
      </c>
      <c r="P2163" s="14" t="s">
        <v>2236</v>
      </c>
      <c r="Q2163" s="17" t="s">
        <v>2236</v>
      </c>
      <c r="R2163" s="17" t="s">
        <v>2236</v>
      </c>
      <c r="S2163" s="17" t="s">
        <v>2236</v>
      </c>
      <c r="T2163" s="17" t="s">
        <v>2236</v>
      </c>
      <c r="U216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4" spans="1:31" hidden="1" x14ac:dyDescent="0.3">
      <c r="A2164" s="14" t="s">
        <v>5359</v>
      </c>
      <c r="B2164" s="14" t="s">
        <v>2371</v>
      </c>
      <c r="C2164" s="14" t="s">
        <v>3176</v>
      </c>
      <c r="D2164" s="14" t="s">
        <v>5360</v>
      </c>
      <c r="E2164" s="14" t="s">
        <v>2236</v>
      </c>
      <c r="F2164" s="8">
        <v>0</v>
      </c>
      <c r="G2164" s="14" t="s">
        <v>2237</v>
      </c>
      <c r="H2164" s="16">
        <v>0</v>
      </c>
      <c r="I2164" s="14" t="s">
        <v>2237</v>
      </c>
      <c r="J2164" s="16">
        <v>0</v>
      </c>
      <c r="K2164" s="14" t="s">
        <v>2237</v>
      </c>
      <c r="L2164" s="16">
        <v>0</v>
      </c>
      <c r="M2164" s="14" t="s">
        <v>2237</v>
      </c>
      <c r="N2164" s="8">
        <v>0</v>
      </c>
      <c r="O2164" s="14" t="s">
        <v>2237</v>
      </c>
      <c r="P2164" s="14" t="s">
        <v>2236</v>
      </c>
      <c r="Q2164" s="17" t="s">
        <v>2236</v>
      </c>
      <c r="R2164" s="17" t="s">
        <v>2236</v>
      </c>
      <c r="S2164" s="17" t="s">
        <v>2236</v>
      </c>
      <c r="T2164" s="17" t="s">
        <v>2236</v>
      </c>
      <c r="U216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5" spans="1:31" hidden="1" x14ac:dyDescent="0.3">
      <c r="A2165" s="14" t="s">
        <v>5361</v>
      </c>
      <c r="B2165" s="14" t="s">
        <v>2371</v>
      </c>
      <c r="C2165" s="14" t="s">
        <v>5362</v>
      </c>
      <c r="D2165" s="14" t="s">
        <v>5363</v>
      </c>
      <c r="E2165" s="14" t="s">
        <v>2236</v>
      </c>
      <c r="F2165" s="8">
        <v>0</v>
      </c>
      <c r="G2165" s="14" t="s">
        <v>2237</v>
      </c>
      <c r="H2165" s="16">
        <v>0</v>
      </c>
      <c r="I2165" s="14" t="s">
        <v>2237</v>
      </c>
      <c r="J2165" s="16">
        <v>0</v>
      </c>
      <c r="K2165" s="14" t="s">
        <v>2237</v>
      </c>
      <c r="L2165" s="16">
        <v>0</v>
      </c>
      <c r="M2165" s="14" t="s">
        <v>2237</v>
      </c>
      <c r="N2165" s="8">
        <v>0</v>
      </c>
      <c r="O2165" s="14" t="s">
        <v>2237</v>
      </c>
      <c r="P2165" s="14" t="s">
        <v>2236</v>
      </c>
      <c r="Q2165" s="17" t="s">
        <v>2236</v>
      </c>
      <c r="R2165" s="17" t="s">
        <v>2236</v>
      </c>
      <c r="S2165" s="17" t="s">
        <v>2236</v>
      </c>
      <c r="T2165" s="17" t="s">
        <v>2236</v>
      </c>
      <c r="U216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6" spans="1:31" hidden="1" x14ac:dyDescent="0.3">
      <c r="A2166" s="14" t="s">
        <v>5364</v>
      </c>
      <c r="B2166" s="14" t="s">
        <v>2371</v>
      </c>
      <c r="C2166" s="14" t="s">
        <v>5365</v>
      </c>
      <c r="D2166" s="14" t="s">
        <v>5366</v>
      </c>
      <c r="E2166" s="14" t="s">
        <v>2236</v>
      </c>
      <c r="F2166" s="8">
        <v>0</v>
      </c>
      <c r="G2166" s="14" t="s">
        <v>2237</v>
      </c>
      <c r="H2166" s="16">
        <v>0</v>
      </c>
      <c r="I2166" s="14" t="s">
        <v>2237</v>
      </c>
      <c r="J2166" s="16">
        <v>0</v>
      </c>
      <c r="K2166" s="14" t="s">
        <v>2237</v>
      </c>
      <c r="L2166" s="16">
        <v>0</v>
      </c>
      <c r="M2166" s="14" t="s">
        <v>2237</v>
      </c>
      <c r="N2166" s="8">
        <v>0</v>
      </c>
      <c r="O2166" s="14" t="s">
        <v>2237</v>
      </c>
      <c r="P2166" s="14" t="s">
        <v>2236</v>
      </c>
      <c r="Q2166" s="17" t="s">
        <v>2236</v>
      </c>
      <c r="R2166" s="17" t="s">
        <v>2236</v>
      </c>
      <c r="S2166" s="17" t="s">
        <v>2236</v>
      </c>
      <c r="T2166" s="17" t="s">
        <v>2236</v>
      </c>
      <c r="U216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7" spans="1:31" hidden="1" x14ac:dyDescent="0.3">
      <c r="A2167" s="14" t="s">
        <v>5367</v>
      </c>
      <c r="B2167" s="14" t="s">
        <v>2371</v>
      </c>
      <c r="C2167" s="14" t="s">
        <v>5368</v>
      </c>
      <c r="D2167" s="14" t="s">
        <v>5369</v>
      </c>
      <c r="E2167" s="14" t="s">
        <v>2236</v>
      </c>
      <c r="F2167" s="8">
        <v>0</v>
      </c>
      <c r="G2167" s="14" t="s">
        <v>2237</v>
      </c>
      <c r="H2167" s="16">
        <v>0</v>
      </c>
      <c r="I2167" s="14" t="s">
        <v>2237</v>
      </c>
      <c r="J2167" s="16">
        <v>0</v>
      </c>
      <c r="K2167" s="14" t="s">
        <v>2237</v>
      </c>
      <c r="L2167" s="16">
        <v>0</v>
      </c>
      <c r="M2167" s="14" t="s">
        <v>2237</v>
      </c>
      <c r="N2167" s="8">
        <v>0</v>
      </c>
      <c r="O2167" s="14" t="s">
        <v>2237</v>
      </c>
      <c r="P2167" s="14" t="s">
        <v>2236</v>
      </c>
      <c r="Q2167" s="17" t="s">
        <v>2236</v>
      </c>
      <c r="R2167" s="17" t="s">
        <v>2236</v>
      </c>
      <c r="S2167" s="17" t="s">
        <v>2236</v>
      </c>
      <c r="T2167" s="17" t="s">
        <v>2236</v>
      </c>
      <c r="U216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8" spans="1:31" hidden="1" x14ac:dyDescent="0.3">
      <c r="A2168" s="14" t="s">
        <v>5370</v>
      </c>
      <c r="B2168" s="14" t="s">
        <v>2371</v>
      </c>
      <c r="C2168" s="14" t="s">
        <v>5371</v>
      </c>
      <c r="D2168" s="14" t="s">
        <v>5372</v>
      </c>
      <c r="E2168" s="14" t="s">
        <v>2236</v>
      </c>
      <c r="F2168" s="8">
        <v>0</v>
      </c>
      <c r="G2168" s="14" t="s">
        <v>2237</v>
      </c>
      <c r="H2168" s="16">
        <v>0</v>
      </c>
      <c r="I2168" s="14" t="s">
        <v>2237</v>
      </c>
      <c r="J2168" s="16">
        <v>0</v>
      </c>
      <c r="K2168" s="14" t="s">
        <v>2237</v>
      </c>
      <c r="L2168" s="16">
        <v>0</v>
      </c>
      <c r="M2168" s="14" t="s">
        <v>2237</v>
      </c>
      <c r="N2168" s="8">
        <v>0</v>
      </c>
      <c r="O2168" s="14" t="s">
        <v>2237</v>
      </c>
      <c r="P2168" s="14" t="s">
        <v>2236</v>
      </c>
      <c r="Q2168" s="17" t="s">
        <v>2236</v>
      </c>
      <c r="R2168" s="17" t="s">
        <v>2236</v>
      </c>
      <c r="S2168" s="17" t="s">
        <v>2236</v>
      </c>
      <c r="T2168" s="17" t="s">
        <v>2236</v>
      </c>
      <c r="U216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69" spans="1:31" hidden="1" x14ac:dyDescent="0.3">
      <c r="A2169" s="14" t="s">
        <v>5373</v>
      </c>
      <c r="B2169" s="14" t="s">
        <v>2371</v>
      </c>
      <c r="C2169" s="14" t="s">
        <v>2902</v>
      </c>
      <c r="D2169" s="14" t="s">
        <v>5374</v>
      </c>
      <c r="E2169" s="14" t="s">
        <v>2236</v>
      </c>
      <c r="F2169" s="8">
        <v>0</v>
      </c>
      <c r="G2169" s="14" t="s">
        <v>2237</v>
      </c>
      <c r="H2169" s="16">
        <v>0</v>
      </c>
      <c r="I2169" s="14" t="s">
        <v>2237</v>
      </c>
      <c r="J2169" s="16">
        <v>0</v>
      </c>
      <c r="K2169" s="14" t="s">
        <v>2237</v>
      </c>
      <c r="L2169" s="16">
        <v>0</v>
      </c>
      <c r="M2169" s="14" t="s">
        <v>2237</v>
      </c>
      <c r="N2169" s="8">
        <v>0</v>
      </c>
      <c r="O2169" s="14" t="s">
        <v>2237</v>
      </c>
      <c r="P2169" s="14" t="s">
        <v>2236</v>
      </c>
      <c r="Q2169" s="17" t="s">
        <v>2236</v>
      </c>
      <c r="R2169" s="17" t="s">
        <v>2236</v>
      </c>
      <c r="S2169" s="17" t="s">
        <v>2236</v>
      </c>
      <c r="T2169" s="17" t="s">
        <v>2236</v>
      </c>
      <c r="U216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6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6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6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6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6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6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6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6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6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6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0" spans="1:31" hidden="1" x14ac:dyDescent="0.3">
      <c r="A2170" s="14" t="s">
        <v>5375</v>
      </c>
      <c r="B2170" s="14" t="s">
        <v>2371</v>
      </c>
      <c r="C2170" s="14" t="s">
        <v>2961</v>
      </c>
      <c r="D2170" s="14" t="s">
        <v>5376</v>
      </c>
      <c r="E2170" s="14" t="s">
        <v>2236</v>
      </c>
      <c r="F2170" s="8">
        <v>0</v>
      </c>
      <c r="G2170" s="14" t="s">
        <v>2237</v>
      </c>
      <c r="H2170" s="16">
        <v>0</v>
      </c>
      <c r="I2170" s="14" t="s">
        <v>2237</v>
      </c>
      <c r="J2170" s="16">
        <v>0</v>
      </c>
      <c r="K2170" s="14" t="s">
        <v>2237</v>
      </c>
      <c r="L2170" s="16">
        <v>0</v>
      </c>
      <c r="M2170" s="14" t="s">
        <v>2237</v>
      </c>
      <c r="N2170" s="8">
        <v>0</v>
      </c>
      <c r="O2170" s="14" t="s">
        <v>2237</v>
      </c>
      <c r="P2170" s="14" t="s">
        <v>2236</v>
      </c>
      <c r="Q2170" s="17" t="s">
        <v>2236</v>
      </c>
      <c r="R2170" s="17" t="s">
        <v>2236</v>
      </c>
      <c r="S2170" s="17" t="s">
        <v>2236</v>
      </c>
      <c r="T2170" s="17" t="s">
        <v>2236</v>
      </c>
      <c r="U217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1" spans="1:31" hidden="1" x14ac:dyDescent="0.3">
      <c r="A2171" s="14" t="s">
        <v>5377</v>
      </c>
      <c r="B2171" s="14" t="s">
        <v>2371</v>
      </c>
      <c r="C2171" s="14" t="s">
        <v>5378</v>
      </c>
      <c r="D2171" s="14" t="s">
        <v>5379</v>
      </c>
      <c r="E2171" s="14" t="s">
        <v>2236</v>
      </c>
      <c r="F2171" s="8">
        <v>0</v>
      </c>
      <c r="G2171" s="14" t="s">
        <v>2237</v>
      </c>
      <c r="H2171" s="16">
        <v>0</v>
      </c>
      <c r="I2171" s="14" t="s">
        <v>2237</v>
      </c>
      <c r="J2171" s="16">
        <v>0</v>
      </c>
      <c r="K2171" s="14" t="s">
        <v>2237</v>
      </c>
      <c r="L2171" s="16">
        <v>0</v>
      </c>
      <c r="M2171" s="14" t="s">
        <v>2237</v>
      </c>
      <c r="N2171" s="8">
        <v>0</v>
      </c>
      <c r="O2171" s="14" t="s">
        <v>2237</v>
      </c>
      <c r="P2171" s="14" t="s">
        <v>2236</v>
      </c>
      <c r="Q2171" s="17" t="s">
        <v>2236</v>
      </c>
      <c r="R2171" s="17" t="s">
        <v>2236</v>
      </c>
      <c r="S2171" s="17" t="s">
        <v>2236</v>
      </c>
      <c r="T2171" s="17" t="s">
        <v>2236</v>
      </c>
      <c r="U217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2" spans="1:31" hidden="1" x14ac:dyDescent="0.3">
      <c r="A2172" s="14" t="s">
        <v>5380</v>
      </c>
      <c r="B2172" s="14" t="s">
        <v>2371</v>
      </c>
      <c r="C2172" s="14" t="s">
        <v>5381</v>
      </c>
      <c r="D2172" s="14" t="s">
        <v>5382</v>
      </c>
      <c r="E2172" s="14" t="s">
        <v>2236</v>
      </c>
      <c r="F2172" s="8">
        <v>0</v>
      </c>
      <c r="G2172" s="14" t="s">
        <v>2237</v>
      </c>
      <c r="H2172" s="16">
        <v>0</v>
      </c>
      <c r="I2172" s="14" t="s">
        <v>2237</v>
      </c>
      <c r="J2172" s="16">
        <v>0</v>
      </c>
      <c r="K2172" s="14" t="s">
        <v>2237</v>
      </c>
      <c r="L2172" s="16">
        <v>0</v>
      </c>
      <c r="M2172" s="14" t="s">
        <v>2237</v>
      </c>
      <c r="N2172" s="8">
        <v>0</v>
      </c>
      <c r="O2172" s="14" t="s">
        <v>2237</v>
      </c>
      <c r="P2172" s="14" t="s">
        <v>2236</v>
      </c>
      <c r="Q2172" s="17" t="s">
        <v>2236</v>
      </c>
      <c r="R2172" s="17" t="s">
        <v>2236</v>
      </c>
      <c r="S2172" s="17" t="s">
        <v>2236</v>
      </c>
      <c r="T2172" s="17" t="s">
        <v>2236</v>
      </c>
      <c r="U217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3" spans="1:31" hidden="1" x14ac:dyDescent="0.3">
      <c r="A2173" s="14" t="s">
        <v>5383</v>
      </c>
      <c r="B2173" s="14" t="s">
        <v>2371</v>
      </c>
      <c r="C2173" s="14" t="s">
        <v>5384</v>
      </c>
      <c r="D2173" s="14" t="s">
        <v>5385</v>
      </c>
      <c r="E2173" s="14" t="s">
        <v>2236</v>
      </c>
      <c r="F2173" s="8">
        <v>0</v>
      </c>
      <c r="G2173" s="14" t="s">
        <v>2237</v>
      </c>
      <c r="H2173" s="16">
        <v>0</v>
      </c>
      <c r="I2173" s="14" t="s">
        <v>2237</v>
      </c>
      <c r="J2173" s="16">
        <v>0</v>
      </c>
      <c r="K2173" s="14" t="s">
        <v>2237</v>
      </c>
      <c r="L2173" s="16">
        <v>0</v>
      </c>
      <c r="M2173" s="14" t="s">
        <v>2237</v>
      </c>
      <c r="N2173" s="8">
        <v>0</v>
      </c>
      <c r="O2173" s="14" t="s">
        <v>2237</v>
      </c>
      <c r="P2173" s="14" t="s">
        <v>2236</v>
      </c>
      <c r="Q2173" s="17" t="s">
        <v>2236</v>
      </c>
      <c r="R2173" s="17" t="s">
        <v>2236</v>
      </c>
      <c r="S2173" s="17" t="s">
        <v>2236</v>
      </c>
      <c r="T2173" s="17" t="s">
        <v>2236</v>
      </c>
      <c r="U217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4" spans="1:31" hidden="1" x14ac:dyDescent="0.3">
      <c r="A2174" s="14" t="s">
        <v>5386</v>
      </c>
      <c r="B2174" s="14" t="s">
        <v>2371</v>
      </c>
      <c r="C2174" s="14" t="s">
        <v>5387</v>
      </c>
      <c r="D2174" s="14" t="s">
        <v>5388</v>
      </c>
      <c r="E2174" s="14" t="s">
        <v>2236</v>
      </c>
      <c r="F2174" s="8">
        <v>0</v>
      </c>
      <c r="G2174" s="14" t="s">
        <v>2237</v>
      </c>
      <c r="H2174" s="16">
        <v>0</v>
      </c>
      <c r="I2174" s="14" t="s">
        <v>2237</v>
      </c>
      <c r="J2174" s="16">
        <v>0</v>
      </c>
      <c r="K2174" s="14" t="s">
        <v>2237</v>
      </c>
      <c r="L2174" s="16">
        <v>0</v>
      </c>
      <c r="M2174" s="14" t="s">
        <v>2237</v>
      </c>
      <c r="N2174" s="8">
        <v>0</v>
      </c>
      <c r="O2174" s="14" t="s">
        <v>2237</v>
      </c>
      <c r="P2174" s="14" t="s">
        <v>2236</v>
      </c>
      <c r="Q2174" s="17" t="s">
        <v>2236</v>
      </c>
      <c r="R2174" s="17" t="s">
        <v>2236</v>
      </c>
      <c r="S2174" s="17" t="s">
        <v>2236</v>
      </c>
      <c r="T2174" s="17" t="s">
        <v>2236</v>
      </c>
      <c r="U217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5" spans="1:31" hidden="1" x14ac:dyDescent="0.3">
      <c r="A2175" s="14" t="s">
        <v>5389</v>
      </c>
      <c r="B2175" s="14" t="s">
        <v>2371</v>
      </c>
      <c r="C2175" s="14" t="s">
        <v>5390</v>
      </c>
      <c r="D2175" s="14" t="s">
        <v>5391</v>
      </c>
      <c r="E2175" s="14" t="s">
        <v>2236</v>
      </c>
      <c r="F2175" s="8">
        <v>0</v>
      </c>
      <c r="G2175" s="14" t="s">
        <v>2237</v>
      </c>
      <c r="H2175" s="16">
        <v>0</v>
      </c>
      <c r="I2175" s="14" t="s">
        <v>2237</v>
      </c>
      <c r="J2175" s="16">
        <v>0</v>
      </c>
      <c r="K2175" s="14" t="s">
        <v>2237</v>
      </c>
      <c r="L2175" s="16">
        <v>0</v>
      </c>
      <c r="M2175" s="14" t="s">
        <v>2237</v>
      </c>
      <c r="N2175" s="8">
        <v>0</v>
      </c>
      <c r="O2175" s="14" t="s">
        <v>2237</v>
      </c>
      <c r="P2175" s="14" t="s">
        <v>2236</v>
      </c>
      <c r="Q2175" s="17" t="s">
        <v>2236</v>
      </c>
      <c r="R2175" s="17" t="s">
        <v>2236</v>
      </c>
      <c r="S2175" s="17" t="s">
        <v>2236</v>
      </c>
      <c r="T2175" s="17" t="s">
        <v>2236</v>
      </c>
      <c r="U217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6" spans="1:31" hidden="1" x14ac:dyDescent="0.3">
      <c r="A2176" s="14" t="s">
        <v>5392</v>
      </c>
      <c r="B2176" s="14" t="s">
        <v>2371</v>
      </c>
      <c r="C2176" s="14" t="s">
        <v>5393</v>
      </c>
      <c r="D2176" s="14" t="s">
        <v>5394</v>
      </c>
      <c r="E2176" s="14" t="s">
        <v>2236</v>
      </c>
      <c r="F2176" s="8">
        <v>0</v>
      </c>
      <c r="G2176" s="14" t="s">
        <v>2237</v>
      </c>
      <c r="H2176" s="16">
        <v>0</v>
      </c>
      <c r="I2176" s="14" t="s">
        <v>2237</v>
      </c>
      <c r="J2176" s="16">
        <v>0</v>
      </c>
      <c r="K2176" s="14" t="s">
        <v>2237</v>
      </c>
      <c r="L2176" s="16">
        <v>0</v>
      </c>
      <c r="M2176" s="14" t="s">
        <v>2237</v>
      </c>
      <c r="N2176" s="8">
        <v>0</v>
      </c>
      <c r="O2176" s="14" t="s">
        <v>2237</v>
      </c>
      <c r="P2176" s="14" t="s">
        <v>2236</v>
      </c>
      <c r="Q2176" s="17" t="s">
        <v>2236</v>
      </c>
      <c r="R2176" s="17" t="s">
        <v>2236</v>
      </c>
      <c r="S2176" s="17" t="s">
        <v>2236</v>
      </c>
      <c r="T2176" s="17" t="s">
        <v>2236</v>
      </c>
      <c r="U217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7" spans="1:31" hidden="1" x14ac:dyDescent="0.3">
      <c r="A2177" s="14" t="s">
        <v>5395</v>
      </c>
      <c r="B2177" s="14" t="s">
        <v>2371</v>
      </c>
      <c r="C2177" s="14" t="s">
        <v>5396</v>
      </c>
      <c r="D2177" s="14" t="s">
        <v>5397</v>
      </c>
      <c r="E2177" s="14" t="s">
        <v>2236</v>
      </c>
      <c r="F2177" s="8">
        <v>0</v>
      </c>
      <c r="G2177" s="14" t="s">
        <v>2237</v>
      </c>
      <c r="H2177" s="16">
        <v>0</v>
      </c>
      <c r="I2177" s="14" t="s">
        <v>2237</v>
      </c>
      <c r="J2177" s="16">
        <v>0</v>
      </c>
      <c r="K2177" s="14" t="s">
        <v>2237</v>
      </c>
      <c r="L2177" s="16">
        <v>0</v>
      </c>
      <c r="M2177" s="14" t="s">
        <v>2237</v>
      </c>
      <c r="N2177" s="8">
        <v>0</v>
      </c>
      <c r="O2177" s="14" t="s">
        <v>2237</v>
      </c>
      <c r="P2177" s="14" t="s">
        <v>2236</v>
      </c>
      <c r="Q2177" s="17" t="s">
        <v>2236</v>
      </c>
      <c r="R2177" s="17" t="s">
        <v>2236</v>
      </c>
      <c r="S2177" s="17" t="s">
        <v>2236</v>
      </c>
      <c r="T2177" s="17" t="s">
        <v>2236</v>
      </c>
      <c r="U217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8" spans="1:31" hidden="1" x14ac:dyDescent="0.3">
      <c r="A2178" s="14" t="s">
        <v>5398</v>
      </c>
      <c r="B2178" s="14" t="s">
        <v>2371</v>
      </c>
      <c r="C2178" s="14" t="s">
        <v>5399</v>
      </c>
      <c r="D2178" s="14" t="s">
        <v>5400</v>
      </c>
      <c r="E2178" s="14" t="s">
        <v>2236</v>
      </c>
      <c r="F2178" s="8">
        <v>0</v>
      </c>
      <c r="G2178" s="14" t="s">
        <v>2237</v>
      </c>
      <c r="H2178" s="16">
        <v>0</v>
      </c>
      <c r="I2178" s="14" t="s">
        <v>2237</v>
      </c>
      <c r="J2178" s="16">
        <v>0</v>
      </c>
      <c r="K2178" s="14" t="s">
        <v>2237</v>
      </c>
      <c r="L2178" s="16">
        <v>0</v>
      </c>
      <c r="M2178" s="14" t="s">
        <v>2237</v>
      </c>
      <c r="N2178" s="8">
        <v>0</v>
      </c>
      <c r="O2178" s="14" t="s">
        <v>2237</v>
      </c>
      <c r="P2178" s="14" t="s">
        <v>2236</v>
      </c>
      <c r="Q2178" s="17" t="s">
        <v>2236</v>
      </c>
      <c r="R2178" s="17" t="s">
        <v>2236</v>
      </c>
      <c r="S2178" s="17" t="s">
        <v>2236</v>
      </c>
      <c r="T2178" s="17" t="s">
        <v>2236</v>
      </c>
      <c r="U217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79" spans="1:31" hidden="1" x14ac:dyDescent="0.3">
      <c r="A2179" s="14" t="s">
        <v>5401</v>
      </c>
      <c r="B2179" s="14" t="s">
        <v>2371</v>
      </c>
      <c r="C2179" s="14" t="s">
        <v>5402</v>
      </c>
      <c r="D2179" s="14" t="s">
        <v>5403</v>
      </c>
      <c r="E2179" s="14" t="s">
        <v>2236</v>
      </c>
      <c r="F2179" s="8">
        <v>0</v>
      </c>
      <c r="G2179" s="14" t="s">
        <v>2237</v>
      </c>
      <c r="H2179" s="16">
        <v>0</v>
      </c>
      <c r="I2179" s="14" t="s">
        <v>2237</v>
      </c>
      <c r="J2179" s="16">
        <v>0</v>
      </c>
      <c r="K2179" s="14" t="s">
        <v>2237</v>
      </c>
      <c r="L2179" s="16">
        <v>0</v>
      </c>
      <c r="M2179" s="14" t="s">
        <v>2237</v>
      </c>
      <c r="N2179" s="8">
        <v>0</v>
      </c>
      <c r="O2179" s="14" t="s">
        <v>2237</v>
      </c>
      <c r="P2179" s="14" t="s">
        <v>2236</v>
      </c>
      <c r="Q2179" s="17" t="s">
        <v>2236</v>
      </c>
      <c r="R2179" s="17" t="s">
        <v>2236</v>
      </c>
      <c r="S2179" s="17" t="s">
        <v>2236</v>
      </c>
      <c r="T2179" s="17" t="s">
        <v>2236</v>
      </c>
      <c r="U217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7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7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7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7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0" spans="1:31" hidden="1" x14ac:dyDescent="0.3">
      <c r="A2180" s="14" t="s">
        <v>5404</v>
      </c>
      <c r="B2180" s="14" t="s">
        <v>2371</v>
      </c>
      <c r="C2180" s="14" t="s">
        <v>5405</v>
      </c>
      <c r="D2180" s="14" t="s">
        <v>5406</v>
      </c>
      <c r="E2180" s="14" t="s">
        <v>2236</v>
      </c>
      <c r="F2180" s="8">
        <v>0</v>
      </c>
      <c r="G2180" s="14" t="s">
        <v>2237</v>
      </c>
      <c r="H2180" s="16">
        <v>0</v>
      </c>
      <c r="I2180" s="14" t="s">
        <v>2237</v>
      </c>
      <c r="J2180" s="16">
        <v>0</v>
      </c>
      <c r="K2180" s="14" t="s">
        <v>2237</v>
      </c>
      <c r="L2180" s="16">
        <v>0</v>
      </c>
      <c r="M2180" s="14" t="s">
        <v>2237</v>
      </c>
      <c r="N2180" s="8">
        <v>0</v>
      </c>
      <c r="O2180" s="14" t="s">
        <v>2237</v>
      </c>
      <c r="P2180" s="14" t="s">
        <v>2236</v>
      </c>
      <c r="Q2180" s="17" t="s">
        <v>2236</v>
      </c>
      <c r="R2180" s="17" t="s">
        <v>2236</v>
      </c>
      <c r="S2180" s="17" t="s">
        <v>2236</v>
      </c>
      <c r="T2180" s="17" t="s">
        <v>2236</v>
      </c>
      <c r="U218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1" spans="1:31" hidden="1" x14ac:dyDescent="0.3">
      <c r="A2181" s="14" t="s">
        <v>5407</v>
      </c>
      <c r="B2181" s="14" t="s">
        <v>2371</v>
      </c>
      <c r="C2181" s="14" t="s">
        <v>5408</v>
      </c>
      <c r="D2181" s="14" t="s">
        <v>5409</v>
      </c>
      <c r="E2181" s="14" t="s">
        <v>2236</v>
      </c>
      <c r="F2181" s="8">
        <v>0</v>
      </c>
      <c r="G2181" s="14" t="s">
        <v>2237</v>
      </c>
      <c r="H2181" s="16">
        <v>0</v>
      </c>
      <c r="I2181" s="14" t="s">
        <v>2237</v>
      </c>
      <c r="J2181" s="16">
        <v>0</v>
      </c>
      <c r="K2181" s="14" t="s">
        <v>2237</v>
      </c>
      <c r="L2181" s="16">
        <v>0</v>
      </c>
      <c r="M2181" s="14" t="s">
        <v>2237</v>
      </c>
      <c r="N2181" s="8">
        <v>0</v>
      </c>
      <c r="O2181" s="14" t="s">
        <v>2237</v>
      </c>
      <c r="P2181" s="14" t="s">
        <v>2236</v>
      </c>
      <c r="Q2181" s="17" t="s">
        <v>2236</v>
      </c>
      <c r="R2181" s="17" t="s">
        <v>2236</v>
      </c>
      <c r="S2181" s="17" t="s">
        <v>2236</v>
      </c>
      <c r="T2181" s="17" t="s">
        <v>2236</v>
      </c>
      <c r="U218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2" spans="1:31" x14ac:dyDescent="0.3">
      <c r="A2182" s="14" t="s">
        <v>5410</v>
      </c>
      <c r="B2182" s="14" t="s">
        <v>26</v>
      </c>
      <c r="C2182" s="14" t="s">
        <v>370</v>
      </c>
      <c r="D2182" s="14" t="s">
        <v>371</v>
      </c>
      <c r="E2182" s="14" t="s">
        <v>4136</v>
      </c>
      <c r="F2182" s="8">
        <v>106099.8</v>
      </c>
      <c r="G2182" s="14" t="s">
        <v>2237</v>
      </c>
      <c r="H2182" s="16">
        <v>106099.8</v>
      </c>
      <c r="I2182" s="14" t="s">
        <v>2237</v>
      </c>
      <c r="J2182" s="16">
        <v>0</v>
      </c>
      <c r="K2182" s="14" t="s">
        <v>2237</v>
      </c>
      <c r="L2182" s="16">
        <v>0</v>
      </c>
      <c r="M2182" s="14" t="s">
        <v>2237</v>
      </c>
      <c r="N2182" s="8">
        <v>99924.14</v>
      </c>
      <c r="O2182" s="14" t="s">
        <v>2237</v>
      </c>
      <c r="P2182" s="14" t="s">
        <v>2236</v>
      </c>
      <c r="Q2182" s="17" t="s">
        <v>2242</v>
      </c>
      <c r="R2182" s="17" t="s">
        <v>2238</v>
      </c>
      <c r="S2182" s="17" t="s">
        <v>2243</v>
      </c>
      <c r="T2182" s="17" t="s">
        <v>4138</v>
      </c>
      <c r="U218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182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182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182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E530-301297501-D235301</v>
      </c>
      <c r="Y21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2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182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182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1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1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83" spans="1:31" x14ac:dyDescent="0.3">
      <c r="A2183" s="14" t="s">
        <v>5411</v>
      </c>
      <c r="B2183" s="14" t="s">
        <v>30</v>
      </c>
      <c r="C2183" s="14" t="s">
        <v>370</v>
      </c>
      <c r="D2183" s="14" t="s">
        <v>372</v>
      </c>
      <c r="E2183" s="14" t="s">
        <v>4136</v>
      </c>
      <c r="F2183" s="8">
        <v>0</v>
      </c>
      <c r="G2183" s="14" t="s">
        <v>2237</v>
      </c>
      <c r="H2183" s="16">
        <v>0</v>
      </c>
      <c r="I2183" s="14" t="s">
        <v>2237</v>
      </c>
      <c r="J2183" s="16">
        <v>0</v>
      </c>
      <c r="K2183" s="14" t="s">
        <v>2237</v>
      </c>
      <c r="L2183" s="16">
        <v>0</v>
      </c>
      <c r="M2183" s="14" t="s">
        <v>2237</v>
      </c>
      <c r="N2183" s="8">
        <v>99924.14</v>
      </c>
      <c r="O2183" s="14" t="s">
        <v>2237</v>
      </c>
      <c r="P2183" s="14" t="s">
        <v>2236</v>
      </c>
      <c r="Q2183" s="17" t="s">
        <v>2242</v>
      </c>
      <c r="R2183" s="17" t="s">
        <v>2238</v>
      </c>
      <c r="S2183" s="17" t="s">
        <v>2243</v>
      </c>
      <c r="T2183" s="17" t="s">
        <v>4142</v>
      </c>
      <c r="U21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183" s="10" t="str">
        <f>IF(IFERROR(INDEX(WBS_Dictionary!F$2:F$1212, MATCH(Table2[[#This Row],[WBS_ID]], Table26[WBS CODE],0)), "") = "", "null", IFERROR(INDEX(WBS_Dictionary!F$2:F$1212, MATCH(Table2[[#This Row],[WBS_ID]], Table26[WBS CODE],0)), ""))</f>
        <v>E530-30129-D235301</v>
      </c>
      <c r="W2183" s="10" t="str">
        <f>IF(IFERROR(INDEX(WBS_Dictionary!G$2:G$1212, MATCH(Table2[[#This Row],[WBS_ID]], Table26[WBS CODE],0)), "") = "", "null", IFERROR(INDEX(WBS_Dictionary!G$2:G$1212, MATCH(Table2[[#This Row],[WBS_ID]], Table26[WBS CODE],0)), ""))</f>
        <v>E530-3012975-D235301</v>
      </c>
      <c r="X2183" s="10" t="str">
        <f>IF(IFERROR(INDEX(WBS_Dictionary!H$2:H$1212, MATCH(Table2[[#This Row],[WBS_ID]], Table26[WBS CODE],0)), "") = "", "null", IFERROR(INDEX(WBS_Dictionary!H$2:H$1212, MATCH(Table2[[#This Row],[WBS_ID]], Table26[WBS CODE],0)), ""))</f>
        <v>E530-301297501-D235301</v>
      </c>
      <c r="Y2183" s="10" t="str">
        <f>IF(IFERROR(INDEX(WBS_Dictionary!I$2:I$1212, MATCH(Table2[[#This Row],[WBS_ID]], Table26[WBS CODE],0)), "") = "", "null", IFERROR(INDEX(WBS_Dictionary!I$2:I$1212, MATCH(Table2[[#This Row],[WBS_ID]], Table26[WBS CODE],0)), ""))</f>
        <v>E530-30129750101-D235301</v>
      </c>
      <c r="Z2183" s="10" t="str">
        <f>IF(IFERROR(INDEX(WBS_Dictionary!J$2:J$1212, MATCH(Table2[[#This Row],[WBS_ID]], Table26[WBS CODE],0)), "") = "", "null", IFERROR(INDEX(WBS_Dictionary!J$2:J$1212, MATCH(Table2[[#This Row],[WBS_ID]], Table26[WBS CODE],0)), ""))</f>
        <v>Support Cost</v>
      </c>
      <c r="AA2183" s="10" t="str">
        <f>IF(IFERROR(INDEX(WBS_Dictionary!K$2:K$1212, MATCH(Table2[[#This Row],[WBS_ID]], Table26[WBS CODE],0)), "") = "", "null", IFERROR(INDEX(WBS_Dictionary!K$2:K$1212, MATCH(Table2[[#This Row],[WBS_ID]], Table26[WBS CODE],0)), ""))</f>
        <v>Well Testing</v>
      </c>
      <c r="AB2183" s="10" t="str">
        <f>IF(IFERROR(INDEX(WBS_Dictionary!L$2:L$1212, MATCH(Table2[[#This Row],[WBS_ID]], Table26[WBS CODE],0)), "") = "", "null", IFERROR(INDEX(WBS_Dictionary!L$2:L$1212, MATCH(Table2[[#This Row],[WBS_ID]], Table26[WBS CODE],0)), ""))</f>
        <v>Well Testing</v>
      </c>
      <c r="AC2183" s="10" t="str">
        <f>IF(IFERROR(INDEX(WBS_Dictionary!M$2:M$1212, MATCH(Table2[[#This Row],[WBS_ID]], Table26[WBS CODE],0)), "") = "", "null", IFERROR(INDEX(WBS_Dictionary!M$2:M$1212, MATCH(Table2[[#This Row],[WBS_ID]], Table26[WBS CODE],0)), ""))</f>
        <v>Well Testing</v>
      </c>
      <c r="AD218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1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184" spans="1:31" hidden="1" x14ac:dyDescent="0.3">
      <c r="A2184" s="14" t="s">
        <v>5412</v>
      </c>
      <c r="B2184" s="14" t="s">
        <v>2366</v>
      </c>
      <c r="C2184" s="14" t="s">
        <v>5413</v>
      </c>
      <c r="D2184" s="14" t="s">
        <v>5414</v>
      </c>
      <c r="E2184" s="14" t="s">
        <v>2236</v>
      </c>
      <c r="F2184" s="8">
        <v>0</v>
      </c>
      <c r="G2184" s="14" t="s">
        <v>2237</v>
      </c>
      <c r="H2184" s="16">
        <v>0</v>
      </c>
      <c r="I2184" s="14" t="s">
        <v>2237</v>
      </c>
      <c r="J2184" s="16">
        <v>0</v>
      </c>
      <c r="K2184" s="14" t="s">
        <v>2237</v>
      </c>
      <c r="L2184" s="16">
        <v>0</v>
      </c>
      <c r="M2184" s="14" t="s">
        <v>2237</v>
      </c>
      <c r="N2184" s="8">
        <v>336.46</v>
      </c>
      <c r="O2184" s="14" t="s">
        <v>2237</v>
      </c>
      <c r="P2184" s="14" t="s">
        <v>2236</v>
      </c>
      <c r="Q2184" s="17" t="s">
        <v>2236</v>
      </c>
      <c r="R2184" s="17" t="s">
        <v>2236</v>
      </c>
      <c r="S2184" s="17" t="s">
        <v>2236</v>
      </c>
      <c r="T2184" s="17" t="s">
        <v>2866</v>
      </c>
      <c r="U218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5" spans="1:31" hidden="1" x14ac:dyDescent="0.3">
      <c r="A2185" s="14" t="s">
        <v>5415</v>
      </c>
      <c r="B2185" s="14" t="s">
        <v>2371</v>
      </c>
      <c r="C2185" s="14" t="s">
        <v>5416</v>
      </c>
      <c r="D2185" s="14" t="s">
        <v>5417</v>
      </c>
      <c r="E2185" s="14" t="s">
        <v>2236</v>
      </c>
      <c r="F2185" s="8">
        <v>0</v>
      </c>
      <c r="G2185" s="14" t="s">
        <v>2237</v>
      </c>
      <c r="H2185" s="16">
        <v>0</v>
      </c>
      <c r="I2185" s="14" t="s">
        <v>2237</v>
      </c>
      <c r="J2185" s="16">
        <v>0</v>
      </c>
      <c r="K2185" s="14" t="s">
        <v>2237</v>
      </c>
      <c r="L2185" s="16">
        <v>0</v>
      </c>
      <c r="M2185" s="14" t="s">
        <v>2237</v>
      </c>
      <c r="N2185" s="8">
        <v>0</v>
      </c>
      <c r="O2185" s="14" t="s">
        <v>2237</v>
      </c>
      <c r="P2185" s="14" t="s">
        <v>2236</v>
      </c>
      <c r="Q2185" s="17" t="s">
        <v>2236</v>
      </c>
      <c r="R2185" s="17" t="s">
        <v>2236</v>
      </c>
      <c r="S2185" s="17" t="s">
        <v>2236</v>
      </c>
      <c r="T2185" s="17" t="s">
        <v>2236</v>
      </c>
      <c r="U218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6" spans="1:31" hidden="1" x14ac:dyDescent="0.3">
      <c r="A2186" s="14" t="s">
        <v>5418</v>
      </c>
      <c r="B2186" s="14" t="s">
        <v>2371</v>
      </c>
      <c r="C2186" s="14" t="s">
        <v>5419</v>
      </c>
      <c r="D2186" s="14" t="s">
        <v>5420</v>
      </c>
      <c r="E2186" s="14" t="s">
        <v>2236</v>
      </c>
      <c r="F2186" s="8">
        <v>0</v>
      </c>
      <c r="G2186" s="14" t="s">
        <v>2237</v>
      </c>
      <c r="H2186" s="16">
        <v>0</v>
      </c>
      <c r="I2186" s="14" t="s">
        <v>2237</v>
      </c>
      <c r="J2186" s="16">
        <v>0</v>
      </c>
      <c r="K2186" s="14" t="s">
        <v>2237</v>
      </c>
      <c r="L2186" s="16">
        <v>0</v>
      </c>
      <c r="M2186" s="14" t="s">
        <v>2237</v>
      </c>
      <c r="N2186" s="8">
        <v>0</v>
      </c>
      <c r="O2186" s="14" t="s">
        <v>2237</v>
      </c>
      <c r="P2186" s="14" t="s">
        <v>2236</v>
      </c>
      <c r="Q2186" s="17" t="s">
        <v>2236</v>
      </c>
      <c r="R2186" s="17" t="s">
        <v>2236</v>
      </c>
      <c r="S2186" s="17" t="s">
        <v>2236</v>
      </c>
      <c r="T2186" s="17" t="s">
        <v>2236</v>
      </c>
      <c r="U218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7" spans="1:31" hidden="1" x14ac:dyDescent="0.3">
      <c r="A2187" s="14" t="s">
        <v>5421</v>
      </c>
      <c r="B2187" s="14" t="s">
        <v>2371</v>
      </c>
      <c r="C2187" s="14" t="s">
        <v>5422</v>
      </c>
      <c r="D2187" s="14" t="s">
        <v>5423</v>
      </c>
      <c r="E2187" s="14" t="s">
        <v>2236</v>
      </c>
      <c r="F2187" s="8">
        <v>0</v>
      </c>
      <c r="G2187" s="14" t="s">
        <v>2237</v>
      </c>
      <c r="H2187" s="16">
        <v>0</v>
      </c>
      <c r="I2187" s="14" t="s">
        <v>2237</v>
      </c>
      <c r="J2187" s="16">
        <v>0</v>
      </c>
      <c r="K2187" s="14" t="s">
        <v>2237</v>
      </c>
      <c r="L2187" s="16">
        <v>0</v>
      </c>
      <c r="M2187" s="14" t="s">
        <v>2237</v>
      </c>
      <c r="N2187" s="8">
        <v>0</v>
      </c>
      <c r="O2187" s="14" t="s">
        <v>2237</v>
      </c>
      <c r="P2187" s="14" t="s">
        <v>2236</v>
      </c>
      <c r="Q2187" s="17" t="s">
        <v>2236</v>
      </c>
      <c r="R2187" s="17" t="s">
        <v>2236</v>
      </c>
      <c r="S2187" s="17" t="s">
        <v>2236</v>
      </c>
      <c r="T2187" s="17" t="s">
        <v>2236</v>
      </c>
      <c r="U218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8" spans="1:31" hidden="1" x14ac:dyDescent="0.3">
      <c r="A2188" s="14" t="s">
        <v>5424</v>
      </c>
      <c r="B2188" s="14" t="s">
        <v>2371</v>
      </c>
      <c r="C2188" s="14" t="s">
        <v>5425</v>
      </c>
      <c r="D2188" s="14" t="s">
        <v>5426</v>
      </c>
      <c r="E2188" s="14" t="s">
        <v>2236</v>
      </c>
      <c r="F2188" s="8">
        <v>0</v>
      </c>
      <c r="G2188" s="14" t="s">
        <v>2237</v>
      </c>
      <c r="H2188" s="16">
        <v>0</v>
      </c>
      <c r="I2188" s="14" t="s">
        <v>2237</v>
      </c>
      <c r="J2188" s="16">
        <v>0</v>
      </c>
      <c r="K2188" s="14" t="s">
        <v>2237</v>
      </c>
      <c r="L2188" s="16">
        <v>0</v>
      </c>
      <c r="M2188" s="14" t="s">
        <v>2237</v>
      </c>
      <c r="N2188" s="8">
        <v>0</v>
      </c>
      <c r="O2188" s="14" t="s">
        <v>2237</v>
      </c>
      <c r="P2188" s="14" t="s">
        <v>2236</v>
      </c>
      <c r="Q2188" s="17" t="s">
        <v>2236</v>
      </c>
      <c r="R2188" s="17" t="s">
        <v>2236</v>
      </c>
      <c r="S2188" s="17" t="s">
        <v>2236</v>
      </c>
      <c r="T2188" s="17" t="s">
        <v>2236</v>
      </c>
      <c r="U218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89" spans="1:31" hidden="1" x14ac:dyDescent="0.3">
      <c r="A2189" s="14" t="s">
        <v>5427</v>
      </c>
      <c r="B2189" s="14" t="s">
        <v>2371</v>
      </c>
      <c r="C2189" s="14" t="s">
        <v>5428</v>
      </c>
      <c r="D2189" s="14" t="s">
        <v>5429</v>
      </c>
      <c r="E2189" s="14" t="s">
        <v>2236</v>
      </c>
      <c r="F2189" s="8">
        <v>0</v>
      </c>
      <c r="G2189" s="14" t="s">
        <v>2237</v>
      </c>
      <c r="H2189" s="16">
        <v>0</v>
      </c>
      <c r="I2189" s="14" t="s">
        <v>2237</v>
      </c>
      <c r="J2189" s="16">
        <v>0</v>
      </c>
      <c r="K2189" s="14" t="s">
        <v>2237</v>
      </c>
      <c r="L2189" s="16">
        <v>0</v>
      </c>
      <c r="M2189" s="14" t="s">
        <v>2237</v>
      </c>
      <c r="N2189" s="8">
        <v>0</v>
      </c>
      <c r="O2189" s="14" t="s">
        <v>2237</v>
      </c>
      <c r="P2189" s="14" t="s">
        <v>2236</v>
      </c>
      <c r="Q2189" s="17" t="s">
        <v>2236</v>
      </c>
      <c r="R2189" s="17" t="s">
        <v>2236</v>
      </c>
      <c r="S2189" s="17" t="s">
        <v>2236</v>
      </c>
      <c r="T2189" s="17" t="s">
        <v>2236</v>
      </c>
      <c r="U218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8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8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8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8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8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8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0" spans="1:31" hidden="1" x14ac:dyDescent="0.3">
      <c r="A2190" s="14" t="s">
        <v>5430</v>
      </c>
      <c r="B2190" s="14" t="s">
        <v>2371</v>
      </c>
      <c r="C2190" s="14" t="s">
        <v>4779</v>
      </c>
      <c r="D2190" s="14" t="s">
        <v>5431</v>
      </c>
      <c r="E2190" s="14" t="s">
        <v>2236</v>
      </c>
      <c r="F2190" s="8">
        <v>0</v>
      </c>
      <c r="G2190" s="14" t="s">
        <v>2237</v>
      </c>
      <c r="H2190" s="16">
        <v>0</v>
      </c>
      <c r="I2190" s="14" t="s">
        <v>2237</v>
      </c>
      <c r="J2190" s="16">
        <v>0</v>
      </c>
      <c r="K2190" s="14" t="s">
        <v>2237</v>
      </c>
      <c r="L2190" s="16">
        <v>0</v>
      </c>
      <c r="M2190" s="14" t="s">
        <v>2237</v>
      </c>
      <c r="N2190" s="8">
        <v>0</v>
      </c>
      <c r="O2190" s="14" t="s">
        <v>2237</v>
      </c>
      <c r="P2190" s="14" t="s">
        <v>2236</v>
      </c>
      <c r="Q2190" s="17" t="s">
        <v>2236</v>
      </c>
      <c r="R2190" s="17" t="s">
        <v>2236</v>
      </c>
      <c r="S2190" s="17" t="s">
        <v>2236</v>
      </c>
      <c r="T2190" s="17" t="s">
        <v>2236</v>
      </c>
      <c r="U219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1" spans="1:31" hidden="1" x14ac:dyDescent="0.3">
      <c r="A2191" s="14" t="s">
        <v>5432</v>
      </c>
      <c r="B2191" s="14" t="s">
        <v>2371</v>
      </c>
      <c r="C2191" s="14" t="s">
        <v>4781</v>
      </c>
      <c r="D2191" s="14" t="s">
        <v>5433</v>
      </c>
      <c r="E2191" s="14" t="s">
        <v>2236</v>
      </c>
      <c r="F2191" s="8">
        <v>0</v>
      </c>
      <c r="G2191" s="14" t="s">
        <v>2237</v>
      </c>
      <c r="H2191" s="16">
        <v>0</v>
      </c>
      <c r="I2191" s="14" t="s">
        <v>2237</v>
      </c>
      <c r="J2191" s="16">
        <v>0</v>
      </c>
      <c r="K2191" s="14" t="s">
        <v>2237</v>
      </c>
      <c r="L2191" s="16">
        <v>0</v>
      </c>
      <c r="M2191" s="14" t="s">
        <v>2237</v>
      </c>
      <c r="N2191" s="8">
        <v>0</v>
      </c>
      <c r="O2191" s="14" t="s">
        <v>2237</v>
      </c>
      <c r="P2191" s="14" t="s">
        <v>2236</v>
      </c>
      <c r="Q2191" s="17" t="s">
        <v>2236</v>
      </c>
      <c r="R2191" s="17" t="s">
        <v>2236</v>
      </c>
      <c r="S2191" s="17" t="s">
        <v>2236</v>
      </c>
      <c r="T2191" s="17" t="s">
        <v>2236</v>
      </c>
      <c r="U219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2" spans="1:31" hidden="1" x14ac:dyDescent="0.3">
      <c r="A2192" s="14" t="s">
        <v>5434</v>
      </c>
      <c r="B2192" s="14" t="s">
        <v>2371</v>
      </c>
      <c r="C2192" s="14" t="s">
        <v>4783</v>
      </c>
      <c r="D2192" s="14" t="s">
        <v>5435</v>
      </c>
      <c r="E2192" s="14" t="s">
        <v>2236</v>
      </c>
      <c r="F2192" s="8">
        <v>0</v>
      </c>
      <c r="G2192" s="14" t="s">
        <v>2237</v>
      </c>
      <c r="H2192" s="16">
        <v>0</v>
      </c>
      <c r="I2192" s="14" t="s">
        <v>2237</v>
      </c>
      <c r="J2192" s="16">
        <v>0</v>
      </c>
      <c r="K2192" s="14" t="s">
        <v>2237</v>
      </c>
      <c r="L2192" s="16">
        <v>0</v>
      </c>
      <c r="M2192" s="14" t="s">
        <v>2237</v>
      </c>
      <c r="N2192" s="8">
        <v>0</v>
      </c>
      <c r="O2192" s="14" t="s">
        <v>2237</v>
      </c>
      <c r="P2192" s="14" t="s">
        <v>2236</v>
      </c>
      <c r="Q2192" s="17" t="s">
        <v>2236</v>
      </c>
      <c r="R2192" s="17" t="s">
        <v>2236</v>
      </c>
      <c r="S2192" s="17" t="s">
        <v>2236</v>
      </c>
      <c r="T2192" s="17" t="s">
        <v>2236</v>
      </c>
      <c r="U219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3" spans="1:31" hidden="1" x14ac:dyDescent="0.3">
      <c r="A2193" s="14" t="s">
        <v>5436</v>
      </c>
      <c r="B2193" s="14" t="s">
        <v>2371</v>
      </c>
      <c r="C2193" s="14" t="s">
        <v>4785</v>
      </c>
      <c r="D2193" s="14" t="s">
        <v>5437</v>
      </c>
      <c r="E2193" s="14" t="s">
        <v>2236</v>
      </c>
      <c r="F2193" s="8">
        <v>0</v>
      </c>
      <c r="G2193" s="14" t="s">
        <v>2237</v>
      </c>
      <c r="H2193" s="16">
        <v>0</v>
      </c>
      <c r="I2193" s="14" t="s">
        <v>2237</v>
      </c>
      <c r="J2193" s="16">
        <v>0</v>
      </c>
      <c r="K2193" s="14" t="s">
        <v>2237</v>
      </c>
      <c r="L2193" s="16">
        <v>0</v>
      </c>
      <c r="M2193" s="14" t="s">
        <v>2237</v>
      </c>
      <c r="N2193" s="8">
        <v>0</v>
      </c>
      <c r="O2193" s="14" t="s">
        <v>2237</v>
      </c>
      <c r="P2193" s="14" t="s">
        <v>2236</v>
      </c>
      <c r="Q2193" s="17" t="s">
        <v>2236</v>
      </c>
      <c r="R2193" s="17" t="s">
        <v>2236</v>
      </c>
      <c r="S2193" s="17" t="s">
        <v>2236</v>
      </c>
      <c r="T2193" s="17" t="s">
        <v>2236</v>
      </c>
      <c r="U219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4" spans="1:31" hidden="1" x14ac:dyDescent="0.3">
      <c r="A2194" s="14" t="s">
        <v>5438</v>
      </c>
      <c r="B2194" s="14" t="s">
        <v>2371</v>
      </c>
      <c r="C2194" s="14" t="s">
        <v>4787</v>
      </c>
      <c r="D2194" s="14" t="s">
        <v>5439</v>
      </c>
      <c r="E2194" s="14" t="s">
        <v>2236</v>
      </c>
      <c r="F2194" s="8">
        <v>0</v>
      </c>
      <c r="G2194" s="14" t="s">
        <v>2237</v>
      </c>
      <c r="H2194" s="16">
        <v>0</v>
      </c>
      <c r="I2194" s="14" t="s">
        <v>2237</v>
      </c>
      <c r="J2194" s="16">
        <v>0</v>
      </c>
      <c r="K2194" s="14" t="s">
        <v>2237</v>
      </c>
      <c r="L2194" s="16">
        <v>0</v>
      </c>
      <c r="M2194" s="14" t="s">
        <v>2237</v>
      </c>
      <c r="N2194" s="8">
        <v>0</v>
      </c>
      <c r="O2194" s="14" t="s">
        <v>2237</v>
      </c>
      <c r="P2194" s="14" t="s">
        <v>2236</v>
      </c>
      <c r="Q2194" s="17" t="s">
        <v>2236</v>
      </c>
      <c r="R2194" s="17" t="s">
        <v>2236</v>
      </c>
      <c r="S2194" s="17" t="s">
        <v>2236</v>
      </c>
      <c r="T2194" s="17" t="s">
        <v>2236</v>
      </c>
      <c r="U219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5" spans="1:31" hidden="1" x14ac:dyDescent="0.3">
      <c r="A2195" s="14" t="s">
        <v>5440</v>
      </c>
      <c r="B2195" s="14" t="s">
        <v>2371</v>
      </c>
      <c r="C2195" s="14" t="s">
        <v>4789</v>
      </c>
      <c r="D2195" s="14" t="s">
        <v>5441</v>
      </c>
      <c r="E2195" s="14" t="s">
        <v>2236</v>
      </c>
      <c r="F2195" s="8">
        <v>0</v>
      </c>
      <c r="G2195" s="14" t="s">
        <v>2237</v>
      </c>
      <c r="H2195" s="16">
        <v>0</v>
      </c>
      <c r="I2195" s="14" t="s">
        <v>2237</v>
      </c>
      <c r="J2195" s="16">
        <v>0</v>
      </c>
      <c r="K2195" s="14" t="s">
        <v>2237</v>
      </c>
      <c r="L2195" s="16">
        <v>0</v>
      </c>
      <c r="M2195" s="14" t="s">
        <v>2237</v>
      </c>
      <c r="N2195" s="8">
        <v>0</v>
      </c>
      <c r="O2195" s="14" t="s">
        <v>2237</v>
      </c>
      <c r="P2195" s="14" t="s">
        <v>2236</v>
      </c>
      <c r="Q2195" s="17" t="s">
        <v>2236</v>
      </c>
      <c r="R2195" s="17" t="s">
        <v>2236</v>
      </c>
      <c r="S2195" s="17" t="s">
        <v>2236</v>
      </c>
      <c r="T2195" s="17" t="s">
        <v>2236</v>
      </c>
      <c r="U219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6" spans="1:31" hidden="1" x14ac:dyDescent="0.3">
      <c r="A2196" s="14" t="s">
        <v>5442</v>
      </c>
      <c r="B2196" s="14" t="s">
        <v>2371</v>
      </c>
      <c r="C2196" s="14" t="s">
        <v>4791</v>
      </c>
      <c r="D2196" s="14" t="s">
        <v>5443</v>
      </c>
      <c r="E2196" s="14" t="s">
        <v>2236</v>
      </c>
      <c r="F2196" s="8">
        <v>0</v>
      </c>
      <c r="G2196" s="14" t="s">
        <v>2237</v>
      </c>
      <c r="H2196" s="16">
        <v>0</v>
      </c>
      <c r="I2196" s="14" t="s">
        <v>2237</v>
      </c>
      <c r="J2196" s="16">
        <v>0</v>
      </c>
      <c r="K2196" s="14" t="s">
        <v>2237</v>
      </c>
      <c r="L2196" s="16">
        <v>0</v>
      </c>
      <c r="M2196" s="14" t="s">
        <v>2237</v>
      </c>
      <c r="N2196" s="8">
        <v>0</v>
      </c>
      <c r="O2196" s="14" t="s">
        <v>2237</v>
      </c>
      <c r="P2196" s="14" t="s">
        <v>2236</v>
      </c>
      <c r="Q2196" s="17" t="s">
        <v>2236</v>
      </c>
      <c r="R2196" s="17" t="s">
        <v>2236</v>
      </c>
      <c r="S2196" s="17" t="s">
        <v>2236</v>
      </c>
      <c r="T2196" s="17" t="s">
        <v>2236</v>
      </c>
      <c r="U219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7" spans="1:31" hidden="1" x14ac:dyDescent="0.3">
      <c r="A2197" s="14" t="s">
        <v>5444</v>
      </c>
      <c r="B2197" s="14" t="s">
        <v>2371</v>
      </c>
      <c r="C2197" s="14" t="s">
        <v>4793</v>
      </c>
      <c r="D2197" s="14" t="s">
        <v>5445</v>
      </c>
      <c r="E2197" s="14" t="s">
        <v>2236</v>
      </c>
      <c r="F2197" s="8">
        <v>0</v>
      </c>
      <c r="G2197" s="14" t="s">
        <v>2237</v>
      </c>
      <c r="H2197" s="16">
        <v>0</v>
      </c>
      <c r="I2197" s="14" t="s">
        <v>2237</v>
      </c>
      <c r="J2197" s="16">
        <v>0</v>
      </c>
      <c r="K2197" s="14" t="s">
        <v>2237</v>
      </c>
      <c r="L2197" s="16">
        <v>0</v>
      </c>
      <c r="M2197" s="14" t="s">
        <v>2237</v>
      </c>
      <c r="N2197" s="8">
        <v>0</v>
      </c>
      <c r="O2197" s="14" t="s">
        <v>2237</v>
      </c>
      <c r="P2197" s="14" t="s">
        <v>2236</v>
      </c>
      <c r="Q2197" s="17" t="s">
        <v>2236</v>
      </c>
      <c r="R2197" s="17" t="s">
        <v>2236</v>
      </c>
      <c r="S2197" s="17" t="s">
        <v>2236</v>
      </c>
      <c r="T2197" s="17" t="s">
        <v>2236</v>
      </c>
      <c r="U219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8" spans="1:31" hidden="1" x14ac:dyDescent="0.3">
      <c r="A2198" s="14" t="s">
        <v>5446</v>
      </c>
      <c r="B2198" s="14" t="s">
        <v>2371</v>
      </c>
      <c r="C2198" s="14" t="s">
        <v>4795</v>
      </c>
      <c r="D2198" s="14" t="s">
        <v>5447</v>
      </c>
      <c r="E2198" s="14" t="s">
        <v>2236</v>
      </c>
      <c r="F2198" s="8">
        <v>0</v>
      </c>
      <c r="G2198" s="14" t="s">
        <v>2237</v>
      </c>
      <c r="H2198" s="16">
        <v>0</v>
      </c>
      <c r="I2198" s="14" t="s">
        <v>2237</v>
      </c>
      <c r="J2198" s="16">
        <v>0</v>
      </c>
      <c r="K2198" s="14" t="s">
        <v>2237</v>
      </c>
      <c r="L2198" s="16">
        <v>0</v>
      </c>
      <c r="M2198" s="14" t="s">
        <v>2237</v>
      </c>
      <c r="N2198" s="8">
        <v>0</v>
      </c>
      <c r="O2198" s="14" t="s">
        <v>2237</v>
      </c>
      <c r="P2198" s="14" t="s">
        <v>2236</v>
      </c>
      <c r="Q2198" s="17" t="s">
        <v>2236</v>
      </c>
      <c r="R2198" s="17" t="s">
        <v>2236</v>
      </c>
      <c r="S2198" s="17" t="s">
        <v>2236</v>
      </c>
      <c r="T2198" s="17" t="s">
        <v>2236</v>
      </c>
      <c r="U219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199" spans="1:31" hidden="1" x14ac:dyDescent="0.3">
      <c r="A2199" s="14" t="s">
        <v>5448</v>
      </c>
      <c r="B2199" s="14" t="s">
        <v>2371</v>
      </c>
      <c r="C2199" s="14" t="s">
        <v>4797</v>
      </c>
      <c r="D2199" s="14" t="s">
        <v>5449</v>
      </c>
      <c r="E2199" s="14" t="s">
        <v>2236</v>
      </c>
      <c r="F2199" s="8">
        <v>0</v>
      </c>
      <c r="G2199" s="14" t="s">
        <v>2237</v>
      </c>
      <c r="H2199" s="16">
        <v>0</v>
      </c>
      <c r="I2199" s="14" t="s">
        <v>2237</v>
      </c>
      <c r="J2199" s="16">
        <v>0</v>
      </c>
      <c r="K2199" s="14" t="s">
        <v>2237</v>
      </c>
      <c r="L2199" s="16">
        <v>0</v>
      </c>
      <c r="M2199" s="14" t="s">
        <v>2237</v>
      </c>
      <c r="N2199" s="8">
        <v>0</v>
      </c>
      <c r="O2199" s="14" t="s">
        <v>2237</v>
      </c>
      <c r="P2199" s="14" t="s">
        <v>2236</v>
      </c>
      <c r="Q2199" s="17" t="s">
        <v>2236</v>
      </c>
      <c r="R2199" s="17" t="s">
        <v>2236</v>
      </c>
      <c r="S2199" s="17" t="s">
        <v>2236</v>
      </c>
      <c r="T2199" s="17" t="s">
        <v>2236</v>
      </c>
      <c r="U219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19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19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19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19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19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19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19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19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19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19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0" spans="1:31" hidden="1" x14ac:dyDescent="0.3">
      <c r="A2200" s="14" t="s">
        <v>5450</v>
      </c>
      <c r="B2200" s="14" t="s">
        <v>2371</v>
      </c>
      <c r="C2200" s="14" t="s">
        <v>4799</v>
      </c>
      <c r="D2200" s="14" t="s">
        <v>5451</v>
      </c>
      <c r="E2200" s="14" t="s">
        <v>2236</v>
      </c>
      <c r="F2200" s="8">
        <v>0</v>
      </c>
      <c r="G2200" s="14" t="s">
        <v>2237</v>
      </c>
      <c r="H2200" s="16">
        <v>0</v>
      </c>
      <c r="I2200" s="14" t="s">
        <v>2237</v>
      </c>
      <c r="J2200" s="16">
        <v>0</v>
      </c>
      <c r="K2200" s="14" t="s">
        <v>2237</v>
      </c>
      <c r="L2200" s="16">
        <v>0</v>
      </c>
      <c r="M2200" s="14" t="s">
        <v>2237</v>
      </c>
      <c r="N2200" s="8">
        <v>0</v>
      </c>
      <c r="O2200" s="14" t="s">
        <v>2237</v>
      </c>
      <c r="P2200" s="14" t="s">
        <v>2236</v>
      </c>
      <c r="Q2200" s="17" t="s">
        <v>2236</v>
      </c>
      <c r="R2200" s="17" t="s">
        <v>2236</v>
      </c>
      <c r="S2200" s="17" t="s">
        <v>2236</v>
      </c>
      <c r="T2200" s="17" t="s">
        <v>2236</v>
      </c>
      <c r="U220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1" spans="1:31" hidden="1" x14ac:dyDescent="0.3">
      <c r="A2201" s="14" t="s">
        <v>5452</v>
      </c>
      <c r="B2201" s="14" t="s">
        <v>2371</v>
      </c>
      <c r="C2201" s="14" t="s">
        <v>4801</v>
      </c>
      <c r="D2201" s="14" t="s">
        <v>5453</v>
      </c>
      <c r="E2201" s="14" t="s">
        <v>2236</v>
      </c>
      <c r="F2201" s="8">
        <v>0</v>
      </c>
      <c r="G2201" s="14" t="s">
        <v>2237</v>
      </c>
      <c r="H2201" s="16">
        <v>0</v>
      </c>
      <c r="I2201" s="14" t="s">
        <v>2237</v>
      </c>
      <c r="J2201" s="16">
        <v>0</v>
      </c>
      <c r="K2201" s="14" t="s">
        <v>2237</v>
      </c>
      <c r="L2201" s="16">
        <v>0</v>
      </c>
      <c r="M2201" s="14" t="s">
        <v>2237</v>
      </c>
      <c r="N2201" s="8">
        <v>0</v>
      </c>
      <c r="O2201" s="14" t="s">
        <v>2237</v>
      </c>
      <c r="P2201" s="14" t="s">
        <v>2236</v>
      </c>
      <c r="Q2201" s="17" t="s">
        <v>2236</v>
      </c>
      <c r="R2201" s="17" t="s">
        <v>2236</v>
      </c>
      <c r="S2201" s="17" t="s">
        <v>2236</v>
      </c>
      <c r="T2201" s="17" t="s">
        <v>2236</v>
      </c>
      <c r="U220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2" spans="1:31" hidden="1" x14ac:dyDescent="0.3">
      <c r="A2202" s="14" t="s">
        <v>5454</v>
      </c>
      <c r="B2202" s="14" t="s">
        <v>2371</v>
      </c>
      <c r="C2202" s="14" t="s">
        <v>5455</v>
      </c>
      <c r="D2202" s="14" t="s">
        <v>5456</v>
      </c>
      <c r="E2202" s="14" t="s">
        <v>2236</v>
      </c>
      <c r="F2202" s="8">
        <v>0</v>
      </c>
      <c r="G2202" s="14" t="s">
        <v>2237</v>
      </c>
      <c r="H2202" s="16">
        <v>0</v>
      </c>
      <c r="I2202" s="14" t="s">
        <v>2237</v>
      </c>
      <c r="J2202" s="16">
        <v>0</v>
      </c>
      <c r="K2202" s="14" t="s">
        <v>2237</v>
      </c>
      <c r="L2202" s="16">
        <v>0</v>
      </c>
      <c r="M2202" s="14" t="s">
        <v>2237</v>
      </c>
      <c r="N2202" s="8">
        <v>0</v>
      </c>
      <c r="O2202" s="14" t="s">
        <v>2237</v>
      </c>
      <c r="P2202" s="14" t="s">
        <v>2236</v>
      </c>
      <c r="Q2202" s="17" t="s">
        <v>2236</v>
      </c>
      <c r="R2202" s="17" t="s">
        <v>2236</v>
      </c>
      <c r="S2202" s="17" t="s">
        <v>2236</v>
      </c>
      <c r="T2202" s="17" t="s">
        <v>2236</v>
      </c>
      <c r="U220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3" spans="1:31" hidden="1" x14ac:dyDescent="0.3">
      <c r="A2203" s="14" t="s">
        <v>5457</v>
      </c>
      <c r="B2203" s="14" t="s">
        <v>2371</v>
      </c>
      <c r="C2203" s="14" t="s">
        <v>5458</v>
      </c>
      <c r="D2203" s="14" t="s">
        <v>5459</v>
      </c>
      <c r="E2203" s="14" t="s">
        <v>2236</v>
      </c>
      <c r="F2203" s="8">
        <v>0</v>
      </c>
      <c r="G2203" s="14" t="s">
        <v>2237</v>
      </c>
      <c r="H2203" s="16">
        <v>0</v>
      </c>
      <c r="I2203" s="14" t="s">
        <v>2237</v>
      </c>
      <c r="J2203" s="16">
        <v>0</v>
      </c>
      <c r="K2203" s="14" t="s">
        <v>2237</v>
      </c>
      <c r="L2203" s="16">
        <v>0</v>
      </c>
      <c r="M2203" s="14" t="s">
        <v>2237</v>
      </c>
      <c r="N2203" s="8">
        <v>0</v>
      </c>
      <c r="O2203" s="14" t="s">
        <v>2237</v>
      </c>
      <c r="P2203" s="14" t="s">
        <v>2236</v>
      </c>
      <c r="Q2203" s="17" t="s">
        <v>2236</v>
      </c>
      <c r="R2203" s="17" t="s">
        <v>2236</v>
      </c>
      <c r="S2203" s="17" t="s">
        <v>2236</v>
      </c>
      <c r="T2203" s="17" t="s">
        <v>2236</v>
      </c>
      <c r="U220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4" spans="1:31" hidden="1" x14ac:dyDescent="0.3">
      <c r="A2204" s="14" t="s">
        <v>5460</v>
      </c>
      <c r="B2204" s="14" t="s">
        <v>2371</v>
      </c>
      <c r="C2204" s="14" t="s">
        <v>3011</v>
      </c>
      <c r="D2204" s="14" t="s">
        <v>5461</v>
      </c>
      <c r="E2204" s="14" t="s">
        <v>2236</v>
      </c>
      <c r="F2204" s="8">
        <v>0</v>
      </c>
      <c r="G2204" s="14" t="s">
        <v>2237</v>
      </c>
      <c r="H2204" s="16">
        <v>0</v>
      </c>
      <c r="I2204" s="14" t="s">
        <v>2237</v>
      </c>
      <c r="J2204" s="16">
        <v>0</v>
      </c>
      <c r="K2204" s="14" t="s">
        <v>2237</v>
      </c>
      <c r="L2204" s="16">
        <v>0</v>
      </c>
      <c r="M2204" s="14" t="s">
        <v>2237</v>
      </c>
      <c r="N2204" s="8">
        <v>0</v>
      </c>
      <c r="O2204" s="14" t="s">
        <v>2237</v>
      </c>
      <c r="P2204" s="14" t="s">
        <v>2236</v>
      </c>
      <c r="Q2204" s="17" t="s">
        <v>2236</v>
      </c>
      <c r="R2204" s="17" t="s">
        <v>2236</v>
      </c>
      <c r="S2204" s="17" t="s">
        <v>2236</v>
      </c>
      <c r="T2204" s="17" t="s">
        <v>2236</v>
      </c>
      <c r="U220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5" spans="1:31" hidden="1" x14ac:dyDescent="0.3">
      <c r="A2205" s="14" t="s">
        <v>5462</v>
      </c>
      <c r="B2205" s="14" t="s">
        <v>2371</v>
      </c>
      <c r="C2205" s="14" t="s">
        <v>5463</v>
      </c>
      <c r="D2205" s="14" t="s">
        <v>5464</v>
      </c>
      <c r="E2205" s="14" t="s">
        <v>2236</v>
      </c>
      <c r="F2205" s="8">
        <v>0</v>
      </c>
      <c r="G2205" s="14" t="s">
        <v>2237</v>
      </c>
      <c r="H2205" s="16">
        <v>0</v>
      </c>
      <c r="I2205" s="14" t="s">
        <v>2237</v>
      </c>
      <c r="J2205" s="16">
        <v>0</v>
      </c>
      <c r="K2205" s="14" t="s">
        <v>2237</v>
      </c>
      <c r="L2205" s="16">
        <v>0</v>
      </c>
      <c r="M2205" s="14" t="s">
        <v>2237</v>
      </c>
      <c r="N2205" s="8">
        <v>0</v>
      </c>
      <c r="O2205" s="14" t="s">
        <v>2237</v>
      </c>
      <c r="P2205" s="14" t="s">
        <v>2236</v>
      </c>
      <c r="Q2205" s="17" t="s">
        <v>2236</v>
      </c>
      <c r="R2205" s="17" t="s">
        <v>2236</v>
      </c>
      <c r="S2205" s="17" t="s">
        <v>2236</v>
      </c>
      <c r="T2205" s="17" t="s">
        <v>2236</v>
      </c>
      <c r="U220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6" spans="1:31" hidden="1" x14ac:dyDescent="0.3">
      <c r="A2206" s="14" t="s">
        <v>5465</v>
      </c>
      <c r="B2206" s="14" t="s">
        <v>2371</v>
      </c>
      <c r="C2206" s="14" t="s">
        <v>5466</v>
      </c>
      <c r="D2206" s="14" t="s">
        <v>5467</v>
      </c>
      <c r="E2206" s="14" t="s">
        <v>2236</v>
      </c>
      <c r="F2206" s="8">
        <v>0</v>
      </c>
      <c r="G2206" s="14" t="s">
        <v>2237</v>
      </c>
      <c r="H2206" s="16">
        <v>0</v>
      </c>
      <c r="I2206" s="14" t="s">
        <v>2237</v>
      </c>
      <c r="J2206" s="16">
        <v>0</v>
      </c>
      <c r="K2206" s="14" t="s">
        <v>2237</v>
      </c>
      <c r="L2206" s="16">
        <v>0</v>
      </c>
      <c r="M2206" s="14" t="s">
        <v>2237</v>
      </c>
      <c r="N2206" s="8">
        <v>0</v>
      </c>
      <c r="O2206" s="14" t="s">
        <v>2237</v>
      </c>
      <c r="P2206" s="14" t="s">
        <v>2236</v>
      </c>
      <c r="Q2206" s="17" t="s">
        <v>2236</v>
      </c>
      <c r="R2206" s="17" t="s">
        <v>2236</v>
      </c>
      <c r="S2206" s="17" t="s">
        <v>2236</v>
      </c>
      <c r="T2206" s="17" t="s">
        <v>2236</v>
      </c>
      <c r="U220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7" spans="1:31" hidden="1" x14ac:dyDescent="0.3">
      <c r="A2207" s="14" t="s">
        <v>5468</v>
      </c>
      <c r="B2207" s="14" t="s">
        <v>2371</v>
      </c>
      <c r="C2207" s="14" t="s">
        <v>5469</v>
      </c>
      <c r="D2207" s="14" t="s">
        <v>5470</v>
      </c>
      <c r="E2207" s="14" t="s">
        <v>2236</v>
      </c>
      <c r="F2207" s="8">
        <v>0</v>
      </c>
      <c r="G2207" s="14" t="s">
        <v>2237</v>
      </c>
      <c r="H2207" s="16">
        <v>0</v>
      </c>
      <c r="I2207" s="14" t="s">
        <v>2237</v>
      </c>
      <c r="J2207" s="16">
        <v>0</v>
      </c>
      <c r="K2207" s="14" t="s">
        <v>2237</v>
      </c>
      <c r="L2207" s="16">
        <v>0</v>
      </c>
      <c r="M2207" s="14" t="s">
        <v>2237</v>
      </c>
      <c r="N2207" s="8">
        <v>0</v>
      </c>
      <c r="O2207" s="14" t="s">
        <v>2237</v>
      </c>
      <c r="P2207" s="14" t="s">
        <v>2236</v>
      </c>
      <c r="Q2207" s="17" t="s">
        <v>2236</v>
      </c>
      <c r="R2207" s="17" t="s">
        <v>2236</v>
      </c>
      <c r="S2207" s="17" t="s">
        <v>2236</v>
      </c>
      <c r="T2207" s="17" t="s">
        <v>2236</v>
      </c>
      <c r="U2207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7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7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8" spans="1:31" hidden="1" x14ac:dyDescent="0.3">
      <c r="A2208" s="14" t="s">
        <v>5471</v>
      </c>
      <c r="B2208" s="14" t="s">
        <v>2371</v>
      </c>
      <c r="C2208" s="14" t="s">
        <v>5472</v>
      </c>
      <c r="D2208" s="14" t="s">
        <v>5473</v>
      </c>
      <c r="E2208" s="14" t="s">
        <v>2236</v>
      </c>
      <c r="F2208" s="8">
        <v>0</v>
      </c>
      <c r="G2208" s="14" t="s">
        <v>2237</v>
      </c>
      <c r="H2208" s="16">
        <v>0</v>
      </c>
      <c r="I2208" s="14" t="s">
        <v>2237</v>
      </c>
      <c r="J2208" s="16">
        <v>0</v>
      </c>
      <c r="K2208" s="14" t="s">
        <v>2237</v>
      </c>
      <c r="L2208" s="16">
        <v>0</v>
      </c>
      <c r="M2208" s="14" t="s">
        <v>2237</v>
      </c>
      <c r="N2208" s="8">
        <v>0</v>
      </c>
      <c r="O2208" s="14" t="s">
        <v>2237</v>
      </c>
      <c r="P2208" s="14" t="s">
        <v>2236</v>
      </c>
      <c r="Q2208" s="17" t="s">
        <v>2236</v>
      </c>
      <c r="R2208" s="17" t="s">
        <v>2236</v>
      </c>
      <c r="S2208" s="17" t="s">
        <v>2236</v>
      </c>
      <c r="T2208" s="17" t="s">
        <v>2236</v>
      </c>
      <c r="U2208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8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8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8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8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09" spans="1:31" hidden="1" x14ac:dyDescent="0.3">
      <c r="A2209" s="14" t="s">
        <v>5474</v>
      </c>
      <c r="B2209" s="14" t="s">
        <v>2371</v>
      </c>
      <c r="C2209" s="14" t="s">
        <v>5475</v>
      </c>
      <c r="D2209" s="14" t="s">
        <v>5476</v>
      </c>
      <c r="E2209" s="14" t="s">
        <v>2236</v>
      </c>
      <c r="F2209" s="8">
        <v>0</v>
      </c>
      <c r="G2209" s="14" t="s">
        <v>2237</v>
      </c>
      <c r="H2209" s="16">
        <v>0</v>
      </c>
      <c r="I2209" s="14" t="s">
        <v>2237</v>
      </c>
      <c r="J2209" s="16">
        <v>0</v>
      </c>
      <c r="K2209" s="14" t="s">
        <v>2237</v>
      </c>
      <c r="L2209" s="16">
        <v>0</v>
      </c>
      <c r="M2209" s="14" t="s">
        <v>2237</v>
      </c>
      <c r="N2209" s="8">
        <v>0</v>
      </c>
      <c r="O2209" s="14" t="s">
        <v>2237</v>
      </c>
      <c r="P2209" s="14" t="s">
        <v>2236</v>
      </c>
      <c r="Q2209" s="17" t="s">
        <v>2236</v>
      </c>
      <c r="R2209" s="17" t="s">
        <v>2236</v>
      </c>
      <c r="S2209" s="17" t="s">
        <v>2236</v>
      </c>
      <c r="T2209" s="17" t="s">
        <v>2236</v>
      </c>
      <c r="U2209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09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09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0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09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09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0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0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0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0" spans="1:31" hidden="1" x14ac:dyDescent="0.3">
      <c r="A2210" s="14" t="s">
        <v>5477</v>
      </c>
      <c r="B2210" s="14" t="s">
        <v>2371</v>
      </c>
      <c r="C2210" s="14" t="s">
        <v>5478</v>
      </c>
      <c r="D2210" s="14" t="s">
        <v>5479</v>
      </c>
      <c r="E2210" s="14" t="s">
        <v>2236</v>
      </c>
      <c r="F2210" s="8">
        <v>0</v>
      </c>
      <c r="G2210" s="14" t="s">
        <v>2237</v>
      </c>
      <c r="H2210" s="16">
        <v>0</v>
      </c>
      <c r="I2210" s="14" t="s">
        <v>2237</v>
      </c>
      <c r="J2210" s="16">
        <v>0</v>
      </c>
      <c r="K2210" s="14" t="s">
        <v>2237</v>
      </c>
      <c r="L2210" s="16">
        <v>0</v>
      </c>
      <c r="M2210" s="14" t="s">
        <v>2237</v>
      </c>
      <c r="N2210" s="8">
        <v>0</v>
      </c>
      <c r="O2210" s="14" t="s">
        <v>2237</v>
      </c>
      <c r="P2210" s="14" t="s">
        <v>2236</v>
      </c>
      <c r="Q2210" s="17" t="s">
        <v>2236</v>
      </c>
      <c r="R2210" s="17" t="s">
        <v>2236</v>
      </c>
      <c r="S2210" s="17" t="s">
        <v>2236</v>
      </c>
      <c r="T2210" s="17" t="s">
        <v>2236</v>
      </c>
      <c r="U2210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10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10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0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0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10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0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1" spans="1:31" hidden="1" x14ac:dyDescent="0.3">
      <c r="A2211" s="14" t="s">
        <v>5480</v>
      </c>
      <c r="B2211" s="14" t="s">
        <v>2371</v>
      </c>
      <c r="C2211" s="14" t="s">
        <v>5481</v>
      </c>
      <c r="D2211" s="14" t="s">
        <v>5482</v>
      </c>
      <c r="E2211" s="14" t="s">
        <v>2236</v>
      </c>
      <c r="F2211" s="8">
        <v>0</v>
      </c>
      <c r="G2211" s="14" t="s">
        <v>2237</v>
      </c>
      <c r="H2211" s="16">
        <v>0</v>
      </c>
      <c r="I2211" s="14" t="s">
        <v>2237</v>
      </c>
      <c r="J2211" s="16">
        <v>0</v>
      </c>
      <c r="K2211" s="14" t="s">
        <v>2237</v>
      </c>
      <c r="L2211" s="16">
        <v>0</v>
      </c>
      <c r="M2211" s="14" t="s">
        <v>2237</v>
      </c>
      <c r="N2211" s="8">
        <v>0</v>
      </c>
      <c r="O2211" s="14" t="s">
        <v>2237</v>
      </c>
      <c r="P2211" s="14" t="s">
        <v>2236</v>
      </c>
      <c r="Q2211" s="17" t="s">
        <v>2236</v>
      </c>
      <c r="R2211" s="17" t="s">
        <v>2236</v>
      </c>
      <c r="S2211" s="17" t="s">
        <v>2236</v>
      </c>
      <c r="T2211" s="17" t="s">
        <v>2236</v>
      </c>
      <c r="U2211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11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11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1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11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2" spans="1:31" hidden="1" x14ac:dyDescent="0.3">
      <c r="A2212" s="14" t="s">
        <v>5483</v>
      </c>
      <c r="B2212" s="14" t="s">
        <v>2371</v>
      </c>
      <c r="C2212" s="14" t="s">
        <v>5484</v>
      </c>
      <c r="D2212" s="14" t="s">
        <v>5485</v>
      </c>
      <c r="E2212" s="14" t="s">
        <v>2236</v>
      </c>
      <c r="F2212" s="8">
        <v>0</v>
      </c>
      <c r="G2212" s="14" t="s">
        <v>2237</v>
      </c>
      <c r="H2212" s="16">
        <v>0</v>
      </c>
      <c r="I2212" s="14" t="s">
        <v>2237</v>
      </c>
      <c r="J2212" s="16">
        <v>0</v>
      </c>
      <c r="K2212" s="14" t="s">
        <v>2237</v>
      </c>
      <c r="L2212" s="16">
        <v>0</v>
      </c>
      <c r="M2212" s="14" t="s">
        <v>2237</v>
      </c>
      <c r="N2212" s="8">
        <v>0</v>
      </c>
      <c r="O2212" s="14" t="s">
        <v>2237</v>
      </c>
      <c r="P2212" s="14" t="s">
        <v>2236</v>
      </c>
      <c r="Q2212" s="17" t="s">
        <v>2236</v>
      </c>
      <c r="R2212" s="17" t="s">
        <v>2236</v>
      </c>
      <c r="S2212" s="17" t="s">
        <v>2236</v>
      </c>
      <c r="T2212" s="17" t="s">
        <v>2236</v>
      </c>
      <c r="U2212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12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12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2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12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3" spans="1:31" hidden="1" x14ac:dyDescent="0.3">
      <c r="A2213" s="14" t="s">
        <v>5486</v>
      </c>
      <c r="B2213" s="14" t="s">
        <v>2371</v>
      </c>
      <c r="C2213" s="14" t="s">
        <v>5487</v>
      </c>
      <c r="D2213" s="14" t="s">
        <v>5488</v>
      </c>
      <c r="E2213" s="14" t="s">
        <v>2236</v>
      </c>
      <c r="F2213" s="8">
        <v>0</v>
      </c>
      <c r="G2213" s="14" t="s">
        <v>2237</v>
      </c>
      <c r="H2213" s="16">
        <v>0</v>
      </c>
      <c r="I2213" s="14" t="s">
        <v>2237</v>
      </c>
      <c r="J2213" s="16">
        <v>0</v>
      </c>
      <c r="K2213" s="14" t="s">
        <v>2237</v>
      </c>
      <c r="L2213" s="16">
        <v>0</v>
      </c>
      <c r="M2213" s="14" t="s">
        <v>2237</v>
      </c>
      <c r="N2213" s="8">
        <v>0</v>
      </c>
      <c r="O2213" s="14" t="s">
        <v>2237</v>
      </c>
      <c r="P2213" s="14" t="s">
        <v>2236</v>
      </c>
      <c r="Q2213" s="17" t="s">
        <v>2236</v>
      </c>
      <c r="R2213" s="17" t="s">
        <v>2236</v>
      </c>
      <c r="S2213" s="17" t="s">
        <v>2236</v>
      </c>
      <c r="T2213" s="17" t="s">
        <v>2236</v>
      </c>
      <c r="U2213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13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13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3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3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13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3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4" spans="1:31" hidden="1" x14ac:dyDescent="0.3">
      <c r="A2214" s="14" t="s">
        <v>5489</v>
      </c>
      <c r="B2214" s="14" t="s">
        <v>2371</v>
      </c>
      <c r="C2214" s="14" t="s">
        <v>5490</v>
      </c>
      <c r="D2214" s="14" t="s">
        <v>5491</v>
      </c>
      <c r="E2214" s="14" t="s">
        <v>2236</v>
      </c>
      <c r="F2214" s="8">
        <v>0</v>
      </c>
      <c r="G2214" s="14" t="s">
        <v>2237</v>
      </c>
      <c r="H2214" s="16">
        <v>0</v>
      </c>
      <c r="I2214" s="14" t="s">
        <v>2237</v>
      </c>
      <c r="J2214" s="16">
        <v>0</v>
      </c>
      <c r="K2214" s="14" t="s">
        <v>2237</v>
      </c>
      <c r="L2214" s="16">
        <v>0</v>
      </c>
      <c r="M2214" s="14" t="s">
        <v>2237</v>
      </c>
      <c r="N2214" s="8">
        <v>0</v>
      </c>
      <c r="O2214" s="14" t="s">
        <v>2237</v>
      </c>
      <c r="P2214" s="14" t="s">
        <v>2236</v>
      </c>
      <c r="Q2214" s="17" t="s">
        <v>2236</v>
      </c>
      <c r="R2214" s="17" t="s">
        <v>2236</v>
      </c>
      <c r="S2214" s="17" t="s">
        <v>2236</v>
      </c>
      <c r="T2214" s="17" t="s">
        <v>2236</v>
      </c>
      <c r="U2214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14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14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4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14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5" spans="1:31" hidden="1" x14ac:dyDescent="0.3">
      <c r="A2215" s="14" t="s">
        <v>5492</v>
      </c>
      <c r="B2215" s="14" t="s">
        <v>2371</v>
      </c>
      <c r="C2215" s="14" t="s">
        <v>4766</v>
      </c>
      <c r="D2215" s="14" t="s">
        <v>5493</v>
      </c>
      <c r="E2215" s="14" t="s">
        <v>2236</v>
      </c>
      <c r="F2215" s="8">
        <v>0</v>
      </c>
      <c r="G2215" s="14" t="s">
        <v>2237</v>
      </c>
      <c r="H2215" s="16">
        <v>0</v>
      </c>
      <c r="I2215" s="14" t="s">
        <v>2237</v>
      </c>
      <c r="J2215" s="16">
        <v>0</v>
      </c>
      <c r="K2215" s="14" t="s">
        <v>2237</v>
      </c>
      <c r="L2215" s="16">
        <v>0</v>
      </c>
      <c r="M2215" s="14" t="s">
        <v>2237</v>
      </c>
      <c r="N2215" s="8">
        <v>0</v>
      </c>
      <c r="O2215" s="14" t="s">
        <v>2237</v>
      </c>
      <c r="P2215" s="14" t="s">
        <v>2236</v>
      </c>
      <c r="Q2215" s="17" t="s">
        <v>2236</v>
      </c>
      <c r="R2215" s="17" t="s">
        <v>2236</v>
      </c>
      <c r="S2215" s="17" t="s">
        <v>2236</v>
      </c>
      <c r="T2215" s="17" t="s">
        <v>2236</v>
      </c>
      <c r="U2215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15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15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5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15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6" spans="1:31" hidden="1" x14ac:dyDescent="0.3">
      <c r="A2216" s="14" t="s">
        <v>5494</v>
      </c>
      <c r="B2216" s="14" t="s">
        <v>2371</v>
      </c>
      <c r="C2216" s="14" t="s">
        <v>4769</v>
      </c>
      <c r="D2216" s="14" t="s">
        <v>5495</v>
      </c>
      <c r="E2216" s="14" t="s">
        <v>2236</v>
      </c>
      <c r="F2216" s="8">
        <v>0</v>
      </c>
      <c r="G2216" s="14" t="s">
        <v>2237</v>
      </c>
      <c r="H2216" s="16">
        <v>0</v>
      </c>
      <c r="I2216" s="14" t="s">
        <v>2237</v>
      </c>
      <c r="J2216" s="16">
        <v>0</v>
      </c>
      <c r="K2216" s="14" t="s">
        <v>2237</v>
      </c>
      <c r="L2216" s="16">
        <v>0</v>
      </c>
      <c r="M2216" s="14" t="s">
        <v>2237</v>
      </c>
      <c r="N2216" s="8">
        <v>0</v>
      </c>
      <c r="O2216" s="14" t="s">
        <v>2237</v>
      </c>
      <c r="P2216" s="14" t="s">
        <v>2236</v>
      </c>
      <c r="Q2216" s="17" t="s">
        <v>2236</v>
      </c>
      <c r="R2216" s="17" t="s">
        <v>2236</v>
      </c>
      <c r="S2216" s="17" t="s">
        <v>2236</v>
      </c>
      <c r="T2216" s="17" t="s">
        <v>2236</v>
      </c>
      <c r="U2216" s="10" t="str">
        <f>IF(IFERROR(INDEX(WBS_Dictionary!E$2:E$1212, MATCH(Table2[[#This Row],[WBS_ID]], Table26[WBS CODE],0)), "") = "", "null", IFERROR(INDEX(WBS_Dictionary!E$2:E$1212, MATCH(Table2[[#This Row],[WBS_ID]], Table26[WBS CODE],0)), ""))</f>
        <v>null</v>
      </c>
      <c r="V2216" s="10" t="str">
        <f>IF(IFERROR(INDEX(WBS_Dictionary!F$2:F$1212, MATCH(Table2[[#This Row],[WBS_ID]], Table26[WBS CODE],0)), "") = "", "null", IFERROR(INDEX(WBS_Dictionary!F$2:F$1212, MATCH(Table2[[#This Row],[WBS_ID]], Table26[WBS CODE],0)), ""))</f>
        <v>null</v>
      </c>
      <c r="W2216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6" s="10" t="str">
        <f>IF(IFERROR(INDEX(WBS_Dictionary!J$2:J$1212, MATCH(Table2[[#This Row],[WBS_ID]], Table26[WBS CODE],0)), "") = "", "null", IFERROR(INDEX(WBS_Dictionary!J$2:J$1212, MATCH(Table2[[#This Row],[WBS_ID]], Table26[WBS CODE],0)), ""))</f>
        <v>null</v>
      </c>
      <c r="AA2216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7" spans="1:31" hidden="1" x14ac:dyDescent="0.3">
      <c r="A2217" s="14" t="s">
        <v>5496</v>
      </c>
      <c r="B2217" s="14" t="s">
        <v>18</v>
      </c>
      <c r="C2217" s="15" t="s">
        <v>373</v>
      </c>
      <c r="D2217" s="14" t="s">
        <v>374</v>
      </c>
      <c r="E2217" s="14" t="s">
        <v>4136</v>
      </c>
      <c r="F2217" s="8">
        <v>37173847.609999999</v>
      </c>
      <c r="G2217" s="14" t="s">
        <v>2237</v>
      </c>
      <c r="H2217" s="16">
        <v>35461025.200000003</v>
      </c>
      <c r="I2217" s="14" t="s">
        <v>2237</v>
      </c>
      <c r="J2217" s="16">
        <v>0</v>
      </c>
      <c r="K2217" s="14" t="s">
        <v>2237</v>
      </c>
      <c r="L2217" s="16">
        <v>0</v>
      </c>
      <c r="M2217" s="14" t="s">
        <v>2237</v>
      </c>
      <c r="N2217" s="8">
        <v>29818205.969999999</v>
      </c>
      <c r="O2217" s="14" t="s">
        <v>2237</v>
      </c>
      <c r="P2217" s="14" t="s">
        <v>2236</v>
      </c>
      <c r="Q2217" s="17" t="s">
        <v>2242</v>
      </c>
      <c r="R2217" s="17" t="s">
        <v>2238</v>
      </c>
      <c r="S2217" s="17" t="s">
        <v>2243</v>
      </c>
      <c r="T2217" s="17" t="s">
        <v>4137</v>
      </c>
      <c r="U22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1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17" s="10" t="str">
        <f>IF(IFERROR(INDEX(WBS_Dictionary!G$2:G$1212, MATCH(Table2[[#This Row],[WBS_ID]], Table26[WBS CODE],0)), "") = "", "null", IFERROR(INDEX(WBS_Dictionary!G$2:G$1212, MATCH(Table2[[#This Row],[WBS_ID]], Table26[WBS CODE],0)), ""))</f>
        <v>null</v>
      </c>
      <c r="X22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17" s="10" t="str">
        <f>IF(IFERROR(INDEX(WBS_Dictionary!K$2:K$1212, MATCH(Table2[[#This Row],[WBS_ID]], Table26[WBS CODE],0)), "") = "", "null", IFERROR(INDEX(WBS_Dictionary!K$2:K$1212, MATCH(Table2[[#This Row],[WBS_ID]], Table26[WBS CODE],0)), ""))</f>
        <v>null</v>
      </c>
      <c r="AB22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8" spans="1:31" hidden="1" x14ac:dyDescent="0.3">
      <c r="A2218" s="14" t="s">
        <v>5497</v>
      </c>
      <c r="B2218" s="14" t="s">
        <v>21</v>
      </c>
      <c r="C2218" s="14" t="s">
        <v>375</v>
      </c>
      <c r="D2218" s="14" t="s">
        <v>376</v>
      </c>
      <c r="E2218" s="14" t="s">
        <v>4136</v>
      </c>
      <c r="F2218" s="16">
        <v>158669.28</v>
      </c>
      <c r="G2218" s="14" t="s">
        <v>2237</v>
      </c>
      <c r="H2218" s="16">
        <v>158669.28</v>
      </c>
      <c r="I2218" s="14" t="s">
        <v>2237</v>
      </c>
      <c r="J2218" s="16">
        <v>0</v>
      </c>
      <c r="K2218" s="14" t="s">
        <v>2237</v>
      </c>
      <c r="L2218" s="16">
        <v>0</v>
      </c>
      <c r="M2218" s="14" t="s">
        <v>2237</v>
      </c>
      <c r="N2218" s="16">
        <v>22676.26</v>
      </c>
      <c r="O2218" s="14" t="s">
        <v>2237</v>
      </c>
      <c r="P2218" s="14" t="s">
        <v>2236</v>
      </c>
      <c r="Q2218" s="17" t="s">
        <v>2242</v>
      </c>
      <c r="R2218" s="17" t="s">
        <v>2238</v>
      </c>
      <c r="S2218" s="17" t="s">
        <v>2243</v>
      </c>
      <c r="T2218" s="17" t="s">
        <v>4137</v>
      </c>
      <c r="U22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1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1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E530-3010173-D235301</v>
      </c>
      <c r="X221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18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221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19" spans="1:31" hidden="1" x14ac:dyDescent="0.3">
      <c r="A2219" s="14" t="s">
        <v>5498</v>
      </c>
      <c r="B2219" s="14" t="s">
        <v>26</v>
      </c>
      <c r="C2219" s="14" t="s">
        <v>375</v>
      </c>
      <c r="D2219" s="14" t="s">
        <v>377</v>
      </c>
      <c r="E2219" s="14" t="s">
        <v>4136</v>
      </c>
      <c r="F2219" s="16">
        <v>158669.28</v>
      </c>
      <c r="G2219" s="14" t="s">
        <v>2237</v>
      </c>
      <c r="H2219" s="16">
        <v>158669.28</v>
      </c>
      <c r="I2219" s="14" t="s">
        <v>2237</v>
      </c>
      <c r="J2219" s="16">
        <v>0</v>
      </c>
      <c r="K2219" s="14" t="s">
        <v>2237</v>
      </c>
      <c r="L2219" s="16">
        <v>0</v>
      </c>
      <c r="M2219" s="14" t="s">
        <v>2237</v>
      </c>
      <c r="N2219" s="16">
        <v>22676.26</v>
      </c>
      <c r="O2219" s="14" t="s">
        <v>2237</v>
      </c>
      <c r="P2219" s="14" t="s">
        <v>2236</v>
      </c>
      <c r="Q2219" s="17" t="s">
        <v>2242</v>
      </c>
      <c r="R2219" s="17" t="s">
        <v>2238</v>
      </c>
      <c r="S2219" s="17" t="s">
        <v>2243</v>
      </c>
      <c r="T2219" s="17" t="s">
        <v>4137</v>
      </c>
      <c r="U22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1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1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E530-3010173-D235301</v>
      </c>
      <c r="X221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E530-301017311-D235301</v>
      </c>
      <c r="Y22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19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2219" s="10" t="str">
        <f>IF(IFERROR(INDEX(WBS_Dictionary!L$2:L$1212, MATCH(Table2[[#This Row],[WBS_ID]], Table26[WBS CODE],0)), "") = "", "null", IFERROR(INDEX(WBS_Dictionary!L$2:L$1212, MATCH(Table2[[#This Row],[WBS_ID]], Table26[WBS CODE],0)), ""))</f>
        <v>Explosive</v>
      </c>
      <c r="AC22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1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1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20" spans="1:31" hidden="1" x14ac:dyDescent="0.3">
      <c r="A2220" s="14" t="s">
        <v>5499</v>
      </c>
      <c r="B2220" s="14" t="s">
        <v>30</v>
      </c>
      <c r="C2220" s="14" t="s">
        <v>375</v>
      </c>
      <c r="D2220" s="14" t="s">
        <v>378</v>
      </c>
      <c r="E2220" s="14" t="s">
        <v>4136</v>
      </c>
      <c r="F2220" s="16">
        <v>0</v>
      </c>
      <c r="G2220" s="14" t="s">
        <v>2237</v>
      </c>
      <c r="H2220" s="16">
        <v>0</v>
      </c>
      <c r="I2220" s="14" t="s">
        <v>2237</v>
      </c>
      <c r="J2220" s="16">
        <v>0</v>
      </c>
      <c r="K2220" s="14" t="s">
        <v>2237</v>
      </c>
      <c r="L2220" s="16">
        <v>0</v>
      </c>
      <c r="M2220" s="14" t="s">
        <v>2237</v>
      </c>
      <c r="N2220" s="16">
        <v>22676.26</v>
      </c>
      <c r="O2220" s="14" t="s">
        <v>2237</v>
      </c>
      <c r="P2220" s="14" t="s">
        <v>2236</v>
      </c>
      <c r="Q2220" s="17" t="s">
        <v>2242</v>
      </c>
      <c r="R2220" s="17" t="s">
        <v>2238</v>
      </c>
      <c r="S2220" s="17" t="s">
        <v>2243</v>
      </c>
      <c r="T2220" s="17" t="s">
        <v>4142</v>
      </c>
      <c r="U22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E530-3010173-D235301</v>
      </c>
      <c r="X222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E530-301017311-D235301</v>
      </c>
      <c r="Y222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E530-30101731160-D235301</v>
      </c>
      <c r="Z22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0" s="10" t="str">
        <f>IF(IFERROR(INDEX(WBS_Dictionary!K$2:K$1212, MATCH(Table2[[#This Row],[WBS_ID]], Table26[WBS CODE],0)), "") = "", "null", IFERROR(INDEX(WBS_Dictionary!K$2:K$1212, MATCH(Table2[[#This Row],[WBS_ID]], Table26[WBS CODE],0)), ""))</f>
        <v>Explosive</v>
      </c>
      <c r="AB2220" s="10" t="str">
        <f>IF(IFERROR(INDEX(WBS_Dictionary!L$2:L$1212, MATCH(Table2[[#This Row],[WBS_ID]], Table26[WBS CODE],0)), "") = "", "null", IFERROR(INDEX(WBS_Dictionary!L$2:L$1212, MATCH(Table2[[#This Row],[WBS_ID]], Table26[WBS CODE],0)), ""))</f>
        <v>Explosive</v>
      </c>
      <c r="AC2220" s="10" t="str">
        <f>IF(IFERROR(INDEX(WBS_Dictionary!M$2:M$1212, MATCH(Table2[[#This Row],[WBS_ID]], Table26[WBS CODE],0)), "") = "", "null", IFERROR(INDEX(WBS_Dictionary!M$2:M$1212, MATCH(Table2[[#This Row],[WBS_ID]], Table26[WBS CODE],0)), ""))</f>
        <v>Explosive</v>
      </c>
      <c r="AD222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2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21" spans="1:31" hidden="1" x14ac:dyDescent="0.3">
      <c r="A2221" s="14" t="s">
        <v>5500</v>
      </c>
      <c r="B2221" s="14" t="s">
        <v>21</v>
      </c>
      <c r="C2221" s="14" t="s">
        <v>379</v>
      </c>
      <c r="D2221" s="14" t="s">
        <v>380</v>
      </c>
      <c r="E2221" s="14" t="s">
        <v>4136</v>
      </c>
      <c r="F2221" s="16">
        <v>1315522.51</v>
      </c>
      <c r="G2221" s="14" t="s">
        <v>2237</v>
      </c>
      <c r="H2221" s="16">
        <v>0</v>
      </c>
      <c r="I2221" s="14" t="s">
        <v>2237</v>
      </c>
      <c r="J2221" s="16">
        <v>0</v>
      </c>
      <c r="K2221" s="14" t="s">
        <v>2237</v>
      </c>
      <c r="L2221" s="16">
        <v>0</v>
      </c>
      <c r="M2221" s="14" t="s">
        <v>2237</v>
      </c>
      <c r="N2221" s="16">
        <v>0</v>
      </c>
      <c r="O2221" s="14" t="s">
        <v>2237</v>
      </c>
      <c r="P2221" s="14" t="s">
        <v>2236</v>
      </c>
      <c r="Q2221" s="17" t="s">
        <v>2242</v>
      </c>
      <c r="R2221" s="17" t="s">
        <v>2238</v>
      </c>
      <c r="S2221" s="17" t="s">
        <v>2243</v>
      </c>
      <c r="T2221" s="17" t="s">
        <v>4137</v>
      </c>
      <c r="U22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E530-3010172-D235301</v>
      </c>
      <c r="X222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1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222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2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2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22" spans="1:31" hidden="1" x14ac:dyDescent="0.3">
      <c r="A2222" s="14" t="s">
        <v>5501</v>
      </c>
      <c r="B2222" s="14" t="s">
        <v>26</v>
      </c>
      <c r="C2222" s="14" t="s">
        <v>379</v>
      </c>
      <c r="D2222" s="14" t="s">
        <v>381</v>
      </c>
      <c r="E2222" s="14" t="s">
        <v>4136</v>
      </c>
      <c r="F2222" s="16">
        <v>1315522.51</v>
      </c>
      <c r="G2222" s="14" t="s">
        <v>2237</v>
      </c>
      <c r="H2222" s="16">
        <v>0</v>
      </c>
      <c r="I2222" s="14" t="s">
        <v>2237</v>
      </c>
      <c r="J2222" s="16">
        <v>0</v>
      </c>
      <c r="K2222" s="14" t="s">
        <v>2237</v>
      </c>
      <c r="L2222" s="16">
        <v>0</v>
      </c>
      <c r="M2222" s="14" t="s">
        <v>2237</v>
      </c>
      <c r="N2222" s="16">
        <v>0</v>
      </c>
      <c r="O2222" s="14" t="s">
        <v>2237</v>
      </c>
      <c r="P2222" s="14" t="s">
        <v>2236</v>
      </c>
      <c r="Q2222" s="17" t="s">
        <v>2242</v>
      </c>
      <c r="R2222" s="17" t="s">
        <v>2238</v>
      </c>
      <c r="S2222" s="17" t="s">
        <v>2243</v>
      </c>
      <c r="T2222" s="17" t="s">
        <v>4137</v>
      </c>
      <c r="U22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E530-3010172-D235301</v>
      </c>
      <c r="X222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E530-301017299-D235301</v>
      </c>
      <c r="Y222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2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2222" s="10" t="str">
        <f>IF(IFERROR(INDEX(WBS_Dictionary!L$2:L$1212, MATCH(Table2[[#This Row],[WBS_ID]], Table26[WBS CODE],0)), "") = "", "null", IFERROR(INDEX(WBS_Dictionary!L$2:L$1212, MATCH(Table2[[#This Row],[WBS_ID]], Table26[WBS CODE],0)), ""))</f>
        <v>LIH</v>
      </c>
      <c r="AC222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2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2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23" spans="1:31" hidden="1" x14ac:dyDescent="0.3">
      <c r="A2223" s="14" t="s">
        <v>5502</v>
      </c>
      <c r="B2223" s="14" t="s">
        <v>30</v>
      </c>
      <c r="C2223" s="14" t="s">
        <v>379</v>
      </c>
      <c r="D2223" s="14" t="s">
        <v>382</v>
      </c>
      <c r="E2223" s="14" t="s">
        <v>4136</v>
      </c>
      <c r="F2223" s="16">
        <v>0</v>
      </c>
      <c r="G2223" s="14" t="s">
        <v>2237</v>
      </c>
      <c r="H2223" s="16">
        <v>0</v>
      </c>
      <c r="I2223" s="14" t="s">
        <v>2237</v>
      </c>
      <c r="J2223" s="16">
        <v>0</v>
      </c>
      <c r="K2223" s="14" t="s">
        <v>2237</v>
      </c>
      <c r="L2223" s="16">
        <v>0</v>
      </c>
      <c r="M2223" s="14" t="s">
        <v>2237</v>
      </c>
      <c r="N2223" s="16">
        <v>0</v>
      </c>
      <c r="O2223" s="14" t="s">
        <v>2237</v>
      </c>
      <c r="P2223" s="14" t="s">
        <v>2236</v>
      </c>
      <c r="Q2223" s="17" t="s">
        <v>2242</v>
      </c>
      <c r="R2223" s="17" t="s">
        <v>2238</v>
      </c>
      <c r="S2223" s="17" t="s">
        <v>2243</v>
      </c>
      <c r="T2223" s="17" t="s">
        <v>4142</v>
      </c>
      <c r="U22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E530-3010172-D235301</v>
      </c>
      <c r="X222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E530-301017299-D235301</v>
      </c>
      <c r="Y222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E530-30101729921-D235301</v>
      </c>
      <c r="Z22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3" s="10" t="str">
        <f>IF(IFERROR(INDEX(WBS_Dictionary!K$2:K$1212, MATCH(Table2[[#This Row],[WBS_ID]], Table26[WBS CODE],0)), "") = "", "null", IFERROR(INDEX(WBS_Dictionary!K$2:K$1212, MATCH(Table2[[#This Row],[WBS_ID]], Table26[WBS CODE],0)), ""))</f>
        <v>LIH</v>
      </c>
      <c r="AB2223" s="10" t="str">
        <f>IF(IFERROR(INDEX(WBS_Dictionary!L$2:L$1212, MATCH(Table2[[#This Row],[WBS_ID]], Table26[WBS CODE],0)), "") = "", "null", IFERROR(INDEX(WBS_Dictionary!L$2:L$1212, MATCH(Table2[[#This Row],[WBS_ID]], Table26[WBS CODE],0)), ""))</f>
        <v>LIH</v>
      </c>
      <c r="AC2223" s="10" t="str">
        <f>IF(IFERROR(INDEX(WBS_Dictionary!M$2:M$1212, MATCH(Table2[[#This Row],[WBS_ID]], Table26[WBS CODE],0)), "") = "", "null", IFERROR(INDEX(WBS_Dictionary!M$2:M$1212, MATCH(Table2[[#This Row],[WBS_ID]], Table26[WBS CODE],0)), ""))</f>
        <v>LIH</v>
      </c>
      <c r="AD222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22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224" spans="1:31" x14ac:dyDescent="0.3">
      <c r="A2224" s="14" t="s">
        <v>5503</v>
      </c>
      <c r="B2224" s="14" t="s">
        <v>21</v>
      </c>
      <c r="C2224" s="14" t="s">
        <v>383</v>
      </c>
      <c r="D2224" s="14" t="s">
        <v>384</v>
      </c>
      <c r="E2224" s="14" t="s">
        <v>4136</v>
      </c>
      <c r="F2224" s="16">
        <v>4799911.63</v>
      </c>
      <c r="G2224" s="14" t="s">
        <v>2237</v>
      </c>
      <c r="H2224" s="16">
        <v>4447031</v>
      </c>
      <c r="I2224" s="14" t="s">
        <v>2237</v>
      </c>
      <c r="J2224" s="16">
        <v>0</v>
      </c>
      <c r="K2224" s="14" t="s">
        <v>2237</v>
      </c>
      <c r="L2224" s="16">
        <v>0</v>
      </c>
      <c r="M2224" s="14" t="s">
        <v>2237</v>
      </c>
      <c r="N2224" s="16">
        <v>3609573.61</v>
      </c>
      <c r="O2224" s="14" t="s">
        <v>2237</v>
      </c>
      <c r="P2224" s="14" t="s">
        <v>2236</v>
      </c>
      <c r="Q2224" s="17" t="s">
        <v>2242</v>
      </c>
      <c r="R2224" s="17" t="s">
        <v>2238</v>
      </c>
      <c r="S2224" s="17" t="s">
        <v>2243</v>
      </c>
      <c r="T2224" s="17" t="s">
        <v>4137</v>
      </c>
      <c r="U22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24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2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24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2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2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25" spans="1:31" x14ac:dyDescent="0.3">
      <c r="A2225" s="14" t="s">
        <v>5504</v>
      </c>
      <c r="B2225" s="14" t="s">
        <v>26</v>
      </c>
      <c r="C2225" s="14" t="s">
        <v>386</v>
      </c>
      <c r="D2225" s="14" t="s">
        <v>387</v>
      </c>
      <c r="E2225" s="14" t="s">
        <v>4136</v>
      </c>
      <c r="F2225" s="16">
        <v>4158091.07</v>
      </c>
      <c r="G2225" s="14" t="s">
        <v>2237</v>
      </c>
      <c r="H2225" s="16">
        <v>4158091.07</v>
      </c>
      <c r="I2225" s="14" t="s">
        <v>2237</v>
      </c>
      <c r="J2225" s="16">
        <v>0</v>
      </c>
      <c r="K2225" s="14" t="s">
        <v>2237</v>
      </c>
      <c r="L2225" s="16">
        <v>0</v>
      </c>
      <c r="M2225" s="14" t="s">
        <v>2237</v>
      </c>
      <c r="N2225" s="16">
        <v>3356946.88</v>
      </c>
      <c r="O2225" s="14" t="s">
        <v>2237</v>
      </c>
      <c r="P2225" s="14" t="s">
        <v>2236</v>
      </c>
      <c r="Q2225" s="17" t="s">
        <v>2242</v>
      </c>
      <c r="R2225" s="17" t="s">
        <v>2238</v>
      </c>
      <c r="S2225" s="17" t="s">
        <v>2243</v>
      </c>
      <c r="T2225" s="17" t="s">
        <v>4138</v>
      </c>
      <c r="U22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2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2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2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2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2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2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26" spans="1:31" x14ac:dyDescent="0.3">
      <c r="A2226" s="14" t="s">
        <v>5505</v>
      </c>
      <c r="B2226" s="14" t="s">
        <v>30</v>
      </c>
      <c r="C2226" s="14" t="s">
        <v>5506</v>
      </c>
      <c r="D2226" s="14" t="s">
        <v>389</v>
      </c>
      <c r="E2226" s="14" t="s">
        <v>4136</v>
      </c>
      <c r="F2226" s="16">
        <v>0</v>
      </c>
      <c r="G2226" s="14" t="s">
        <v>2237</v>
      </c>
      <c r="H2226" s="16">
        <v>0</v>
      </c>
      <c r="I2226" s="14" t="s">
        <v>2237</v>
      </c>
      <c r="J2226" s="16">
        <v>0</v>
      </c>
      <c r="K2226" s="14" t="s">
        <v>2237</v>
      </c>
      <c r="L2226" s="16">
        <v>0</v>
      </c>
      <c r="M2226" s="14" t="s">
        <v>2237</v>
      </c>
      <c r="N2226" s="16">
        <v>24972.38</v>
      </c>
      <c r="O2226" s="14" t="s">
        <v>2237</v>
      </c>
      <c r="P2226" s="14" t="s">
        <v>2236</v>
      </c>
      <c r="Q2226" s="17" t="s">
        <v>2242</v>
      </c>
      <c r="R2226" s="17" t="s">
        <v>2238</v>
      </c>
      <c r="S2226" s="17" t="s">
        <v>2243</v>
      </c>
      <c r="T2226" s="17" t="s">
        <v>4142</v>
      </c>
      <c r="U22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2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2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E530-30101060224-D235301</v>
      </c>
      <c r="Z22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2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26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22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2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27" spans="1:31" x14ac:dyDescent="0.3">
      <c r="A2227" s="14" t="s">
        <v>5507</v>
      </c>
      <c r="B2227" s="14" t="s">
        <v>30</v>
      </c>
      <c r="C2227" s="14" t="s">
        <v>391</v>
      </c>
      <c r="D2227" s="14" t="s">
        <v>392</v>
      </c>
      <c r="E2227" s="14" t="s">
        <v>4136</v>
      </c>
      <c r="F2227" s="16">
        <v>0</v>
      </c>
      <c r="G2227" s="14" t="s">
        <v>2237</v>
      </c>
      <c r="H2227" s="16">
        <v>0</v>
      </c>
      <c r="I2227" s="14" t="s">
        <v>2237</v>
      </c>
      <c r="J2227" s="16">
        <v>0</v>
      </c>
      <c r="K2227" s="14" t="s">
        <v>2237</v>
      </c>
      <c r="L2227" s="16">
        <v>0</v>
      </c>
      <c r="M2227" s="14" t="s">
        <v>2237</v>
      </c>
      <c r="N2227" s="16">
        <v>58943.01</v>
      </c>
      <c r="O2227" s="14" t="s">
        <v>2237</v>
      </c>
      <c r="P2227" s="14" t="s">
        <v>2236</v>
      </c>
      <c r="Q2227" s="17" t="s">
        <v>2242</v>
      </c>
      <c r="R2227" s="17" t="s">
        <v>2238</v>
      </c>
      <c r="S2227" s="17" t="s">
        <v>2243</v>
      </c>
      <c r="T2227" s="17" t="s">
        <v>4142</v>
      </c>
      <c r="U22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2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2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E530-30101060298-D235301</v>
      </c>
      <c r="Z222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2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27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22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2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28" spans="1:31" x14ac:dyDescent="0.3">
      <c r="A2228" s="14" t="s">
        <v>5508</v>
      </c>
      <c r="B2228" s="14" t="s">
        <v>30</v>
      </c>
      <c r="C2228" s="14" t="s">
        <v>394</v>
      </c>
      <c r="D2228" s="14" t="s">
        <v>395</v>
      </c>
      <c r="E2228" s="14" t="s">
        <v>4136</v>
      </c>
      <c r="F2228" s="16">
        <v>0</v>
      </c>
      <c r="G2228" s="14" t="s">
        <v>2237</v>
      </c>
      <c r="H2228" s="16">
        <v>0</v>
      </c>
      <c r="I2228" s="14" t="s">
        <v>2237</v>
      </c>
      <c r="J2228" s="16">
        <v>0</v>
      </c>
      <c r="K2228" s="14" t="s">
        <v>2237</v>
      </c>
      <c r="L2228" s="16">
        <v>0</v>
      </c>
      <c r="M2228" s="14" t="s">
        <v>2237</v>
      </c>
      <c r="N2228" s="16">
        <v>11619.22</v>
      </c>
      <c r="O2228" s="14" t="s">
        <v>2237</v>
      </c>
      <c r="P2228" s="14" t="s">
        <v>2236</v>
      </c>
      <c r="Q2228" s="17" t="s">
        <v>2242</v>
      </c>
      <c r="R2228" s="17" t="s">
        <v>2238</v>
      </c>
      <c r="S2228" s="17" t="s">
        <v>2243</v>
      </c>
      <c r="T2228" s="17" t="s">
        <v>4142</v>
      </c>
      <c r="U22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2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2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E530-30101060297-D235301</v>
      </c>
      <c r="Z222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2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28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22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2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29" spans="1:31" x14ac:dyDescent="0.3">
      <c r="A2229" s="14" t="s">
        <v>5509</v>
      </c>
      <c r="B2229" s="14" t="s">
        <v>30</v>
      </c>
      <c r="C2229" s="14" t="s">
        <v>397</v>
      </c>
      <c r="D2229" s="14" t="s">
        <v>398</v>
      </c>
      <c r="E2229" s="14" t="s">
        <v>4136</v>
      </c>
      <c r="F2229" s="16">
        <v>0</v>
      </c>
      <c r="G2229" s="14" t="s">
        <v>2237</v>
      </c>
      <c r="H2229" s="16">
        <v>0</v>
      </c>
      <c r="I2229" s="14" t="s">
        <v>2237</v>
      </c>
      <c r="J2229" s="16">
        <v>0</v>
      </c>
      <c r="K2229" s="14" t="s">
        <v>2237</v>
      </c>
      <c r="L2229" s="16">
        <v>0</v>
      </c>
      <c r="M2229" s="14" t="s">
        <v>2237</v>
      </c>
      <c r="N2229" s="16">
        <v>0</v>
      </c>
      <c r="O2229" s="14" t="s">
        <v>2237</v>
      </c>
      <c r="P2229" s="14" t="s">
        <v>2236</v>
      </c>
      <c r="Q2229" s="17" t="s">
        <v>2242</v>
      </c>
      <c r="R2229" s="17" t="s">
        <v>2238</v>
      </c>
      <c r="S2229" s="17" t="s">
        <v>2243</v>
      </c>
      <c r="T2229" s="17" t="s">
        <v>4142</v>
      </c>
      <c r="U22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2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2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2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2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E530-30101060296-D235301</v>
      </c>
      <c r="Z222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2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2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29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22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2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0" spans="1:31" x14ac:dyDescent="0.3">
      <c r="A2230" s="14" t="s">
        <v>5510</v>
      </c>
      <c r="B2230" s="14" t="s">
        <v>30</v>
      </c>
      <c r="C2230" s="14" t="s">
        <v>400</v>
      </c>
      <c r="D2230" s="14" t="s">
        <v>401</v>
      </c>
      <c r="E2230" s="14" t="s">
        <v>4136</v>
      </c>
      <c r="F2230" s="16">
        <v>0</v>
      </c>
      <c r="G2230" s="14" t="s">
        <v>2237</v>
      </c>
      <c r="H2230" s="16">
        <v>0</v>
      </c>
      <c r="I2230" s="14" t="s">
        <v>2237</v>
      </c>
      <c r="J2230" s="16">
        <v>0</v>
      </c>
      <c r="K2230" s="14" t="s">
        <v>2237</v>
      </c>
      <c r="L2230" s="16">
        <v>0</v>
      </c>
      <c r="M2230" s="14" t="s">
        <v>2237</v>
      </c>
      <c r="N2230" s="16">
        <v>0</v>
      </c>
      <c r="O2230" s="14" t="s">
        <v>2237</v>
      </c>
      <c r="P2230" s="14" t="s">
        <v>2236</v>
      </c>
      <c r="Q2230" s="17" t="s">
        <v>2242</v>
      </c>
      <c r="R2230" s="17" t="s">
        <v>2238</v>
      </c>
      <c r="S2230" s="17" t="s">
        <v>2243</v>
      </c>
      <c r="T2230" s="17" t="s">
        <v>4142</v>
      </c>
      <c r="U22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E530-30101060295-D235301</v>
      </c>
      <c r="Z223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0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23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1" spans="1:31" x14ac:dyDescent="0.3">
      <c r="A2231" s="14" t="s">
        <v>5511</v>
      </c>
      <c r="B2231" s="14" t="s">
        <v>30</v>
      </c>
      <c r="C2231" s="14" t="s">
        <v>403</v>
      </c>
      <c r="D2231" s="14" t="s">
        <v>404</v>
      </c>
      <c r="E2231" s="14" t="s">
        <v>4136</v>
      </c>
      <c r="F2231" s="16">
        <v>0</v>
      </c>
      <c r="G2231" s="14" t="s">
        <v>2237</v>
      </c>
      <c r="H2231" s="16">
        <v>0</v>
      </c>
      <c r="I2231" s="14" t="s">
        <v>2237</v>
      </c>
      <c r="J2231" s="16">
        <v>0</v>
      </c>
      <c r="K2231" s="14" t="s">
        <v>2237</v>
      </c>
      <c r="L2231" s="16">
        <v>0</v>
      </c>
      <c r="M2231" s="14" t="s">
        <v>2237</v>
      </c>
      <c r="N2231" s="16">
        <v>34146.57</v>
      </c>
      <c r="O2231" s="14" t="s">
        <v>2237</v>
      </c>
      <c r="P2231" s="14" t="s">
        <v>2236</v>
      </c>
      <c r="Q2231" s="17" t="s">
        <v>2242</v>
      </c>
      <c r="R2231" s="17" t="s">
        <v>2238</v>
      </c>
      <c r="S2231" s="17" t="s">
        <v>2243</v>
      </c>
      <c r="T2231" s="17" t="s">
        <v>4142</v>
      </c>
      <c r="U22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E530-30101060294-D235301</v>
      </c>
      <c r="Z223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1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23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2" spans="1:31" x14ac:dyDescent="0.3">
      <c r="A2232" s="14" t="s">
        <v>5512</v>
      </c>
      <c r="B2232" s="14" t="s">
        <v>30</v>
      </c>
      <c r="C2232" s="14" t="s">
        <v>5513</v>
      </c>
      <c r="D2232" s="14" t="s">
        <v>407</v>
      </c>
      <c r="E2232" s="14" t="s">
        <v>4136</v>
      </c>
      <c r="F2232" s="16">
        <v>0</v>
      </c>
      <c r="G2232" s="14" t="s">
        <v>2237</v>
      </c>
      <c r="H2232" s="16">
        <v>0</v>
      </c>
      <c r="I2232" s="14" t="s">
        <v>2237</v>
      </c>
      <c r="J2232" s="16">
        <v>0</v>
      </c>
      <c r="K2232" s="14" t="s">
        <v>2237</v>
      </c>
      <c r="L2232" s="16">
        <v>0</v>
      </c>
      <c r="M2232" s="14" t="s">
        <v>2237</v>
      </c>
      <c r="N2232" s="16">
        <v>10285.620000000001</v>
      </c>
      <c r="O2232" s="14" t="s">
        <v>2237</v>
      </c>
      <c r="P2232" s="14" t="s">
        <v>2236</v>
      </c>
      <c r="Q2232" s="17" t="s">
        <v>2242</v>
      </c>
      <c r="R2232" s="17" t="s">
        <v>2238</v>
      </c>
      <c r="S2232" s="17" t="s">
        <v>2243</v>
      </c>
      <c r="T2232" s="17" t="s">
        <v>4142</v>
      </c>
      <c r="U22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E530-30101060220-D235301</v>
      </c>
      <c r="Z223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2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23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3" spans="1:31" x14ac:dyDescent="0.3">
      <c r="A2233" s="14" t="s">
        <v>5514</v>
      </c>
      <c r="B2233" s="14" t="s">
        <v>30</v>
      </c>
      <c r="C2233" s="14" t="s">
        <v>409</v>
      </c>
      <c r="D2233" s="14" t="s">
        <v>410</v>
      </c>
      <c r="E2233" s="14" t="s">
        <v>4136</v>
      </c>
      <c r="F2233" s="16">
        <v>0</v>
      </c>
      <c r="G2233" s="14" t="s">
        <v>2237</v>
      </c>
      <c r="H2233" s="16">
        <v>0</v>
      </c>
      <c r="I2233" s="14" t="s">
        <v>2237</v>
      </c>
      <c r="J2233" s="16">
        <v>0</v>
      </c>
      <c r="K2233" s="14" t="s">
        <v>2237</v>
      </c>
      <c r="L2233" s="16">
        <v>0</v>
      </c>
      <c r="M2233" s="14" t="s">
        <v>2237</v>
      </c>
      <c r="N2233" s="16">
        <v>0</v>
      </c>
      <c r="O2233" s="14" t="s">
        <v>2237</v>
      </c>
      <c r="P2233" s="14" t="s">
        <v>2236</v>
      </c>
      <c r="Q2233" s="17" t="s">
        <v>2242</v>
      </c>
      <c r="R2233" s="17" t="s">
        <v>2238</v>
      </c>
      <c r="S2233" s="17" t="s">
        <v>2243</v>
      </c>
      <c r="T2233" s="17" t="s">
        <v>4142</v>
      </c>
      <c r="U22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E530-30101060217-D235301</v>
      </c>
      <c r="Z223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3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23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4" spans="1:31" x14ac:dyDescent="0.3">
      <c r="A2234" s="14" t="s">
        <v>5515</v>
      </c>
      <c r="B2234" s="14" t="s">
        <v>30</v>
      </c>
      <c r="C2234" s="14" t="s">
        <v>412</v>
      </c>
      <c r="D2234" s="14" t="s">
        <v>413</v>
      </c>
      <c r="E2234" s="14" t="s">
        <v>4136</v>
      </c>
      <c r="F2234" s="16">
        <v>0</v>
      </c>
      <c r="G2234" s="14" t="s">
        <v>2237</v>
      </c>
      <c r="H2234" s="16">
        <v>0</v>
      </c>
      <c r="I2234" s="14" t="s">
        <v>2237</v>
      </c>
      <c r="J2234" s="16">
        <v>0</v>
      </c>
      <c r="K2234" s="14" t="s">
        <v>2237</v>
      </c>
      <c r="L2234" s="16">
        <v>0</v>
      </c>
      <c r="M2234" s="14" t="s">
        <v>2237</v>
      </c>
      <c r="N2234" s="16">
        <v>74275.070000000007</v>
      </c>
      <c r="O2234" s="14" t="s">
        <v>2237</v>
      </c>
      <c r="P2234" s="14" t="s">
        <v>2236</v>
      </c>
      <c r="Q2234" s="17" t="s">
        <v>2242</v>
      </c>
      <c r="R2234" s="17" t="s">
        <v>2238</v>
      </c>
      <c r="S2234" s="17" t="s">
        <v>2243</v>
      </c>
      <c r="T2234" s="17" t="s">
        <v>4142</v>
      </c>
      <c r="U22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E530-30101060216-D235301</v>
      </c>
      <c r="Z223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4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23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5" spans="1:31" x14ac:dyDescent="0.3">
      <c r="A2235" s="14" t="s">
        <v>5516</v>
      </c>
      <c r="B2235" s="14" t="s">
        <v>30</v>
      </c>
      <c r="C2235" s="14" t="s">
        <v>415</v>
      </c>
      <c r="D2235" s="14" t="s">
        <v>416</v>
      </c>
      <c r="E2235" s="14" t="s">
        <v>4136</v>
      </c>
      <c r="F2235" s="16">
        <v>0</v>
      </c>
      <c r="G2235" s="14" t="s">
        <v>2237</v>
      </c>
      <c r="H2235" s="16">
        <v>0</v>
      </c>
      <c r="I2235" s="14" t="s">
        <v>2237</v>
      </c>
      <c r="J2235" s="16">
        <v>0</v>
      </c>
      <c r="K2235" s="14" t="s">
        <v>2237</v>
      </c>
      <c r="L2235" s="16">
        <v>0</v>
      </c>
      <c r="M2235" s="14" t="s">
        <v>2237</v>
      </c>
      <c r="N2235" s="16">
        <v>100381.75</v>
      </c>
      <c r="O2235" s="14" t="s">
        <v>2237</v>
      </c>
      <c r="P2235" s="14" t="s">
        <v>2236</v>
      </c>
      <c r="Q2235" s="17" t="s">
        <v>2242</v>
      </c>
      <c r="R2235" s="17" t="s">
        <v>2238</v>
      </c>
      <c r="S2235" s="17" t="s">
        <v>2243</v>
      </c>
      <c r="T2235" s="17" t="s">
        <v>4142</v>
      </c>
      <c r="U22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E530-30101060215-D235301</v>
      </c>
      <c r="Z223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5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23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6" spans="1:31" x14ac:dyDescent="0.3">
      <c r="A2236" s="14" t="s">
        <v>5517</v>
      </c>
      <c r="B2236" s="14" t="s">
        <v>30</v>
      </c>
      <c r="C2236" s="14" t="s">
        <v>418</v>
      </c>
      <c r="D2236" s="14" t="s">
        <v>419</v>
      </c>
      <c r="E2236" s="14" t="s">
        <v>4136</v>
      </c>
      <c r="F2236" s="16">
        <v>0</v>
      </c>
      <c r="G2236" s="14" t="s">
        <v>2237</v>
      </c>
      <c r="H2236" s="16">
        <v>0</v>
      </c>
      <c r="I2236" s="14" t="s">
        <v>2237</v>
      </c>
      <c r="J2236" s="16">
        <v>0</v>
      </c>
      <c r="K2236" s="14" t="s">
        <v>2237</v>
      </c>
      <c r="L2236" s="16">
        <v>0</v>
      </c>
      <c r="M2236" s="14" t="s">
        <v>2237</v>
      </c>
      <c r="N2236" s="16">
        <v>0</v>
      </c>
      <c r="O2236" s="14" t="s">
        <v>2237</v>
      </c>
      <c r="P2236" s="14" t="s">
        <v>2236</v>
      </c>
      <c r="Q2236" s="17" t="s">
        <v>2242</v>
      </c>
      <c r="R2236" s="17" t="s">
        <v>2238</v>
      </c>
      <c r="S2236" s="17" t="s">
        <v>2243</v>
      </c>
      <c r="T2236" s="17" t="s">
        <v>4142</v>
      </c>
      <c r="U22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E530-30101060214-D235301</v>
      </c>
      <c r="Z223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6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23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7" spans="1:31" x14ac:dyDescent="0.3">
      <c r="A2237" s="14" t="s">
        <v>5518</v>
      </c>
      <c r="B2237" s="14" t="s">
        <v>30</v>
      </c>
      <c r="C2237" s="14" t="s">
        <v>421</v>
      </c>
      <c r="D2237" s="14" t="s">
        <v>422</v>
      </c>
      <c r="E2237" s="14" t="s">
        <v>4136</v>
      </c>
      <c r="F2237" s="16">
        <v>0</v>
      </c>
      <c r="G2237" s="14" t="s">
        <v>2237</v>
      </c>
      <c r="H2237" s="16">
        <v>0</v>
      </c>
      <c r="I2237" s="14" t="s">
        <v>2237</v>
      </c>
      <c r="J2237" s="16">
        <v>0</v>
      </c>
      <c r="K2237" s="14" t="s">
        <v>2237</v>
      </c>
      <c r="L2237" s="16">
        <v>0</v>
      </c>
      <c r="M2237" s="14" t="s">
        <v>2237</v>
      </c>
      <c r="N2237" s="16">
        <v>71350</v>
      </c>
      <c r="O2237" s="14" t="s">
        <v>2237</v>
      </c>
      <c r="P2237" s="14" t="s">
        <v>2236</v>
      </c>
      <c r="Q2237" s="17" t="s">
        <v>2242</v>
      </c>
      <c r="R2237" s="17" t="s">
        <v>2238</v>
      </c>
      <c r="S2237" s="17" t="s">
        <v>2243</v>
      </c>
      <c r="T2237" s="17" t="s">
        <v>4142</v>
      </c>
      <c r="U22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E530-30101060213-D235301</v>
      </c>
      <c r="Z223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7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23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8" spans="1:31" x14ac:dyDescent="0.3">
      <c r="A2238" s="14" t="s">
        <v>5519</v>
      </c>
      <c r="B2238" s="14" t="s">
        <v>30</v>
      </c>
      <c r="C2238" s="14" t="s">
        <v>424</v>
      </c>
      <c r="D2238" s="14" t="s">
        <v>425</v>
      </c>
      <c r="E2238" s="14" t="s">
        <v>4136</v>
      </c>
      <c r="F2238" s="16">
        <v>0</v>
      </c>
      <c r="G2238" s="14" t="s">
        <v>2237</v>
      </c>
      <c r="H2238" s="16">
        <v>0</v>
      </c>
      <c r="I2238" s="14" t="s">
        <v>2237</v>
      </c>
      <c r="J2238" s="16">
        <v>0</v>
      </c>
      <c r="K2238" s="14" t="s">
        <v>2237</v>
      </c>
      <c r="L2238" s="16">
        <v>0</v>
      </c>
      <c r="M2238" s="14" t="s">
        <v>2237</v>
      </c>
      <c r="N2238" s="16">
        <v>0</v>
      </c>
      <c r="O2238" s="14" t="s">
        <v>2237</v>
      </c>
      <c r="P2238" s="14" t="s">
        <v>2236</v>
      </c>
      <c r="Q2238" s="17" t="s">
        <v>2242</v>
      </c>
      <c r="R2238" s="17" t="s">
        <v>2238</v>
      </c>
      <c r="S2238" s="17" t="s">
        <v>2243</v>
      </c>
      <c r="T2238" s="17" t="s">
        <v>4142</v>
      </c>
      <c r="U22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E530-30101060247-D235301</v>
      </c>
      <c r="Z223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8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23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39" spans="1:31" x14ac:dyDescent="0.3">
      <c r="A2239" s="14" t="s">
        <v>5520</v>
      </c>
      <c r="B2239" s="14" t="s">
        <v>30</v>
      </c>
      <c r="C2239" s="14" t="s">
        <v>427</v>
      </c>
      <c r="D2239" s="14" t="s">
        <v>428</v>
      </c>
      <c r="E2239" s="14" t="s">
        <v>4136</v>
      </c>
      <c r="F2239" s="16">
        <v>0</v>
      </c>
      <c r="G2239" s="14" t="s">
        <v>2237</v>
      </c>
      <c r="H2239" s="16">
        <v>0</v>
      </c>
      <c r="I2239" s="14" t="s">
        <v>2237</v>
      </c>
      <c r="J2239" s="16">
        <v>0</v>
      </c>
      <c r="K2239" s="14" t="s">
        <v>2237</v>
      </c>
      <c r="L2239" s="16">
        <v>0</v>
      </c>
      <c r="M2239" s="14" t="s">
        <v>2237</v>
      </c>
      <c r="N2239" s="16">
        <v>462888.41</v>
      </c>
      <c r="O2239" s="14" t="s">
        <v>2237</v>
      </c>
      <c r="P2239" s="14" t="s">
        <v>2236</v>
      </c>
      <c r="Q2239" s="17" t="s">
        <v>2242</v>
      </c>
      <c r="R2239" s="17" t="s">
        <v>2238</v>
      </c>
      <c r="S2239" s="17" t="s">
        <v>2243</v>
      </c>
      <c r="T2239" s="17" t="s">
        <v>4142</v>
      </c>
      <c r="U223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3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3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3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3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E530-30101060212-D235301</v>
      </c>
      <c r="Z223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3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3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39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23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0" spans="1:31" x14ac:dyDescent="0.3">
      <c r="A2240" s="14" t="s">
        <v>5521</v>
      </c>
      <c r="B2240" s="14" t="s">
        <v>30</v>
      </c>
      <c r="C2240" s="14" t="s">
        <v>430</v>
      </c>
      <c r="D2240" s="14" t="s">
        <v>431</v>
      </c>
      <c r="E2240" s="14" t="s">
        <v>4136</v>
      </c>
      <c r="F2240" s="16">
        <v>0</v>
      </c>
      <c r="G2240" s="14" t="s">
        <v>2237</v>
      </c>
      <c r="H2240" s="16">
        <v>0</v>
      </c>
      <c r="I2240" s="14" t="s">
        <v>2237</v>
      </c>
      <c r="J2240" s="16">
        <v>0</v>
      </c>
      <c r="K2240" s="14" t="s">
        <v>2237</v>
      </c>
      <c r="L2240" s="16">
        <v>0</v>
      </c>
      <c r="M2240" s="14" t="s">
        <v>2237</v>
      </c>
      <c r="N2240" s="16">
        <v>50444.7</v>
      </c>
      <c r="O2240" s="14" t="s">
        <v>2237</v>
      </c>
      <c r="P2240" s="14" t="s">
        <v>2236</v>
      </c>
      <c r="Q2240" s="17" t="s">
        <v>2242</v>
      </c>
      <c r="R2240" s="17" t="s">
        <v>2238</v>
      </c>
      <c r="S2240" s="17" t="s">
        <v>2243</v>
      </c>
      <c r="T2240" s="17" t="s">
        <v>4142</v>
      </c>
      <c r="U224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4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E530-30101060211-D235301</v>
      </c>
      <c r="Z224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40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24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1" spans="1:31" x14ac:dyDescent="0.3">
      <c r="A2241" s="14" t="s">
        <v>5522</v>
      </c>
      <c r="B2241" s="14" t="s">
        <v>30</v>
      </c>
      <c r="C2241" s="14" t="s">
        <v>433</v>
      </c>
      <c r="D2241" s="14" t="s">
        <v>434</v>
      </c>
      <c r="E2241" s="14" t="s">
        <v>4136</v>
      </c>
      <c r="F2241" s="16">
        <v>0</v>
      </c>
      <c r="G2241" s="14" t="s">
        <v>2237</v>
      </c>
      <c r="H2241" s="16">
        <v>0</v>
      </c>
      <c r="I2241" s="14" t="s">
        <v>2237</v>
      </c>
      <c r="J2241" s="16">
        <v>0</v>
      </c>
      <c r="K2241" s="14" t="s">
        <v>2237</v>
      </c>
      <c r="L2241" s="16">
        <v>0</v>
      </c>
      <c r="M2241" s="14" t="s">
        <v>2237</v>
      </c>
      <c r="N2241" s="16">
        <v>282292.40999999997</v>
      </c>
      <c r="O2241" s="14" t="s">
        <v>2237</v>
      </c>
      <c r="P2241" s="14" t="s">
        <v>2236</v>
      </c>
      <c r="Q2241" s="17" t="s">
        <v>2242</v>
      </c>
      <c r="R2241" s="17" t="s">
        <v>2238</v>
      </c>
      <c r="S2241" s="17" t="s">
        <v>2243</v>
      </c>
      <c r="T2241" s="17" t="s">
        <v>4142</v>
      </c>
      <c r="U224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4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E530-30101060210-D235301</v>
      </c>
      <c r="Z224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41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24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2" spans="1:31" x14ac:dyDescent="0.3">
      <c r="A2242" s="14" t="s">
        <v>5523</v>
      </c>
      <c r="B2242" s="14" t="s">
        <v>30</v>
      </c>
      <c r="C2242" s="14" t="s">
        <v>436</v>
      </c>
      <c r="D2242" s="14" t="s">
        <v>437</v>
      </c>
      <c r="E2242" s="14" t="s">
        <v>4136</v>
      </c>
      <c r="F2242" s="16">
        <v>0</v>
      </c>
      <c r="G2242" s="14" t="s">
        <v>2237</v>
      </c>
      <c r="H2242" s="16">
        <v>0</v>
      </c>
      <c r="I2242" s="14" t="s">
        <v>2237</v>
      </c>
      <c r="J2242" s="16">
        <v>0</v>
      </c>
      <c r="K2242" s="14" t="s">
        <v>2237</v>
      </c>
      <c r="L2242" s="16">
        <v>0</v>
      </c>
      <c r="M2242" s="14" t="s">
        <v>2237</v>
      </c>
      <c r="N2242" s="16">
        <v>318237.95</v>
      </c>
      <c r="O2242" s="14" t="s">
        <v>2237</v>
      </c>
      <c r="P2242" s="14" t="s">
        <v>2236</v>
      </c>
      <c r="Q2242" s="17" t="s">
        <v>2242</v>
      </c>
      <c r="R2242" s="17" t="s">
        <v>2238</v>
      </c>
      <c r="S2242" s="17" t="s">
        <v>2243</v>
      </c>
      <c r="T2242" s="17" t="s">
        <v>4142</v>
      </c>
      <c r="U224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4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E530-30101060209-D235301</v>
      </c>
      <c r="Z224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42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24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3" spans="1:31" x14ac:dyDescent="0.3">
      <c r="A2243" s="14" t="s">
        <v>5524</v>
      </c>
      <c r="B2243" s="14" t="s">
        <v>30</v>
      </c>
      <c r="C2243" s="14" t="s">
        <v>439</v>
      </c>
      <c r="D2243" s="14" t="s">
        <v>440</v>
      </c>
      <c r="E2243" s="14" t="s">
        <v>4136</v>
      </c>
      <c r="F2243" s="16">
        <v>0</v>
      </c>
      <c r="G2243" s="14" t="s">
        <v>2237</v>
      </c>
      <c r="H2243" s="16">
        <v>0</v>
      </c>
      <c r="I2243" s="14" t="s">
        <v>2237</v>
      </c>
      <c r="J2243" s="16">
        <v>0</v>
      </c>
      <c r="K2243" s="14" t="s">
        <v>2237</v>
      </c>
      <c r="L2243" s="16">
        <v>0</v>
      </c>
      <c r="M2243" s="14" t="s">
        <v>2237</v>
      </c>
      <c r="N2243" s="16">
        <v>247456</v>
      </c>
      <c r="O2243" s="14" t="s">
        <v>2237</v>
      </c>
      <c r="P2243" s="14" t="s">
        <v>2236</v>
      </c>
      <c r="Q2243" s="17" t="s">
        <v>2242</v>
      </c>
      <c r="R2243" s="17" t="s">
        <v>2238</v>
      </c>
      <c r="S2243" s="17" t="s">
        <v>2243</v>
      </c>
      <c r="T2243" s="17" t="s">
        <v>4142</v>
      </c>
      <c r="U224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4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E530-30101060208-D235301</v>
      </c>
      <c r="Z224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43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24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4" spans="1:31" x14ac:dyDescent="0.3">
      <c r="A2244" s="14" t="s">
        <v>5525</v>
      </c>
      <c r="B2244" s="14" t="s">
        <v>30</v>
      </c>
      <c r="C2244" s="14" t="s">
        <v>442</v>
      </c>
      <c r="D2244" s="14" t="s">
        <v>443</v>
      </c>
      <c r="E2244" s="14" t="s">
        <v>4136</v>
      </c>
      <c r="F2244" s="16">
        <v>0</v>
      </c>
      <c r="G2244" s="14" t="s">
        <v>2237</v>
      </c>
      <c r="H2244" s="16">
        <v>0</v>
      </c>
      <c r="I2244" s="14" t="s">
        <v>2237</v>
      </c>
      <c r="J2244" s="16">
        <v>0</v>
      </c>
      <c r="K2244" s="14" t="s">
        <v>2237</v>
      </c>
      <c r="L2244" s="16">
        <v>0</v>
      </c>
      <c r="M2244" s="14" t="s">
        <v>2237</v>
      </c>
      <c r="N2244" s="16">
        <v>637251.5</v>
      </c>
      <c r="O2244" s="14" t="s">
        <v>2237</v>
      </c>
      <c r="P2244" s="14" t="s">
        <v>2236</v>
      </c>
      <c r="Q2244" s="17" t="s">
        <v>2242</v>
      </c>
      <c r="R2244" s="17" t="s">
        <v>2238</v>
      </c>
      <c r="S2244" s="17" t="s">
        <v>2243</v>
      </c>
      <c r="T2244" s="17" t="s">
        <v>4142</v>
      </c>
      <c r="U224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4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E530-30101060207-D235301</v>
      </c>
      <c r="Z224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44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24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5" spans="1:31" x14ac:dyDescent="0.3">
      <c r="A2245" s="14" t="s">
        <v>5526</v>
      </c>
      <c r="B2245" s="14" t="s">
        <v>30</v>
      </c>
      <c r="C2245" s="14" t="s">
        <v>445</v>
      </c>
      <c r="D2245" s="14" t="s">
        <v>446</v>
      </c>
      <c r="E2245" s="14" t="s">
        <v>4136</v>
      </c>
      <c r="F2245" s="16">
        <v>0</v>
      </c>
      <c r="G2245" s="14" t="s">
        <v>2237</v>
      </c>
      <c r="H2245" s="16">
        <v>0</v>
      </c>
      <c r="I2245" s="14" t="s">
        <v>2237</v>
      </c>
      <c r="J2245" s="16">
        <v>0</v>
      </c>
      <c r="K2245" s="14" t="s">
        <v>2237</v>
      </c>
      <c r="L2245" s="16">
        <v>0</v>
      </c>
      <c r="M2245" s="14" t="s">
        <v>2237</v>
      </c>
      <c r="N2245" s="16">
        <v>970902.29</v>
      </c>
      <c r="O2245" s="14" t="s">
        <v>2237</v>
      </c>
      <c r="P2245" s="14" t="s">
        <v>2236</v>
      </c>
      <c r="Q2245" s="17" t="s">
        <v>2242</v>
      </c>
      <c r="R2245" s="17" t="s">
        <v>2238</v>
      </c>
      <c r="S2245" s="17" t="s">
        <v>2243</v>
      </c>
      <c r="T2245" s="17" t="s">
        <v>4142</v>
      </c>
      <c r="U224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4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E530-30101060205-D235301</v>
      </c>
      <c r="Z224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45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24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6" spans="1:31" x14ac:dyDescent="0.3">
      <c r="A2246" s="14" t="s">
        <v>5527</v>
      </c>
      <c r="B2246" s="14" t="s">
        <v>30</v>
      </c>
      <c r="C2246" s="14" t="s">
        <v>448</v>
      </c>
      <c r="D2246" s="14" t="s">
        <v>449</v>
      </c>
      <c r="E2246" s="14" t="s">
        <v>4136</v>
      </c>
      <c r="F2246" s="16">
        <v>0</v>
      </c>
      <c r="G2246" s="14" t="s">
        <v>2237</v>
      </c>
      <c r="H2246" s="16">
        <v>0</v>
      </c>
      <c r="I2246" s="14" t="s">
        <v>2237</v>
      </c>
      <c r="J2246" s="16">
        <v>0</v>
      </c>
      <c r="K2246" s="14" t="s">
        <v>2237</v>
      </c>
      <c r="L2246" s="16">
        <v>0</v>
      </c>
      <c r="M2246" s="14" t="s">
        <v>2237</v>
      </c>
      <c r="N2246" s="16">
        <v>1500</v>
      </c>
      <c r="O2246" s="14" t="s">
        <v>2237</v>
      </c>
      <c r="P2246" s="14" t="s">
        <v>2236</v>
      </c>
      <c r="Q2246" s="17" t="s">
        <v>2242</v>
      </c>
      <c r="R2246" s="17" t="s">
        <v>2238</v>
      </c>
      <c r="S2246" s="17" t="s">
        <v>2243</v>
      </c>
      <c r="T2246" s="17" t="s">
        <v>4142</v>
      </c>
      <c r="U22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E530-301010602-D235301</v>
      </c>
      <c r="Y224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E530-30101060204-D235301</v>
      </c>
      <c r="Z224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46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24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7" spans="1:31" x14ac:dyDescent="0.3">
      <c r="A2247" s="14" t="s">
        <v>5528</v>
      </c>
      <c r="B2247" s="14" t="s">
        <v>26</v>
      </c>
      <c r="C2247" s="14" t="s">
        <v>451</v>
      </c>
      <c r="D2247" s="14" t="s">
        <v>452</v>
      </c>
      <c r="E2247" s="14" t="s">
        <v>4136</v>
      </c>
      <c r="F2247" s="16">
        <v>44000</v>
      </c>
      <c r="G2247" s="14" t="s">
        <v>2237</v>
      </c>
      <c r="H2247" s="16">
        <v>44000</v>
      </c>
      <c r="I2247" s="14" t="s">
        <v>2237</v>
      </c>
      <c r="J2247" s="16">
        <v>0</v>
      </c>
      <c r="K2247" s="14" t="s">
        <v>2237</v>
      </c>
      <c r="L2247" s="16">
        <v>0</v>
      </c>
      <c r="M2247" s="14" t="s">
        <v>2237</v>
      </c>
      <c r="N2247" s="16">
        <v>14897.57</v>
      </c>
      <c r="O2247" s="14" t="s">
        <v>2237</v>
      </c>
      <c r="P2247" s="14" t="s">
        <v>2236</v>
      </c>
      <c r="Q2247" s="17" t="s">
        <v>2242</v>
      </c>
      <c r="R2247" s="17" t="s">
        <v>2238</v>
      </c>
      <c r="S2247" s="17" t="s">
        <v>2243</v>
      </c>
      <c r="T2247" s="17" t="s">
        <v>4137</v>
      </c>
      <c r="U22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E530-301010601-D235301</v>
      </c>
      <c r="Y224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4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24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4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8" spans="1:31" x14ac:dyDescent="0.3">
      <c r="A2248" s="14" t="s">
        <v>5529</v>
      </c>
      <c r="B2248" s="14" t="s">
        <v>30</v>
      </c>
      <c r="C2248" s="14" t="s">
        <v>453</v>
      </c>
      <c r="D2248" s="14" t="s">
        <v>454</v>
      </c>
      <c r="E2248" s="14" t="s">
        <v>4136</v>
      </c>
      <c r="F2248" s="16">
        <v>0</v>
      </c>
      <c r="G2248" s="14" t="s">
        <v>2237</v>
      </c>
      <c r="H2248" s="16">
        <v>0</v>
      </c>
      <c r="I2248" s="14" t="s">
        <v>2237</v>
      </c>
      <c r="J2248" s="16">
        <v>0</v>
      </c>
      <c r="K2248" s="14" t="s">
        <v>2237</v>
      </c>
      <c r="L2248" s="16">
        <v>0</v>
      </c>
      <c r="M2248" s="14" t="s">
        <v>2237</v>
      </c>
      <c r="N2248" s="16">
        <v>14897.57</v>
      </c>
      <c r="O2248" s="14" t="s">
        <v>2237</v>
      </c>
      <c r="P2248" s="14" t="s">
        <v>2236</v>
      </c>
      <c r="Q2248" s="17" t="s">
        <v>2242</v>
      </c>
      <c r="R2248" s="17" t="s">
        <v>2238</v>
      </c>
      <c r="S2248" s="17" t="s">
        <v>2243</v>
      </c>
      <c r="T2248" s="17" t="s">
        <v>4142</v>
      </c>
      <c r="U22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E530-301010601-D235301</v>
      </c>
      <c r="Y224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E530-30101060160-D235301</v>
      </c>
      <c r="Z224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248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24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49" spans="1:31" x14ac:dyDescent="0.3">
      <c r="A2249" s="14" t="s">
        <v>5530</v>
      </c>
      <c r="B2249" s="14" t="s">
        <v>26</v>
      </c>
      <c r="C2249" s="14" t="s">
        <v>456</v>
      </c>
      <c r="D2249" s="14" t="s">
        <v>457</v>
      </c>
      <c r="E2249" s="14" t="s">
        <v>4136</v>
      </c>
      <c r="F2249" s="16">
        <v>597820.56000000006</v>
      </c>
      <c r="G2249" s="14" t="s">
        <v>2237</v>
      </c>
      <c r="H2249" s="16">
        <v>244939.93</v>
      </c>
      <c r="I2249" s="14" t="s">
        <v>2237</v>
      </c>
      <c r="J2249" s="16">
        <v>0</v>
      </c>
      <c r="K2249" s="14" t="s">
        <v>2237</v>
      </c>
      <c r="L2249" s="16">
        <v>0</v>
      </c>
      <c r="M2249" s="14" t="s">
        <v>2237</v>
      </c>
      <c r="N2249" s="16">
        <v>237729.16</v>
      </c>
      <c r="O2249" s="14" t="s">
        <v>2237</v>
      </c>
      <c r="P2249" s="14" t="s">
        <v>2236</v>
      </c>
      <c r="Q2249" s="17" t="s">
        <v>2242</v>
      </c>
      <c r="R2249" s="17" t="s">
        <v>2238</v>
      </c>
      <c r="S2249" s="17" t="s">
        <v>2243</v>
      </c>
      <c r="T2249" s="17" t="s">
        <v>4138</v>
      </c>
      <c r="U22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4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4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4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E530-301010661-D235301</v>
      </c>
      <c r="Y22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4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4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4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4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0" spans="1:31" x14ac:dyDescent="0.3">
      <c r="A2250" s="14" t="s">
        <v>5531</v>
      </c>
      <c r="B2250" s="14" t="s">
        <v>30</v>
      </c>
      <c r="C2250" s="14" t="s">
        <v>458</v>
      </c>
      <c r="D2250" s="14" t="s">
        <v>459</v>
      </c>
      <c r="E2250" s="14" t="s">
        <v>4136</v>
      </c>
      <c r="F2250" s="16">
        <v>0</v>
      </c>
      <c r="G2250" s="14" t="s">
        <v>2237</v>
      </c>
      <c r="H2250" s="16">
        <v>0</v>
      </c>
      <c r="I2250" s="14" t="s">
        <v>2237</v>
      </c>
      <c r="J2250" s="16">
        <v>0</v>
      </c>
      <c r="K2250" s="14" t="s">
        <v>2237</v>
      </c>
      <c r="L2250" s="16">
        <v>0</v>
      </c>
      <c r="M2250" s="14" t="s">
        <v>2237</v>
      </c>
      <c r="N2250" s="16">
        <v>0</v>
      </c>
      <c r="O2250" s="14" t="s">
        <v>2237</v>
      </c>
      <c r="P2250" s="14" t="s">
        <v>2236</v>
      </c>
      <c r="Q2250" s="17" t="s">
        <v>2242</v>
      </c>
      <c r="R2250" s="17" t="s">
        <v>2238</v>
      </c>
      <c r="S2250" s="17" t="s">
        <v>2243</v>
      </c>
      <c r="T2250" s="17" t="s">
        <v>4142</v>
      </c>
      <c r="U22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5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E530-301010661-D235301</v>
      </c>
      <c r="Y225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E530-30101066162-D235301</v>
      </c>
      <c r="Z225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50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25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1" spans="1:31" x14ac:dyDescent="0.3">
      <c r="A2251" s="14" t="s">
        <v>5532</v>
      </c>
      <c r="B2251" s="14" t="s">
        <v>30</v>
      </c>
      <c r="C2251" s="14" t="s">
        <v>461</v>
      </c>
      <c r="D2251" s="14" t="s">
        <v>462</v>
      </c>
      <c r="E2251" s="14" t="s">
        <v>4136</v>
      </c>
      <c r="F2251" s="16">
        <v>0</v>
      </c>
      <c r="G2251" s="14" t="s">
        <v>2237</v>
      </c>
      <c r="H2251" s="16">
        <v>0</v>
      </c>
      <c r="I2251" s="14" t="s">
        <v>2237</v>
      </c>
      <c r="J2251" s="16">
        <v>0</v>
      </c>
      <c r="K2251" s="14" t="s">
        <v>2237</v>
      </c>
      <c r="L2251" s="16">
        <v>0</v>
      </c>
      <c r="M2251" s="14" t="s">
        <v>2237</v>
      </c>
      <c r="N2251" s="16">
        <v>6771.23</v>
      </c>
      <c r="O2251" s="14" t="s">
        <v>2237</v>
      </c>
      <c r="P2251" s="14" t="s">
        <v>2236</v>
      </c>
      <c r="Q2251" s="17" t="s">
        <v>2242</v>
      </c>
      <c r="R2251" s="17" t="s">
        <v>2238</v>
      </c>
      <c r="S2251" s="17" t="s">
        <v>2243</v>
      </c>
      <c r="T2251" s="17" t="s">
        <v>4142</v>
      </c>
      <c r="U22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5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E530-301010661-D235301</v>
      </c>
      <c r="Y225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E530-30101066193-D235301</v>
      </c>
      <c r="Z225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51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25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2" spans="1:31" x14ac:dyDescent="0.3">
      <c r="A2252" s="14" t="s">
        <v>5533</v>
      </c>
      <c r="B2252" s="14" t="s">
        <v>30</v>
      </c>
      <c r="C2252" s="14" t="s">
        <v>464</v>
      </c>
      <c r="D2252" s="14" t="s">
        <v>465</v>
      </c>
      <c r="E2252" s="14" t="s">
        <v>4136</v>
      </c>
      <c r="F2252" s="16">
        <v>0</v>
      </c>
      <c r="G2252" s="14" t="s">
        <v>2237</v>
      </c>
      <c r="H2252" s="16">
        <v>0</v>
      </c>
      <c r="I2252" s="14" t="s">
        <v>2237</v>
      </c>
      <c r="J2252" s="16">
        <v>0</v>
      </c>
      <c r="K2252" s="14" t="s">
        <v>2237</v>
      </c>
      <c r="L2252" s="16">
        <v>0</v>
      </c>
      <c r="M2252" s="14" t="s">
        <v>2237</v>
      </c>
      <c r="N2252" s="16">
        <v>179613.75</v>
      </c>
      <c r="O2252" s="14" t="s">
        <v>2237</v>
      </c>
      <c r="P2252" s="14" t="s">
        <v>2236</v>
      </c>
      <c r="Q2252" s="17" t="s">
        <v>2242</v>
      </c>
      <c r="R2252" s="17" t="s">
        <v>2238</v>
      </c>
      <c r="S2252" s="17" t="s">
        <v>2243</v>
      </c>
      <c r="T2252" s="17" t="s">
        <v>4142</v>
      </c>
      <c r="U22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5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E530-301010661-D235301</v>
      </c>
      <c r="Y225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E530-30101066118-D235301</v>
      </c>
      <c r="Z225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52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25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3" spans="1:31" x14ac:dyDescent="0.3">
      <c r="A2253" s="14" t="s">
        <v>5534</v>
      </c>
      <c r="B2253" s="14" t="s">
        <v>30</v>
      </c>
      <c r="C2253" s="14" t="s">
        <v>467</v>
      </c>
      <c r="D2253" s="14" t="s">
        <v>468</v>
      </c>
      <c r="E2253" s="14" t="s">
        <v>4136</v>
      </c>
      <c r="F2253" s="16">
        <v>0</v>
      </c>
      <c r="G2253" s="14" t="s">
        <v>2237</v>
      </c>
      <c r="H2253" s="16">
        <v>0</v>
      </c>
      <c r="I2253" s="14" t="s">
        <v>2237</v>
      </c>
      <c r="J2253" s="16">
        <v>0</v>
      </c>
      <c r="K2253" s="14" t="s">
        <v>2237</v>
      </c>
      <c r="L2253" s="16">
        <v>0</v>
      </c>
      <c r="M2253" s="14" t="s">
        <v>2237</v>
      </c>
      <c r="N2253" s="16">
        <v>0</v>
      </c>
      <c r="O2253" s="14" t="s">
        <v>2237</v>
      </c>
      <c r="P2253" s="14" t="s">
        <v>2236</v>
      </c>
      <c r="Q2253" s="17" t="s">
        <v>2242</v>
      </c>
      <c r="R2253" s="17" t="s">
        <v>2238</v>
      </c>
      <c r="S2253" s="17" t="s">
        <v>2243</v>
      </c>
      <c r="T2253" s="17" t="s">
        <v>4142</v>
      </c>
      <c r="U22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5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E530-301010661-D235301</v>
      </c>
      <c r="Y225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E530-30101066102-D235301</v>
      </c>
      <c r="Z225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53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25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4" spans="1:31" x14ac:dyDescent="0.3">
      <c r="A2254" s="14" t="s">
        <v>5535</v>
      </c>
      <c r="B2254" s="14" t="s">
        <v>30</v>
      </c>
      <c r="C2254" s="14" t="s">
        <v>469</v>
      </c>
      <c r="D2254" s="14" t="s">
        <v>470</v>
      </c>
      <c r="E2254" s="14" t="s">
        <v>4136</v>
      </c>
      <c r="F2254" s="16">
        <v>0</v>
      </c>
      <c r="G2254" s="14" t="s">
        <v>2237</v>
      </c>
      <c r="H2254" s="16">
        <v>0</v>
      </c>
      <c r="I2254" s="14" t="s">
        <v>2237</v>
      </c>
      <c r="J2254" s="16">
        <v>0</v>
      </c>
      <c r="K2254" s="14" t="s">
        <v>2237</v>
      </c>
      <c r="L2254" s="16">
        <v>0</v>
      </c>
      <c r="M2254" s="14" t="s">
        <v>2237</v>
      </c>
      <c r="N2254" s="16">
        <v>51344.18</v>
      </c>
      <c r="O2254" s="14" t="s">
        <v>2237</v>
      </c>
      <c r="P2254" s="14" t="s">
        <v>2236</v>
      </c>
      <c r="Q2254" s="17" t="s">
        <v>2242</v>
      </c>
      <c r="R2254" s="17" t="s">
        <v>2238</v>
      </c>
      <c r="S2254" s="17" t="s">
        <v>2243</v>
      </c>
      <c r="T2254" s="17" t="s">
        <v>4142</v>
      </c>
      <c r="U22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E530-3010106-D235301</v>
      </c>
      <c r="X225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E530-301010661-D235301</v>
      </c>
      <c r="Y225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E530-30101066101-D235301</v>
      </c>
      <c r="Z225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54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25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6</v>
      </c>
      <c r="AE22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5" spans="1:31" x14ac:dyDescent="0.3">
      <c r="A2255" s="14" t="s">
        <v>5536</v>
      </c>
      <c r="B2255" s="14" t="s">
        <v>21</v>
      </c>
      <c r="C2255" s="14" t="s">
        <v>472</v>
      </c>
      <c r="D2255" s="14" t="s">
        <v>473</v>
      </c>
      <c r="E2255" s="14" t="s">
        <v>4136</v>
      </c>
      <c r="F2255" s="16">
        <v>4998621.07</v>
      </c>
      <c r="G2255" s="14" t="s">
        <v>2237</v>
      </c>
      <c r="H2255" s="16">
        <v>4954201.8</v>
      </c>
      <c r="I2255" s="14" t="s">
        <v>2237</v>
      </c>
      <c r="J2255" s="16">
        <v>0</v>
      </c>
      <c r="K2255" s="14" t="s">
        <v>2237</v>
      </c>
      <c r="L2255" s="16">
        <v>0</v>
      </c>
      <c r="M2255" s="14" t="s">
        <v>2237</v>
      </c>
      <c r="N2255" s="16">
        <v>4562998.05</v>
      </c>
      <c r="O2255" s="14" t="s">
        <v>2237</v>
      </c>
      <c r="P2255" s="14" t="s">
        <v>2236</v>
      </c>
      <c r="Q2255" s="17" t="s">
        <v>2242</v>
      </c>
      <c r="R2255" s="17" t="s">
        <v>2238</v>
      </c>
      <c r="S2255" s="17" t="s">
        <v>2243</v>
      </c>
      <c r="T2255" s="17" t="s">
        <v>4137</v>
      </c>
      <c r="U22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55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5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5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5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5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5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5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6" spans="1:31" x14ac:dyDescent="0.3">
      <c r="A2256" s="14" t="s">
        <v>5537</v>
      </c>
      <c r="B2256" s="14" t="s">
        <v>26</v>
      </c>
      <c r="C2256" s="14" t="s">
        <v>474</v>
      </c>
      <c r="D2256" s="14" t="s">
        <v>475</v>
      </c>
      <c r="E2256" s="14" t="s">
        <v>4136</v>
      </c>
      <c r="F2256" s="16">
        <v>3360986.73</v>
      </c>
      <c r="G2256" s="14" t="s">
        <v>2237</v>
      </c>
      <c r="H2256" s="16">
        <v>3360986.73</v>
      </c>
      <c r="I2256" s="14" t="s">
        <v>2237</v>
      </c>
      <c r="J2256" s="16">
        <v>0</v>
      </c>
      <c r="K2256" s="14" t="s">
        <v>2237</v>
      </c>
      <c r="L2256" s="16">
        <v>0</v>
      </c>
      <c r="M2256" s="14" t="s">
        <v>2237</v>
      </c>
      <c r="N2256" s="16">
        <v>3009713.69</v>
      </c>
      <c r="O2256" s="14" t="s">
        <v>2237</v>
      </c>
      <c r="P2256" s="14" t="s">
        <v>2236</v>
      </c>
      <c r="Q2256" s="17" t="s">
        <v>2242</v>
      </c>
      <c r="R2256" s="17" t="s">
        <v>2238</v>
      </c>
      <c r="S2256" s="17" t="s">
        <v>2243</v>
      </c>
      <c r="T2256" s="17" t="s">
        <v>4138</v>
      </c>
      <c r="U225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5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5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5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5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5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5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7" spans="1:31" x14ac:dyDescent="0.3">
      <c r="A2257" s="14" t="s">
        <v>5538</v>
      </c>
      <c r="B2257" s="14" t="s">
        <v>30</v>
      </c>
      <c r="C2257" s="14" t="s">
        <v>5539</v>
      </c>
      <c r="D2257" s="14" t="s">
        <v>477</v>
      </c>
      <c r="E2257" s="14" t="s">
        <v>4136</v>
      </c>
      <c r="F2257" s="16">
        <v>0</v>
      </c>
      <c r="G2257" s="14" t="s">
        <v>2237</v>
      </c>
      <c r="H2257" s="16">
        <v>0</v>
      </c>
      <c r="I2257" s="14" t="s">
        <v>2237</v>
      </c>
      <c r="J2257" s="16">
        <v>0</v>
      </c>
      <c r="K2257" s="14" t="s">
        <v>2237</v>
      </c>
      <c r="L2257" s="16">
        <v>0</v>
      </c>
      <c r="M2257" s="14" t="s">
        <v>2237</v>
      </c>
      <c r="N2257" s="16">
        <v>29044.52</v>
      </c>
      <c r="O2257" s="14" t="s">
        <v>2237</v>
      </c>
      <c r="P2257" s="14" t="s">
        <v>2236</v>
      </c>
      <c r="Q2257" s="17" t="s">
        <v>2242</v>
      </c>
      <c r="R2257" s="17" t="s">
        <v>2238</v>
      </c>
      <c r="S2257" s="17" t="s">
        <v>2243</v>
      </c>
      <c r="T2257" s="17" t="s">
        <v>4142</v>
      </c>
      <c r="U22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5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5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E530-30101050224-D235301</v>
      </c>
      <c r="Z225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57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25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5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8" spans="1:31" x14ac:dyDescent="0.3">
      <c r="A2258" s="14" t="s">
        <v>5540</v>
      </c>
      <c r="B2258" s="14" t="s">
        <v>30</v>
      </c>
      <c r="C2258" s="14" t="s">
        <v>478</v>
      </c>
      <c r="D2258" s="14" t="s">
        <v>479</v>
      </c>
      <c r="E2258" s="14" t="s">
        <v>4136</v>
      </c>
      <c r="F2258" s="16">
        <v>0</v>
      </c>
      <c r="G2258" s="14" t="s">
        <v>2237</v>
      </c>
      <c r="H2258" s="16">
        <v>0</v>
      </c>
      <c r="I2258" s="14" t="s">
        <v>2237</v>
      </c>
      <c r="J2258" s="16">
        <v>0</v>
      </c>
      <c r="K2258" s="14" t="s">
        <v>2237</v>
      </c>
      <c r="L2258" s="16">
        <v>0</v>
      </c>
      <c r="M2258" s="14" t="s">
        <v>2237</v>
      </c>
      <c r="N2258" s="16">
        <v>41595.769999999997</v>
      </c>
      <c r="O2258" s="14" t="s">
        <v>2237</v>
      </c>
      <c r="P2258" s="14" t="s">
        <v>2236</v>
      </c>
      <c r="Q2258" s="17" t="s">
        <v>2242</v>
      </c>
      <c r="R2258" s="17" t="s">
        <v>2238</v>
      </c>
      <c r="S2258" s="17" t="s">
        <v>2243</v>
      </c>
      <c r="T2258" s="17" t="s">
        <v>4142</v>
      </c>
      <c r="U22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5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5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E530-30101050298-D235301</v>
      </c>
      <c r="Z225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58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25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5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59" spans="1:31" x14ac:dyDescent="0.3">
      <c r="A2259" s="14" t="s">
        <v>5541</v>
      </c>
      <c r="B2259" s="14" t="s">
        <v>30</v>
      </c>
      <c r="C2259" s="14" t="s">
        <v>480</v>
      </c>
      <c r="D2259" s="14" t="s">
        <v>481</v>
      </c>
      <c r="E2259" s="14" t="s">
        <v>4136</v>
      </c>
      <c r="F2259" s="16">
        <v>0</v>
      </c>
      <c r="G2259" s="14" t="s">
        <v>2237</v>
      </c>
      <c r="H2259" s="16">
        <v>0</v>
      </c>
      <c r="I2259" s="14" t="s">
        <v>2237</v>
      </c>
      <c r="J2259" s="16">
        <v>0</v>
      </c>
      <c r="K2259" s="14" t="s">
        <v>2237</v>
      </c>
      <c r="L2259" s="16">
        <v>0</v>
      </c>
      <c r="M2259" s="14" t="s">
        <v>2237</v>
      </c>
      <c r="N2259" s="16">
        <v>9670.59</v>
      </c>
      <c r="O2259" s="14" t="s">
        <v>2237</v>
      </c>
      <c r="P2259" s="14" t="s">
        <v>2236</v>
      </c>
      <c r="Q2259" s="17" t="s">
        <v>2242</v>
      </c>
      <c r="R2259" s="17" t="s">
        <v>2238</v>
      </c>
      <c r="S2259" s="17" t="s">
        <v>2243</v>
      </c>
      <c r="T2259" s="17" t="s">
        <v>4142</v>
      </c>
      <c r="U225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5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5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5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5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E530-30101050297-D235301</v>
      </c>
      <c r="Z225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5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5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59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25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5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0" spans="1:31" x14ac:dyDescent="0.3">
      <c r="A2260" s="14" t="s">
        <v>5542</v>
      </c>
      <c r="B2260" s="14" t="s">
        <v>30</v>
      </c>
      <c r="C2260" s="14" t="s">
        <v>482</v>
      </c>
      <c r="D2260" s="14" t="s">
        <v>483</v>
      </c>
      <c r="E2260" s="14" t="s">
        <v>4136</v>
      </c>
      <c r="F2260" s="16">
        <v>0</v>
      </c>
      <c r="G2260" s="14" t="s">
        <v>2237</v>
      </c>
      <c r="H2260" s="16">
        <v>0</v>
      </c>
      <c r="I2260" s="14" t="s">
        <v>2237</v>
      </c>
      <c r="J2260" s="16">
        <v>0</v>
      </c>
      <c r="K2260" s="14" t="s">
        <v>2237</v>
      </c>
      <c r="L2260" s="16">
        <v>0</v>
      </c>
      <c r="M2260" s="14" t="s">
        <v>2237</v>
      </c>
      <c r="N2260" s="16">
        <v>0</v>
      </c>
      <c r="O2260" s="14" t="s">
        <v>2237</v>
      </c>
      <c r="P2260" s="14" t="s">
        <v>2236</v>
      </c>
      <c r="Q2260" s="17" t="s">
        <v>2242</v>
      </c>
      <c r="R2260" s="17" t="s">
        <v>2238</v>
      </c>
      <c r="S2260" s="17" t="s">
        <v>2243</v>
      </c>
      <c r="T2260" s="17" t="s">
        <v>4142</v>
      </c>
      <c r="U226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E530-30101050296-D235301</v>
      </c>
      <c r="Z226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0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26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1" spans="1:31" x14ac:dyDescent="0.3">
      <c r="A2261" s="14" t="s">
        <v>5543</v>
      </c>
      <c r="B2261" s="14" t="s">
        <v>30</v>
      </c>
      <c r="C2261" s="14" t="s">
        <v>484</v>
      </c>
      <c r="D2261" s="14" t="s">
        <v>485</v>
      </c>
      <c r="E2261" s="14" t="s">
        <v>4136</v>
      </c>
      <c r="F2261" s="16">
        <v>0</v>
      </c>
      <c r="G2261" s="14" t="s">
        <v>2237</v>
      </c>
      <c r="H2261" s="16">
        <v>0</v>
      </c>
      <c r="I2261" s="14" t="s">
        <v>2237</v>
      </c>
      <c r="J2261" s="16">
        <v>0</v>
      </c>
      <c r="K2261" s="14" t="s">
        <v>2237</v>
      </c>
      <c r="L2261" s="16">
        <v>0</v>
      </c>
      <c r="M2261" s="14" t="s">
        <v>2237</v>
      </c>
      <c r="N2261" s="16">
        <v>0</v>
      </c>
      <c r="O2261" s="14" t="s">
        <v>2237</v>
      </c>
      <c r="P2261" s="14" t="s">
        <v>2236</v>
      </c>
      <c r="Q2261" s="17" t="s">
        <v>2242</v>
      </c>
      <c r="R2261" s="17" t="s">
        <v>2238</v>
      </c>
      <c r="S2261" s="17" t="s">
        <v>2243</v>
      </c>
      <c r="T2261" s="17" t="s">
        <v>4142</v>
      </c>
      <c r="U226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E530-30101050295-D235301</v>
      </c>
      <c r="Z226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1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26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2" spans="1:31" x14ac:dyDescent="0.3">
      <c r="A2262" s="14" t="s">
        <v>5544</v>
      </c>
      <c r="B2262" s="14" t="s">
        <v>30</v>
      </c>
      <c r="C2262" s="14" t="s">
        <v>486</v>
      </c>
      <c r="D2262" s="14" t="s">
        <v>487</v>
      </c>
      <c r="E2262" s="14" t="s">
        <v>4136</v>
      </c>
      <c r="F2262" s="16">
        <v>0</v>
      </c>
      <c r="G2262" s="14" t="s">
        <v>2237</v>
      </c>
      <c r="H2262" s="16">
        <v>0</v>
      </c>
      <c r="I2262" s="14" t="s">
        <v>2237</v>
      </c>
      <c r="J2262" s="16">
        <v>0</v>
      </c>
      <c r="K2262" s="14" t="s">
        <v>2237</v>
      </c>
      <c r="L2262" s="16">
        <v>0</v>
      </c>
      <c r="M2262" s="14" t="s">
        <v>2237</v>
      </c>
      <c r="N2262" s="16">
        <v>17509.14</v>
      </c>
      <c r="O2262" s="14" t="s">
        <v>2237</v>
      </c>
      <c r="P2262" s="14" t="s">
        <v>2236</v>
      </c>
      <c r="Q2262" s="17" t="s">
        <v>2242</v>
      </c>
      <c r="R2262" s="17" t="s">
        <v>2238</v>
      </c>
      <c r="S2262" s="17" t="s">
        <v>2243</v>
      </c>
      <c r="T2262" s="17" t="s">
        <v>4142</v>
      </c>
      <c r="U226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E530-30101050294-D235301</v>
      </c>
      <c r="Z226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2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26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3" spans="1:31" x14ac:dyDescent="0.3">
      <c r="A2263" s="14" t="s">
        <v>5545</v>
      </c>
      <c r="B2263" s="14" t="s">
        <v>30</v>
      </c>
      <c r="C2263" s="14" t="s">
        <v>5546</v>
      </c>
      <c r="D2263" s="14" t="s">
        <v>489</v>
      </c>
      <c r="E2263" s="14" t="s">
        <v>4136</v>
      </c>
      <c r="F2263" s="16">
        <v>0</v>
      </c>
      <c r="G2263" s="14" t="s">
        <v>2237</v>
      </c>
      <c r="H2263" s="16">
        <v>0</v>
      </c>
      <c r="I2263" s="14" t="s">
        <v>2237</v>
      </c>
      <c r="J2263" s="16">
        <v>0</v>
      </c>
      <c r="K2263" s="14" t="s">
        <v>2237</v>
      </c>
      <c r="L2263" s="16">
        <v>0</v>
      </c>
      <c r="M2263" s="14" t="s">
        <v>2237</v>
      </c>
      <c r="N2263" s="16">
        <v>7720.67</v>
      </c>
      <c r="O2263" s="14" t="s">
        <v>2237</v>
      </c>
      <c r="P2263" s="14" t="s">
        <v>2236</v>
      </c>
      <c r="Q2263" s="17" t="s">
        <v>2242</v>
      </c>
      <c r="R2263" s="17" t="s">
        <v>2238</v>
      </c>
      <c r="S2263" s="17" t="s">
        <v>2243</v>
      </c>
      <c r="T2263" s="17" t="s">
        <v>4142</v>
      </c>
      <c r="U226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E530-30101050220-D235301</v>
      </c>
      <c r="Z226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3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26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4" spans="1:31" x14ac:dyDescent="0.3">
      <c r="A2264" s="14" t="s">
        <v>5547</v>
      </c>
      <c r="B2264" s="14" t="s">
        <v>30</v>
      </c>
      <c r="C2264" s="14" t="s">
        <v>490</v>
      </c>
      <c r="D2264" s="14" t="s">
        <v>491</v>
      </c>
      <c r="E2264" s="14" t="s">
        <v>4136</v>
      </c>
      <c r="F2264" s="16">
        <v>0</v>
      </c>
      <c r="G2264" s="14" t="s">
        <v>2237</v>
      </c>
      <c r="H2264" s="16">
        <v>0</v>
      </c>
      <c r="I2264" s="14" t="s">
        <v>2237</v>
      </c>
      <c r="J2264" s="16">
        <v>0</v>
      </c>
      <c r="K2264" s="14" t="s">
        <v>2237</v>
      </c>
      <c r="L2264" s="16">
        <v>0</v>
      </c>
      <c r="M2264" s="14" t="s">
        <v>2237</v>
      </c>
      <c r="N2264" s="16">
        <v>7701.69</v>
      </c>
      <c r="O2264" s="14" t="s">
        <v>2237</v>
      </c>
      <c r="P2264" s="14" t="s">
        <v>2236</v>
      </c>
      <c r="Q2264" s="17" t="s">
        <v>2242</v>
      </c>
      <c r="R2264" s="17" t="s">
        <v>2238</v>
      </c>
      <c r="S2264" s="17" t="s">
        <v>2243</v>
      </c>
      <c r="T2264" s="17" t="s">
        <v>4142</v>
      </c>
      <c r="U226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E530-30101050217-D235301</v>
      </c>
      <c r="Z226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4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26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5" spans="1:31" x14ac:dyDescent="0.3">
      <c r="A2265" s="14" t="s">
        <v>5548</v>
      </c>
      <c r="B2265" s="14" t="s">
        <v>30</v>
      </c>
      <c r="C2265" s="14" t="s">
        <v>492</v>
      </c>
      <c r="D2265" s="14" t="s">
        <v>493</v>
      </c>
      <c r="E2265" s="14" t="s">
        <v>4136</v>
      </c>
      <c r="F2265" s="16">
        <v>0</v>
      </c>
      <c r="G2265" s="14" t="s">
        <v>2237</v>
      </c>
      <c r="H2265" s="16">
        <v>0</v>
      </c>
      <c r="I2265" s="14" t="s">
        <v>2237</v>
      </c>
      <c r="J2265" s="16">
        <v>0</v>
      </c>
      <c r="K2265" s="14" t="s">
        <v>2237</v>
      </c>
      <c r="L2265" s="16">
        <v>0</v>
      </c>
      <c r="M2265" s="14" t="s">
        <v>2237</v>
      </c>
      <c r="N2265" s="16">
        <v>53406.26</v>
      </c>
      <c r="O2265" s="14" t="s">
        <v>2237</v>
      </c>
      <c r="P2265" s="14" t="s">
        <v>2236</v>
      </c>
      <c r="Q2265" s="17" t="s">
        <v>2242</v>
      </c>
      <c r="R2265" s="17" t="s">
        <v>2238</v>
      </c>
      <c r="S2265" s="17" t="s">
        <v>2243</v>
      </c>
      <c r="T2265" s="17" t="s">
        <v>4142</v>
      </c>
      <c r="U226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E530-30101050216-D235301</v>
      </c>
      <c r="Z226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5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26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6" spans="1:31" x14ac:dyDescent="0.3">
      <c r="A2266" s="14" t="s">
        <v>5549</v>
      </c>
      <c r="B2266" s="14" t="s">
        <v>30</v>
      </c>
      <c r="C2266" s="14" t="s">
        <v>494</v>
      </c>
      <c r="D2266" s="14" t="s">
        <v>495</v>
      </c>
      <c r="E2266" s="14" t="s">
        <v>4136</v>
      </c>
      <c r="F2266" s="16">
        <v>0</v>
      </c>
      <c r="G2266" s="14" t="s">
        <v>2237</v>
      </c>
      <c r="H2266" s="16">
        <v>0</v>
      </c>
      <c r="I2266" s="14" t="s">
        <v>2237</v>
      </c>
      <c r="J2266" s="16">
        <v>0</v>
      </c>
      <c r="K2266" s="14" t="s">
        <v>2237</v>
      </c>
      <c r="L2266" s="16">
        <v>0</v>
      </c>
      <c r="M2266" s="14" t="s">
        <v>2237</v>
      </c>
      <c r="N2266" s="16">
        <v>53151.03</v>
      </c>
      <c r="O2266" s="14" t="s">
        <v>2237</v>
      </c>
      <c r="P2266" s="14" t="s">
        <v>2236</v>
      </c>
      <c r="Q2266" s="17" t="s">
        <v>2242</v>
      </c>
      <c r="R2266" s="17" t="s">
        <v>2238</v>
      </c>
      <c r="S2266" s="17" t="s">
        <v>2243</v>
      </c>
      <c r="T2266" s="17" t="s">
        <v>4142</v>
      </c>
      <c r="U226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E530-30101050215-D235301</v>
      </c>
      <c r="Z226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6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26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7" spans="1:31" x14ac:dyDescent="0.3">
      <c r="A2267" s="14" t="s">
        <v>5550</v>
      </c>
      <c r="B2267" s="14" t="s">
        <v>30</v>
      </c>
      <c r="C2267" s="14" t="s">
        <v>496</v>
      </c>
      <c r="D2267" s="14" t="s">
        <v>497</v>
      </c>
      <c r="E2267" s="14" t="s">
        <v>4136</v>
      </c>
      <c r="F2267" s="16">
        <v>0</v>
      </c>
      <c r="G2267" s="14" t="s">
        <v>2237</v>
      </c>
      <c r="H2267" s="16">
        <v>0</v>
      </c>
      <c r="I2267" s="14" t="s">
        <v>2237</v>
      </c>
      <c r="J2267" s="16">
        <v>0</v>
      </c>
      <c r="K2267" s="14" t="s">
        <v>2237</v>
      </c>
      <c r="L2267" s="16">
        <v>0</v>
      </c>
      <c r="M2267" s="14" t="s">
        <v>2237</v>
      </c>
      <c r="N2267" s="16">
        <v>0</v>
      </c>
      <c r="O2267" s="14" t="s">
        <v>2237</v>
      </c>
      <c r="P2267" s="14" t="s">
        <v>2236</v>
      </c>
      <c r="Q2267" s="17" t="s">
        <v>2242</v>
      </c>
      <c r="R2267" s="17" t="s">
        <v>2238</v>
      </c>
      <c r="S2267" s="17" t="s">
        <v>2243</v>
      </c>
      <c r="T2267" s="17" t="s">
        <v>4142</v>
      </c>
      <c r="U226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E530-30101050214-D235301</v>
      </c>
      <c r="Z226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7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26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8" spans="1:31" x14ac:dyDescent="0.3">
      <c r="A2268" s="14" t="s">
        <v>5551</v>
      </c>
      <c r="B2268" s="14" t="s">
        <v>30</v>
      </c>
      <c r="C2268" s="14" t="s">
        <v>498</v>
      </c>
      <c r="D2268" s="14" t="s">
        <v>499</v>
      </c>
      <c r="E2268" s="14" t="s">
        <v>4136</v>
      </c>
      <c r="F2268" s="16">
        <v>0</v>
      </c>
      <c r="G2268" s="14" t="s">
        <v>2237</v>
      </c>
      <c r="H2268" s="16">
        <v>0</v>
      </c>
      <c r="I2268" s="14" t="s">
        <v>2237</v>
      </c>
      <c r="J2268" s="16">
        <v>0</v>
      </c>
      <c r="K2268" s="14" t="s">
        <v>2237</v>
      </c>
      <c r="L2268" s="16">
        <v>0</v>
      </c>
      <c r="M2268" s="14" t="s">
        <v>2237</v>
      </c>
      <c r="N2268" s="16">
        <v>48700</v>
      </c>
      <c r="O2268" s="14" t="s">
        <v>2237</v>
      </c>
      <c r="P2268" s="14" t="s">
        <v>2236</v>
      </c>
      <c r="Q2268" s="17" t="s">
        <v>2242</v>
      </c>
      <c r="R2268" s="17" t="s">
        <v>2238</v>
      </c>
      <c r="S2268" s="17" t="s">
        <v>2243</v>
      </c>
      <c r="T2268" s="17" t="s">
        <v>4142</v>
      </c>
      <c r="U226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E530-30101050213-D235301</v>
      </c>
      <c r="Z226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8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26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69" spans="1:31" x14ac:dyDescent="0.3">
      <c r="A2269" s="14" t="s">
        <v>5552</v>
      </c>
      <c r="B2269" s="14" t="s">
        <v>30</v>
      </c>
      <c r="C2269" s="14" t="s">
        <v>500</v>
      </c>
      <c r="D2269" s="14" t="s">
        <v>501</v>
      </c>
      <c r="E2269" s="14" t="s">
        <v>4136</v>
      </c>
      <c r="F2269" s="16">
        <v>0</v>
      </c>
      <c r="G2269" s="14" t="s">
        <v>2237</v>
      </c>
      <c r="H2269" s="16">
        <v>0</v>
      </c>
      <c r="I2269" s="14" t="s">
        <v>2237</v>
      </c>
      <c r="J2269" s="16">
        <v>0</v>
      </c>
      <c r="K2269" s="14" t="s">
        <v>2237</v>
      </c>
      <c r="L2269" s="16">
        <v>0</v>
      </c>
      <c r="M2269" s="14" t="s">
        <v>2237</v>
      </c>
      <c r="N2269" s="16">
        <v>0</v>
      </c>
      <c r="O2269" s="14" t="s">
        <v>2237</v>
      </c>
      <c r="P2269" s="14" t="s">
        <v>2236</v>
      </c>
      <c r="Q2269" s="17" t="s">
        <v>2242</v>
      </c>
      <c r="R2269" s="17" t="s">
        <v>2238</v>
      </c>
      <c r="S2269" s="17" t="s">
        <v>2243</v>
      </c>
      <c r="T2269" s="17" t="s">
        <v>4142</v>
      </c>
      <c r="U226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6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6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6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6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E530-30101050247-D235301</v>
      </c>
      <c r="Z226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6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6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69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26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6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0" spans="1:31" x14ac:dyDescent="0.3">
      <c r="A2270" s="14" t="s">
        <v>5553</v>
      </c>
      <c r="B2270" s="14" t="s">
        <v>30</v>
      </c>
      <c r="C2270" s="14" t="s">
        <v>502</v>
      </c>
      <c r="D2270" s="14" t="s">
        <v>503</v>
      </c>
      <c r="E2270" s="14" t="s">
        <v>4136</v>
      </c>
      <c r="F2270" s="16">
        <v>0</v>
      </c>
      <c r="G2270" s="14" t="s">
        <v>2237</v>
      </c>
      <c r="H2270" s="16">
        <v>0</v>
      </c>
      <c r="I2270" s="14" t="s">
        <v>2237</v>
      </c>
      <c r="J2270" s="16">
        <v>0</v>
      </c>
      <c r="K2270" s="14" t="s">
        <v>2237</v>
      </c>
      <c r="L2270" s="16">
        <v>0</v>
      </c>
      <c r="M2270" s="14" t="s">
        <v>2237</v>
      </c>
      <c r="N2270" s="16">
        <v>542203.17000000004</v>
      </c>
      <c r="O2270" s="14" t="s">
        <v>2237</v>
      </c>
      <c r="P2270" s="14" t="s">
        <v>2236</v>
      </c>
      <c r="Q2270" s="17" t="s">
        <v>2242</v>
      </c>
      <c r="R2270" s="17" t="s">
        <v>2238</v>
      </c>
      <c r="S2270" s="17" t="s">
        <v>2243</v>
      </c>
      <c r="T2270" s="17" t="s">
        <v>4142</v>
      </c>
      <c r="U227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E530-30101050212-D235301</v>
      </c>
      <c r="Z227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0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27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1" spans="1:31" x14ac:dyDescent="0.3">
      <c r="A2271" s="14" t="s">
        <v>5554</v>
      </c>
      <c r="B2271" s="14" t="s">
        <v>30</v>
      </c>
      <c r="C2271" s="14" t="s">
        <v>504</v>
      </c>
      <c r="D2271" s="14" t="s">
        <v>505</v>
      </c>
      <c r="E2271" s="14" t="s">
        <v>4136</v>
      </c>
      <c r="F2271" s="16">
        <v>0</v>
      </c>
      <c r="G2271" s="14" t="s">
        <v>2237</v>
      </c>
      <c r="H2271" s="16">
        <v>0</v>
      </c>
      <c r="I2271" s="14" t="s">
        <v>2237</v>
      </c>
      <c r="J2271" s="16">
        <v>0</v>
      </c>
      <c r="K2271" s="14" t="s">
        <v>2237</v>
      </c>
      <c r="L2271" s="16">
        <v>0</v>
      </c>
      <c r="M2271" s="14" t="s">
        <v>2237</v>
      </c>
      <c r="N2271" s="16">
        <v>52451.98</v>
      </c>
      <c r="O2271" s="14" t="s">
        <v>2237</v>
      </c>
      <c r="P2271" s="14" t="s">
        <v>2236</v>
      </c>
      <c r="Q2271" s="17" t="s">
        <v>2242</v>
      </c>
      <c r="R2271" s="17" t="s">
        <v>2238</v>
      </c>
      <c r="S2271" s="17" t="s">
        <v>2243</v>
      </c>
      <c r="T2271" s="17" t="s">
        <v>4142</v>
      </c>
      <c r="U227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E530-30101050211-D235301</v>
      </c>
      <c r="Z227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1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27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2" spans="1:31" x14ac:dyDescent="0.3">
      <c r="A2272" s="14" t="s">
        <v>5555</v>
      </c>
      <c r="B2272" s="14" t="s">
        <v>30</v>
      </c>
      <c r="C2272" s="14" t="s">
        <v>506</v>
      </c>
      <c r="D2272" s="14" t="s">
        <v>507</v>
      </c>
      <c r="E2272" s="14" t="s">
        <v>4136</v>
      </c>
      <c r="F2272" s="16">
        <v>0</v>
      </c>
      <c r="G2272" s="14" t="s">
        <v>2237</v>
      </c>
      <c r="H2272" s="16">
        <v>0</v>
      </c>
      <c r="I2272" s="14" t="s">
        <v>2237</v>
      </c>
      <c r="J2272" s="16">
        <v>0</v>
      </c>
      <c r="K2272" s="14" t="s">
        <v>2237</v>
      </c>
      <c r="L2272" s="16">
        <v>0</v>
      </c>
      <c r="M2272" s="14" t="s">
        <v>2237</v>
      </c>
      <c r="N2272" s="16">
        <v>282841.5</v>
      </c>
      <c r="O2272" s="14" t="s">
        <v>2237</v>
      </c>
      <c r="P2272" s="14" t="s">
        <v>2236</v>
      </c>
      <c r="Q2272" s="17" t="s">
        <v>2242</v>
      </c>
      <c r="R2272" s="17" t="s">
        <v>2238</v>
      </c>
      <c r="S2272" s="17" t="s">
        <v>2243</v>
      </c>
      <c r="T2272" s="17" t="s">
        <v>4142</v>
      </c>
      <c r="U227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E530-30101050210-D235301</v>
      </c>
      <c r="Z227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2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27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3" spans="1:31" x14ac:dyDescent="0.3">
      <c r="A2273" s="14" t="s">
        <v>5556</v>
      </c>
      <c r="B2273" s="14" t="s">
        <v>30</v>
      </c>
      <c r="C2273" s="14" t="s">
        <v>508</v>
      </c>
      <c r="D2273" s="14" t="s">
        <v>509</v>
      </c>
      <c r="E2273" s="14" t="s">
        <v>4136</v>
      </c>
      <c r="F2273" s="16">
        <v>0</v>
      </c>
      <c r="G2273" s="14" t="s">
        <v>2237</v>
      </c>
      <c r="H2273" s="16">
        <v>0</v>
      </c>
      <c r="I2273" s="14" t="s">
        <v>2237</v>
      </c>
      <c r="J2273" s="16">
        <v>0</v>
      </c>
      <c r="K2273" s="14" t="s">
        <v>2237</v>
      </c>
      <c r="L2273" s="16">
        <v>0</v>
      </c>
      <c r="M2273" s="14" t="s">
        <v>2237</v>
      </c>
      <c r="N2273" s="16">
        <v>665835.97</v>
      </c>
      <c r="O2273" s="14" t="s">
        <v>2237</v>
      </c>
      <c r="P2273" s="14" t="s">
        <v>2236</v>
      </c>
      <c r="Q2273" s="17" t="s">
        <v>2242</v>
      </c>
      <c r="R2273" s="17" t="s">
        <v>2238</v>
      </c>
      <c r="S2273" s="17" t="s">
        <v>2243</v>
      </c>
      <c r="T2273" s="17" t="s">
        <v>4142</v>
      </c>
      <c r="U227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E530-30101050209-D235301</v>
      </c>
      <c r="Z227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3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27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4" spans="1:31" x14ac:dyDescent="0.3">
      <c r="A2274" s="14" t="s">
        <v>5557</v>
      </c>
      <c r="B2274" s="14" t="s">
        <v>30</v>
      </c>
      <c r="C2274" s="14" t="s">
        <v>510</v>
      </c>
      <c r="D2274" s="14" t="s">
        <v>511</v>
      </c>
      <c r="E2274" s="14" t="s">
        <v>4136</v>
      </c>
      <c r="F2274" s="16">
        <v>0</v>
      </c>
      <c r="G2274" s="14" t="s">
        <v>2237</v>
      </c>
      <c r="H2274" s="16">
        <v>0</v>
      </c>
      <c r="I2274" s="14" t="s">
        <v>2237</v>
      </c>
      <c r="J2274" s="16">
        <v>0</v>
      </c>
      <c r="K2274" s="14" t="s">
        <v>2237</v>
      </c>
      <c r="L2274" s="16">
        <v>0</v>
      </c>
      <c r="M2274" s="14" t="s">
        <v>2237</v>
      </c>
      <c r="N2274" s="16">
        <v>263648</v>
      </c>
      <c r="O2274" s="14" t="s">
        <v>2237</v>
      </c>
      <c r="P2274" s="14" t="s">
        <v>2236</v>
      </c>
      <c r="Q2274" s="17" t="s">
        <v>2242</v>
      </c>
      <c r="R2274" s="17" t="s">
        <v>2238</v>
      </c>
      <c r="S2274" s="17" t="s">
        <v>2243</v>
      </c>
      <c r="T2274" s="17" t="s">
        <v>4142</v>
      </c>
      <c r="U227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E530-30101050208-D235301</v>
      </c>
      <c r="Z227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4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27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5" spans="1:31" x14ac:dyDescent="0.3">
      <c r="A2275" s="14" t="s">
        <v>5558</v>
      </c>
      <c r="B2275" s="14" t="s">
        <v>30</v>
      </c>
      <c r="C2275" s="14" t="s">
        <v>512</v>
      </c>
      <c r="D2275" s="14" t="s">
        <v>513</v>
      </c>
      <c r="E2275" s="14" t="s">
        <v>4136</v>
      </c>
      <c r="F2275" s="16">
        <v>0</v>
      </c>
      <c r="G2275" s="14" t="s">
        <v>2237</v>
      </c>
      <c r="H2275" s="16">
        <v>0</v>
      </c>
      <c r="I2275" s="14" t="s">
        <v>2237</v>
      </c>
      <c r="J2275" s="16">
        <v>0</v>
      </c>
      <c r="K2275" s="14" t="s">
        <v>2237</v>
      </c>
      <c r="L2275" s="16">
        <v>0</v>
      </c>
      <c r="M2275" s="14" t="s">
        <v>2237</v>
      </c>
      <c r="N2275" s="16">
        <v>315167.5</v>
      </c>
      <c r="O2275" s="14" t="s">
        <v>2237</v>
      </c>
      <c r="P2275" s="14" t="s">
        <v>2236</v>
      </c>
      <c r="Q2275" s="17" t="s">
        <v>2242</v>
      </c>
      <c r="R2275" s="17" t="s">
        <v>2238</v>
      </c>
      <c r="S2275" s="17" t="s">
        <v>2243</v>
      </c>
      <c r="T2275" s="17" t="s">
        <v>4142</v>
      </c>
      <c r="U227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E530-30101050207-D235301</v>
      </c>
      <c r="Z227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5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27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6" spans="1:31" x14ac:dyDescent="0.3">
      <c r="A2276" s="14" t="s">
        <v>5559</v>
      </c>
      <c r="B2276" s="14" t="s">
        <v>30</v>
      </c>
      <c r="C2276" s="14" t="s">
        <v>514</v>
      </c>
      <c r="D2276" s="14" t="s">
        <v>515</v>
      </c>
      <c r="E2276" s="14" t="s">
        <v>4136</v>
      </c>
      <c r="F2276" s="16">
        <v>0</v>
      </c>
      <c r="G2276" s="14" t="s">
        <v>2237</v>
      </c>
      <c r="H2276" s="16">
        <v>0</v>
      </c>
      <c r="I2276" s="14" t="s">
        <v>2237</v>
      </c>
      <c r="J2276" s="16">
        <v>0</v>
      </c>
      <c r="K2276" s="14" t="s">
        <v>2237</v>
      </c>
      <c r="L2276" s="16">
        <v>0</v>
      </c>
      <c r="M2276" s="14" t="s">
        <v>2237</v>
      </c>
      <c r="N2276" s="16">
        <v>617565.9</v>
      </c>
      <c r="O2276" s="14" t="s">
        <v>2237</v>
      </c>
      <c r="P2276" s="14" t="s">
        <v>2236</v>
      </c>
      <c r="Q2276" s="17" t="s">
        <v>2242</v>
      </c>
      <c r="R2276" s="17" t="s">
        <v>2238</v>
      </c>
      <c r="S2276" s="17" t="s">
        <v>2243</v>
      </c>
      <c r="T2276" s="17" t="s">
        <v>4142</v>
      </c>
      <c r="U227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E530-30101050205-D235301</v>
      </c>
      <c r="Z227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6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27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7" spans="1:31" x14ac:dyDescent="0.3">
      <c r="A2277" s="14" t="s">
        <v>5560</v>
      </c>
      <c r="B2277" s="14" t="s">
        <v>30</v>
      </c>
      <c r="C2277" s="14" t="s">
        <v>516</v>
      </c>
      <c r="D2277" s="14" t="s">
        <v>517</v>
      </c>
      <c r="E2277" s="14" t="s">
        <v>4136</v>
      </c>
      <c r="F2277" s="16">
        <v>0</v>
      </c>
      <c r="G2277" s="14" t="s">
        <v>2237</v>
      </c>
      <c r="H2277" s="16">
        <v>0</v>
      </c>
      <c r="I2277" s="14" t="s">
        <v>2237</v>
      </c>
      <c r="J2277" s="16">
        <v>0</v>
      </c>
      <c r="K2277" s="14" t="s">
        <v>2237</v>
      </c>
      <c r="L2277" s="16">
        <v>0</v>
      </c>
      <c r="M2277" s="14" t="s">
        <v>2237</v>
      </c>
      <c r="N2277" s="16">
        <v>1500</v>
      </c>
      <c r="O2277" s="14" t="s">
        <v>2237</v>
      </c>
      <c r="P2277" s="14" t="s">
        <v>2236</v>
      </c>
      <c r="Q2277" s="17" t="s">
        <v>2242</v>
      </c>
      <c r="R2277" s="17" t="s">
        <v>2238</v>
      </c>
      <c r="S2277" s="17" t="s">
        <v>2243</v>
      </c>
      <c r="T2277" s="17" t="s">
        <v>4142</v>
      </c>
      <c r="U227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E530-301010502-D235301</v>
      </c>
      <c r="Y227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E530-30101050204-D235301</v>
      </c>
      <c r="Z227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77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27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8" spans="1:31" x14ac:dyDescent="0.3">
      <c r="A2278" s="14" t="s">
        <v>5561</v>
      </c>
      <c r="B2278" s="14" t="s">
        <v>26</v>
      </c>
      <c r="C2278" s="14" t="s">
        <v>518</v>
      </c>
      <c r="D2278" s="14" t="s">
        <v>519</v>
      </c>
      <c r="E2278" s="14" t="s">
        <v>4136</v>
      </c>
      <c r="F2278" s="16">
        <v>44000</v>
      </c>
      <c r="G2278" s="14" t="s">
        <v>2237</v>
      </c>
      <c r="H2278" s="16">
        <v>44000</v>
      </c>
      <c r="I2278" s="14" t="s">
        <v>2237</v>
      </c>
      <c r="J2278" s="16">
        <v>0</v>
      </c>
      <c r="K2278" s="14" t="s">
        <v>2237</v>
      </c>
      <c r="L2278" s="16">
        <v>0</v>
      </c>
      <c r="M2278" s="14" t="s">
        <v>2237</v>
      </c>
      <c r="N2278" s="16">
        <v>12009.27</v>
      </c>
      <c r="O2278" s="14" t="s">
        <v>2237</v>
      </c>
      <c r="P2278" s="14" t="s">
        <v>2236</v>
      </c>
      <c r="Q2278" s="17" t="s">
        <v>2242</v>
      </c>
      <c r="R2278" s="17" t="s">
        <v>2238</v>
      </c>
      <c r="S2278" s="17" t="s">
        <v>2243</v>
      </c>
      <c r="T2278" s="17" t="s">
        <v>4137</v>
      </c>
      <c r="U227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E530-301010501-D235301</v>
      </c>
      <c r="Y227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7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27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7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79" spans="1:31" x14ac:dyDescent="0.3">
      <c r="A2279" s="14" t="s">
        <v>5562</v>
      </c>
      <c r="B2279" s="14" t="s">
        <v>30</v>
      </c>
      <c r="C2279" s="14" t="s">
        <v>520</v>
      </c>
      <c r="D2279" s="14" t="s">
        <v>521</v>
      </c>
      <c r="E2279" s="14" t="s">
        <v>4136</v>
      </c>
      <c r="F2279" s="16">
        <v>0</v>
      </c>
      <c r="G2279" s="14" t="s">
        <v>2237</v>
      </c>
      <c r="H2279" s="16">
        <v>0</v>
      </c>
      <c r="I2279" s="14" t="s">
        <v>2237</v>
      </c>
      <c r="J2279" s="16">
        <v>0</v>
      </c>
      <c r="K2279" s="14" t="s">
        <v>2237</v>
      </c>
      <c r="L2279" s="16">
        <v>0</v>
      </c>
      <c r="M2279" s="14" t="s">
        <v>2237</v>
      </c>
      <c r="N2279" s="16">
        <v>12009.27</v>
      </c>
      <c r="O2279" s="14" t="s">
        <v>2237</v>
      </c>
      <c r="P2279" s="14" t="s">
        <v>2236</v>
      </c>
      <c r="Q2279" s="17" t="s">
        <v>2242</v>
      </c>
      <c r="R2279" s="17" t="s">
        <v>2238</v>
      </c>
      <c r="S2279" s="17" t="s">
        <v>2243</v>
      </c>
      <c r="T2279" s="17" t="s">
        <v>4142</v>
      </c>
      <c r="U227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7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7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7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E530-301010501-D235301</v>
      </c>
      <c r="Y227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E530-30101050160-D235301</v>
      </c>
      <c r="Z227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7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7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279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27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7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0" spans="1:31" x14ac:dyDescent="0.3">
      <c r="A2280" s="14" t="s">
        <v>5563</v>
      </c>
      <c r="B2280" s="14" t="s">
        <v>26</v>
      </c>
      <c r="C2280" s="14" t="s">
        <v>522</v>
      </c>
      <c r="D2280" s="14" t="s">
        <v>523</v>
      </c>
      <c r="E2280" s="14" t="s">
        <v>4136</v>
      </c>
      <c r="F2280" s="16">
        <v>1593634.34</v>
      </c>
      <c r="G2280" s="14" t="s">
        <v>2237</v>
      </c>
      <c r="H2280" s="16">
        <v>1549215.07</v>
      </c>
      <c r="I2280" s="14" t="s">
        <v>2237</v>
      </c>
      <c r="J2280" s="16">
        <v>0</v>
      </c>
      <c r="K2280" s="14" t="s">
        <v>2237</v>
      </c>
      <c r="L2280" s="16">
        <v>0</v>
      </c>
      <c r="M2280" s="14" t="s">
        <v>2237</v>
      </c>
      <c r="N2280" s="16">
        <v>1541275.09</v>
      </c>
      <c r="O2280" s="14" t="s">
        <v>2237</v>
      </c>
      <c r="P2280" s="14" t="s">
        <v>2236</v>
      </c>
      <c r="Q2280" s="17" t="s">
        <v>2242</v>
      </c>
      <c r="R2280" s="17" t="s">
        <v>2238</v>
      </c>
      <c r="S2280" s="17" t="s">
        <v>2243</v>
      </c>
      <c r="T2280" s="17" t="s">
        <v>4138</v>
      </c>
      <c r="U228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8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E530-301010561-D235301</v>
      </c>
      <c r="Y22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8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8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8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1" spans="1:31" x14ac:dyDescent="0.3">
      <c r="A2281" s="14" t="s">
        <v>5564</v>
      </c>
      <c r="B2281" s="14" t="s">
        <v>30</v>
      </c>
      <c r="C2281" s="14" t="s">
        <v>524</v>
      </c>
      <c r="D2281" s="14" t="s">
        <v>525</v>
      </c>
      <c r="E2281" s="14" t="s">
        <v>4136</v>
      </c>
      <c r="F2281" s="16">
        <v>0</v>
      </c>
      <c r="G2281" s="14" t="s">
        <v>2237</v>
      </c>
      <c r="H2281" s="16">
        <v>0</v>
      </c>
      <c r="I2281" s="14" t="s">
        <v>2237</v>
      </c>
      <c r="J2281" s="16">
        <v>0</v>
      </c>
      <c r="K2281" s="14" t="s">
        <v>2237</v>
      </c>
      <c r="L2281" s="16">
        <v>0</v>
      </c>
      <c r="M2281" s="14" t="s">
        <v>2237</v>
      </c>
      <c r="N2281" s="16">
        <v>0</v>
      </c>
      <c r="O2281" s="14" t="s">
        <v>2237</v>
      </c>
      <c r="P2281" s="14" t="s">
        <v>2236</v>
      </c>
      <c r="Q2281" s="17" t="s">
        <v>2242</v>
      </c>
      <c r="R2281" s="17" t="s">
        <v>2238</v>
      </c>
      <c r="S2281" s="17" t="s">
        <v>2243</v>
      </c>
      <c r="T2281" s="17" t="s">
        <v>4142</v>
      </c>
      <c r="U228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8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E530-301010561-D235301</v>
      </c>
      <c r="Y228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E530-30101056162-D235301</v>
      </c>
      <c r="Z228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81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28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8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2" spans="1:31" x14ac:dyDescent="0.3">
      <c r="A2282" s="14" t="s">
        <v>5565</v>
      </c>
      <c r="B2282" s="14" t="s">
        <v>30</v>
      </c>
      <c r="C2282" s="14" t="s">
        <v>526</v>
      </c>
      <c r="D2282" s="14" t="s">
        <v>527</v>
      </c>
      <c r="E2282" s="14" t="s">
        <v>4136</v>
      </c>
      <c r="F2282" s="16">
        <v>0</v>
      </c>
      <c r="G2282" s="14" t="s">
        <v>2237</v>
      </c>
      <c r="H2282" s="16">
        <v>0</v>
      </c>
      <c r="I2282" s="14" t="s">
        <v>2237</v>
      </c>
      <c r="J2282" s="16">
        <v>0</v>
      </c>
      <c r="K2282" s="14" t="s">
        <v>2237</v>
      </c>
      <c r="L2282" s="16">
        <v>0</v>
      </c>
      <c r="M2282" s="14" t="s">
        <v>2237</v>
      </c>
      <c r="N2282" s="16">
        <v>6042.02</v>
      </c>
      <c r="O2282" s="14" t="s">
        <v>2237</v>
      </c>
      <c r="P2282" s="14" t="s">
        <v>2236</v>
      </c>
      <c r="Q2282" s="17" t="s">
        <v>2242</v>
      </c>
      <c r="R2282" s="17" t="s">
        <v>2238</v>
      </c>
      <c r="S2282" s="17" t="s">
        <v>2243</v>
      </c>
      <c r="T2282" s="17" t="s">
        <v>4142</v>
      </c>
      <c r="U228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8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E530-301010561-D235301</v>
      </c>
      <c r="Y228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E530-30101056193-D235301</v>
      </c>
      <c r="Z228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82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28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8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3" spans="1:31" x14ac:dyDescent="0.3">
      <c r="A2283" s="14" t="s">
        <v>5566</v>
      </c>
      <c r="B2283" s="14" t="s">
        <v>30</v>
      </c>
      <c r="C2283" s="14" t="s">
        <v>528</v>
      </c>
      <c r="D2283" s="14" t="s">
        <v>529</v>
      </c>
      <c r="E2283" s="14" t="s">
        <v>4136</v>
      </c>
      <c r="F2283" s="16">
        <v>0</v>
      </c>
      <c r="G2283" s="14" t="s">
        <v>2237</v>
      </c>
      <c r="H2283" s="16">
        <v>0</v>
      </c>
      <c r="I2283" s="14" t="s">
        <v>2237</v>
      </c>
      <c r="J2283" s="16">
        <v>0</v>
      </c>
      <c r="K2283" s="14" t="s">
        <v>2237</v>
      </c>
      <c r="L2283" s="16">
        <v>0</v>
      </c>
      <c r="M2283" s="14" t="s">
        <v>2237</v>
      </c>
      <c r="N2283" s="16">
        <v>560934.25</v>
      </c>
      <c r="O2283" s="14" t="s">
        <v>2237</v>
      </c>
      <c r="P2283" s="14" t="s">
        <v>2236</v>
      </c>
      <c r="Q2283" s="17" t="s">
        <v>2242</v>
      </c>
      <c r="R2283" s="17" t="s">
        <v>2238</v>
      </c>
      <c r="S2283" s="17" t="s">
        <v>2243</v>
      </c>
      <c r="T2283" s="17" t="s">
        <v>4142</v>
      </c>
      <c r="U22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8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E530-301010561-D235301</v>
      </c>
      <c r="Y228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E530-30101056118-D235301</v>
      </c>
      <c r="Z228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83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28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8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4" spans="1:31" x14ac:dyDescent="0.3">
      <c r="A2284" s="14" t="s">
        <v>5567</v>
      </c>
      <c r="B2284" s="14" t="s">
        <v>30</v>
      </c>
      <c r="C2284" s="14" t="s">
        <v>530</v>
      </c>
      <c r="D2284" s="14" t="s">
        <v>531</v>
      </c>
      <c r="E2284" s="14" t="s">
        <v>4136</v>
      </c>
      <c r="F2284" s="16">
        <v>0</v>
      </c>
      <c r="G2284" s="14" t="s">
        <v>2237</v>
      </c>
      <c r="H2284" s="16">
        <v>0</v>
      </c>
      <c r="I2284" s="14" t="s">
        <v>2237</v>
      </c>
      <c r="J2284" s="16">
        <v>0</v>
      </c>
      <c r="K2284" s="14" t="s">
        <v>2237</v>
      </c>
      <c r="L2284" s="16">
        <v>0</v>
      </c>
      <c r="M2284" s="14" t="s">
        <v>2237</v>
      </c>
      <c r="N2284" s="16">
        <v>81618.210000000006</v>
      </c>
      <c r="O2284" s="14" t="s">
        <v>2237</v>
      </c>
      <c r="P2284" s="14" t="s">
        <v>2236</v>
      </c>
      <c r="Q2284" s="17" t="s">
        <v>2242</v>
      </c>
      <c r="R2284" s="17" t="s">
        <v>2238</v>
      </c>
      <c r="S2284" s="17" t="s">
        <v>2243</v>
      </c>
      <c r="T2284" s="17" t="s">
        <v>4142</v>
      </c>
      <c r="U228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8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E530-301010561-D235301</v>
      </c>
      <c r="Y228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E530-30101056102-D235301</v>
      </c>
      <c r="Z228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84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28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8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5" spans="1:31" x14ac:dyDescent="0.3">
      <c r="A2285" s="14" t="s">
        <v>5568</v>
      </c>
      <c r="B2285" s="14" t="s">
        <v>30</v>
      </c>
      <c r="C2285" s="14" t="s">
        <v>532</v>
      </c>
      <c r="D2285" s="14" t="s">
        <v>533</v>
      </c>
      <c r="E2285" s="14" t="s">
        <v>4136</v>
      </c>
      <c r="F2285" s="16">
        <v>0</v>
      </c>
      <c r="G2285" s="14" t="s">
        <v>2237</v>
      </c>
      <c r="H2285" s="16">
        <v>0</v>
      </c>
      <c r="I2285" s="14" t="s">
        <v>2237</v>
      </c>
      <c r="J2285" s="16">
        <v>0</v>
      </c>
      <c r="K2285" s="14" t="s">
        <v>2237</v>
      </c>
      <c r="L2285" s="16">
        <v>0</v>
      </c>
      <c r="M2285" s="14" t="s">
        <v>2237</v>
      </c>
      <c r="N2285" s="16">
        <v>892680.61</v>
      </c>
      <c r="O2285" s="14" t="s">
        <v>2237</v>
      </c>
      <c r="P2285" s="14" t="s">
        <v>2236</v>
      </c>
      <c r="Q2285" s="17" t="s">
        <v>2242</v>
      </c>
      <c r="R2285" s="17" t="s">
        <v>2238</v>
      </c>
      <c r="S2285" s="17" t="s">
        <v>2243</v>
      </c>
      <c r="T2285" s="17" t="s">
        <v>4142</v>
      </c>
      <c r="U228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E530-3010105-D235301</v>
      </c>
      <c r="X228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E530-301010561-D235301</v>
      </c>
      <c r="Y228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E530-30101056101-D235301</v>
      </c>
      <c r="Z228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285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28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5</v>
      </c>
      <c r="AE228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6" spans="1:31" x14ac:dyDescent="0.3">
      <c r="A2286" s="14" t="s">
        <v>5569</v>
      </c>
      <c r="B2286" s="14" t="s">
        <v>21</v>
      </c>
      <c r="C2286" s="14" t="s">
        <v>534</v>
      </c>
      <c r="D2286" s="14" t="s">
        <v>535</v>
      </c>
      <c r="E2286" s="14" t="s">
        <v>4136</v>
      </c>
      <c r="F2286" s="16">
        <v>7234576.9199999999</v>
      </c>
      <c r="G2286" s="14" t="s">
        <v>2237</v>
      </c>
      <c r="H2286" s="16">
        <v>7234576.9199999999</v>
      </c>
      <c r="I2286" s="14" t="s">
        <v>2237</v>
      </c>
      <c r="J2286" s="16">
        <v>0</v>
      </c>
      <c r="K2286" s="14" t="s">
        <v>2237</v>
      </c>
      <c r="L2286" s="16">
        <v>0</v>
      </c>
      <c r="M2286" s="14" t="s">
        <v>2237</v>
      </c>
      <c r="N2286" s="16">
        <v>6925978.21</v>
      </c>
      <c r="O2286" s="14" t="s">
        <v>2237</v>
      </c>
      <c r="P2286" s="14" t="s">
        <v>2236</v>
      </c>
      <c r="Q2286" s="17" t="s">
        <v>2242</v>
      </c>
      <c r="R2286" s="17" t="s">
        <v>2238</v>
      </c>
      <c r="S2286" s="17" t="s">
        <v>2243</v>
      </c>
      <c r="T2286" s="17" t="s">
        <v>4137</v>
      </c>
      <c r="U228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8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28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8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28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8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8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7" spans="1:31" x14ac:dyDescent="0.3">
      <c r="A2287" s="14" t="s">
        <v>5570</v>
      </c>
      <c r="B2287" s="14" t="s">
        <v>26</v>
      </c>
      <c r="C2287" s="14" t="s">
        <v>536</v>
      </c>
      <c r="D2287" s="14" t="s">
        <v>537</v>
      </c>
      <c r="E2287" s="14" t="s">
        <v>4136</v>
      </c>
      <c r="F2287" s="16">
        <v>5658091.0700000003</v>
      </c>
      <c r="G2287" s="14" t="s">
        <v>2237</v>
      </c>
      <c r="H2287" s="16">
        <v>5658091.0700000003</v>
      </c>
      <c r="I2287" s="14" t="s">
        <v>2237</v>
      </c>
      <c r="J2287" s="16">
        <v>0</v>
      </c>
      <c r="K2287" s="14" t="s">
        <v>2237</v>
      </c>
      <c r="L2287" s="16">
        <v>0</v>
      </c>
      <c r="M2287" s="14" t="s">
        <v>2237</v>
      </c>
      <c r="N2287" s="16">
        <v>5683442.4100000001</v>
      </c>
      <c r="O2287" s="14" t="s">
        <v>2237</v>
      </c>
      <c r="P2287" s="14" t="s">
        <v>2236</v>
      </c>
      <c r="Q2287" s="17" t="s">
        <v>2242</v>
      </c>
      <c r="R2287" s="17" t="s">
        <v>2238</v>
      </c>
      <c r="S2287" s="17" t="s">
        <v>2243</v>
      </c>
      <c r="T2287" s="17" t="s">
        <v>4138</v>
      </c>
      <c r="U228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8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28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28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8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8" spans="1:31" x14ac:dyDescent="0.3">
      <c r="A2288" s="14" t="s">
        <v>5571</v>
      </c>
      <c r="B2288" s="14" t="s">
        <v>30</v>
      </c>
      <c r="C2288" s="14" t="s">
        <v>5572</v>
      </c>
      <c r="D2288" s="14" t="s">
        <v>539</v>
      </c>
      <c r="E2288" s="14" t="s">
        <v>4136</v>
      </c>
      <c r="F2288" s="16">
        <v>0</v>
      </c>
      <c r="G2288" s="14" t="s">
        <v>2237</v>
      </c>
      <c r="H2288" s="16">
        <v>0</v>
      </c>
      <c r="I2288" s="14" t="s">
        <v>2237</v>
      </c>
      <c r="J2288" s="16">
        <v>0</v>
      </c>
      <c r="K2288" s="14" t="s">
        <v>2237</v>
      </c>
      <c r="L2288" s="16">
        <v>0</v>
      </c>
      <c r="M2288" s="14" t="s">
        <v>2237</v>
      </c>
      <c r="N2288" s="16">
        <v>20014.650000000001</v>
      </c>
      <c r="O2288" s="14" t="s">
        <v>2237</v>
      </c>
      <c r="P2288" s="14" t="s">
        <v>2236</v>
      </c>
      <c r="Q2288" s="17" t="s">
        <v>2242</v>
      </c>
      <c r="R2288" s="17" t="s">
        <v>2238</v>
      </c>
      <c r="S2288" s="17" t="s">
        <v>2243</v>
      </c>
      <c r="T2288" s="17" t="s">
        <v>4142</v>
      </c>
      <c r="U228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8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8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E530-30101040224-D235301</v>
      </c>
      <c r="Z228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88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28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8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89" spans="1:31" x14ac:dyDescent="0.3">
      <c r="A2289" s="14" t="s">
        <v>5573</v>
      </c>
      <c r="B2289" s="14" t="s">
        <v>30</v>
      </c>
      <c r="C2289" s="14" t="s">
        <v>540</v>
      </c>
      <c r="D2289" s="14" t="s">
        <v>541</v>
      </c>
      <c r="E2289" s="14" t="s">
        <v>4136</v>
      </c>
      <c r="F2289" s="16">
        <v>0</v>
      </c>
      <c r="G2289" s="14" t="s">
        <v>2237</v>
      </c>
      <c r="H2289" s="16">
        <v>0</v>
      </c>
      <c r="I2289" s="14" t="s">
        <v>2237</v>
      </c>
      <c r="J2289" s="16">
        <v>0</v>
      </c>
      <c r="K2289" s="14" t="s">
        <v>2237</v>
      </c>
      <c r="L2289" s="16">
        <v>0</v>
      </c>
      <c r="M2289" s="14" t="s">
        <v>2237</v>
      </c>
      <c r="N2289" s="16">
        <v>56654.67</v>
      </c>
      <c r="O2289" s="14" t="s">
        <v>2237</v>
      </c>
      <c r="P2289" s="14" t="s">
        <v>2236</v>
      </c>
      <c r="Q2289" s="17" t="s">
        <v>2242</v>
      </c>
      <c r="R2289" s="17" t="s">
        <v>2238</v>
      </c>
      <c r="S2289" s="17" t="s">
        <v>2243</v>
      </c>
      <c r="T2289" s="17" t="s">
        <v>4142</v>
      </c>
      <c r="U228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8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8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8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8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E530-30101040298-D235301</v>
      </c>
      <c r="Z228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8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8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89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28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8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0" spans="1:31" x14ac:dyDescent="0.3">
      <c r="A2290" s="14" t="s">
        <v>5574</v>
      </c>
      <c r="B2290" s="14" t="s">
        <v>30</v>
      </c>
      <c r="C2290" s="14" t="s">
        <v>542</v>
      </c>
      <c r="D2290" s="14" t="s">
        <v>543</v>
      </c>
      <c r="E2290" s="14" t="s">
        <v>4136</v>
      </c>
      <c r="F2290" s="16">
        <v>0</v>
      </c>
      <c r="G2290" s="14" t="s">
        <v>2237</v>
      </c>
      <c r="H2290" s="16">
        <v>0</v>
      </c>
      <c r="I2290" s="14" t="s">
        <v>2237</v>
      </c>
      <c r="J2290" s="16">
        <v>0</v>
      </c>
      <c r="K2290" s="14" t="s">
        <v>2237</v>
      </c>
      <c r="L2290" s="16">
        <v>0</v>
      </c>
      <c r="M2290" s="14" t="s">
        <v>2237</v>
      </c>
      <c r="N2290" s="16">
        <v>20618.009999999998</v>
      </c>
      <c r="O2290" s="14" t="s">
        <v>2237</v>
      </c>
      <c r="P2290" s="14" t="s">
        <v>2236</v>
      </c>
      <c r="Q2290" s="17" t="s">
        <v>2242</v>
      </c>
      <c r="R2290" s="17" t="s">
        <v>2238</v>
      </c>
      <c r="S2290" s="17" t="s">
        <v>2243</v>
      </c>
      <c r="T2290" s="17" t="s">
        <v>4142</v>
      </c>
      <c r="U229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E530-30101040297-D235301</v>
      </c>
      <c r="Z229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0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29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1" spans="1:31" x14ac:dyDescent="0.3">
      <c r="A2291" s="14" t="s">
        <v>5575</v>
      </c>
      <c r="B2291" s="14" t="s">
        <v>30</v>
      </c>
      <c r="C2291" s="14" t="s">
        <v>544</v>
      </c>
      <c r="D2291" s="14" t="s">
        <v>545</v>
      </c>
      <c r="E2291" s="14" t="s">
        <v>4136</v>
      </c>
      <c r="F2291" s="16">
        <v>0</v>
      </c>
      <c r="G2291" s="14" t="s">
        <v>2237</v>
      </c>
      <c r="H2291" s="16">
        <v>0</v>
      </c>
      <c r="I2291" s="14" t="s">
        <v>2237</v>
      </c>
      <c r="J2291" s="16">
        <v>0</v>
      </c>
      <c r="K2291" s="14" t="s">
        <v>2237</v>
      </c>
      <c r="L2291" s="16">
        <v>0</v>
      </c>
      <c r="M2291" s="14" t="s">
        <v>2237</v>
      </c>
      <c r="N2291" s="16">
        <v>0</v>
      </c>
      <c r="O2291" s="14" t="s">
        <v>2237</v>
      </c>
      <c r="P2291" s="14" t="s">
        <v>2236</v>
      </c>
      <c r="Q2291" s="17" t="s">
        <v>2242</v>
      </c>
      <c r="R2291" s="17" t="s">
        <v>2238</v>
      </c>
      <c r="S2291" s="17" t="s">
        <v>2243</v>
      </c>
      <c r="T2291" s="17" t="s">
        <v>4142</v>
      </c>
      <c r="U229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E530-30101040296-D235301</v>
      </c>
      <c r="Z229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1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29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2" spans="1:31" x14ac:dyDescent="0.3">
      <c r="A2292" s="14" t="s">
        <v>5576</v>
      </c>
      <c r="B2292" s="14" t="s">
        <v>30</v>
      </c>
      <c r="C2292" s="14" t="s">
        <v>546</v>
      </c>
      <c r="D2292" s="14" t="s">
        <v>547</v>
      </c>
      <c r="E2292" s="14" t="s">
        <v>4136</v>
      </c>
      <c r="F2292" s="16">
        <v>0</v>
      </c>
      <c r="G2292" s="14" t="s">
        <v>2237</v>
      </c>
      <c r="H2292" s="16">
        <v>0</v>
      </c>
      <c r="I2292" s="14" t="s">
        <v>2237</v>
      </c>
      <c r="J2292" s="16">
        <v>0</v>
      </c>
      <c r="K2292" s="14" t="s">
        <v>2237</v>
      </c>
      <c r="L2292" s="16">
        <v>0</v>
      </c>
      <c r="M2292" s="14" t="s">
        <v>2237</v>
      </c>
      <c r="N2292" s="16">
        <v>0</v>
      </c>
      <c r="O2292" s="14" t="s">
        <v>2237</v>
      </c>
      <c r="P2292" s="14" t="s">
        <v>2236</v>
      </c>
      <c r="Q2292" s="17" t="s">
        <v>2242</v>
      </c>
      <c r="R2292" s="17" t="s">
        <v>2238</v>
      </c>
      <c r="S2292" s="17" t="s">
        <v>2243</v>
      </c>
      <c r="T2292" s="17" t="s">
        <v>4142</v>
      </c>
      <c r="U229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E530-30101040295-D235301</v>
      </c>
      <c r="Z229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2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29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3" spans="1:31" x14ac:dyDescent="0.3">
      <c r="A2293" s="14" t="s">
        <v>5577</v>
      </c>
      <c r="B2293" s="14" t="s">
        <v>30</v>
      </c>
      <c r="C2293" s="14" t="s">
        <v>548</v>
      </c>
      <c r="D2293" s="14" t="s">
        <v>549</v>
      </c>
      <c r="E2293" s="14" t="s">
        <v>4136</v>
      </c>
      <c r="F2293" s="16">
        <v>0</v>
      </c>
      <c r="G2293" s="14" t="s">
        <v>2237</v>
      </c>
      <c r="H2293" s="16">
        <v>0</v>
      </c>
      <c r="I2293" s="14" t="s">
        <v>2237</v>
      </c>
      <c r="J2293" s="16">
        <v>0</v>
      </c>
      <c r="K2293" s="14" t="s">
        <v>2237</v>
      </c>
      <c r="L2293" s="16">
        <v>0</v>
      </c>
      <c r="M2293" s="14" t="s">
        <v>2237</v>
      </c>
      <c r="N2293" s="16">
        <v>61439.88</v>
      </c>
      <c r="O2293" s="14" t="s">
        <v>2237</v>
      </c>
      <c r="P2293" s="14" t="s">
        <v>2236</v>
      </c>
      <c r="Q2293" s="17" t="s">
        <v>2242</v>
      </c>
      <c r="R2293" s="17" t="s">
        <v>2238</v>
      </c>
      <c r="S2293" s="17" t="s">
        <v>2243</v>
      </c>
      <c r="T2293" s="17" t="s">
        <v>4142</v>
      </c>
      <c r="U229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E530-30101040294-D235301</v>
      </c>
      <c r="Z229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3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29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4" spans="1:31" x14ac:dyDescent="0.3">
      <c r="A2294" s="14" t="s">
        <v>5578</v>
      </c>
      <c r="B2294" s="14" t="s">
        <v>30</v>
      </c>
      <c r="C2294" s="14" t="s">
        <v>5579</v>
      </c>
      <c r="D2294" s="14" t="s">
        <v>551</v>
      </c>
      <c r="E2294" s="14" t="s">
        <v>4136</v>
      </c>
      <c r="F2294" s="16">
        <v>0</v>
      </c>
      <c r="G2294" s="14" t="s">
        <v>2237</v>
      </c>
      <c r="H2294" s="16">
        <v>0</v>
      </c>
      <c r="I2294" s="14" t="s">
        <v>2237</v>
      </c>
      <c r="J2294" s="16">
        <v>0</v>
      </c>
      <c r="K2294" s="14" t="s">
        <v>2237</v>
      </c>
      <c r="L2294" s="16">
        <v>0</v>
      </c>
      <c r="M2294" s="14" t="s">
        <v>2237</v>
      </c>
      <c r="N2294" s="16">
        <v>20712.73</v>
      </c>
      <c r="O2294" s="14" t="s">
        <v>2237</v>
      </c>
      <c r="P2294" s="14" t="s">
        <v>2236</v>
      </c>
      <c r="Q2294" s="17" t="s">
        <v>2242</v>
      </c>
      <c r="R2294" s="17" t="s">
        <v>2238</v>
      </c>
      <c r="S2294" s="17" t="s">
        <v>2243</v>
      </c>
      <c r="T2294" s="17" t="s">
        <v>4142</v>
      </c>
      <c r="U229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E530-30101040220-D235301</v>
      </c>
      <c r="Z229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4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29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5" spans="1:31" x14ac:dyDescent="0.3">
      <c r="A2295" s="14" t="s">
        <v>5580</v>
      </c>
      <c r="B2295" s="14" t="s">
        <v>30</v>
      </c>
      <c r="C2295" s="14" t="s">
        <v>552</v>
      </c>
      <c r="D2295" s="14" t="s">
        <v>553</v>
      </c>
      <c r="E2295" s="14" t="s">
        <v>4136</v>
      </c>
      <c r="F2295" s="16">
        <v>0</v>
      </c>
      <c r="G2295" s="14" t="s">
        <v>2237</v>
      </c>
      <c r="H2295" s="16">
        <v>0</v>
      </c>
      <c r="I2295" s="14" t="s">
        <v>2237</v>
      </c>
      <c r="J2295" s="16">
        <v>0</v>
      </c>
      <c r="K2295" s="14" t="s">
        <v>2237</v>
      </c>
      <c r="L2295" s="16">
        <v>0</v>
      </c>
      <c r="M2295" s="14" t="s">
        <v>2237</v>
      </c>
      <c r="N2295" s="16">
        <v>15491.37</v>
      </c>
      <c r="O2295" s="14" t="s">
        <v>2237</v>
      </c>
      <c r="P2295" s="14" t="s">
        <v>2236</v>
      </c>
      <c r="Q2295" s="17" t="s">
        <v>2242</v>
      </c>
      <c r="R2295" s="17" t="s">
        <v>2238</v>
      </c>
      <c r="S2295" s="17" t="s">
        <v>2243</v>
      </c>
      <c r="T2295" s="17" t="s">
        <v>4142</v>
      </c>
      <c r="U229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E530-30101040217-D235301</v>
      </c>
      <c r="Z229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5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29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6" spans="1:31" x14ac:dyDescent="0.3">
      <c r="A2296" s="14" t="s">
        <v>5581</v>
      </c>
      <c r="B2296" s="14" t="s">
        <v>30</v>
      </c>
      <c r="C2296" s="14" t="s">
        <v>554</v>
      </c>
      <c r="D2296" s="14" t="s">
        <v>555</v>
      </c>
      <c r="E2296" s="14" t="s">
        <v>4136</v>
      </c>
      <c r="F2296" s="16">
        <v>0</v>
      </c>
      <c r="G2296" s="14" t="s">
        <v>2237</v>
      </c>
      <c r="H2296" s="16">
        <v>0</v>
      </c>
      <c r="I2296" s="14" t="s">
        <v>2237</v>
      </c>
      <c r="J2296" s="16">
        <v>0</v>
      </c>
      <c r="K2296" s="14" t="s">
        <v>2237</v>
      </c>
      <c r="L2296" s="16">
        <v>0</v>
      </c>
      <c r="M2296" s="14" t="s">
        <v>2237</v>
      </c>
      <c r="N2296" s="16">
        <v>108360.54</v>
      </c>
      <c r="O2296" s="14" t="s">
        <v>2237</v>
      </c>
      <c r="P2296" s="14" t="s">
        <v>2236</v>
      </c>
      <c r="Q2296" s="17" t="s">
        <v>2242</v>
      </c>
      <c r="R2296" s="17" t="s">
        <v>2238</v>
      </c>
      <c r="S2296" s="17" t="s">
        <v>2243</v>
      </c>
      <c r="T2296" s="17" t="s">
        <v>4142</v>
      </c>
      <c r="U229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E530-30101040216-D235301</v>
      </c>
      <c r="Z229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6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29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7" spans="1:31" x14ac:dyDescent="0.3">
      <c r="A2297" s="14" t="s">
        <v>5582</v>
      </c>
      <c r="B2297" s="14" t="s">
        <v>30</v>
      </c>
      <c r="C2297" s="14" t="s">
        <v>556</v>
      </c>
      <c r="D2297" s="14" t="s">
        <v>557</v>
      </c>
      <c r="E2297" s="14" t="s">
        <v>4136</v>
      </c>
      <c r="F2297" s="16">
        <v>0</v>
      </c>
      <c r="G2297" s="14" t="s">
        <v>2237</v>
      </c>
      <c r="H2297" s="16">
        <v>0</v>
      </c>
      <c r="I2297" s="14" t="s">
        <v>2237</v>
      </c>
      <c r="J2297" s="16">
        <v>0</v>
      </c>
      <c r="K2297" s="14" t="s">
        <v>2237</v>
      </c>
      <c r="L2297" s="16">
        <v>0</v>
      </c>
      <c r="M2297" s="14" t="s">
        <v>2237</v>
      </c>
      <c r="N2297" s="16">
        <v>116299.85</v>
      </c>
      <c r="O2297" s="14" t="s">
        <v>2237</v>
      </c>
      <c r="P2297" s="14" t="s">
        <v>2236</v>
      </c>
      <c r="Q2297" s="17" t="s">
        <v>2242</v>
      </c>
      <c r="R2297" s="17" t="s">
        <v>2238</v>
      </c>
      <c r="S2297" s="17" t="s">
        <v>2243</v>
      </c>
      <c r="T2297" s="17" t="s">
        <v>4142</v>
      </c>
      <c r="U229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E530-30101040215-D235301</v>
      </c>
      <c r="Z229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7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29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8" spans="1:31" x14ac:dyDescent="0.3">
      <c r="A2298" s="14" t="s">
        <v>5583</v>
      </c>
      <c r="B2298" s="14" t="s">
        <v>30</v>
      </c>
      <c r="C2298" s="14" t="s">
        <v>558</v>
      </c>
      <c r="D2298" s="14" t="s">
        <v>559</v>
      </c>
      <c r="E2298" s="14" t="s">
        <v>4136</v>
      </c>
      <c r="F2298" s="16">
        <v>0</v>
      </c>
      <c r="G2298" s="14" t="s">
        <v>2237</v>
      </c>
      <c r="H2298" s="16">
        <v>0</v>
      </c>
      <c r="I2298" s="14" t="s">
        <v>2237</v>
      </c>
      <c r="J2298" s="16">
        <v>0</v>
      </c>
      <c r="K2298" s="14" t="s">
        <v>2237</v>
      </c>
      <c r="L2298" s="16">
        <v>0</v>
      </c>
      <c r="M2298" s="14" t="s">
        <v>2237</v>
      </c>
      <c r="N2298" s="16">
        <v>571655.19999999995</v>
      </c>
      <c r="O2298" s="14" t="s">
        <v>2237</v>
      </c>
      <c r="P2298" s="14" t="s">
        <v>2236</v>
      </c>
      <c r="Q2298" s="17" t="s">
        <v>2242</v>
      </c>
      <c r="R2298" s="17" t="s">
        <v>2238</v>
      </c>
      <c r="S2298" s="17" t="s">
        <v>2243</v>
      </c>
      <c r="T2298" s="17" t="s">
        <v>4142</v>
      </c>
      <c r="U229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E530-30101040214-D235301</v>
      </c>
      <c r="Z229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8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29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299" spans="1:31" x14ac:dyDescent="0.3">
      <c r="A2299" s="14" t="s">
        <v>5584</v>
      </c>
      <c r="B2299" s="14" t="s">
        <v>30</v>
      </c>
      <c r="C2299" s="14" t="s">
        <v>560</v>
      </c>
      <c r="D2299" s="14" t="s">
        <v>561</v>
      </c>
      <c r="E2299" s="14" t="s">
        <v>4136</v>
      </c>
      <c r="F2299" s="16">
        <v>0</v>
      </c>
      <c r="G2299" s="14" t="s">
        <v>2237</v>
      </c>
      <c r="H2299" s="16">
        <v>0</v>
      </c>
      <c r="I2299" s="14" t="s">
        <v>2237</v>
      </c>
      <c r="J2299" s="16">
        <v>0</v>
      </c>
      <c r="K2299" s="14" t="s">
        <v>2237</v>
      </c>
      <c r="L2299" s="16">
        <v>0</v>
      </c>
      <c r="M2299" s="14" t="s">
        <v>2237</v>
      </c>
      <c r="N2299" s="16">
        <v>110100</v>
      </c>
      <c r="O2299" s="14" t="s">
        <v>2237</v>
      </c>
      <c r="P2299" s="14" t="s">
        <v>2236</v>
      </c>
      <c r="Q2299" s="17" t="s">
        <v>2242</v>
      </c>
      <c r="R2299" s="17" t="s">
        <v>2238</v>
      </c>
      <c r="S2299" s="17" t="s">
        <v>2243</v>
      </c>
      <c r="T2299" s="17" t="s">
        <v>4142</v>
      </c>
      <c r="U229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29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29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29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29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E530-30101040213-D235301</v>
      </c>
      <c r="Z229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29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29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299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29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29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0" spans="1:31" x14ac:dyDescent="0.3">
      <c r="A2300" s="14" t="s">
        <v>5585</v>
      </c>
      <c r="B2300" s="14" t="s">
        <v>30</v>
      </c>
      <c r="C2300" s="14" t="s">
        <v>562</v>
      </c>
      <c r="D2300" s="14" t="s">
        <v>563</v>
      </c>
      <c r="E2300" s="14" t="s">
        <v>4136</v>
      </c>
      <c r="F2300" s="16">
        <v>0</v>
      </c>
      <c r="G2300" s="14" t="s">
        <v>2237</v>
      </c>
      <c r="H2300" s="16">
        <v>0</v>
      </c>
      <c r="I2300" s="14" t="s">
        <v>2237</v>
      </c>
      <c r="J2300" s="16">
        <v>0</v>
      </c>
      <c r="K2300" s="14" t="s">
        <v>2237</v>
      </c>
      <c r="L2300" s="16">
        <v>0</v>
      </c>
      <c r="M2300" s="14" t="s">
        <v>2237</v>
      </c>
      <c r="N2300" s="16">
        <v>0</v>
      </c>
      <c r="O2300" s="14" t="s">
        <v>2237</v>
      </c>
      <c r="P2300" s="14" t="s">
        <v>2236</v>
      </c>
      <c r="Q2300" s="17" t="s">
        <v>2242</v>
      </c>
      <c r="R2300" s="17" t="s">
        <v>2238</v>
      </c>
      <c r="S2300" s="17" t="s">
        <v>2243</v>
      </c>
      <c r="T2300" s="17" t="s">
        <v>4142</v>
      </c>
      <c r="U230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E530-30101040247-D235301</v>
      </c>
      <c r="Z230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0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30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1" spans="1:31" x14ac:dyDescent="0.3">
      <c r="A2301" s="14" t="s">
        <v>5586</v>
      </c>
      <c r="B2301" s="14" t="s">
        <v>30</v>
      </c>
      <c r="C2301" s="14" t="s">
        <v>564</v>
      </c>
      <c r="D2301" s="14" t="s">
        <v>565</v>
      </c>
      <c r="E2301" s="14" t="s">
        <v>4136</v>
      </c>
      <c r="F2301" s="16">
        <v>0</v>
      </c>
      <c r="G2301" s="14" t="s">
        <v>2237</v>
      </c>
      <c r="H2301" s="16">
        <v>0</v>
      </c>
      <c r="I2301" s="14" t="s">
        <v>2237</v>
      </c>
      <c r="J2301" s="16">
        <v>0</v>
      </c>
      <c r="K2301" s="14" t="s">
        <v>2237</v>
      </c>
      <c r="L2301" s="16">
        <v>0</v>
      </c>
      <c r="M2301" s="14" t="s">
        <v>2237</v>
      </c>
      <c r="N2301" s="16">
        <v>747394.5</v>
      </c>
      <c r="O2301" s="14" t="s">
        <v>2237</v>
      </c>
      <c r="P2301" s="14" t="s">
        <v>2236</v>
      </c>
      <c r="Q2301" s="17" t="s">
        <v>2242</v>
      </c>
      <c r="R2301" s="17" t="s">
        <v>2238</v>
      </c>
      <c r="S2301" s="17" t="s">
        <v>2243</v>
      </c>
      <c r="T2301" s="17" t="s">
        <v>4142</v>
      </c>
      <c r="U230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E530-30101040212-D235301</v>
      </c>
      <c r="Z23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1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30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2" spans="1:31" x14ac:dyDescent="0.3">
      <c r="A2302" s="14" t="s">
        <v>5587</v>
      </c>
      <c r="B2302" s="14" t="s">
        <v>30</v>
      </c>
      <c r="C2302" s="14" t="s">
        <v>566</v>
      </c>
      <c r="D2302" s="14" t="s">
        <v>567</v>
      </c>
      <c r="E2302" s="14" t="s">
        <v>4136</v>
      </c>
      <c r="F2302" s="16">
        <v>0</v>
      </c>
      <c r="G2302" s="14" t="s">
        <v>2237</v>
      </c>
      <c r="H2302" s="16">
        <v>0</v>
      </c>
      <c r="I2302" s="14" t="s">
        <v>2237</v>
      </c>
      <c r="J2302" s="16">
        <v>0</v>
      </c>
      <c r="K2302" s="14" t="s">
        <v>2237</v>
      </c>
      <c r="L2302" s="16">
        <v>0</v>
      </c>
      <c r="M2302" s="14" t="s">
        <v>2237</v>
      </c>
      <c r="N2302" s="16">
        <v>89528.22</v>
      </c>
      <c r="O2302" s="14" t="s">
        <v>2237</v>
      </c>
      <c r="P2302" s="14" t="s">
        <v>2236</v>
      </c>
      <c r="Q2302" s="17" t="s">
        <v>2242</v>
      </c>
      <c r="R2302" s="17" t="s">
        <v>2238</v>
      </c>
      <c r="S2302" s="17" t="s">
        <v>2243</v>
      </c>
      <c r="T2302" s="17" t="s">
        <v>4142</v>
      </c>
      <c r="U230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E530-30101040211-D235301</v>
      </c>
      <c r="Z23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2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30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3" spans="1:31" x14ac:dyDescent="0.3">
      <c r="A2303" s="14" t="s">
        <v>5588</v>
      </c>
      <c r="B2303" s="14" t="s">
        <v>30</v>
      </c>
      <c r="C2303" s="14" t="s">
        <v>568</v>
      </c>
      <c r="D2303" s="14" t="s">
        <v>569</v>
      </c>
      <c r="E2303" s="14" t="s">
        <v>4136</v>
      </c>
      <c r="F2303" s="16">
        <v>0</v>
      </c>
      <c r="G2303" s="14" t="s">
        <v>2237</v>
      </c>
      <c r="H2303" s="16">
        <v>0</v>
      </c>
      <c r="I2303" s="14" t="s">
        <v>2237</v>
      </c>
      <c r="J2303" s="16">
        <v>0</v>
      </c>
      <c r="K2303" s="14" t="s">
        <v>2237</v>
      </c>
      <c r="L2303" s="16">
        <v>0</v>
      </c>
      <c r="M2303" s="14" t="s">
        <v>2237</v>
      </c>
      <c r="N2303" s="16">
        <v>432060.8</v>
      </c>
      <c r="O2303" s="14" t="s">
        <v>2237</v>
      </c>
      <c r="P2303" s="14" t="s">
        <v>2236</v>
      </c>
      <c r="Q2303" s="17" t="s">
        <v>2242</v>
      </c>
      <c r="R2303" s="17" t="s">
        <v>2238</v>
      </c>
      <c r="S2303" s="17" t="s">
        <v>2243</v>
      </c>
      <c r="T2303" s="17" t="s">
        <v>4142</v>
      </c>
      <c r="U230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E530-30101040210-D235301</v>
      </c>
      <c r="Z23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3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30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4" spans="1:31" x14ac:dyDescent="0.3">
      <c r="A2304" s="14" t="s">
        <v>5589</v>
      </c>
      <c r="B2304" s="14" t="s">
        <v>30</v>
      </c>
      <c r="C2304" s="14" t="s">
        <v>570</v>
      </c>
      <c r="D2304" s="14" t="s">
        <v>571</v>
      </c>
      <c r="E2304" s="14" t="s">
        <v>4136</v>
      </c>
      <c r="F2304" s="16">
        <v>0</v>
      </c>
      <c r="G2304" s="14" t="s">
        <v>2237</v>
      </c>
      <c r="H2304" s="16">
        <v>0</v>
      </c>
      <c r="I2304" s="14" t="s">
        <v>2237</v>
      </c>
      <c r="J2304" s="16">
        <v>0</v>
      </c>
      <c r="K2304" s="14" t="s">
        <v>2237</v>
      </c>
      <c r="L2304" s="16">
        <v>0</v>
      </c>
      <c r="M2304" s="14" t="s">
        <v>2237</v>
      </c>
      <c r="N2304" s="16">
        <v>1167015.3400000001</v>
      </c>
      <c r="O2304" s="14" t="s">
        <v>2237</v>
      </c>
      <c r="P2304" s="14" t="s">
        <v>2236</v>
      </c>
      <c r="Q2304" s="17" t="s">
        <v>2242</v>
      </c>
      <c r="R2304" s="17" t="s">
        <v>2238</v>
      </c>
      <c r="S2304" s="17" t="s">
        <v>2243</v>
      </c>
      <c r="T2304" s="17" t="s">
        <v>4142</v>
      </c>
      <c r="U230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E530-30101040209-D235301</v>
      </c>
      <c r="Z23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4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30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5" spans="1:31" x14ac:dyDescent="0.3">
      <c r="A2305" s="14" t="s">
        <v>5590</v>
      </c>
      <c r="B2305" s="14" t="s">
        <v>30</v>
      </c>
      <c r="C2305" s="14" t="s">
        <v>572</v>
      </c>
      <c r="D2305" s="14" t="s">
        <v>573</v>
      </c>
      <c r="E2305" s="14" t="s">
        <v>4136</v>
      </c>
      <c r="F2305" s="16">
        <v>0</v>
      </c>
      <c r="G2305" s="14" t="s">
        <v>2237</v>
      </c>
      <c r="H2305" s="16">
        <v>0</v>
      </c>
      <c r="I2305" s="14" t="s">
        <v>2237</v>
      </c>
      <c r="J2305" s="16">
        <v>0</v>
      </c>
      <c r="K2305" s="14" t="s">
        <v>2237</v>
      </c>
      <c r="L2305" s="16">
        <v>0</v>
      </c>
      <c r="M2305" s="14" t="s">
        <v>2237</v>
      </c>
      <c r="N2305" s="16">
        <v>272200</v>
      </c>
      <c r="O2305" s="14" t="s">
        <v>2237</v>
      </c>
      <c r="P2305" s="14" t="s">
        <v>2236</v>
      </c>
      <c r="Q2305" s="17" t="s">
        <v>2242</v>
      </c>
      <c r="R2305" s="17" t="s">
        <v>2238</v>
      </c>
      <c r="S2305" s="17" t="s">
        <v>2243</v>
      </c>
      <c r="T2305" s="17" t="s">
        <v>4142</v>
      </c>
      <c r="U230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E530-30101040208-D235301</v>
      </c>
      <c r="Z23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5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30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6" spans="1:31" x14ac:dyDescent="0.3">
      <c r="A2306" s="14" t="s">
        <v>5591</v>
      </c>
      <c r="B2306" s="14" t="s">
        <v>30</v>
      </c>
      <c r="C2306" s="14" t="s">
        <v>574</v>
      </c>
      <c r="D2306" s="14" t="s">
        <v>575</v>
      </c>
      <c r="E2306" s="14" t="s">
        <v>4136</v>
      </c>
      <c r="F2306" s="16">
        <v>0</v>
      </c>
      <c r="G2306" s="14" t="s">
        <v>2237</v>
      </c>
      <c r="H2306" s="16">
        <v>0</v>
      </c>
      <c r="I2306" s="14" t="s">
        <v>2237</v>
      </c>
      <c r="J2306" s="16">
        <v>0</v>
      </c>
      <c r="K2306" s="14" t="s">
        <v>2237</v>
      </c>
      <c r="L2306" s="16">
        <v>0</v>
      </c>
      <c r="M2306" s="14" t="s">
        <v>2237</v>
      </c>
      <c r="N2306" s="16">
        <v>697896.5</v>
      </c>
      <c r="O2306" s="14" t="s">
        <v>2237</v>
      </c>
      <c r="P2306" s="14" t="s">
        <v>2236</v>
      </c>
      <c r="Q2306" s="17" t="s">
        <v>2242</v>
      </c>
      <c r="R2306" s="17" t="s">
        <v>2238</v>
      </c>
      <c r="S2306" s="17" t="s">
        <v>2243</v>
      </c>
      <c r="T2306" s="17" t="s">
        <v>4142</v>
      </c>
      <c r="U230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E530-30101040207-D235301</v>
      </c>
      <c r="Z23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6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30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7" spans="1:31" x14ac:dyDescent="0.3">
      <c r="A2307" s="14" t="s">
        <v>5592</v>
      </c>
      <c r="B2307" s="14" t="s">
        <v>30</v>
      </c>
      <c r="C2307" s="14" t="s">
        <v>576</v>
      </c>
      <c r="D2307" s="14" t="s">
        <v>577</v>
      </c>
      <c r="E2307" s="14" t="s">
        <v>4136</v>
      </c>
      <c r="F2307" s="16">
        <v>0</v>
      </c>
      <c r="G2307" s="14" t="s">
        <v>2237</v>
      </c>
      <c r="H2307" s="16">
        <v>0</v>
      </c>
      <c r="I2307" s="14" t="s">
        <v>2237</v>
      </c>
      <c r="J2307" s="16">
        <v>0</v>
      </c>
      <c r="K2307" s="14" t="s">
        <v>2237</v>
      </c>
      <c r="L2307" s="16">
        <v>0</v>
      </c>
      <c r="M2307" s="14" t="s">
        <v>2237</v>
      </c>
      <c r="N2307" s="16">
        <v>1174500.1499999999</v>
      </c>
      <c r="O2307" s="14" t="s">
        <v>2237</v>
      </c>
      <c r="P2307" s="14" t="s">
        <v>2236</v>
      </c>
      <c r="Q2307" s="17" t="s">
        <v>2242</v>
      </c>
      <c r="R2307" s="17" t="s">
        <v>2238</v>
      </c>
      <c r="S2307" s="17" t="s">
        <v>2243</v>
      </c>
      <c r="T2307" s="17" t="s">
        <v>4142</v>
      </c>
      <c r="U230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E530-30101040205-D235301</v>
      </c>
      <c r="Z23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7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30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8" spans="1:31" x14ac:dyDescent="0.3">
      <c r="A2308" s="14" t="s">
        <v>5593</v>
      </c>
      <c r="B2308" s="14" t="s">
        <v>30</v>
      </c>
      <c r="C2308" s="14" t="s">
        <v>578</v>
      </c>
      <c r="D2308" s="14" t="s">
        <v>579</v>
      </c>
      <c r="E2308" s="14" t="s">
        <v>4136</v>
      </c>
      <c r="F2308" s="16">
        <v>0</v>
      </c>
      <c r="G2308" s="14" t="s">
        <v>2237</v>
      </c>
      <c r="H2308" s="16">
        <v>0</v>
      </c>
      <c r="I2308" s="14" t="s">
        <v>2237</v>
      </c>
      <c r="J2308" s="16">
        <v>0</v>
      </c>
      <c r="K2308" s="14" t="s">
        <v>2237</v>
      </c>
      <c r="L2308" s="16">
        <v>0</v>
      </c>
      <c r="M2308" s="14" t="s">
        <v>2237</v>
      </c>
      <c r="N2308" s="16">
        <v>1500</v>
      </c>
      <c r="O2308" s="14" t="s">
        <v>2237</v>
      </c>
      <c r="P2308" s="14" t="s">
        <v>2236</v>
      </c>
      <c r="Q2308" s="17" t="s">
        <v>2242</v>
      </c>
      <c r="R2308" s="17" t="s">
        <v>2238</v>
      </c>
      <c r="S2308" s="17" t="s">
        <v>2243</v>
      </c>
      <c r="T2308" s="17" t="s">
        <v>4142</v>
      </c>
      <c r="U230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E530-301010402-D235301</v>
      </c>
      <c r="Y230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E530-30101040204-D235301</v>
      </c>
      <c r="Z23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08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30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09" spans="1:31" x14ac:dyDescent="0.3">
      <c r="A2309" s="14" t="s">
        <v>5594</v>
      </c>
      <c r="B2309" s="14" t="s">
        <v>26</v>
      </c>
      <c r="C2309" s="14" t="s">
        <v>580</v>
      </c>
      <c r="D2309" s="14" t="s">
        <v>581</v>
      </c>
      <c r="E2309" s="14" t="s">
        <v>4136</v>
      </c>
      <c r="F2309" s="16">
        <v>44000</v>
      </c>
      <c r="G2309" s="14" t="s">
        <v>2237</v>
      </c>
      <c r="H2309" s="16">
        <v>44000</v>
      </c>
      <c r="I2309" s="14" t="s">
        <v>2237</v>
      </c>
      <c r="J2309" s="16">
        <v>0</v>
      </c>
      <c r="K2309" s="14" t="s">
        <v>2237</v>
      </c>
      <c r="L2309" s="16">
        <v>0</v>
      </c>
      <c r="M2309" s="14" t="s">
        <v>2237</v>
      </c>
      <c r="N2309" s="16">
        <v>19820.82</v>
      </c>
      <c r="O2309" s="14" t="s">
        <v>2237</v>
      </c>
      <c r="P2309" s="14" t="s">
        <v>2236</v>
      </c>
      <c r="Q2309" s="17" t="s">
        <v>2242</v>
      </c>
      <c r="R2309" s="17" t="s">
        <v>2238</v>
      </c>
      <c r="S2309" s="17" t="s">
        <v>2243</v>
      </c>
      <c r="T2309" s="17" t="s">
        <v>4137</v>
      </c>
      <c r="U230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0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0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0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E530-301010401-D235301</v>
      </c>
      <c r="Y230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0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0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30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0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0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0" spans="1:31" x14ac:dyDescent="0.3">
      <c r="A2310" s="14" t="s">
        <v>5595</v>
      </c>
      <c r="B2310" s="14" t="s">
        <v>30</v>
      </c>
      <c r="C2310" s="14" t="s">
        <v>582</v>
      </c>
      <c r="D2310" s="14" t="s">
        <v>583</v>
      </c>
      <c r="E2310" s="14" t="s">
        <v>4136</v>
      </c>
      <c r="F2310" s="16">
        <v>0</v>
      </c>
      <c r="G2310" s="14" t="s">
        <v>2237</v>
      </c>
      <c r="H2310" s="16">
        <v>0</v>
      </c>
      <c r="I2310" s="14" t="s">
        <v>2237</v>
      </c>
      <c r="J2310" s="16">
        <v>0</v>
      </c>
      <c r="K2310" s="14" t="s">
        <v>2237</v>
      </c>
      <c r="L2310" s="16">
        <v>0</v>
      </c>
      <c r="M2310" s="14" t="s">
        <v>2237</v>
      </c>
      <c r="N2310" s="16">
        <v>19820.82</v>
      </c>
      <c r="O2310" s="14" t="s">
        <v>2237</v>
      </c>
      <c r="P2310" s="14" t="s">
        <v>2236</v>
      </c>
      <c r="Q2310" s="17" t="s">
        <v>2242</v>
      </c>
      <c r="R2310" s="17" t="s">
        <v>2238</v>
      </c>
      <c r="S2310" s="17" t="s">
        <v>2243</v>
      </c>
      <c r="T2310" s="17" t="s">
        <v>4142</v>
      </c>
      <c r="U231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1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E530-301010401-D235301</v>
      </c>
      <c r="Y231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E530-30101040160-D235301</v>
      </c>
      <c r="Z23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310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31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1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1" spans="1:31" x14ac:dyDescent="0.3">
      <c r="A2311" s="14" t="s">
        <v>5596</v>
      </c>
      <c r="B2311" s="14" t="s">
        <v>26</v>
      </c>
      <c r="C2311" s="14" t="s">
        <v>584</v>
      </c>
      <c r="D2311" s="14" t="s">
        <v>585</v>
      </c>
      <c r="E2311" s="14" t="s">
        <v>4136</v>
      </c>
      <c r="F2311" s="16">
        <v>1532485.85</v>
      </c>
      <c r="G2311" s="14" t="s">
        <v>2237</v>
      </c>
      <c r="H2311" s="16">
        <v>1532485.85</v>
      </c>
      <c r="I2311" s="14" t="s">
        <v>2237</v>
      </c>
      <c r="J2311" s="16">
        <v>0</v>
      </c>
      <c r="K2311" s="14" t="s">
        <v>2237</v>
      </c>
      <c r="L2311" s="16">
        <v>0</v>
      </c>
      <c r="M2311" s="14" t="s">
        <v>2237</v>
      </c>
      <c r="N2311" s="16">
        <v>1222714.98</v>
      </c>
      <c r="O2311" s="14" t="s">
        <v>2237</v>
      </c>
      <c r="P2311" s="14" t="s">
        <v>2236</v>
      </c>
      <c r="Q2311" s="17" t="s">
        <v>2242</v>
      </c>
      <c r="R2311" s="17" t="s">
        <v>2238</v>
      </c>
      <c r="S2311" s="17" t="s">
        <v>2243</v>
      </c>
      <c r="T2311" s="17" t="s">
        <v>4137</v>
      </c>
      <c r="U231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1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E530-301010461-D235301</v>
      </c>
      <c r="Y231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1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1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1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2" spans="1:31" x14ac:dyDescent="0.3">
      <c r="A2312" s="14" t="s">
        <v>5597</v>
      </c>
      <c r="B2312" s="14" t="s">
        <v>30</v>
      </c>
      <c r="C2312" s="14" t="s">
        <v>586</v>
      </c>
      <c r="D2312" s="14" t="s">
        <v>587</v>
      </c>
      <c r="E2312" s="14" t="s">
        <v>4136</v>
      </c>
      <c r="F2312" s="16">
        <v>0</v>
      </c>
      <c r="G2312" s="14" t="s">
        <v>2237</v>
      </c>
      <c r="H2312" s="16">
        <v>0</v>
      </c>
      <c r="I2312" s="14" t="s">
        <v>2237</v>
      </c>
      <c r="J2312" s="16">
        <v>0</v>
      </c>
      <c r="K2312" s="14" t="s">
        <v>2237</v>
      </c>
      <c r="L2312" s="16">
        <v>0</v>
      </c>
      <c r="M2312" s="14" t="s">
        <v>2237</v>
      </c>
      <c r="N2312" s="16">
        <v>0</v>
      </c>
      <c r="O2312" s="14" t="s">
        <v>2237</v>
      </c>
      <c r="P2312" s="14" t="s">
        <v>2236</v>
      </c>
      <c r="Q2312" s="17" t="s">
        <v>2242</v>
      </c>
      <c r="R2312" s="17" t="s">
        <v>2238</v>
      </c>
      <c r="S2312" s="17" t="s">
        <v>2243</v>
      </c>
      <c r="T2312" s="17" t="s">
        <v>4142</v>
      </c>
      <c r="U231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1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E530-301010461-D235301</v>
      </c>
      <c r="Y231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E530-30101046162-D235301</v>
      </c>
      <c r="Z23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12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31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1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3" spans="1:31" x14ac:dyDescent="0.3">
      <c r="A2313" s="14" t="s">
        <v>5598</v>
      </c>
      <c r="B2313" s="14" t="s">
        <v>30</v>
      </c>
      <c r="C2313" s="14" t="s">
        <v>588</v>
      </c>
      <c r="D2313" s="14" t="s">
        <v>589</v>
      </c>
      <c r="E2313" s="14" t="s">
        <v>4136</v>
      </c>
      <c r="F2313" s="16">
        <v>0</v>
      </c>
      <c r="G2313" s="14" t="s">
        <v>2237</v>
      </c>
      <c r="H2313" s="16">
        <v>0</v>
      </c>
      <c r="I2313" s="14" t="s">
        <v>2237</v>
      </c>
      <c r="J2313" s="16">
        <v>0</v>
      </c>
      <c r="K2313" s="14" t="s">
        <v>2237</v>
      </c>
      <c r="L2313" s="16">
        <v>0</v>
      </c>
      <c r="M2313" s="14" t="s">
        <v>2237</v>
      </c>
      <c r="N2313" s="16">
        <v>0</v>
      </c>
      <c r="O2313" s="14" t="s">
        <v>2237</v>
      </c>
      <c r="P2313" s="14" t="s">
        <v>2236</v>
      </c>
      <c r="Q2313" s="17" t="s">
        <v>2242</v>
      </c>
      <c r="R2313" s="17" t="s">
        <v>2238</v>
      </c>
      <c r="S2313" s="17" t="s">
        <v>2243</v>
      </c>
      <c r="T2313" s="17" t="s">
        <v>4142</v>
      </c>
      <c r="U231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1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E530-301010461-D235301</v>
      </c>
      <c r="Y231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E530-30101046193-D235301</v>
      </c>
      <c r="Z23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13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31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1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4" spans="1:31" x14ac:dyDescent="0.3">
      <c r="A2314" s="14" t="s">
        <v>5599</v>
      </c>
      <c r="B2314" s="14" t="s">
        <v>30</v>
      </c>
      <c r="C2314" s="14" t="s">
        <v>590</v>
      </c>
      <c r="D2314" s="14" t="s">
        <v>591</v>
      </c>
      <c r="E2314" s="14" t="s">
        <v>4136</v>
      </c>
      <c r="F2314" s="16">
        <v>0</v>
      </c>
      <c r="G2314" s="14" t="s">
        <v>2237</v>
      </c>
      <c r="H2314" s="16">
        <v>0</v>
      </c>
      <c r="I2314" s="14" t="s">
        <v>2237</v>
      </c>
      <c r="J2314" s="16">
        <v>0</v>
      </c>
      <c r="K2314" s="14" t="s">
        <v>2237</v>
      </c>
      <c r="L2314" s="16">
        <v>0</v>
      </c>
      <c r="M2314" s="14" t="s">
        <v>2237</v>
      </c>
      <c r="N2314" s="16">
        <v>432977.03</v>
      </c>
      <c r="O2314" s="14" t="s">
        <v>2237</v>
      </c>
      <c r="P2314" s="14" t="s">
        <v>2236</v>
      </c>
      <c r="Q2314" s="17" t="s">
        <v>2242</v>
      </c>
      <c r="R2314" s="17" t="s">
        <v>2238</v>
      </c>
      <c r="S2314" s="17" t="s">
        <v>2243</v>
      </c>
      <c r="T2314" s="17" t="s">
        <v>4142</v>
      </c>
      <c r="U231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1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E530-301010461-D235301</v>
      </c>
      <c r="Y231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E530-30101046118-D235301</v>
      </c>
      <c r="Z23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14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31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5" spans="1:31" x14ac:dyDescent="0.3">
      <c r="A2315" s="14" t="s">
        <v>5600</v>
      </c>
      <c r="B2315" s="14" t="s">
        <v>30</v>
      </c>
      <c r="C2315" s="14" t="s">
        <v>592</v>
      </c>
      <c r="D2315" s="14" t="s">
        <v>593</v>
      </c>
      <c r="E2315" s="14" t="s">
        <v>4136</v>
      </c>
      <c r="F2315" s="16">
        <v>0</v>
      </c>
      <c r="G2315" s="14" t="s">
        <v>2237</v>
      </c>
      <c r="H2315" s="16">
        <v>0</v>
      </c>
      <c r="I2315" s="14" t="s">
        <v>2237</v>
      </c>
      <c r="J2315" s="16">
        <v>0</v>
      </c>
      <c r="K2315" s="14" t="s">
        <v>2237</v>
      </c>
      <c r="L2315" s="16">
        <v>0</v>
      </c>
      <c r="M2315" s="14" t="s">
        <v>2237</v>
      </c>
      <c r="N2315" s="16">
        <v>78767.679999999993</v>
      </c>
      <c r="O2315" s="14" t="s">
        <v>2237</v>
      </c>
      <c r="P2315" s="14" t="s">
        <v>2236</v>
      </c>
      <c r="Q2315" s="17" t="s">
        <v>2242</v>
      </c>
      <c r="R2315" s="17" t="s">
        <v>2238</v>
      </c>
      <c r="S2315" s="17" t="s">
        <v>2243</v>
      </c>
      <c r="T2315" s="17" t="s">
        <v>4142</v>
      </c>
      <c r="U231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1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E530-301010461-D235301</v>
      </c>
      <c r="Y231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E530-30101046102-D235301</v>
      </c>
      <c r="Z23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15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31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1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6" spans="1:31" x14ac:dyDescent="0.3">
      <c r="A2316" s="14" t="s">
        <v>5601</v>
      </c>
      <c r="B2316" s="14" t="s">
        <v>30</v>
      </c>
      <c r="C2316" s="14" t="s">
        <v>594</v>
      </c>
      <c r="D2316" s="14" t="s">
        <v>595</v>
      </c>
      <c r="E2316" s="14" t="s">
        <v>4136</v>
      </c>
      <c r="F2316" s="16">
        <v>0</v>
      </c>
      <c r="G2316" s="14" t="s">
        <v>2237</v>
      </c>
      <c r="H2316" s="16">
        <v>0</v>
      </c>
      <c r="I2316" s="14" t="s">
        <v>2237</v>
      </c>
      <c r="J2316" s="16">
        <v>0</v>
      </c>
      <c r="K2316" s="14" t="s">
        <v>2237</v>
      </c>
      <c r="L2316" s="16">
        <v>0</v>
      </c>
      <c r="M2316" s="14" t="s">
        <v>2237</v>
      </c>
      <c r="N2316" s="16">
        <v>710970.27</v>
      </c>
      <c r="O2316" s="14" t="s">
        <v>2237</v>
      </c>
      <c r="P2316" s="14" t="s">
        <v>2236</v>
      </c>
      <c r="Q2316" s="17" t="s">
        <v>2242</v>
      </c>
      <c r="R2316" s="17" t="s">
        <v>2238</v>
      </c>
      <c r="S2316" s="17" t="s">
        <v>2243</v>
      </c>
      <c r="T2316" s="17" t="s">
        <v>4142</v>
      </c>
      <c r="U231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E530-3010104-D235301</v>
      </c>
      <c r="X231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E530-301010461-D235301</v>
      </c>
      <c r="Y231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E530-30101046101-D235301</v>
      </c>
      <c r="Z23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16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31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4</v>
      </c>
      <c r="AE231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7" spans="1:31" x14ac:dyDescent="0.3">
      <c r="A2317" s="14" t="s">
        <v>5602</v>
      </c>
      <c r="B2317" s="14" t="s">
        <v>21</v>
      </c>
      <c r="C2317" s="14" t="s">
        <v>596</v>
      </c>
      <c r="D2317" s="14" t="s">
        <v>597</v>
      </c>
      <c r="E2317" s="14" t="s">
        <v>4136</v>
      </c>
      <c r="F2317" s="16">
        <v>5195858.3</v>
      </c>
      <c r="G2317" s="14" t="s">
        <v>2237</v>
      </c>
      <c r="H2317" s="16">
        <v>5195858.3</v>
      </c>
      <c r="I2317" s="14" t="s">
        <v>2237</v>
      </c>
      <c r="J2317" s="16">
        <v>0</v>
      </c>
      <c r="K2317" s="14" t="s">
        <v>2237</v>
      </c>
      <c r="L2317" s="16">
        <v>0</v>
      </c>
      <c r="M2317" s="14" t="s">
        <v>2237</v>
      </c>
      <c r="N2317" s="16">
        <v>4359943.09</v>
      </c>
      <c r="O2317" s="14" t="s">
        <v>2237</v>
      </c>
      <c r="P2317" s="14" t="s">
        <v>2236</v>
      </c>
      <c r="Q2317" s="17" t="s">
        <v>2242</v>
      </c>
      <c r="R2317" s="17" t="s">
        <v>2238</v>
      </c>
      <c r="S2317" s="17" t="s">
        <v>2243</v>
      </c>
      <c r="T2317" s="17" t="s">
        <v>4137</v>
      </c>
      <c r="U23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17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31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7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31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1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1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8" spans="1:31" x14ac:dyDescent="0.3">
      <c r="A2318" s="14" t="s">
        <v>5603</v>
      </c>
      <c r="B2318" s="14" t="s">
        <v>26</v>
      </c>
      <c r="C2318" s="14" t="s">
        <v>598</v>
      </c>
      <c r="D2318" s="14" t="s">
        <v>599</v>
      </c>
      <c r="E2318" s="14" t="s">
        <v>4136</v>
      </c>
      <c r="F2318" s="16">
        <v>3860986.73</v>
      </c>
      <c r="G2318" s="14" t="s">
        <v>2237</v>
      </c>
      <c r="H2318" s="16">
        <v>3860986.73</v>
      </c>
      <c r="I2318" s="14" t="s">
        <v>2237</v>
      </c>
      <c r="J2318" s="16">
        <v>0</v>
      </c>
      <c r="K2318" s="14" t="s">
        <v>2237</v>
      </c>
      <c r="L2318" s="16">
        <v>0</v>
      </c>
      <c r="M2318" s="14" t="s">
        <v>2237</v>
      </c>
      <c r="N2318" s="16">
        <v>3055537.58</v>
      </c>
      <c r="O2318" s="14" t="s">
        <v>2237</v>
      </c>
      <c r="P2318" s="14" t="s">
        <v>2236</v>
      </c>
      <c r="Q2318" s="17" t="s">
        <v>2242</v>
      </c>
      <c r="R2318" s="17" t="s">
        <v>2238</v>
      </c>
      <c r="S2318" s="17" t="s">
        <v>2243</v>
      </c>
      <c r="T2318" s="17" t="s">
        <v>5604</v>
      </c>
      <c r="U23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1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1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1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1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1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19" spans="1:31" x14ac:dyDescent="0.3">
      <c r="A2319" s="14" t="s">
        <v>5605</v>
      </c>
      <c r="B2319" s="14" t="s">
        <v>30</v>
      </c>
      <c r="C2319" s="14" t="s">
        <v>5606</v>
      </c>
      <c r="D2319" s="14" t="s">
        <v>601</v>
      </c>
      <c r="E2319" s="14" t="s">
        <v>4136</v>
      </c>
      <c r="F2319" s="16">
        <v>0</v>
      </c>
      <c r="G2319" s="14" t="s">
        <v>2237</v>
      </c>
      <c r="H2319" s="16">
        <v>0</v>
      </c>
      <c r="I2319" s="14" t="s">
        <v>2237</v>
      </c>
      <c r="J2319" s="16">
        <v>0</v>
      </c>
      <c r="K2319" s="14" t="s">
        <v>2237</v>
      </c>
      <c r="L2319" s="16">
        <v>0</v>
      </c>
      <c r="M2319" s="14" t="s">
        <v>2237</v>
      </c>
      <c r="N2319" s="16">
        <v>26590.89</v>
      </c>
      <c r="O2319" s="14" t="s">
        <v>2237</v>
      </c>
      <c r="P2319" s="14" t="s">
        <v>2236</v>
      </c>
      <c r="Q2319" s="17" t="s">
        <v>2242</v>
      </c>
      <c r="R2319" s="17" t="s">
        <v>2238</v>
      </c>
      <c r="S2319" s="17" t="s">
        <v>2243</v>
      </c>
      <c r="T2319" s="17" t="s">
        <v>4142</v>
      </c>
      <c r="U23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1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1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1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1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E530-30101030224-D235301</v>
      </c>
      <c r="Z23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1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1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19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31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1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0" spans="1:31" x14ac:dyDescent="0.3">
      <c r="A2320" s="14" t="s">
        <v>5607</v>
      </c>
      <c r="B2320" s="14" t="s">
        <v>30</v>
      </c>
      <c r="C2320" s="14" t="s">
        <v>602</v>
      </c>
      <c r="D2320" s="14" t="s">
        <v>603</v>
      </c>
      <c r="E2320" s="14" t="s">
        <v>4136</v>
      </c>
      <c r="F2320" s="16">
        <v>0</v>
      </c>
      <c r="G2320" s="14" t="s">
        <v>2237</v>
      </c>
      <c r="H2320" s="16">
        <v>0</v>
      </c>
      <c r="I2320" s="14" t="s">
        <v>2237</v>
      </c>
      <c r="J2320" s="16">
        <v>0</v>
      </c>
      <c r="K2320" s="14" t="s">
        <v>2237</v>
      </c>
      <c r="L2320" s="16">
        <v>0</v>
      </c>
      <c r="M2320" s="14" t="s">
        <v>2237</v>
      </c>
      <c r="N2320" s="16">
        <v>41026.32</v>
      </c>
      <c r="O2320" s="14" t="s">
        <v>2237</v>
      </c>
      <c r="P2320" s="14" t="s">
        <v>2236</v>
      </c>
      <c r="Q2320" s="17" t="s">
        <v>2242</v>
      </c>
      <c r="R2320" s="17" t="s">
        <v>2238</v>
      </c>
      <c r="S2320" s="17" t="s">
        <v>2243</v>
      </c>
      <c r="T2320" s="17" t="s">
        <v>4142</v>
      </c>
      <c r="U23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E530-30101030298-D235301</v>
      </c>
      <c r="Z23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0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32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1" spans="1:31" x14ac:dyDescent="0.3">
      <c r="A2321" s="14" t="s">
        <v>5608</v>
      </c>
      <c r="B2321" s="14" t="s">
        <v>30</v>
      </c>
      <c r="C2321" s="14" t="s">
        <v>604</v>
      </c>
      <c r="D2321" s="14" t="s">
        <v>605</v>
      </c>
      <c r="E2321" s="14" t="s">
        <v>4136</v>
      </c>
      <c r="F2321" s="16">
        <v>0</v>
      </c>
      <c r="G2321" s="14" t="s">
        <v>2237</v>
      </c>
      <c r="H2321" s="16">
        <v>0</v>
      </c>
      <c r="I2321" s="14" t="s">
        <v>2237</v>
      </c>
      <c r="J2321" s="16">
        <v>0</v>
      </c>
      <c r="K2321" s="14" t="s">
        <v>2237</v>
      </c>
      <c r="L2321" s="16">
        <v>0</v>
      </c>
      <c r="M2321" s="14" t="s">
        <v>2237</v>
      </c>
      <c r="N2321" s="16">
        <v>11566.43</v>
      </c>
      <c r="O2321" s="14" t="s">
        <v>2237</v>
      </c>
      <c r="P2321" s="14" t="s">
        <v>2236</v>
      </c>
      <c r="Q2321" s="17" t="s">
        <v>2242</v>
      </c>
      <c r="R2321" s="17" t="s">
        <v>2238</v>
      </c>
      <c r="S2321" s="17" t="s">
        <v>2243</v>
      </c>
      <c r="T2321" s="17" t="s">
        <v>4142</v>
      </c>
      <c r="U23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E530-30101030297-D235301</v>
      </c>
      <c r="Z23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1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32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2" spans="1:31" x14ac:dyDescent="0.3">
      <c r="A2322" s="14" t="s">
        <v>5609</v>
      </c>
      <c r="B2322" s="14" t="s">
        <v>30</v>
      </c>
      <c r="C2322" s="14" t="s">
        <v>606</v>
      </c>
      <c r="D2322" s="14" t="s">
        <v>607</v>
      </c>
      <c r="E2322" s="14" t="s">
        <v>4136</v>
      </c>
      <c r="F2322" s="16">
        <v>0</v>
      </c>
      <c r="G2322" s="14" t="s">
        <v>2237</v>
      </c>
      <c r="H2322" s="16">
        <v>0</v>
      </c>
      <c r="I2322" s="14" t="s">
        <v>2237</v>
      </c>
      <c r="J2322" s="16">
        <v>0</v>
      </c>
      <c r="K2322" s="14" t="s">
        <v>2237</v>
      </c>
      <c r="L2322" s="16">
        <v>0</v>
      </c>
      <c r="M2322" s="14" t="s">
        <v>2237</v>
      </c>
      <c r="N2322" s="16">
        <v>0</v>
      </c>
      <c r="O2322" s="14" t="s">
        <v>2237</v>
      </c>
      <c r="P2322" s="14" t="s">
        <v>2236</v>
      </c>
      <c r="Q2322" s="17" t="s">
        <v>2242</v>
      </c>
      <c r="R2322" s="17" t="s">
        <v>2238</v>
      </c>
      <c r="S2322" s="17" t="s">
        <v>2243</v>
      </c>
      <c r="T2322" s="17" t="s">
        <v>4142</v>
      </c>
      <c r="U23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E530-30101030296-D235301</v>
      </c>
      <c r="Z23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2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32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3" spans="1:31" x14ac:dyDescent="0.3">
      <c r="A2323" s="14" t="s">
        <v>5610</v>
      </c>
      <c r="B2323" s="14" t="s">
        <v>30</v>
      </c>
      <c r="C2323" s="14" t="s">
        <v>608</v>
      </c>
      <c r="D2323" s="14" t="s">
        <v>609</v>
      </c>
      <c r="E2323" s="14" t="s">
        <v>4136</v>
      </c>
      <c r="F2323" s="16">
        <v>0</v>
      </c>
      <c r="G2323" s="14" t="s">
        <v>2237</v>
      </c>
      <c r="H2323" s="16">
        <v>0</v>
      </c>
      <c r="I2323" s="14" t="s">
        <v>2237</v>
      </c>
      <c r="J2323" s="16">
        <v>0</v>
      </c>
      <c r="K2323" s="14" t="s">
        <v>2237</v>
      </c>
      <c r="L2323" s="16">
        <v>0</v>
      </c>
      <c r="M2323" s="14" t="s">
        <v>2237</v>
      </c>
      <c r="N2323" s="16">
        <v>0</v>
      </c>
      <c r="O2323" s="14" t="s">
        <v>2237</v>
      </c>
      <c r="P2323" s="14" t="s">
        <v>2236</v>
      </c>
      <c r="Q2323" s="17" t="s">
        <v>2242</v>
      </c>
      <c r="R2323" s="17" t="s">
        <v>2238</v>
      </c>
      <c r="S2323" s="17" t="s">
        <v>2243</v>
      </c>
      <c r="T2323" s="17" t="s">
        <v>4142</v>
      </c>
      <c r="U23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E530-30101030295-D235301</v>
      </c>
      <c r="Z23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3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32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4" spans="1:31" x14ac:dyDescent="0.3">
      <c r="A2324" s="14" t="s">
        <v>5611</v>
      </c>
      <c r="B2324" s="14" t="s">
        <v>30</v>
      </c>
      <c r="C2324" s="14" t="s">
        <v>610</v>
      </c>
      <c r="D2324" s="14" t="s">
        <v>611</v>
      </c>
      <c r="E2324" s="14" t="s">
        <v>4136</v>
      </c>
      <c r="F2324" s="16">
        <v>0</v>
      </c>
      <c r="G2324" s="14" t="s">
        <v>2237</v>
      </c>
      <c r="H2324" s="16">
        <v>0</v>
      </c>
      <c r="I2324" s="14" t="s">
        <v>2237</v>
      </c>
      <c r="J2324" s="16">
        <v>0</v>
      </c>
      <c r="K2324" s="14" t="s">
        <v>2237</v>
      </c>
      <c r="L2324" s="16">
        <v>0</v>
      </c>
      <c r="M2324" s="14" t="s">
        <v>2237</v>
      </c>
      <c r="N2324" s="16">
        <v>21811.64</v>
      </c>
      <c r="O2324" s="14" t="s">
        <v>2237</v>
      </c>
      <c r="P2324" s="14" t="s">
        <v>2236</v>
      </c>
      <c r="Q2324" s="17" t="s">
        <v>2242</v>
      </c>
      <c r="R2324" s="17" t="s">
        <v>2238</v>
      </c>
      <c r="S2324" s="17" t="s">
        <v>2243</v>
      </c>
      <c r="T2324" s="17" t="s">
        <v>4142</v>
      </c>
      <c r="U23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E530-30101030294-D235301</v>
      </c>
      <c r="Z23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4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32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5" spans="1:31" x14ac:dyDescent="0.3">
      <c r="A2325" s="14" t="s">
        <v>5612</v>
      </c>
      <c r="B2325" s="14" t="s">
        <v>30</v>
      </c>
      <c r="C2325" s="14" t="s">
        <v>5613</v>
      </c>
      <c r="D2325" s="14" t="s">
        <v>613</v>
      </c>
      <c r="E2325" s="14" t="s">
        <v>4136</v>
      </c>
      <c r="F2325" s="16">
        <v>0</v>
      </c>
      <c r="G2325" s="14" t="s">
        <v>2237</v>
      </c>
      <c r="H2325" s="16">
        <v>0</v>
      </c>
      <c r="I2325" s="14" t="s">
        <v>2237</v>
      </c>
      <c r="J2325" s="16">
        <v>0</v>
      </c>
      <c r="K2325" s="14" t="s">
        <v>2237</v>
      </c>
      <c r="L2325" s="16">
        <v>0</v>
      </c>
      <c r="M2325" s="14" t="s">
        <v>2237</v>
      </c>
      <c r="N2325" s="16">
        <v>7271.73</v>
      </c>
      <c r="O2325" s="14" t="s">
        <v>2237</v>
      </c>
      <c r="P2325" s="14" t="s">
        <v>2236</v>
      </c>
      <c r="Q2325" s="17" t="s">
        <v>2242</v>
      </c>
      <c r="R2325" s="17" t="s">
        <v>2238</v>
      </c>
      <c r="S2325" s="17" t="s">
        <v>2243</v>
      </c>
      <c r="T2325" s="17" t="s">
        <v>4142</v>
      </c>
      <c r="U23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E530-30101030220-D235301</v>
      </c>
      <c r="Z23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5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32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6" spans="1:31" x14ac:dyDescent="0.3">
      <c r="A2326" s="14" t="s">
        <v>5614</v>
      </c>
      <c r="B2326" s="14" t="s">
        <v>30</v>
      </c>
      <c r="C2326" s="14" t="s">
        <v>614</v>
      </c>
      <c r="D2326" s="14" t="s">
        <v>615</v>
      </c>
      <c r="E2326" s="14" t="s">
        <v>4136</v>
      </c>
      <c r="F2326" s="16">
        <v>0</v>
      </c>
      <c r="G2326" s="14" t="s">
        <v>2237</v>
      </c>
      <c r="H2326" s="16">
        <v>0</v>
      </c>
      <c r="I2326" s="14" t="s">
        <v>2237</v>
      </c>
      <c r="J2326" s="16">
        <v>0</v>
      </c>
      <c r="K2326" s="14" t="s">
        <v>2237</v>
      </c>
      <c r="L2326" s="16">
        <v>0</v>
      </c>
      <c r="M2326" s="14" t="s">
        <v>2237</v>
      </c>
      <c r="N2326" s="16">
        <v>11385.84</v>
      </c>
      <c r="O2326" s="14" t="s">
        <v>2237</v>
      </c>
      <c r="P2326" s="14" t="s">
        <v>2236</v>
      </c>
      <c r="Q2326" s="17" t="s">
        <v>2242</v>
      </c>
      <c r="R2326" s="17" t="s">
        <v>2238</v>
      </c>
      <c r="S2326" s="17" t="s">
        <v>2243</v>
      </c>
      <c r="T2326" s="17" t="s">
        <v>4142</v>
      </c>
      <c r="U23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E530-30101030217-D235301</v>
      </c>
      <c r="Z23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6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32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7" spans="1:31" x14ac:dyDescent="0.3">
      <c r="A2327" s="14" t="s">
        <v>5615</v>
      </c>
      <c r="B2327" s="14" t="s">
        <v>30</v>
      </c>
      <c r="C2327" s="14" t="s">
        <v>616</v>
      </c>
      <c r="D2327" s="14" t="s">
        <v>617</v>
      </c>
      <c r="E2327" s="14" t="s">
        <v>4136</v>
      </c>
      <c r="F2327" s="16">
        <v>0</v>
      </c>
      <c r="G2327" s="14" t="s">
        <v>2237</v>
      </c>
      <c r="H2327" s="16">
        <v>0</v>
      </c>
      <c r="I2327" s="14" t="s">
        <v>2237</v>
      </c>
      <c r="J2327" s="16">
        <v>0</v>
      </c>
      <c r="K2327" s="14" t="s">
        <v>2237</v>
      </c>
      <c r="L2327" s="16">
        <v>0</v>
      </c>
      <c r="M2327" s="14" t="s">
        <v>2237</v>
      </c>
      <c r="N2327" s="16">
        <v>93130.32</v>
      </c>
      <c r="O2327" s="14" t="s">
        <v>2237</v>
      </c>
      <c r="P2327" s="14" t="s">
        <v>2236</v>
      </c>
      <c r="Q2327" s="17" t="s">
        <v>2242</v>
      </c>
      <c r="R2327" s="17" t="s">
        <v>2238</v>
      </c>
      <c r="S2327" s="17" t="s">
        <v>2243</v>
      </c>
      <c r="T2327" s="17" t="s">
        <v>4142</v>
      </c>
      <c r="U232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E530-30101030216-D235301</v>
      </c>
      <c r="Z232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7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32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8" spans="1:31" x14ac:dyDescent="0.3">
      <c r="A2328" s="14" t="s">
        <v>5616</v>
      </c>
      <c r="B2328" s="14" t="s">
        <v>30</v>
      </c>
      <c r="C2328" s="14" t="s">
        <v>618</v>
      </c>
      <c r="D2328" s="14" t="s">
        <v>619</v>
      </c>
      <c r="E2328" s="14" t="s">
        <v>4136</v>
      </c>
      <c r="F2328" s="16">
        <v>0</v>
      </c>
      <c r="G2328" s="14" t="s">
        <v>2237</v>
      </c>
      <c r="H2328" s="16">
        <v>0</v>
      </c>
      <c r="I2328" s="14" t="s">
        <v>2237</v>
      </c>
      <c r="J2328" s="16">
        <v>0</v>
      </c>
      <c r="K2328" s="14" t="s">
        <v>2237</v>
      </c>
      <c r="L2328" s="16">
        <v>0</v>
      </c>
      <c r="M2328" s="14" t="s">
        <v>2237</v>
      </c>
      <c r="N2328" s="16">
        <v>68405.98</v>
      </c>
      <c r="O2328" s="14" t="s">
        <v>2237</v>
      </c>
      <c r="P2328" s="14" t="s">
        <v>2236</v>
      </c>
      <c r="Q2328" s="17" t="s">
        <v>2242</v>
      </c>
      <c r="R2328" s="17" t="s">
        <v>2238</v>
      </c>
      <c r="S2328" s="17" t="s">
        <v>2243</v>
      </c>
      <c r="T2328" s="17" t="s">
        <v>4142</v>
      </c>
      <c r="U232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E530-30101030215-D235301</v>
      </c>
      <c r="Z232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8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32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29" spans="1:31" x14ac:dyDescent="0.3">
      <c r="A2329" s="14" t="s">
        <v>5617</v>
      </c>
      <c r="B2329" s="14" t="s">
        <v>30</v>
      </c>
      <c r="C2329" s="14" t="s">
        <v>620</v>
      </c>
      <c r="D2329" s="14" t="s">
        <v>621</v>
      </c>
      <c r="E2329" s="14" t="s">
        <v>4136</v>
      </c>
      <c r="F2329" s="16">
        <v>0</v>
      </c>
      <c r="G2329" s="14" t="s">
        <v>2237</v>
      </c>
      <c r="H2329" s="16">
        <v>0</v>
      </c>
      <c r="I2329" s="14" t="s">
        <v>2237</v>
      </c>
      <c r="J2329" s="16">
        <v>0</v>
      </c>
      <c r="K2329" s="14" t="s">
        <v>2237</v>
      </c>
      <c r="L2329" s="16">
        <v>0</v>
      </c>
      <c r="M2329" s="14" t="s">
        <v>2237</v>
      </c>
      <c r="N2329" s="16">
        <v>0</v>
      </c>
      <c r="O2329" s="14" t="s">
        <v>2237</v>
      </c>
      <c r="P2329" s="14" t="s">
        <v>2236</v>
      </c>
      <c r="Q2329" s="17" t="s">
        <v>2242</v>
      </c>
      <c r="R2329" s="17" t="s">
        <v>2238</v>
      </c>
      <c r="S2329" s="17" t="s">
        <v>2243</v>
      </c>
      <c r="T2329" s="17" t="s">
        <v>4142</v>
      </c>
      <c r="U232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2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2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2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2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E530-30101030214-D235301</v>
      </c>
      <c r="Z232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2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2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29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32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2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0" spans="1:31" x14ac:dyDescent="0.3">
      <c r="A2330" s="14" t="s">
        <v>5618</v>
      </c>
      <c r="B2330" s="14" t="s">
        <v>30</v>
      </c>
      <c r="C2330" s="14" t="s">
        <v>622</v>
      </c>
      <c r="D2330" s="14" t="s">
        <v>623</v>
      </c>
      <c r="E2330" s="14" t="s">
        <v>4136</v>
      </c>
      <c r="F2330" s="16">
        <v>0</v>
      </c>
      <c r="G2330" s="14" t="s">
        <v>2237</v>
      </c>
      <c r="H2330" s="16">
        <v>0</v>
      </c>
      <c r="I2330" s="14" t="s">
        <v>2237</v>
      </c>
      <c r="J2330" s="16">
        <v>0</v>
      </c>
      <c r="K2330" s="14" t="s">
        <v>2237</v>
      </c>
      <c r="L2330" s="16">
        <v>0</v>
      </c>
      <c r="M2330" s="14" t="s">
        <v>2237</v>
      </c>
      <c r="N2330" s="16">
        <v>49750</v>
      </c>
      <c r="O2330" s="14" t="s">
        <v>2237</v>
      </c>
      <c r="P2330" s="14" t="s">
        <v>2236</v>
      </c>
      <c r="Q2330" s="17" t="s">
        <v>2242</v>
      </c>
      <c r="R2330" s="17" t="s">
        <v>2238</v>
      </c>
      <c r="S2330" s="17" t="s">
        <v>2243</v>
      </c>
      <c r="T2330" s="17" t="s">
        <v>4142</v>
      </c>
      <c r="U233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E530-30101030213-D235301</v>
      </c>
      <c r="Z233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0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33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1" spans="1:31" x14ac:dyDescent="0.3">
      <c r="A2331" s="14" t="s">
        <v>5619</v>
      </c>
      <c r="B2331" s="14" t="s">
        <v>30</v>
      </c>
      <c r="C2331" s="14" t="s">
        <v>624</v>
      </c>
      <c r="D2331" s="14" t="s">
        <v>625</v>
      </c>
      <c r="E2331" s="14" t="s">
        <v>4136</v>
      </c>
      <c r="F2331" s="16">
        <v>0</v>
      </c>
      <c r="G2331" s="14" t="s">
        <v>2237</v>
      </c>
      <c r="H2331" s="16">
        <v>0</v>
      </c>
      <c r="I2331" s="14" t="s">
        <v>2237</v>
      </c>
      <c r="J2331" s="16">
        <v>0</v>
      </c>
      <c r="K2331" s="14" t="s">
        <v>2237</v>
      </c>
      <c r="L2331" s="16">
        <v>0</v>
      </c>
      <c r="M2331" s="14" t="s">
        <v>2237</v>
      </c>
      <c r="N2331" s="16">
        <v>0</v>
      </c>
      <c r="O2331" s="14" t="s">
        <v>2237</v>
      </c>
      <c r="P2331" s="14" t="s">
        <v>2236</v>
      </c>
      <c r="Q2331" s="17" t="s">
        <v>2242</v>
      </c>
      <c r="R2331" s="17" t="s">
        <v>2238</v>
      </c>
      <c r="S2331" s="17" t="s">
        <v>2243</v>
      </c>
      <c r="T2331" s="17" t="s">
        <v>4142</v>
      </c>
      <c r="U233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E530-30101030247-D235301</v>
      </c>
      <c r="Z233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1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33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2" spans="1:31" x14ac:dyDescent="0.3">
      <c r="A2332" s="14" t="s">
        <v>5620</v>
      </c>
      <c r="B2332" s="14" t="s">
        <v>30</v>
      </c>
      <c r="C2332" s="14" t="s">
        <v>626</v>
      </c>
      <c r="D2332" s="14" t="s">
        <v>627</v>
      </c>
      <c r="E2332" s="14" t="s">
        <v>4136</v>
      </c>
      <c r="F2332" s="16">
        <v>0</v>
      </c>
      <c r="G2332" s="14" t="s">
        <v>2237</v>
      </c>
      <c r="H2332" s="16">
        <v>0</v>
      </c>
      <c r="I2332" s="14" t="s">
        <v>2237</v>
      </c>
      <c r="J2332" s="16">
        <v>0</v>
      </c>
      <c r="K2332" s="14" t="s">
        <v>2237</v>
      </c>
      <c r="L2332" s="16">
        <v>0</v>
      </c>
      <c r="M2332" s="14" t="s">
        <v>2237</v>
      </c>
      <c r="N2332" s="16">
        <v>531994.68999999994</v>
      </c>
      <c r="O2332" s="14" t="s">
        <v>2237</v>
      </c>
      <c r="P2332" s="14" t="s">
        <v>2236</v>
      </c>
      <c r="Q2332" s="17" t="s">
        <v>2242</v>
      </c>
      <c r="R2332" s="17" t="s">
        <v>2238</v>
      </c>
      <c r="S2332" s="17" t="s">
        <v>2243</v>
      </c>
      <c r="T2332" s="17" t="s">
        <v>4142</v>
      </c>
      <c r="U233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E530-30101030212-D235301</v>
      </c>
      <c r="Z233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2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33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3" spans="1:31" x14ac:dyDescent="0.3">
      <c r="A2333" s="14" t="s">
        <v>5621</v>
      </c>
      <c r="B2333" s="14" t="s">
        <v>30</v>
      </c>
      <c r="C2333" s="14" t="s">
        <v>628</v>
      </c>
      <c r="D2333" s="14" t="s">
        <v>629</v>
      </c>
      <c r="E2333" s="14" t="s">
        <v>4136</v>
      </c>
      <c r="F2333" s="16">
        <v>0</v>
      </c>
      <c r="G2333" s="14" t="s">
        <v>2237</v>
      </c>
      <c r="H2333" s="16">
        <v>0</v>
      </c>
      <c r="I2333" s="14" t="s">
        <v>2237</v>
      </c>
      <c r="J2333" s="16">
        <v>0</v>
      </c>
      <c r="K2333" s="14" t="s">
        <v>2237</v>
      </c>
      <c r="L2333" s="16">
        <v>0</v>
      </c>
      <c r="M2333" s="14" t="s">
        <v>2237</v>
      </c>
      <c r="N2333" s="16">
        <v>66983.460000000006</v>
      </c>
      <c r="O2333" s="14" t="s">
        <v>2237</v>
      </c>
      <c r="P2333" s="14" t="s">
        <v>2236</v>
      </c>
      <c r="Q2333" s="17" t="s">
        <v>2242</v>
      </c>
      <c r="R2333" s="17" t="s">
        <v>2238</v>
      </c>
      <c r="S2333" s="17" t="s">
        <v>2243</v>
      </c>
      <c r="T2333" s="17" t="s">
        <v>4142</v>
      </c>
      <c r="U233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E530-30101030211-D235301</v>
      </c>
      <c r="Z233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3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33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4" spans="1:31" x14ac:dyDescent="0.3">
      <c r="A2334" s="14" t="s">
        <v>5622</v>
      </c>
      <c r="B2334" s="14" t="s">
        <v>30</v>
      </c>
      <c r="C2334" s="14" t="s">
        <v>630</v>
      </c>
      <c r="D2334" s="14" t="s">
        <v>631</v>
      </c>
      <c r="E2334" s="14" t="s">
        <v>4136</v>
      </c>
      <c r="F2334" s="16">
        <v>0</v>
      </c>
      <c r="G2334" s="14" t="s">
        <v>2237</v>
      </c>
      <c r="H2334" s="16">
        <v>0</v>
      </c>
      <c r="I2334" s="14" t="s">
        <v>2237</v>
      </c>
      <c r="J2334" s="16">
        <v>0</v>
      </c>
      <c r="K2334" s="14" t="s">
        <v>2237</v>
      </c>
      <c r="L2334" s="16">
        <v>0</v>
      </c>
      <c r="M2334" s="14" t="s">
        <v>2237</v>
      </c>
      <c r="N2334" s="16">
        <v>270682.53999999998</v>
      </c>
      <c r="O2334" s="14" t="s">
        <v>2237</v>
      </c>
      <c r="P2334" s="14" t="s">
        <v>2236</v>
      </c>
      <c r="Q2334" s="17" t="s">
        <v>2242</v>
      </c>
      <c r="R2334" s="17" t="s">
        <v>2238</v>
      </c>
      <c r="S2334" s="17" t="s">
        <v>2243</v>
      </c>
      <c r="T2334" s="17" t="s">
        <v>4142</v>
      </c>
      <c r="U233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E530-30101030210-D235301</v>
      </c>
      <c r="Z233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4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33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5" spans="1:31" x14ac:dyDescent="0.3">
      <c r="A2335" s="14" t="s">
        <v>5623</v>
      </c>
      <c r="B2335" s="14" t="s">
        <v>30</v>
      </c>
      <c r="C2335" s="14" t="s">
        <v>632</v>
      </c>
      <c r="D2335" s="14" t="s">
        <v>633</v>
      </c>
      <c r="E2335" s="14" t="s">
        <v>4136</v>
      </c>
      <c r="F2335" s="16">
        <v>0</v>
      </c>
      <c r="G2335" s="14" t="s">
        <v>2237</v>
      </c>
      <c r="H2335" s="16">
        <v>0</v>
      </c>
      <c r="I2335" s="14" t="s">
        <v>2237</v>
      </c>
      <c r="J2335" s="16">
        <v>0</v>
      </c>
      <c r="K2335" s="14" t="s">
        <v>2237</v>
      </c>
      <c r="L2335" s="16">
        <v>0</v>
      </c>
      <c r="M2335" s="14" t="s">
        <v>2237</v>
      </c>
      <c r="N2335" s="16">
        <v>475623.6</v>
      </c>
      <c r="O2335" s="14" t="s">
        <v>2237</v>
      </c>
      <c r="P2335" s="14" t="s">
        <v>2236</v>
      </c>
      <c r="Q2335" s="17" t="s">
        <v>2242</v>
      </c>
      <c r="R2335" s="17" t="s">
        <v>2238</v>
      </c>
      <c r="S2335" s="17" t="s">
        <v>2243</v>
      </c>
      <c r="T2335" s="17" t="s">
        <v>4142</v>
      </c>
      <c r="U233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E530-30101030209-D235301</v>
      </c>
      <c r="Z233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5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33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6" spans="1:31" x14ac:dyDescent="0.3">
      <c r="A2336" s="14" t="s">
        <v>5624</v>
      </c>
      <c r="B2336" s="14" t="s">
        <v>30</v>
      </c>
      <c r="C2336" s="14" t="s">
        <v>634</v>
      </c>
      <c r="D2336" s="14" t="s">
        <v>635</v>
      </c>
      <c r="E2336" s="14" t="s">
        <v>4136</v>
      </c>
      <c r="F2336" s="16">
        <v>0</v>
      </c>
      <c r="G2336" s="14" t="s">
        <v>2237</v>
      </c>
      <c r="H2336" s="16">
        <v>0</v>
      </c>
      <c r="I2336" s="14" t="s">
        <v>2237</v>
      </c>
      <c r="J2336" s="16">
        <v>0</v>
      </c>
      <c r="K2336" s="14" t="s">
        <v>2237</v>
      </c>
      <c r="L2336" s="16">
        <v>0</v>
      </c>
      <c r="M2336" s="14" t="s">
        <v>2237</v>
      </c>
      <c r="N2336" s="16">
        <v>258054</v>
      </c>
      <c r="O2336" s="14" t="s">
        <v>2237</v>
      </c>
      <c r="P2336" s="14" t="s">
        <v>2236</v>
      </c>
      <c r="Q2336" s="17" t="s">
        <v>2242</v>
      </c>
      <c r="R2336" s="17" t="s">
        <v>2238</v>
      </c>
      <c r="S2336" s="17" t="s">
        <v>2243</v>
      </c>
      <c r="T2336" s="17" t="s">
        <v>4142</v>
      </c>
      <c r="U233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E530-30101030208-D235301</v>
      </c>
      <c r="Z233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6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33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7" spans="1:31" x14ac:dyDescent="0.3">
      <c r="A2337" s="14" t="s">
        <v>5625</v>
      </c>
      <c r="B2337" s="14" t="s">
        <v>30</v>
      </c>
      <c r="C2337" s="14" t="s">
        <v>636</v>
      </c>
      <c r="D2337" s="14" t="s">
        <v>637</v>
      </c>
      <c r="E2337" s="14" t="s">
        <v>4136</v>
      </c>
      <c r="F2337" s="16">
        <v>0</v>
      </c>
      <c r="G2337" s="14" t="s">
        <v>2237</v>
      </c>
      <c r="H2337" s="16">
        <v>0</v>
      </c>
      <c r="I2337" s="14" t="s">
        <v>2237</v>
      </c>
      <c r="J2337" s="16">
        <v>0</v>
      </c>
      <c r="K2337" s="14" t="s">
        <v>2237</v>
      </c>
      <c r="L2337" s="16">
        <v>0</v>
      </c>
      <c r="M2337" s="14" t="s">
        <v>2237</v>
      </c>
      <c r="N2337" s="16">
        <v>336707.5</v>
      </c>
      <c r="O2337" s="14" t="s">
        <v>2237</v>
      </c>
      <c r="P2337" s="14" t="s">
        <v>2236</v>
      </c>
      <c r="Q2337" s="17" t="s">
        <v>2242</v>
      </c>
      <c r="R2337" s="17" t="s">
        <v>2238</v>
      </c>
      <c r="S2337" s="17" t="s">
        <v>2243</v>
      </c>
      <c r="T2337" s="17" t="s">
        <v>4142</v>
      </c>
      <c r="U233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E530-30101030207-D235301</v>
      </c>
      <c r="Z233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7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33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8" spans="1:31" x14ac:dyDescent="0.3">
      <c r="A2338" s="14" t="s">
        <v>5626</v>
      </c>
      <c r="B2338" s="14" t="s">
        <v>30</v>
      </c>
      <c r="C2338" s="14" t="s">
        <v>638</v>
      </c>
      <c r="D2338" s="14" t="s">
        <v>639</v>
      </c>
      <c r="E2338" s="14" t="s">
        <v>4136</v>
      </c>
      <c r="F2338" s="16">
        <v>0</v>
      </c>
      <c r="G2338" s="14" t="s">
        <v>2237</v>
      </c>
      <c r="H2338" s="16">
        <v>0</v>
      </c>
      <c r="I2338" s="14" t="s">
        <v>2237</v>
      </c>
      <c r="J2338" s="16">
        <v>0</v>
      </c>
      <c r="K2338" s="14" t="s">
        <v>2237</v>
      </c>
      <c r="L2338" s="16">
        <v>0</v>
      </c>
      <c r="M2338" s="14" t="s">
        <v>2237</v>
      </c>
      <c r="N2338" s="16">
        <v>783052.64</v>
      </c>
      <c r="O2338" s="14" t="s">
        <v>2237</v>
      </c>
      <c r="P2338" s="14" t="s">
        <v>2236</v>
      </c>
      <c r="Q2338" s="17" t="s">
        <v>2242</v>
      </c>
      <c r="R2338" s="17" t="s">
        <v>2238</v>
      </c>
      <c r="S2338" s="17" t="s">
        <v>2243</v>
      </c>
      <c r="T2338" s="17" t="s">
        <v>4142</v>
      </c>
      <c r="U233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E530-30101030205-D235301</v>
      </c>
      <c r="Z233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8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33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39" spans="1:31" x14ac:dyDescent="0.3">
      <c r="A2339" s="14" t="s">
        <v>5627</v>
      </c>
      <c r="B2339" s="14" t="s">
        <v>30</v>
      </c>
      <c r="C2339" s="14" t="s">
        <v>640</v>
      </c>
      <c r="D2339" s="14" t="s">
        <v>641</v>
      </c>
      <c r="E2339" s="14" t="s">
        <v>4136</v>
      </c>
      <c r="F2339" s="16">
        <v>0</v>
      </c>
      <c r="G2339" s="14" t="s">
        <v>2237</v>
      </c>
      <c r="H2339" s="16">
        <v>0</v>
      </c>
      <c r="I2339" s="14" t="s">
        <v>2237</v>
      </c>
      <c r="J2339" s="16">
        <v>0</v>
      </c>
      <c r="K2339" s="14" t="s">
        <v>2237</v>
      </c>
      <c r="L2339" s="16">
        <v>0</v>
      </c>
      <c r="M2339" s="14" t="s">
        <v>2237</v>
      </c>
      <c r="N2339" s="16">
        <v>1500</v>
      </c>
      <c r="O2339" s="14" t="s">
        <v>2237</v>
      </c>
      <c r="P2339" s="14" t="s">
        <v>2236</v>
      </c>
      <c r="Q2339" s="17" t="s">
        <v>2242</v>
      </c>
      <c r="R2339" s="17" t="s">
        <v>2238</v>
      </c>
      <c r="S2339" s="17" t="s">
        <v>2243</v>
      </c>
      <c r="T2339" s="17" t="s">
        <v>4142</v>
      </c>
      <c r="U233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3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3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3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E530-301010302-D235301</v>
      </c>
      <c r="Y233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E530-30101030204-D235301</v>
      </c>
      <c r="Z233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3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3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39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33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3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0" spans="1:31" x14ac:dyDescent="0.3">
      <c r="A2340" s="14" t="s">
        <v>5628</v>
      </c>
      <c r="B2340" s="14" t="s">
        <v>26</v>
      </c>
      <c r="C2340" s="14" t="s">
        <v>642</v>
      </c>
      <c r="D2340" s="14" t="s">
        <v>643</v>
      </c>
      <c r="E2340" s="14" t="s">
        <v>4136</v>
      </c>
      <c r="F2340" s="16">
        <v>44000</v>
      </c>
      <c r="G2340" s="14" t="s">
        <v>2237</v>
      </c>
      <c r="H2340" s="16">
        <v>44000</v>
      </c>
      <c r="I2340" s="14" t="s">
        <v>2237</v>
      </c>
      <c r="J2340" s="16">
        <v>0</v>
      </c>
      <c r="K2340" s="14" t="s">
        <v>2237</v>
      </c>
      <c r="L2340" s="16">
        <v>0</v>
      </c>
      <c r="M2340" s="14" t="s">
        <v>2237</v>
      </c>
      <c r="N2340" s="16">
        <v>21260.21</v>
      </c>
      <c r="O2340" s="14" t="s">
        <v>2237</v>
      </c>
      <c r="P2340" s="14" t="s">
        <v>2236</v>
      </c>
      <c r="Q2340" s="17" t="s">
        <v>2242</v>
      </c>
      <c r="R2340" s="17" t="s">
        <v>2238</v>
      </c>
      <c r="S2340" s="17" t="s">
        <v>2243</v>
      </c>
      <c r="T2340" s="17" t="s">
        <v>5604</v>
      </c>
      <c r="U234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E530-301010301-D235301</v>
      </c>
      <c r="Y234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4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34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4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1" spans="1:31" x14ac:dyDescent="0.3">
      <c r="A2341" s="14" t="s">
        <v>5629</v>
      </c>
      <c r="B2341" s="14" t="s">
        <v>30</v>
      </c>
      <c r="C2341" s="14" t="s">
        <v>644</v>
      </c>
      <c r="D2341" s="14" t="s">
        <v>645</v>
      </c>
      <c r="E2341" s="14" t="s">
        <v>4136</v>
      </c>
      <c r="F2341" s="16">
        <v>0</v>
      </c>
      <c r="G2341" s="14" t="s">
        <v>2237</v>
      </c>
      <c r="H2341" s="16">
        <v>0</v>
      </c>
      <c r="I2341" s="14" t="s">
        <v>2237</v>
      </c>
      <c r="J2341" s="16">
        <v>0</v>
      </c>
      <c r="K2341" s="14" t="s">
        <v>2237</v>
      </c>
      <c r="L2341" s="16">
        <v>0</v>
      </c>
      <c r="M2341" s="14" t="s">
        <v>2237</v>
      </c>
      <c r="N2341" s="16">
        <v>21260.21</v>
      </c>
      <c r="O2341" s="14" t="s">
        <v>2237</v>
      </c>
      <c r="P2341" s="14" t="s">
        <v>2236</v>
      </c>
      <c r="Q2341" s="17" t="s">
        <v>2242</v>
      </c>
      <c r="R2341" s="17" t="s">
        <v>2238</v>
      </c>
      <c r="S2341" s="17" t="s">
        <v>2243</v>
      </c>
      <c r="T2341" s="17" t="s">
        <v>4142</v>
      </c>
      <c r="U234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E530-301010301-D235301</v>
      </c>
      <c r="Y234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E530-30101030160-D235301</v>
      </c>
      <c r="Z234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341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34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2" spans="1:31" x14ac:dyDescent="0.3">
      <c r="A2342" s="14" t="s">
        <v>5630</v>
      </c>
      <c r="B2342" s="14" t="s">
        <v>26</v>
      </c>
      <c r="C2342" s="14" t="s">
        <v>646</v>
      </c>
      <c r="D2342" s="14" t="s">
        <v>647</v>
      </c>
      <c r="E2342" s="14" t="s">
        <v>4136</v>
      </c>
      <c r="F2342" s="16">
        <v>1290871.57</v>
      </c>
      <c r="G2342" s="14" t="s">
        <v>2237</v>
      </c>
      <c r="H2342" s="16">
        <v>1290871.57</v>
      </c>
      <c r="I2342" s="14" t="s">
        <v>2237</v>
      </c>
      <c r="J2342" s="16">
        <v>0</v>
      </c>
      <c r="K2342" s="14" t="s">
        <v>2237</v>
      </c>
      <c r="L2342" s="16">
        <v>0</v>
      </c>
      <c r="M2342" s="14" t="s">
        <v>2237</v>
      </c>
      <c r="N2342" s="16">
        <v>1283145.3</v>
      </c>
      <c r="O2342" s="14" t="s">
        <v>2237</v>
      </c>
      <c r="P2342" s="14" t="s">
        <v>2236</v>
      </c>
      <c r="Q2342" s="17" t="s">
        <v>2242</v>
      </c>
      <c r="R2342" s="17" t="s">
        <v>2238</v>
      </c>
      <c r="S2342" s="17" t="s">
        <v>2243</v>
      </c>
      <c r="T2342" s="17" t="s">
        <v>4138</v>
      </c>
      <c r="U234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E530-301010361-D235301</v>
      </c>
      <c r="Y234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4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4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4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3" spans="1:31" x14ac:dyDescent="0.3">
      <c r="A2343" s="14" t="s">
        <v>5631</v>
      </c>
      <c r="B2343" s="14" t="s">
        <v>30</v>
      </c>
      <c r="C2343" s="14" t="s">
        <v>648</v>
      </c>
      <c r="D2343" s="14" t="s">
        <v>649</v>
      </c>
      <c r="E2343" s="14" t="s">
        <v>4136</v>
      </c>
      <c r="F2343" s="16">
        <v>0</v>
      </c>
      <c r="G2343" s="14" t="s">
        <v>2237</v>
      </c>
      <c r="H2343" s="16">
        <v>0</v>
      </c>
      <c r="I2343" s="14" t="s">
        <v>2237</v>
      </c>
      <c r="J2343" s="16">
        <v>0</v>
      </c>
      <c r="K2343" s="14" t="s">
        <v>2237</v>
      </c>
      <c r="L2343" s="16">
        <v>0</v>
      </c>
      <c r="M2343" s="14" t="s">
        <v>2237</v>
      </c>
      <c r="N2343" s="16">
        <v>0</v>
      </c>
      <c r="O2343" s="14" t="s">
        <v>2237</v>
      </c>
      <c r="P2343" s="14" t="s">
        <v>2236</v>
      </c>
      <c r="Q2343" s="17" t="s">
        <v>2242</v>
      </c>
      <c r="R2343" s="17" t="s">
        <v>2238</v>
      </c>
      <c r="S2343" s="17" t="s">
        <v>2243</v>
      </c>
      <c r="T2343" s="17" t="s">
        <v>4142</v>
      </c>
      <c r="U234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E530-301010361-D235301</v>
      </c>
      <c r="Y234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E530-30101036162-D235301</v>
      </c>
      <c r="Z234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43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34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4" spans="1:31" x14ac:dyDescent="0.3">
      <c r="A2344" s="14" t="s">
        <v>5632</v>
      </c>
      <c r="B2344" s="14" t="s">
        <v>30</v>
      </c>
      <c r="C2344" s="14" t="s">
        <v>650</v>
      </c>
      <c r="D2344" s="14" t="s">
        <v>651</v>
      </c>
      <c r="E2344" s="14" t="s">
        <v>4136</v>
      </c>
      <c r="F2344" s="16">
        <v>0</v>
      </c>
      <c r="G2344" s="14" t="s">
        <v>2237</v>
      </c>
      <c r="H2344" s="16">
        <v>0</v>
      </c>
      <c r="I2344" s="14" t="s">
        <v>2237</v>
      </c>
      <c r="J2344" s="16">
        <v>0</v>
      </c>
      <c r="K2344" s="14" t="s">
        <v>2237</v>
      </c>
      <c r="L2344" s="16">
        <v>0</v>
      </c>
      <c r="M2344" s="14" t="s">
        <v>2237</v>
      </c>
      <c r="N2344" s="16">
        <v>0</v>
      </c>
      <c r="O2344" s="14" t="s">
        <v>2237</v>
      </c>
      <c r="P2344" s="14" t="s">
        <v>2236</v>
      </c>
      <c r="Q2344" s="17" t="s">
        <v>2242</v>
      </c>
      <c r="R2344" s="17" t="s">
        <v>2238</v>
      </c>
      <c r="S2344" s="17" t="s">
        <v>2243</v>
      </c>
      <c r="T2344" s="17" t="s">
        <v>4142</v>
      </c>
      <c r="U234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E530-301010361-D235301</v>
      </c>
      <c r="Y234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E530-30101036193-D235301</v>
      </c>
      <c r="Z234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44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34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5" spans="1:31" x14ac:dyDescent="0.3">
      <c r="A2345" s="14" t="s">
        <v>5633</v>
      </c>
      <c r="B2345" s="14" t="s">
        <v>30</v>
      </c>
      <c r="C2345" s="14" t="s">
        <v>652</v>
      </c>
      <c r="D2345" s="14" t="s">
        <v>653</v>
      </c>
      <c r="E2345" s="14" t="s">
        <v>4136</v>
      </c>
      <c r="F2345" s="16">
        <v>0</v>
      </c>
      <c r="G2345" s="14" t="s">
        <v>2237</v>
      </c>
      <c r="H2345" s="16">
        <v>0</v>
      </c>
      <c r="I2345" s="14" t="s">
        <v>2237</v>
      </c>
      <c r="J2345" s="16">
        <v>0</v>
      </c>
      <c r="K2345" s="14" t="s">
        <v>2237</v>
      </c>
      <c r="L2345" s="16">
        <v>0</v>
      </c>
      <c r="M2345" s="14" t="s">
        <v>2237</v>
      </c>
      <c r="N2345" s="16">
        <v>312598.37</v>
      </c>
      <c r="O2345" s="14" t="s">
        <v>2237</v>
      </c>
      <c r="P2345" s="14" t="s">
        <v>2236</v>
      </c>
      <c r="Q2345" s="17" t="s">
        <v>2242</v>
      </c>
      <c r="R2345" s="17" t="s">
        <v>2238</v>
      </c>
      <c r="S2345" s="17" t="s">
        <v>2243</v>
      </c>
      <c r="T2345" s="17" t="s">
        <v>4142</v>
      </c>
      <c r="U234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E530-301010361-D235301</v>
      </c>
      <c r="Y234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E530-30101036118-D235301</v>
      </c>
      <c r="Z234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45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34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6" spans="1:31" x14ac:dyDescent="0.3">
      <c r="A2346" s="14" t="s">
        <v>5634</v>
      </c>
      <c r="B2346" s="14" t="s">
        <v>30</v>
      </c>
      <c r="C2346" s="14" t="s">
        <v>654</v>
      </c>
      <c r="D2346" s="14" t="s">
        <v>655</v>
      </c>
      <c r="E2346" s="14" t="s">
        <v>4136</v>
      </c>
      <c r="F2346" s="16">
        <v>0</v>
      </c>
      <c r="G2346" s="14" t="s">
        <v>2237</v>
      </c>
      <c r="H2346" s="16">
        <v>0</v>
      </c>
      <c r="I2346" s="14" t="s">
        <v>2237</v>
      </c>
      <c r="J2346" s="16">
        <v>0</v>
      </c>
      <c r="K2346" s="14" t="s">
        <v>2237</v>
      </c>
      <c r="L2346" s="16">
        <v>0</v>
      </c>
      <c r="M2346" s="14" t="s">
        <v>2237</v>
      </c>
      <c r="N2346" s="16">
        <v>81369.119999999995</v>
      </c>
      <c r="O2346" s="14" t="s">
        <v>2237</v>
      </c>
      <c r="P2346" s="14" t="s">
        <v>2236</v>
      </c>
      <c r="Q2346" s="17" t="s">
        <v>2242</v>
      </c>
      <c r="R2346" s="17" t="s">
        <v>2238</v>
      </c>
      <c r="S2346" s="17" t="s">
        <v>2243</v>
      </c>
      <c r="T2346" s="17" t="s">
        <v>4142</v>
      </c>
      <c r="U234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E530-301010361-D235301</v>
      </c>
      <c r="Y234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E530-30101036102-D235301</v>
      </c>
      <c r="Z234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46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34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7" spans="1:31" x14ac:dyDescent="0.3">
      <c r="A2347" s="14" t="s">
        <v>5635</v>
      </c>
      <c r="B2347" s="14" t="s">
        <v>30</v>
      </c>
      <c r="C2347" s="14" t="s">
        <v>656</v>
      </c>
      <c r="D2347" s="14" t="s">
        <v>657</v>
      </c>
      <c r="E2347" s="14" t="s">
        <v>4136</v>
      </c>
      <c r="F2347" s="16">
        <v>0</v>
      </c>
      <c r="G2347" s="14" t="s">
        <v>2237</v>
      </c>
      <c r="H2347" s="16">
        <v>0</v>
      </c>
      <c r="I2347" s="14" t="s">
        <v>2237</v>
      </c>
      <c r="J2347" s="16">
        <v>0</v>
      </c>
      <c r="K2347" s="14" t="s">
        <v>2237</v>
      </c>
      <c r="L2347" s="16">
        <v>0</v>
      </c>
      <c r="M2347" s="14" t="s">
        <v>2237</v>
      </c>
      <c r="N2347" s="16">
        <v>889177.81</v>
      </c>
      <c r="O2347" s="14" t="s">
        <v>2237</v>
      </c>
      <c r="P2347" s="14" t="s">
        <v>2236</v>
      </c>
      <c r="Q2347" s="17" t="s">
        <v>2242</v>
      </c>
      <c r="R2347" s="17" t="s">
        <v>2238</v>
      </c>
      <c r="S2347" s="17" t="s">
        <v>2243</v>
      </c>
      <c r="T2347" s="17" t="s">
        <v>4142</v>
      </c>
      <c r="U234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E530-3010103-D235301</v>
      </c>
      <c r="X234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E530-301010361-D235301</v>
      </c>
      <c r="Y234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E530-30101036101-D235301</v>
      </c>
      <c r="Z234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47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34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3</v>
      </c>
      <c r="AE234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8" spans="1:31" x14ac:dyDescent="0.3">
      <c r="A2348" s="14" t="s">
        <v>5636</v>
      </c>
      <c r="B2348" s="14" t="s">
        <v>21</v>
      </c>
      <c r="C2348" s="14" t="s">
        <v>658</v>
      </c>
      <c r="D2348" s="14" t="s">
        <v>659</v>
      </c>
      <c r="E2348" s="14" t="s">
        <v>4136</v>
      </c>
      <c r="F2348" s="16">
        <v>5427778.9900000002</v>
      </c>
      <c r="G2348" s="14" t="s">
        <v>2237</v>
      </c>
      <c r="H2348" s="16">
        <v>5427778.9900000002</v>
      </c>
      <c r="I2348" s="14" t="s">
        <v>2237</v>
      </c>
      <c r="J2348" s="16">
        <v>0</v>
      </c>
      <c r="K2348" s="14" t="s">
        <v>2237</v>
      </c>
      <c r="L2348" s="16">
        <v>0</v>
      </c>
      <c r="M2348" s="14" t="s">
        <v>2237</v>
      </c>
      <c r="N2348" s="16">
        <v>5189554.63</v>
      </c>
      <c r="O2348" s="14" t="s">
        <v>2237</v>
      </c>
      <c r="P2348" s="14" t="s">
        <v>2236</v>
      </c>
      <c r="Q2348" s="17" t="s">
        <v>2242</v>
      </c>
      <c r="R2348" s="17" t="s">
        <v>2238</v>
      </c>
      <c r="S2348" s="17" t="s">
        <v>2243</v>
      </c>
      <c r="T2348" s="17" t="s">
        <v>4137</v>
      </c>
      <c r="U234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48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348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4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8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348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4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4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49" spans="1:31" x14ac:dyDescent="0.3">
      <c r="A2349" s="14" t="s">
        <v>5637</v>
      </c>
      <c r="B2349" s="14" t="s">
        <v>26</v>
      </c>
      <c r="C2349" s="14" t="s">
        <v>660</v>
      </c>
      <c r="D2349" s="14" t="s">
        <v>661</v>
      </c>
      <c r="E2349" s="14" t="s">
        <v>4136</v>
      </c>
      <c r="F2349" s="16">
        <v>3860986.73</v>
      </c>
      <c r="G2349" s="14" t="s">
        <v>2237</v>
      </c>
      <c r="H2349" s="16">
        <v>3860986.73</v>
      </c>
      <c r="I2349" s="14" t="s">
        <v>2237</v>
      </c>
      <c r="J2349" s="16">
        <v>0</v>
      </c>
      <c r="K2349" s="14" t="s">
        <v>2237</v>
      </c>
      <c r="L2349" s="16">
        <v>0</v>
      </c>
      <c r="M2349" s="14" t="s">
        <v>2237</v>
      </c>
      <c r="N2349" s="16">
        <v>3832106.67</v>
      </c>
      <c r="O2349" s="14" t="s">
        <v>2237</v>
      </c>
      <c r="P2349" s="14" t="s">
        <v>2236</v>
      </c>
      <c r="Q2349" s="17" t="s">
        <v>2242</v>
      </c>
      <c r="R2349" s="17" t="s">
        <v>2238</v>
      </c>
      <c r="S2349" s="17" t="s">
        <v>2243</v>
      </c>
      <c r="T2349" s="17" t="s">
        <v>4141</v>
      </c>
      <c r="U234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4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4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4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4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4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4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4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4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4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4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0" spans="1:31" x14ac:dyDescent="0.3">
      <c r="A2350" s="14" t="s">
        <v>5638</v>
      </c>
      <c r="B2350" s="14" t="s">
        <v>30</v>
      </c>
      <c r="C2350" s="14" t="s">
        <v>5639</v>
      </c>
      <c r="D2350" s="14" t="s">
        <v>663</v>
      </c>
      <c r="E2350" s="14" t="s">
        <v>4136</v>
      </c>
      <c r="F2350" s="16">
        <v>0</v>
      </c>
      <c r="G2350" s="14" t="s">
        <v>2237</v>
      </c>
      <c r="H2350" s="16">
        <v>0</v>
      </c>
      <c r="I2350" s="14" t="s">
        <v>2237</v>
      </c>
      <c r="J2350" s="16">
        <v>0</v>
      </c>
      <c r="K2350" s="14" t="s">
        <v>2237</v>
      </c>
      <c r="L2350" s="16">
        <v>0</v>
      </c>
      <c r="M2350" s="14" t="s">
        <v>2237</v>
      </c>
      <c r="N2350" s="16">
        <v>10541.25</v>
      </c>
      <c r="O2350" s="14" t="s">
        <v>2237</v>
      </c>
      <c r="P2350" s="14" t="s">
        <v>2236</v>
      </c>
      <c r="Q2350" s="17" t="s">
        <v>2242</v>
      </c>
      <c r="R2350" s="17" t="s">
        <v>2238</v>
      </c>
      <c r="S2350" s="17" t="s">
        <v>2243</v>
      </c>
      <c r="T2350" s="17" t="s">
        <v>4142</v>
      </c>
      <c r="U235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E530-30101020224-D235301</v>
      </c>
      <c r="Z235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0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35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1" spans="1:31" x14ac:dyDescent="0.3">
      <c r="A2351" s="14" t="s">
        <v>5640</v>
      </c>
      <c r="B2351" s="14" t="s">
        <v>30</v>
      </c>
      <c r="C2351" s="14" t="s">
        <v>664</v>
      </c>
      <c r="D2351" s="14" t="s">
        <v>665</v>
      </c>
      <c r="E2351" s="14" t="s">
        <v>4136</v>
      </c>
      <c r="F2351" s="16">
        <v>0</v>
      </c>
      <c r="G2351" s="14" t="s">
        <v>2237</v>
      </c>
      <c r="H2351" s="16">
        <v>0</v>
      </c>
      <c r="I2351" s="14" t="s">
        <v>2237</v>
      </c>
      <c r="J2351" s="16">
        <v>0</v>
      </c>
      <c r="K2351" s="14" t="s">
        <v>2237</v>
      </c>
      <c r="L2351" s="16">
        <v>0</v>
      </c>
      <c r="M2351" s="14" t="s">
        <v>2237</v>
      </c>
      <c r="N2351" s="16">
        <v>45923.6</v>
      </c>
      <c r="O2351" s="14" t="s">
        <v>2237</v>
      </c>
      <c r="P2351" s="14" t="s">
        <v>2236</v>
      </c>
      <c r="Q2351" s="17" t="s">
        <v>2242</v>
      </c>
      <c r="R2351" s="17" t="s">
        <v>2238</v>
      </c>
      <c r="S2351" s="17" t="s">
        <v>2243</v>
      </c>
      <c r="T2351" s="17" t="s">
        <v>4142</v>
      </c>
      <c r="U235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E530-30101020298-D235301</v>
      </c>
      <c r="Z235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1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35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2" spans="1:31" x14ac:dyDescent="0.3">
      <c r="A2352" s="14" t="s">
        <v>5641</v>
      </c>
      <c r="B2352" s="14" t="s">
        <v>30</v>
      </c>
      <c r="C2352" s="14" t="s">
        <v>666</v>
      </c>
      <c r="D2352" s="14" t="s">
        <v>667</v>
      </c>
      <c r="E2352" s="14" t="s">
        <v>4136</v>
      </c>
      <c r="F2352" s="16">
        <v>0</v>
      </c>
      <c r="G2352" s="14" t="s">
        <v>2237</v>
      </c>
      <c r="H2352" s="16">
        <v>0</v>
      </c>
      <c r="I2352" s="14" t="s">
        <v>2237</v>
      </c>
      <c r="J2352" s="16">
        <v>0</v>
      </c>
      <c r="K2352" s="14" t="s">
        <v>2237</v>
      </c>
      <c r="L2352" s="16">
        <v>0</v>
      </c>
      <c r="M2352" s="14" t="s">
        <v>2237</v>
      </c>
      <c r="N2352" s="16">
        <v>16524.2</v>
      </c>
      <c r="O2352" s="14" t="s">
        <v>2237</v>
      </c>
      <c r="P2352" s="14" t="s">
        <v>2236</v>
      </c>
      <c r="Q2352" s="17" t="s">
        <v>2242</v>
      </c>
      <c r="R2352" s="17" t="s">
        <v>2238</v>
      </c>
      <c r="S2352" s="17" t="s">
        <v>2243</v>
      </c>
      <c r="T2352" s="17" t="s">
        <v>4142</v>
      </c>
      <c r="U235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E530-30101020297-D235301</v>
      </c>
      <c r="Z235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2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35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3" spans="1:31" x14ac:dyDescent="0.3">
      <c r="A2353" s="14" t="s">
        <v>5642</v>
      </c>
      <c r="B2353" s="14" t="s">
        <v>30</v>
      </c>
      <c r="C2353" s="14" t="s">
        <v>668</v>
      </c>
      <c r="D2353" s="14" t="s">
        <v>669</v>
      </c>
      <c r="E2353" s="14" t="s">
        <v>4136</v>
      </c>
      <c r="F2353" s="16">
        <v>0</v>
      </c>
      <c r="G2353" s="14" t="s">
        <v>2237</v>
      </c>
      <c r="H2353" s="16">
        <v>0</v>
      </c>
      <c r="I2353" s="14" t="s">
        <v>2237</v>
      </c>
      <c r="J2353" s="16">
        <v>0</v>
      </c>
      <c r="K2353" s="14" t="s">
        <v>2237</v>
      </c>
      <c r="L2353" s="16">
        <v>0</v>
      </c>
      <c r="M2353" s="14" t="s">
        <v>2237</v>
      </c>
      <c r="N2353" s="16">
        <v>0</v>
      </c>
      <c r="O2353" s="14" t="s">
        <v>2237</v>
      </c>
      <c r="P2353" s="14" t="s">
        <v>2236</v>
      </c>
      <c r="Q2353" s="17" t="s">
        <v>2242</v>
      </c>
      <c r="R2353" s="17" t="s">
        <v>2238</v>
      </c>
      <c r="S2353" s="17" t="s">
        <v>2243</v>
      </c>
      <c r="T2353" s="17" t="s">
        <v>4142</v>
      </c>
      <c r="U235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E530-30101020296-D235301</v>
      </c>
      <c r="Z235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3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35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4" spans="1:31" x14ac:dyDescent="0.3">
      <c r="A2354" s="14" t="s">
        <v>5643</v>
      </c>
      <c r="B2354" s="14" t="s">
        <v>30</v>
      </c>
      <c r="C2354" s="14" t="s">
        <v>670</v>
      </c>
      <c r="D2354" s="14" t="s">
        <v>671</v>
      </c>
      <c r="E2354" s="14" t="s">
        <v>4136</v>
      </c>
      <c r="F2354" s="16">
        <v>0</v>
      </c>
      <c r="G2354" s="14" t="s">
        <v>2237</v>
      </c>
      <c r="H2354" s="16">
        <v>0</v>
      </c>
      <c r="I2354" s="14" t="s">
        <v>2237</v>
      </c>
      <c r="J2354" s="16">
        <v>0</v>
      </c>
      <c r="K2354" s="14" t="s">
        <v>2237</v>
      </c>
      <c r="L2354" s="16">
        <v>0</v>
      </c>
      <c r="M2354" s="14" t="s">
        <v>2237</v>
      </c>
      <c r="N2354" s="16">
        <v>0</v>
      </c>
      <c r="O2354" s="14" t="s">
        <v>2237</v>
      </c>
      <c r="P2354" s="14" t="s">
        <v>2236</v>
      </c>
      <c r="Q2354" s="17" t="s">
        <v>2242</v>
      </c>
      <c r="R2354" s="17" t="s">
        <v>2238</v>
      </c>
      <c r="S2354" s="17" t="s">
        <v>2243</v>
      </c>
      <c r="T2354" s="17" t="s">
        <v>4142</v>
      </c>
      <c r="U235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E530-30101020295-D235301</v>
      </c>
      <c r="Z235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4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35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5" spans="1:31" x14ac:dyDescent="0.3">
      <c r="A2355" s="14" t="s">
        <v>5644</v>
      </c>
      <c r="B2355" s="14" t="s">
        <v>30</v>
      </c>
      <c r="C2355" s="14" t="s">
        <v>672</v>
      </c>
      <c r="D2355" s="14" t="s">
        <v>673</v>
      </c>
      <c r="E2355" s="14" t="s">
        <v>4136</v>
      </c>
      <c r="F2355" s="16">
        <v>0</v>
      </c>
      <c r="G2355" s="14" t="s">
        <v>2237</v>
      </c>
      <c r="H2355" s="16">
        <v>0</v>
      </c>
      <c r="I2355" s="14" t="s">
        <v>2237</v>
      </c>
      <c r="J2355" s="16">
        <v>0</v>
      </c>
      <c r="K2355" s="14" t="s">
        <v>2237</v>
      </c>
      <c r="L2355" s="16">
        <v>0</v>
      </c>
      <c r="M2355" s="14" t="s">
        <v>2237</v>
      </c>
      <c r="N2355" s="16">
        <v>40556.83</v>
      </c>
      <c r="O2355" s="14" t="s">
        <v>2237</v>
      </c>
      <c r="P2355" s="14" t="s">
        <v>2236</v>
      </c>
      <c r="Q2355" s="17" t="s">
        <v>2242</v>
      </c>
      <c r="R2355" s="17" t="s">
        <v>2238</v>
      </c>
      <c r="S2355" s="17" t="s">
        <v>2243</v>
      </c>
      <c r="T2355" s="17" t="s">
        <v>4142</v>
      </c>
      <c r="U235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E530-30101020294-D235301</v>
      </c>
      <c r="Z235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5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35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6" spans="1:31" x14ac:dyDescent="0.3">
      <c r="A2356" s="14" t="s">
        <v>5645</v>
      </c>
      <c r="B2356" s="14" t="s">
        <v>30</v>
      </c>
      <c r="C2356" s="14" t="s">
        <v>5646</v>
      </c>
      <c r="D2356" s="14" t="s">
        <v>675</v>
      </c>
      <c r="E2356" s="14" t="s">
        <v>4136</v>
      </c>
      <c r="F2356" s="16">
        <v>0</v>
      </c>
      <c r="G2356" s="14" t="s">
        <v>2237</v>
      </c>
      <c r="H2356" s="16">
        <v>0</v>
      </c>
      <c r="I2356" s="14" t="s">
        <v>2237</v>
      </c>
      <c r="J2356" s="16">
        <v>0</v>
      </c>
      <c r="K2356" s="14" t="s">
        <v>2237</v>
      </c>
      <c r="L2356" s="16">
        <v>0</v>
      </c>
      <c r="M2356" s="14" t="s">
        <v>2237</v>
      </c>
      <c r="N2356" s="16">
        <v>12486.36</v>
      </c>
      <c r="O2356" s="14" t="s">
        <v>2237</v>
      </c>
      <c r="P2356" s="14" t="s">
        <v>2236</v>
      </c>
      <c r="Q2356" s="17" t="s">
        <v>2242</v>
      </c>
      <c r="R2356" s="17" t="s">
        <v>2238</v>
      </c>
      <c r="S2356" s="17" t="s">
        <v>2243</v>
      </c>
      <c r="T2356" s="17" t="s">
        <v>4142</v>
      </c>
      <c r="U235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E530-30101020220-D235301</v>
      </c>
      <c r="Z235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6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35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7" spans="1:31" x14ac:dyDescent="0.3">
      <c r="A2357" s="14" t="s">
        <v>5647</v>
      </c>
      <c r="B2357" s="14" t="s">
        <v>30</v>
      </c>
      <c r="C2357" s="14" t="s">
        <v>676</v>
      </c>
      <c r="D2357" s="14" t="s">
        <v>677</v>
      </c>
      <c r="E2357" s="14" t="s">
        <v>4136</v>
      </c>
      <c r="F2357" s="16">
        <v>0</v>
      </c>
      <c r="G2357" s="14" t="s">
        <v>2237</v>
      </c>
      <c r="H2357" s="16">
        <v>0</v>
      </c>
      <c r="I2357" s="14" t="s">
        <v>2237</v>
      </c>
      <c r="J2357" s="16">
        <v>0</v>
      </c>
      <c r="K2357" s="14" t="s">
        <v>2237</v>
      </c>
      <c r="L2357" s="16">
        <v>0</v>
      </c>
      <c r="M2357" s="14" t="s">
        <v>2237</v>
      </c>
      <c r="N2357" s="16">
        <v>18849.939999999999</v>
      </c>
      <c r="O2357" s="14" t="s">
        <v>2237</v>
      </c>
      <c r="P2357" s="14" t="s">
        <v>2236</v>
      </c>
      <c r="Q2357" s="17" t="s">
        <v>2242</v>
      </c>
      <c r="R2357" s="17" t="s">
        <v>2238</v>
      </c>
      <c r="S2357" s="17" t="s">
        <v>2243</v>
      </c>
      <c r="T2357" s="17" t="s">
        <v>4142</v>
      </c>
      <c r="U235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E530-30101020217-D235301</v>
      </c>
      <c r="Z235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7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35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8" spans="1:31" x14ac:dyDescent="0.3">
      <c r="A2358" s="14" t="s">
        <v>5648</v>
      </c>
      <c r="B2358" s="14" t="s">
        <v>30</v>
      </c>
      <c r="C2358" s="14" t="s">
        <v>678</v>
      </c>
      <c r="D2358" s="14" t="s">
        <v>679</v>
      </c>
      <c r="E2358" s="14" t="s">
        <v>4136</v>
      </c>
      <c r="F2358" s="16">
        <v>0</v>
      </c>
      <c r="G2358" s="14" t="s">
        <v>2237</v>
      </c>
      <c r="H2358" s="16">
        <v>0</v>
      </c>
      <c r="I2358" s="14" t="s">
        <v>2237</v>
      </c>
      <c r="J2358" s="16">
        <v>0</v>
      </c>
      <c r="K2358" s="14" t="s">
        <v>2237</v>
      </c>
      <c r="L2358" s="16">
        <v>0</v>
      </c>
      <c r="M2358" s="14" t="s">
        <v>2237</v>
      </c>
      <c r="N2358" s="16">
        <v>38209.46</v>
      </c>
      <c r="O2358" s="14" t="s">
        <v>2237</v>
      </c>
      <c r="P2358" s="14" t="s">
        <v>2236</v>
      </c>
      <c r="Q2358" s="17" t="s">
        <v>2242</v>
      </c>
      <c r="R2358" s="17" t="s">
        <v>2238</v>
      </c>
      <c r="S2358" s="17" t="s">
        <v>2243</v>
      </c>
      <c r="T2358" s="17" t="s">
        <v>4142</v>
      </c>
      <c r="U235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E530-30101020216-D235301</v>
      </c>
      <c r="Z235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8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35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59" spans="1:31" x14ac:dyDescent="0.3">
      <c r="A2359" s="14" t="s">
        <v>5649</v>
      </c>
      <c r="B2359" s="14" t="s">
        <v>30</v>
      </c>
      <c r="C2359" s="14" t="s">
        <v>680</v>
      </c>
      <c r="D2359" s="14" t="s">
        <v>681</v>
      </c>
      <c r="E2359" s="14" t="s">
        <v>4136</v>
      </c>
      <c r="F2359" s="16">
        <v>0</v>
      </c>
      <c r="G2359" s="14" t="s">
        <v>2237</v>
      </c>
      <c r="H2359" s="16">
        <v>0</v>
      </c>
      <c r="I2359" s="14" t="s">
        <v>2237</v>
      </c>
      <c r="J2359" s="16">
        <v>0</v>
      </c>
      <c r="K2359" s="14" t="s">
        <v>2237</v>
      </c>
      <c r="L2359" s="16">
        <v>0</v>
      </c>
      <c r="M2359" s="14" t="s">
        <v>2237</v>
      </c>
      <c r="N2359" s="16">
        <v>100847.09</v>
      </c>
      <c r="O2359" s="14" t="s">
        <v>2237</v>
      </c>
      <c r="P2359" s="14" t="s">
        <v>2236</v>
      </c>
      <c r="Q2359" s="17" t="s">
        <v>2242</v>
      </c>
      <c r="R2359" s="17" t="s">
        <v>2238</v>
      </c>
      <c r="S2359" s="17" t="s">
        <v>2243</v>
      </c>
      <c r="T2359" s="17" t="s">
        <v>4142</v>
      </c>
      <c r="U235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5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5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5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5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E530-30101020215-D235301</v>
      </c>
      <c r="Z235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5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5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59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35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5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0" spans="1:31" x14ac:dyDescent="0.3">
      <c r="A2360" s="14" t="s">
        <v>5650</v>
      </c>
      <c r="B2360" s="14" t="s">
        <v>30</v>
      </c>
      <c r="C2360" s="14" t="s">
        <v>682</v>
      </c>
      <c r="D2360" s="14" t="s">
        <v>683</v>
      </c>
      <c r="E2360" s="14" t="s">
        <v>4136</v>
      </c>
      <c r="F2360" s="16">
        <v>0</v>
      </c>
      <c r="G2360" s="14" t="s">
        <v>2237</v>
      </c>
      <c r="H2360" s="16">
        <v>0</v>
      </c>
      <c r="I2360" s="14" t="s">
        <v>2237</v>
      </c>
      <c r="J2360" s="16">
        <v>0</v>
      </c>
      <c r="K2360" s="14" t="s">
        <v>2237</v>
      </c>
      <c r="L2360" s="16">
        <v>0</v>
      </c>
      <c r="M2360" s="14" t="s">
        <v>2237</v>
      </c>
      <c r="N2360" s="16">
        <v>249600</v>
      </c>
      <c r="O2360" s="14" t="s">
        <v>2237</v>
      </c>
      <c r="P2360" s="14" t="s">
        <v>2236</v>
      </c>
      <c r="Q2360" s="17" t="s">
        <v>2242</v>
      </c>
      <c r="R2360" s="17" t="s">
        <v>2238</v>
      </c>
      <c r="S2360" s="17" t="s">
        <v>2243</v>
      </c>
      <c r="T2360" s="17" t="s">
        <v>4142</v>
      </c>
      <c r="U236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E530-30101020214-D235301</v>
      </c>
      <c r="Z236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0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36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1" spans="1:31" x14ac:dyDescent="0.3">
      <c r="A2361" s="14" t="s">
        <v>5651</v>
      </c>
      <c r="B2361" s="14" t="s">
        <v>30</v>
      </c>
      <c r="C2361" s="14" t="s">
        <v>684</v>
      </c>
      <c r="D2361" s="14" t="s">
        <v>685</v>
      </c>
      <c r="E2361" s="14" t="s">
        <v>4136</v>
      </c>
      <c r="F2361" s="16">
        <v>0</v>
      </c>
      <c r="G2361" s="14" t="s">
        <v>2237</v>
      </c>
      <c r="H2361" s="16">
        <v>0</v>
      </c>
      <c r="I2361" s="14" t="s">
        <v>2237</v>
      </c>
      <c r="J2361" s="16">
        <v>0</v>
      </c>
      <c r="K2361" s="14" t="s">
        <v>2237</v>
      </c>
      <c r="L2361" s="16">
        <v>0</v>
      </c>
      <c r="M2361" s="14" t="s">
        <v>2237</v>
      </c>
      <c r="N2361" s="16">
        <v>70250</v>
      </c>
      <c r="O2361" s="14" t="s">
        <v>2237</v>
      </c>
      <c r="P2361" s="14" t="s">
        <v>2236</v>
      </c>
      <c r="Q2361" s="17" t="s">
        <v>2242</v>
      </c>
      <c r="R2361" s="17" t="s">
        <v>2238</v>
      </c>
      <c r="S2361" s="17" t="s">
        <v>2243</v>
      </c>
      <c r="T2361" s="17" t="s">
        <v>4142</v>
      </c>
      <c r="U236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E530-30101020213-D235301</v>
      </c>
      <c r="Z236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1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36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2" spans="1:31" x14ac:dyDescent="0.3">
      <c r="A2362" s="14" t="s">
        <v>5652</v>
      </c>
      <c r="B2362" s="14" t="s">
        <v>30</v>
      </c>
      <c r="C2362" s="14" t="s">
        <v>686</v>
      </c>
      <c r="D2362" s="14" t="s">
        <v>687</v>
      </c>
      <c r="E2362" s="14" t="s">
        <v>4136</v>
      </c>
      <c r="F2362" s="16">
        <v>0</v>
      </c>
      <c r="G2362" s="14" t="s">
        <v>2237</v>
      </c>
      <c r="H2362" s="16">
        <v>0</v>
      </c>
      <c r="I2362" s="14" t="s">
        <v>2237</v>
      </c>
      <c r="J2362" s="16">
        <v>0</v>
      </c>
      <c r="K2362" s="14" t="s">
        <v>2237</v>
      </c>
      <c r="L2362" s="16">
        <v>0</v>
      </c>
      <c r="M2362" s="14" t="s">
        <v>2237</v>
      </c>
      <c r="N2362" s="16">
        <v>0</v>
      </c>
      <c r="O2362" s="14" t="s">
        <v>2237</v>
      </c>
      <c r="P2362" s="14" t="s">
        <v>2236</v>
      </c>
      <c r="Q2362" s="17" t="s">
        <v>2242</v>
      </c>
      <c r="R2362" s="17" t="s">
        <v>2238</v>
      </c>
      <c r="S2362" s="17" t="s">
        <v>2243</v>
      </c>
      <c r="T2362" s="17" t="s">
        <v>4142</v>
      </c>
      <c r="U236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E530-30101020247-D235301</v>
      </c>
      <c r="Z236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2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36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3" spans="1:31" x14ac:dyDescent="0.3">
      <c r="A2363" s="14" t="s">
        <v>5653</v>
      </c>
      <c r="B2363" s="14" t="s">
        <v>30</v>
      </c>
      <c r="C2363" s="14" t="s">
        <v>688</v>
      </c>
      <c r="D2363" s="14" t="s">
        <v>689</v>
      </c>
      <c r="E2363" s="14" t="s">
        <v>4136</v>
      </c>
      <c r="F2363" s="16">
        <v>0</v>
      </c>
      <c r="G2363" s="14" t="s">
        <v>2237</v>
      </c>
      <c r="H2363" s="16">
        <v>0</v>
      </c>
      <c r="I2363" s="14" t="s">
        <v>2237</v>
      </c>
      <c r="J2363" s="16">
        <v>0</v>
      </c>
      <c r="K2363" s="14" t="s">
        <v>2237</v>
      </c>
      <c r="L2363" s="16">
        <v>0</v>
      </c>
      <c r="M2363" s="14" t="s">
        <v>2237</v>
      </c>
      <c r="N2363" s="16">
        <v>472474.63</v>
      </c>
      <c r="O2363" s="14" t="s">
        <v>2237</v>
      </c>
      <c r="P2363" s="14" t="s">
        <v>2236</v>
      </c>
      <c r="Q2363" s="17" t="s">
        <v>2242</v>
      </c>
      <c r="R2363" s="17" t="s">
        <v>2238</v>
      </c>
      <c r="S2363" s="17" t="s">
        <v>2243</v>
      </c>
      <c r="T2363" s="17" t="s">
        <v>4142</v>
      </c>
      <c r="U236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E530-30101020212-D235301</v>
      </c>
      <c r="Z236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3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36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4" spans="1:31" x14ac:dyDescent="0.3">
      <c r="A2364" s="14" t="s">
        <v>5654</v>
      </c>
      <c r="B2364" s="14" t="s">
        <v>30</v>
      </c>
      <c r="C2364" s="14" t="s">
        <v>690</v>
      </c>
      <c r="D2364" s="14" t="s">
        <v>691</v>
      </c>
      <c r="E2364" s="14" t="s">
        <v>4136</v>
      </c>
      <c r="F2364" s="16">
        <v>0</v>
      </c>
      <c r="G2364" s="14" t="s">
        <v>2237</v>
      </c>
      <c r="H2364" s="16">
        <v>0</v>
      </c>
      <c r="I2364" s="14" t="s">
        <v>2237</v>
      </c>
      <c r="J2364" s="16">
        <v>0</v>
      </c>
      <c r="K2364" s="14" t="s">
        <v>2237</v>
      </c>
      <c r="L2364" s="16">
        <v>0</v>
      </c>
      <c r="M2364" s="14" t="s">
        <v>2237</v>
      </c>
      <c r="N2364" s="16">
        <v>67671.8</v>
      </c>
      <c r="O2364" s="14" t="s">
        <v>2237</v>
      </c>
      <c r="P2364" s="14" t="s">
        <v>2236</v>
      </c>
      <c r="Q2364" s="17" t="s">
        <v>2242</v>
      </c>
      <c r="R2364" s="17" t="s">
        <v>2238</v>
      </c>
      <c r="S2364" s="17" t="s">
        <v>2243</v>
      </c>
      <c r="T2364" s="17" t="s">
        <v>4142</v>
      </c>
      <c r="U236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E530-30101020211-D235301</v>
      </c>
      <c r="Z236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4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36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5" spans="1:31" x14ac:dyDescent="0.3">
      <c r="A2365" s="14" t="s">
        <v>5655</v>
      </c>
      <c r="B2365" s="14" t="s">
        <v>30</v>
      </c>
      <c r="C2365" s="14" t="s">
        <v>692</v>
      </c>
      <c r="D2365" s="14" t="s">
        <v>693</v>
      </c>
      <c r="E2365" s="14" t="s">
        <v>4136</v>
      </c>
      <c r="F2365" s="16">
        <v>0</v>
      </c>
      <c r="G2365" s="14" t="s">
        <v>2237</v>
      </c>
      <c r="H2365" s="16">
        <v>0</v>
      </c>
      <c r="I2365" s="14" t="s">
        <v>2237</v>
      </c>
      <c r="J2365" s="16">
        <v>0</v>
      </c>
      <c r="K2365" s="14" t="s">
        <v>2237</v>
      </c>
      <c r="L2365" s="16">
        <v>0</v>
      </c>
      <c r="M2365" s="14" t="s">
        <v>2237</v>
      </c>
      <c r="N2365" s="16">
        <v>566232.97</v>
      </c>
      <c r="O2365" s="14" t="s">
        <v>2237</v>
      </c>
      <c r="P2365" s="14" t="s">
        <v>2236</v>
      </c>
      <c r="Q2365" s="17" t="s">
        <v>2242</v>
      </c>
      <c r="R2365" s="17" t="s">
        <v>2238</v>
      </c>
      <c r="S2365" s="17" t="s">
        <v>2243</v>
      </c>
      <c r="T2365" s="17" t="s">
        <v>4142</v>
      </c>
      <c r="U236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E530-30101020210-D235301</v>
      </c>
      <c r="Z236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5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36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6" spans="1:31" x14ac:dyDescent="0.3">
      <c r="A2366" s="14" t="s">
        <v>5656</v>
      </c>
      <c r="B2366" s="14" t="s">
        <v>30</v>
      </c>
      <c r="C2366" s="14" t="s">
        <v>694</v>
      </c>
      <c r="D2366" s="14" t="s">
        <v>695</v>
      </c>
      <c r="E2366" s="14" t="s">
        <v>4136</v>
      </c>
      <c r="F2366" s="16">
        <v>0</v>
      </c>
      <c r="G2366" s="14" t="s">
        <v>2237</v>
      </c>
      <c r="H2366" s="16">
        <v>0</v>
      </c>
      <c r="I2366" s="14" t="s">
        <v>2237</v>
      </c>
      <c r="J2366" s="16">
        <v>0</v>
      </c>
      <c r="K2366" s="14" t="s">
        <v>2237</v>
      </c>
      <c r="L2366" s="16">
        <v>0</v>
      </c>
      <c r="M2366" s="14" t="s">
        <v>2237</v>
      </c>
      <c r="N2366" s="16">
        <v>582091.74</v>
      </c>
      <c r="O2366" s="14" t="s">
        <v>2237</v>
      </c>
      <c r="P2366" s="14" t="s">
        <v>2236</v>
      </c>
      <c r="Q2366" s="17" t="s">
        <v>2242</v>
      </c>
      <c r="R2366" s="17" t="s">
        <v>2238</v>
      </c>
      <c r="S2366" s="17" t="s">
        <v>2243</v>
      </c>
      <c r="T2366" s="17" t="s">
        <v>4142</v>
      </c>
      <c r="U236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E530-30101020209-D235301</v>
      </c>
      <c r="Z236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6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36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7" spans="1:31" x14ac:dyDescent="0.3">
      <c r="A2367" s="14" t="s">
        <v>5657</v>
      </c>
      <c r="B2367" s="14" t="s">
        <v>30</v>
      </c>
      <c r="C2367" s="14" t="s">
        <v>696</v>
      </c>
      <c r="D2367" s="14" t="s">
        <v>697</v>
      </c>
      <c r="E2367" s="14" t="s">
        <v>4136</v>
      </c>
      <c r="F2367" s="16">
        <v>0</v>
      </c>
      <c r="G2367" s="14" t="s">
        <v>2237</v>
      </c>
      <c r="H2367" s="16">
        <v>0</v>
      </c>
      <c r="I2367" s="14" t="s">
        <v>2237</v>
      </c>
      <c r="J2367" s="16">
        <v>0</v>
      </c>
      <c r="K2367" s="14" t="s">
        <v>2237</v>
      </c>
      <c r="L2367" s="16">
        <v>0</v>
      </c>
      <c r="M2367" s="14" t="s">
        <v>2237</v>
      </c>
      <c r="N2367" s="16">
        <v>116360</v>
      </c>
      <c r="O2367" s="14" t="s">
        <v>2237</v>
      </c>
      <c r="P2367" s="14" t="s">
        <v>2236</v>
      </c>
      <c r="Q2367" s="17" t="s">
        <v>2242</v>
      </c>
      <c r="R2367" s="17" t="s">
        <v>2238</v>
      </c>
      <c r="S2367" s="17" t="s">
        <v>2243</v>
      </c>
      <c r="T2367" s="17" t="s">
        <v>4142</v>
      </c>
      <c r="U236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E530-30101020208-D235301</v>
      </c>
      <c r="Z236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7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36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8" spans="1:31" x14ac:dyDescent="0.3">
      <c r="A2368" s="14" t="s">
        <v>5658</v>
      </c>
      <c r="B2368" s="14" t="s">
        <v>30</v>
      </c>
      <c r="C2368" s="14" t="s">
        <v>698</v>
      </c>
      <c r="D2368" s="14" t="s">
        <v>699</v>
      </c>
      <c r="E2368" s="14" t="s">
        <v>4136</v>
      </c>
      <c r="F2368" s="16">
        <v>0</v>
      </c>
      <c r="G2368" s="14" t="s">
        <v>2237</v>
      </c>
      <c r="H2368" s="16">
        <v>0</v>
      </c>
      <c r="I2368" s="14" t="s">
        <v>2237</v>
      </c>
      <c r="J2368" s="16">
        <v>0</v>
      </c>
      <c r="K2368" s="14" t="s">
        <v>2237</v>
      </c>
      <c r="L2368" s="16">
        <v>0</v>
      </c>
      <c r="M2368" s="14" t="s">
        <v>2237</v>
      </c>
      <c r="N2368" s="16">
        <v>444820.5</v>
      </c>
      <c r="O2368" s="14" t="s">
        <v>2237</v>
      </c>
      <c r="P2368" s="14" t="s">
        <v>2236</v>
      </c>
      <c r="Q2368" s="17" t="s">
        <v>2242</v>
      </c>
      <c r="R2368" s="17" t="s">
        <v>2238</v>
      </c>
      <c r="S2368" s="17" t="s">
        <v>2243</v>
      </c>
      <c r="T2368" s="17" t="s">
        <v>4142</v>
      </c>
      <c r="U236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E530-30101020207-D235301</v>
      </c>
      <c r="Z236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8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36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69" spans="1:31" x14ac:dyDescent="0.3">
      <c r="A2369" s="14" t="s">
        <v>5659</v>
      </c>
      <c r="B2369" s="14" t="s">
        <v>30</v>
      </c>
      <c r="C2369" s="14" t="s">
        <v>700</v>
      </c>
      <c r="D2369" s="14" t="s">
        <v>701</v>
      </c>
      <c r="E2369" s="14" t="s">
        <v>4136</v>
      </c>
      <c r="F2369" s="16">
        <v>0</v>
      </c>
      <c r="G2369" s="14" t="s">
        <v>2237</v>
      </c>
      <c r="H2369" s="16">
        <v>0</v>
      </c>
      <c r="I2369" s="14" t="s">
        <v>2237</v>
      </c>
      <c r="J2369" s="16">
        <v>0</v>
      </c>
      <c r="K2369" s="14" t="s">
        <v>2237</v>
      </c>
      <c r="L2369" s="16">
        <v>0</v>
      </c>
      <c r="M2369" s="14" t="s">
        <v>2237</v>
      </c>
      <c r="N2369" s="16">
        <v>977166.3</v>
      </c>
      <c r="O2369" s="14" t="s">
        <v>2237</v>
      </c>
      <c r="P2369" s="14" t="s">
        <v>2236</v>
      </c>
      <c r="Q2369" s="17" t="s">
        <v>2242</v>
      </c>
      <c r="R2369" s="17" t="s">
        <v>2238</v>
      </c>
      <c r="S2369" s="17" t="s">
        <v>2243</v>
      </c>
      <c r="T2369" s="17" t="s">
        <v>4142</v>
      </c>
      <c r="U236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6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6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6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6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E530-30101020205-D235301</v>
      </c>
      <c r="Z236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6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6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69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36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6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0" spans="1:31" x14ac:dyDescent="0.3">
      <c r="A2370" s="14" t="s">
        <v>5660</v>
      </c>
      <c r="B2370" s="14" t="s">
        <v>30</v>
      </c>
      <c r="C2370" s="14" t="s">
        <v>702</v>
      </c>
      <c r="D2370" s="14" t="s">
        <v>703</v>
      </c>
      <c r="E2370" s="14" t="s">
        <v>4136</v>
      </c>
      <c r="F2370" s="16">
        <v>0</v>
      </c>
      <c r="G2370" s="14" t="s">
        <v>2237</v>
      </c>
      <c r="H2370" s="16">
        <v>0</v>
      </c>
      <c r="I2370" s="14" t="s">
        <v>2237</v>
      </c>
      <c r="J2370" s="16">
        <v>0</v>
      </c>
      <c r="K2370" s="14" t="s">
        <v>2237</v>
      </c>
      <c r="L2370" s="16">
        <v>0</v>
      </c>
      <c r="M2370" s="14" t="s">
        <v>2237</v>
      </c>
      <c r="N2370" s="16">
        <v>1500</v>
      </c>
      <c r="O2370" s="14" t="s">
        <v>2237</v>
      </c>
      <c r="P2370" s="14" t="s">
        <v>2236</v>
      </c>
      <c r="Q2370" s="17" t="s">
        <v>2242</v>
      </c>
      <c r="R2370" s="17" t="s">
        <v>2238</v>
      </c>
      <c r="S2370" s="17" t="s">
        <v>2243</v>
      </c>
      <c r="T2370" s="17" t="s">
        <v>4142</v>
      </c>
      <c r="U237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E530-301010202-D235301</v>
      </c>
      <c r="Y237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E530-30101020204-D235301</v>
      </c>
      <c r="Z237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70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37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1" spans="1:31" x14ac:dyDescent="0.3">
      <c r="A2371" s="14" t="s">
        <v>5661</v>
      </c>
      <c r="B2371" s="14" t="s">
        <v>26</v>
      </c>
      <c r="C2371" s="14" t="s">
        <v>704</v>
      </c>
      <c r="D2371" s="14" t="s">
        <v>705</v>
      </c>
      <c r="E2371" s="14" t="s">
        <v>4136</v>
      </c>
      <c r="F2371" s="16">
        <v>40410.339999999997</v>
      </c>
      <c r="G2371" s="14" t="s">
        <v>2237</v>
      </c>
      <c r="H2371" s="16">
        <v>40410.339999999997</v>
      </c>
      <c r="I2371" s="14" t="s">
        <v>2237</v>
      </c>
      <c r="J2371" s="16">
        <v>0</v>
      </c>
      <c r="K2371" s="14" t="s">
        <v>2237</v>
      </c>
      <c r="L2371" s="16">
        <v>0</v>
      </c>
      <c r="M2371" s="14" t="s">
        <v>2237</v>
      </c>
      <c r="N2371" s="16">
        <v>17937.45</v>
      </c>
      <c r="O2371" s="14" t="s">
        <v>2237</v>
      </c>
      <c r="P2371" s="14" t="s">
        <v>2236</v>
      </c>
      <c r="Q2371" s="17" t="s">
        <v>2242</v>
      </c>
      <c r="R2371" s="17" t="s">
        <v>2238</v>
      </c>
      <c r="S2371" s="17" t="s">
        <v>2243</v>
      </c>
      <c r="T2371" s="17" t="s">
        <v>4137</v>
      </c>
      <c r="U237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E530-301010201-D235301</v>
      </c>
      <c r="Y237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7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37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7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2" spans="1:31" x14ac:dyDescent="0.3">
      <c r="A2372" s="14" t="s">
        <v>5662</v>
      </c>
      <c r="B2372" s="14" t="s">
        <v>30</v>
      </c>
      <c r="C2372" s="14" t="s">
        <v>706</v>
      </c>
      <c r="D2372" s="14" t="s">
        <v>707</v>
      </c>
      <c r="E2372" s="14" t="s">
        <v>4136</v>
      </c>
      <c r="F2372" s="16">
        <v>0</v>
      </c>
      <c r="G2372" s="14" t="s">
        <v>2237</v>
      </c>
      <c r="H2372" s="16">
        <v>0</v>
      </c>
      <c r="I2372" s="14" t="s">
        <v>2237</v>
      </c>
      <c r="J2372" s="16">
        <v>0</v>
      </c>
      <c r="K2372" s="14" t="s">
        <v>2237</v>
      </c>
      <c r="L2372" s="16">
        <v>0</v>
      </c>
      <c r="M2372" s="14" t="s">
        <v>2237</v>
      </c>
      <c r="N2372" s="16">
        <v>17937.45</v>
      </c>
      <c r="O2372" s="14" t="s">
        <v>2237</v>
      </c>
      <c r="P2372" s="14" t="s">
        <v>2236</v>
      </c>
      <c r="Q2372" s="17" t="s">
        <v>2242</v>
      </c>
      <c r="R2372" s="17" t="s">
        <v>2238</v>
      </c>
      <c r="S2372" s="17" t="s">
        <v>2243</v>
      </c>
      <c r="T2372" s="17" t="s">
        <v>4142</v>
      </c>
      <c r="U237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E530-301010201-D235301</v>
      </c>
      <c r="Y237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E530-30101020160-D235301</v>
      </c>
      <c r="Z237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372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37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3" spans="1:31" x14ac:dyDescent="0.3">
      <c r="A2373" s="14" t="s">
        <v>5663</v>
      </c>
      <c r="B2373" s="14" t="s">
        <v>26</v>
      </c>
      <c r="C2373" s="14" t="s">
        <v>708</v>
      </c>
      <c r="D2373" s="14" t="s">
        <v>709</v>
      </c>
      <c r="E2373" s="14" t="s">
        <v>4136</v>
      </c>
      <c r="F2373" s="16">
        <v>1526381.92</v>
      </c>
      <c r="G2373" s="14" t="s">
        <v>2237</v>
      </c>
      <c r="H2373" s="16">
        <v>1526381.92</v>
      </c>
      <c r="I2373" s="14" t="s">
        <v>2237</v>
      </c>
      <c r="J2373" s="16">
        <v>0</v>
      </c>
      <c r="K2373" s="14" t="s">
        <v>2237</v>
      </c>
      <c r="L2373" s="16">
        <v>0</v>
      </c>
      <c r="M2373" s="14" t="s">
        <v>2237</v>
      </c>
      <c r="N2373" s="16">
        <v>1339510.51</v>
      </c>
      <c r="O2373" s="14" t="s">
        <v>2237</v>
      </c>
      <c r="P2373" s="14" t="s">
        <v>2236</v>
      </c>
      <c r="Q2373" s="17" t="s">
        <v>2242</v>
      </c>
      <c r="R2373" s="17" t="s">
        <v>2238</v>
      </c>
      <c r="S2373" s="17" t="s">
        <v>2243</v>
      </c>
      <c r="T2373" s="17" t="s">
        <v>4138</v>
      </c>
      <c r="U237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E530-301010261-D235301</v>
      </c>
      <c r="Y237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7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7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7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4" spans="1:31" x14ac:dyDescent="0.3">
      <c r="A2374" s="14" t="s">
        <v>5664</v>
      </c>
      <c r="B2374" s="14" t="s">
        <v>30</v>
      </c>
      <c r="C2374" s="14" t="s">
        <v>710</v>
      </c>
      <c r="D2374" s="14" t="s">
        <v>711</v>
      </c>
      <c r="E2374" s="14" t="s">
        <v>4136</v>
      </c>
      <c r="F2374" s="16">
        <v>0</v>
      </c>
      <c r="G2374" s="14" t="s">
        <v>2237</v>
      </c>
      <c r="H2374" s="16">
        <v>0</v>
      </c>
      <c r="I2374" s="14" t="s">
        <v>2237</v>
      </c>
      <c r="J2374" s="16">
        <v>0</v>
      </c>
      <c r="K2374" s="14" t="s">
        <v>2237</v>
      </c>
      <c r="L2374" s="16">
        <v>0</v>
      </c>
      <c r="M2374" s="14" t="s">
        <v>2237</v>
      </c>
      <c r="N2374" s="16">
        <v>212268.85</v>
      </c>
      <c r="O2374" s="14" t="s">
        <v>2237</v>
      </c>
      <c r="P2374" s="14" t="s">
        <v>2236</v>
      </c>
      <c r="Q2374" s="17" t="s">
        <v>2242</v>
      </c>
      <c r="R2374" s="17" t="s">
        <v>2238</v>
      </c>
      <c r="S2374" s="17" t="s">
        <v>2243</v>
      </c>
      <c r="T2374" s="17" t="s">
        <v>4142</v>
      </c>
      <c r="U237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E530-301010261-D235301</v>
      </c>
      <c r="Y237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E530-30101026162-D235301</v>
      </c>
      <c r="Z237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74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37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5" spans="1:31" x14ac:dyDescent="0.3">
      <c r="A2375" s="14" t="s">
        <v>5665</v>
      </c>
      <c r="B2375" s="14" t="s">
        <v>30</v>
      </c>
      <c r="C2375" s="14" t="s">
        <v>712</v>
      </c>
      <c r="D2375" s="14" t="s">
        <v>713</v>
      </c>
      <c r="E2375" s="14" t="s">
        <v>4136</v>
      </c>
      <c r="F2375" s="16">
        <v>0</v>
      </c>
      <c r="G2375" s="14" t="s">
        <v>2237</v>
      </c>
      <c r="H2375" s="16">
        <v>0</v>
      </c>
      <c r="I2375" s="14" t="s">
        <v>2237</v>
      </c>
      <c r="J2375" s="16">
        <v>0</v>
      </c>
      <c r="K2375" s="14" t="s">
        <v>2237</v>
      </c>
      <c r="L2375" s="16">
        <v>0</v>
      </c>
      <c r="M2375" s="14" t="s">
        <v>2237</v>
      </c>
      <c r="N2375" s="16">
        <v>0</v>
      </c>
      <c r="O2375" s="14" t="s">
        <v>2237</v>
      </c>
      <c r="P2375" s="14" t="s">
        <v>2236</v>
      </c>
      <c r="Q2375" s="17" t="s">
        <v>2242</v>
      </c>
      <c r="R2375" s="17" t="s">
        <v>2238</v>
      </c>
      <c r="S2375" s="17" t="s">
        <v>2243</v>
      </c>
      <c r="T2375" s="17" t="s">
        <v>4142</v>
      </c>
      <c r="U237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E530-301010261-D235301</v>
      </c>
      <c r="Y237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E530-30101026193-D235301</v>
      </c>
      <c r="Z237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75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37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6" spans="1:31" x14ac:dyDescent="0.3">
      <c r="A2376" s="14" t="s">
        <v>5666</v>
      </c>
      <c r="B2376" s="14" t="s">
        <v>30</v>
      </c>
      <c r="C2376" s="14" t="s">
        <v>714</v>
      </c>
      <c r="D2376" s="14" t="s">
        <v>715</v>
      </c>
      <c r="E2376" s="14" t="s">
        <v>4136</v>
      </c>
      <c r="F2376" s="16">
        <v>0</v>
      </c>
      <c r="G2376" s="14" t="s">
        <v>2237</v>
      </c>
      <c r="H2376" s="16">
        <v>0</v>
      </c>
      <c r="I2376" s="14" t="s">
        <v>2237</v>
      </c>
      <c r="J2376" s="16">
        <v>0</v>
      </c>
      <c r="K2376" s="14" t="s">
        <v>2237</v>
      </c>
      <c r="L2376" s="16">
        <v>0</v>
      </c>
      <c r="M2376" s="14" t="s">
        <v>2237</v>
      </c>
      <c r="N2376" s="16">
        <v>491709.18</v>
      </c>
      <c r="O2376" s="14" t="s">
        <v>2237</v>
      </c>
      <c r="P2376" s="14" t="s">
        <v>2236</v>
      </c>
      <c r="Q2376" s="17" t="s">
        <v>2242</v>
      </c>
      <c r="R2376" s="17" t="s">
        <v>2238</v>
      </c>
      <c r="S2376" s="17" t="s">
        <v>2243</v>
      </c>
      <c r="T2376" s="17" t="s">
        <v>4142</v>
      </c>
      <c r="U237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E530-301010261-D235301</v>
      </c>
      <c r="Y237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E530-30101026118-D235301</v>
      </c>
      <c r="Z237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76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37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7" spans="1:31" x14ac:dyDescent="0.3">
      <c r="A2377" s="14" t="s">
        <v>5667</v>
      </c>
      <c r="B2377" s="14" t="s">
        <v>30</v>
      </c>
      <c r="C2377" s="14" t="s">
        <v>716</v>
      </c>
      <c r="D2377" s="14" t="s">
        <v>717</v>
      </c>
      <c r="E2377" s="14" t="s">
        <v>4136</v>
      </c>
      <c r="F2377" s="16">
        <v>0</v>
      </c>
      <c r="G2377" s="14" t="s">
        <v>2237</v>
      </c>
      <c r="H2377" s="16">
        <v>0</v>
      </c>
      <c r="I2377" s="14" t="s">
        <v>2237</v>
      </c>
      <c r="J2377" s="16">
        <v>0</v>
      </c>
      <c r="K2377" s="14" t="s">
        <v>2237</v>
      </c>
      <c r="L2377" s="16">
        <v>0</v>
      </c>
      <c r="M2377" s="14" t="s">
        <v>2237</v>
      </c>
      <c r="N2377" s="16">
        <v>79581.86</v>
      </c>
      <c r="O2377" s="14" t="s">
        <v>2237</v>
      </c>
      <c r="P2377" s="14" t="s">
        <v>2236</v>
      </c>
      <c r="Q2377" s="17" t="s">
        <v>2242</v>
      </c>
      <c r="R2377" s="17" t="s">
        <v>2238</v>
      </c>
      <c r="S2377" s="17" t="s">
        <v>2243</v>
      </c>
      <c r="T2377" s="17" t="s">
        <v>4142</v>
      </c>
      <c r="U237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E530-301010261-D235301</v>
      </c>
      <c r="Y237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E530-30101026102-D235301</v>
      </c>
      <c r="Z237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7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77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37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8" spans="1:31" x14ac:dyDescent="0.3">
      <c r="A2378" s="14" t="s">
        <v>5668</v>
      </c>
      <c r="B2378" s="14" t="s">
        <v>30</v>
      </c>
      <c r="C2378" s="14" t="s">
        <v>718</v>
      </c>
      <c r="D2378" s="14" t="s">
        <v>719</v>
      </c>
      <c r="E2378" s="14" t="s">
        <v>4136</v>
      </c>
      <c r="F2378" s="16">
        <v>0</v>
      </c>
      <c r="G2378" s="14" t="s">
        <v>2237</v>
      </c>
      <c r="H2378" s="16">
        <v>0</v>
      </c>
      <c r="I2378" s="14" t="s">
        <v>2237</v>
      </c>
      <c r="J2378" s="16">
        <v>0</v>
      </c>
      <c r="K2378" s="14" t="s">
        <v>2237</v>
      </c>
      <c r="L2378" s="16">
        <v>0</v>
      </c>
      <c r="M2378" s="14" t="s">
        <v>2237</v>
      </c>
      <c r="N2378" s="16">
        <v>555950.62</v>
      </c>
      <c r="O2378" s="14" t="s">
        <v>2237</v>
      </c>
      <c r="P2378" s="14" t="s">
        <v>2236</v>
      </c>
      <c r="Q2378" s="17" t="s">
        <v>2242</v>
      </c>
      <c r="R2378" s="17" t="s">
        <v>2238</v>
      </c>
      <c r="S2378" s="17" t="s">
        <v>2243</v>
      </c>
      <c r="T2378" s="17" t="s">
        <v>4142</v>
      </c>
      <c r="U237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E530-3010102-D235301</v>
      </c>
      <c r="X237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E530-301010261-D235301</v>
      </c>
      <c r="Y237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E530-30101026101-D235301</v>
      </c>
      <c r="Z237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78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378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37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2</v>
      </c>
      <c r="AE237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79" spans="1:31" hidden="1" x14ac:dyDescent="0.3">
      <c r="A2379" s="14" t="s">
        <v>5669</v>
      </c>
      <c r="B2379" s="14" t="s">
        <v>21</v>
      </c>
      <c r="C2379" s="14" t="s">
        <v>720</v>
      </c>
      <c r="D2379" s="14" t="s">
        <v>721</v>
      </c>
      <c r="E2379" s="14" t="s">
        <v>4136</v>
      </c>
      <c r="F2379" s="16">
        <v>268069.62</v>
      </c>
      <c r="G2379" s="14" t="s">
        <v>2237</v>
      </c>
      <c r="H2379" s="16">
        <v>268069.62</v>
      </c>
      <c r="I2379" s="14" t="s">
        <v>2237</v>
      </c>
      <c r="J2379" s="16">
        <v>0</v>
      </c>
      <c r="K2379" s="14" t="s">
        <v>2237</v>
      </c>
      <c r="L2379" s="16">
        <v>0</v>
      </c>
      <c r="M2379" s="14" t="s">
        <v>2237</v>
      </c>
      <c r="N2379" s="16">
        <v>103749.54</v>
      </c>
      <c r="O2379" s="14" t="s">
        <v>2237</v>
      </c>
      <c r="P2379" s="14" t="s">
        <v>2236</v>
      </c>
      <c r="Q2379" s="17" t="s">
        <v>2242</v>
      </c>
      <c r="R2379" s="17" t="s">
        <v>2238</v>
      </c>
      <c r="S2379" s="17" t="s">
        <v>2243</v>
      </c>
      <c r="T2379" s="17" t="s">
        <v>5604</v>
      </c>
      <c r="U237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7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7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E530-3010161-D235301</v>
      </c>
      <c r="X2379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37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7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79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2379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37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7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7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0" spans="1:31" hidden="1" x14ac:dyDescent="0.3">
      <c r="A2380" s="14" t="s">
        <v>5670</v>
      </c>
      <c r="B2380" s="14" t="s">
        <v>26</v>
      </c>
      <c r="C2380" s="14" t="s">
        <v>722</v>
      </c>
      <c r="D2380" s="14" t="s">
        <v>723</v>
      </c>
      <c r="E2380" s="14" t="s">
        <v>4136</v>
      </c>
      <c r="F2380" s="16">
        <v>268069.62</v>
      </c>
      <c r="G2380" s="14" t="s">
        <v>2237</v>
      </c>
      <c r="H2380" s="16">
        <v>268069.62</v>
      </c>
      <c r="I2380" s="14" t="s">
        <v>2237</v>
      </c>
      <c r="J2380" s="16">
        <v>0</v>
      </c>
      <c r="K2380" s="14" t="s">
        <v>2237</v>
      </c>
      <c r="L2380" s="16">
        <v>0</v>
      </c>
      <c r="M2380" s="14" t="s">
        <v>2237</v>
      </c>
      <c r="N2380" s="16">
        <v>103749.54</v>
      </c>
      <c r="O2380" s="14" t="s">
        <v>2237</v>
      </c>
      <c r="P2380" s="14" t="s">
        <v>2236</v>
      </c>
      <c r="Q2380" s="17" t="s">
        <v>2242</v>
      </c>
      <c r="R2380" s="17" t="s">
        <v>2238</v>
      </c>
      <c r="S2380" s="17" t="s">
        <v>2243</v>
      </c>
      <c r="T2380" s="17" t="s">
        <v>5604</v>
      </c>
      <c r="U238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E530-3010161-D235301</v>
      </c>
      <c r="X238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E530-301016101-D235301</v>
      </c>
      <c r="Y2380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8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0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2380" s="10" t="str">
        <f>IF(IFERROR(INDEX(WBS_Dictionary!L$2:L$1212, MATCH(Table2[[#This Row],[WBS_ID]], Table26[WBS CODE],0)), "") = "", "null", IFERROR(INDEX(WBS_Dictionary!L$2:L$1212, MATCH(Table2[[#This Row],[WBS_ID]], Table26[WBS CODE],0)), ""))</f>
        <v>Rig Skid</v>
      </c>
      <c r="AC2380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8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1" spans="1:31" hidden="1" x14ac:dyDescent="0.3">
      <c r="A2381" s="14" t="s">
        <v>5671</v>
      </c>
      <c r="B2381" s="14" t="s">
        <v>30</v>
      </c>
      <c r="C2381" s="14" t="s">
        <v>722</v>
      </c>
      <c r="D2381" s="14" t="s">
        <v>724</v>
      </c>
      <c r="E2381" s="14" t="s">
        <v>4136</v>
      </c>
      <c r="F2381" s="16">
        <v>0</v>
      </c>
      <c r="G2381" s="14" t="s">
        <v>2237</v>
      </c>
      <c r="H2381" s="16">
        <v>0</v>
      </c>
      <c r="I2381" s="14" t="s">
        <v>2237</v>
      </c>
      <c r="J2381" s="16">
        <v>0</v>
      </c>
      <c r="K2381" s="14" t="s">
        <v>2237</v>
      </c>
      <c r="L2381" s="16">
        <v>0</v>
      </c>
      <c r="M2381" s="14" t="s">
        <v>2237</v>
      </c>
      <c r="N2381" s="16">
        <v>103749.54</v>
      </c>
      <c r="O2381" s="14" t="s">
        <v>2237</v>
      </c>
      <c r="P2381" s="14" t="s">
        <v>2236</v>
      </c>
      <c r="Q2381" s="17" t="s">
        <v>2242</v>
      </c>
      <c r="R2381" s="17" t="s">
        <v>2238</v>
      </c>
      <c r="S2381" s="17" t="s">
        <v>2243</v>
      </c>
      <c r="T2381" s="17" t="s">
        <v>4142</v>
      </c>
      <c r="U238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E530-3010161-D235301</v>
      </c>
      <c r="X238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E530-301016101-D235301</v>
      </c>
      <c r="Y238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E530-30101610123-D235301</v>
      </c>
      <c r="Z238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1" s="10" t="str">
        <f>IF(IFERROR(INDEX(WBS_Dictionary!K$2:K$1212, MATCH(Table2[[#This Row],[WBS_ID]], Table26[WBS CODE],0)), "") = "", "null", IFERROR(INDEX(WBS_Dictionary!K$2:K$1212, MATCH(Table2[[#This Row],[WBS_ID]], Table26[WBS CODE],0)), ""))</f>
        <v>Rig Skid</v>
      </c>
      <c r="AB2381" s="10" t="str">
        <f>IF(IFERROR(INDEX(WBS_Dictionary!L$2:L$1212, MATCH(Table2[[#This Row],[WBS_ID]], Table26[WBS CODE],0)), "") = "", "null", IFERROR(INDEX(WBS_Dictionary!L$2:L$1212, MATCH(Table2[[#This Row],[WBS_ID]], Table26[WBS CODE],0)), ""))</f>
        <v>Rig Skid</v>
      </c>
      <c r="AC2381" s="10" t="str">
        <f>IF(IFERROR(INDEX(WBS_Dictionary!M$2:M$1212, MATCH(Table2[[#This Row],[WBS_ID]], Table26[WBS CODE],0)), "") = "", "null", IFERROR(INDEX(WBS_Dictionary!M$2:M$1212, MATCH(Table2[[#This Row],[WBS_ID]], Table26[WBS CODE],0)), ""))</f>
        <v>Rig Skid</v>
      </c>
      <c r="AD238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2" spans="1:31" hidden="1" x14ac:dyDescent="0.3">
      <c r="A2382" s="14" t="s">
        <v>5672</v>
      </c>
      <c r="B2382" s="14" t="s">
        <v>21</v>
      </c>
      <c r="C2382" s="14" t="s">
        <v>725</v>
      </c>
      <c r="D2382" s="14" t="s">
        <v>726</v>
      </c>
      <c r="E2382" s="14" t="s">
        <v>4136</v>
      </c>
      <c r="F2382" s="16">
        <v>2734285.11</v>
      </c>
      <c r="G2382" s="14" t="s">
        <v>2237</v>
      </c>
      <c r="H2382" s="16">
        <v>2734285.11</v>
      </c>
      <c r="I2382" s="14" t="s">
        <v>2237</v>
      </c>
      <c r="J2382" s="16">
        <v>0</v>
      </c>
      <c r="K2382" s="14" t="s">
        <v>2237</v>
      </c>
      <c r="L2382" s="16">
        <v>0</v>
      </c>
      <c r="M2382" s="14" t="s">
        <v>2237</v>
      </c>
      <c r="N2382" s="16">
        <v>1557867.01</v>
      </c>
      <c r="O2382" s="14" t="s">
        <v>2237</v>
      </c>
      <c r="P2382" s="14" t="s">
        <v>2236</v>
      </c>
      <c r="Q2382" s="17" t="s">
        <v>2242</v>
      </c>
      <c r="R2382" s="17" t="s">
        <v>2238</v>
      </c>
      <c r="S2382" s="17" t="s">
        <v>2243</v>
      </c>
      <c r="T2382" s="17" t="s">
        <v>4137</v>
      </c>
      <c r="U238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2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38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8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2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2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38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8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3" spans="1:31" hidden="1" x14ac:dyDescent="0.3">
      <c r="A2383" s="14" t="s">
        <v>5673</v>
      </c>
      <c r="B2383" s="14" t="s">
        <v>26</v>
      </c>
      <c r="C2383" s="14" t="s">
        <v>727</v>
      </c>
      <c r="D2383" s="14" t="s">
        <v>728</v>
      </c>
      <c r="E2383" s="14" t="s">
        <v>4136</v>
      </c>
      <c r="F2383" s="16">
        <v>0</v>
      </c>
      <c r="G2383" s="14" t="s">
        <v>2237</v>
      </c>
      <c r="H2383" s="16">
        <v>0</v>
      </c>
      <c r="I2383" s="14" t="s">
        <v>2237</v>
      </c>
      <c r="J2383" s="16">
        <v>0</v>
      </c>
      <c r="K2383" s="14" t="s">
        <v>2237</v>
      </c>
      <c r="L2383" s="16">
        <v>0</v>
      </c>
      <c r="M2383" s="14" t="s">
        <v>2237</v>
      </c>
      <c r="N2383" s="16">
        <v>0</v>
      </c>
      <c r="O2383" s="14" t="s">
        <v>2237</v>
      </c>
      <c r="P2383" s="14" t="s">
        <v>2236</v>
      </c>
      <c r="Q2383" s="17" t="s">
        <v>2242</v>
      </c>
      <c r="R2383" s="17" t="s">
        <v>2238</v>
      </c>
      <c r="S2383" s="17" t="s">
        <v>2243</v>
      </c>
      <c r="T2383" s="17" t="s">
        <v>4137</v>
      </c>
      <c r="U238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E530-301015604-D235301</v>
      </c>
      <c r="Y2383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8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3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3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83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8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4" spans="1:31" hidden="1" x14ac:dyDescent="0.3">
      <c r="A2384" s="14" t="s">
        <v>5674</v>
      </c>
      <c r="B2384" s="14" t="s">
        <v>30</v>
      </c>
      <c r="C2384" s="14" t="s">
        <v>729</v>
      </c>
      <c r="D2384" s="14" t="s">
        <v>730</v>
      </c>
      <c r="E2384" s="14" t="s">
        <v>4136</v>
      </c>
      <c r="F2384" s="16">
        <v>0</v>
      </c>
      <c r="G2384" s="14" t="s">
        <v>2237</v>
      </c>
      <c r="H2384" s="16">
        <v>0</v>
      </c>
      <c r="I2384" s="14" t="s">
        <v>2237</v>
      </c>
      <c r="J2384" s="16">
        <v>0</v>
      </c>
      <c r="K2384" s="14" t="s">
        <v>2237</v>
      </c>
      <c r="L2384" s="16">
        <v>0</v>
      </c>
      <c r="M2384" s="14" t="s">
        <v>2237</v>
      </c>
      <c r="N2384" s="16">
        <v>0</v>
      </c>
      <c r="O2384" s="14" t="s">
        <v>2237</v>
      </c>
      <c r="P2384" s="14" t="s">
        <v>2236</v>
      </c>
      <c r="Q2384" s="17" t="s">
        <v>2242</v>
      </c>
      <c r="R2384" s="17" t="s">
        <v>2238</v>
      </c>
      <c r="S2384" s="17" t="s">
        <v>2243</v>
      </c>
      <c r="T2384" s="17" t="s">
        <v>4142</v>
      </c>
      <c r="U238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E530-301015604-D235301</v>
      </c>
      <c r="Y238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E530-30101560423-D235301</v>
      </c>
      <c r="Z238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4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4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84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238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5" spans="1:31" hidden="1" x14ac:dyDescent="0.3">
      <c r="A2385" s="14" t="s">
        <v>5675</v>
      </c>
      <c r="B2385" s="14" t="s">
        <v>26</v>
      </c>
      <c r="C2385" s="14" t="s">
        <v>731</v>
      </c>
      <c r="D2385" s="14" t="s">
        <v>732</v>
      </c>
      <c r="E2385" s="14" t="s">
        <v>4136</v>
      </c>
      <c r="F2385" s="16">
        <v>911428.37</v>
      </c>
      <c r="G2385" s="14" t="s">
        <v>2237</v>
      </c>
      <c r="H2385" s="16">
        <v>911428.37</v>
      </c>
      <c r="I2385" s="14" t="s">
        <v>2237</v>
      </c>
      <c r="J2385" s="16">
        <v>0</v>
      </c>
      <c r="K2385" s="14" t="s">
        <v>2237</v>
      </c>
      <c r="L2385" s="16">
        <v>0</v>
      </c>
      <c r="M2385" s="14" t="s">
        <v>2237</v>
      </c>
      <c r="N2385" s="16">
        <v>362861.52</v>
      </c>
      <c r="O2385" s="14" t="s">
        <v>2237</v>
      </c>
      <c r="P2385" s="14" t="s">
        <v>2236</v>
      </c>
      <c r="Q2385" s="17" t="s">
        <v>2242</v>
      </c>
      <c r="R2385" s="17" t="s">
        <v>2238</v>
      </c>
      <c r="S2385" s="17" t="s">
        <v>2243</v>
      </c>
      <c r="T2385" s="17" t="s">
        <v>5604</v>
      </c>
      <c r="U238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E530-301015603-D235301</v>
      </c>
      <c r="Y2385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8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5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5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85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8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6" spans="1:31" hidden="1" x14ac:dyDescent="0.3">
      <c r="A2386" s="14" t="s">
        <v>5676</v>
      </c>
      <c r="B2386" s="14" t="s">
        <v>30</v>
      </c>
      <c r="C2386" s="14" t="s">
        <v>733</v>
      </c>
      <c r="D2386" s="14" t="s">
        <v>734</v>
      </c>
      <c r="E2386" s="14" t="s">
        <v>4136</v>
      </c>
      <c r="F2386" s="16">
        <v>0</v>
      </c>
      <c r="G2386" s="14" t="s">
        <v>2237</v>
      </c>
      <c r="H2386" s="16">
        <v>0</v>
      </c>
      <c r="I2386" s="14" t="s">
        <v>2237</v>
      </c>
      <c r="J2386" s="16">
        <v>0</v>
      </c>
      <c r="K2386" s="14" t="s">
        <v>2237</v>
      </c>
      <c r="L2386" s="16">
        <v>0</v>
      </c>
      <c r="M2386" s="14" t="s">
        <v>2237</v>
      </c>
      <c r="N2386" s="16">
        <v>362861.52</v>
      </c>
      <c r="O2386" s="14" t="s">
        <v>2237</v>
      </c>
      <c r="P2386" s="14" t="s">
        <v>2236</v>
      </c>
      <c r="Q2386" s="17" t="s">
        <v>2242</v>
      </c>
      <c r="R2386" s="17" t="s">
        <v>2238</v>
      </c>
      <c r="S2386" s="17" t="s">
        <v>2243</v>
      </c>
      <c r="T2386" s="17" t="s">
        <v>4142</v>
      </c>
      <c r="U238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E530-301015603-D235301</v>
      </c>
      <c r="Y238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E530-30101560323-D235301</v>
      </c>
      <c r="Z238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6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6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86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2386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6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7" spans="1:31" hidden="1" x14ac:dyDescent="0.3">
      <c r="A2387" s="14" t="s">
        <v>5677</v>
      </c>
      <c r="B2387" s="14" t="s">
        <v>26</v>
      </c>
      <c r="C2387" s="14" t="s">
        <v>735</v>
      </c>
      <c r="D2387" s="14" t="s">
        <v>736</v>
      </c>
      <c r="E2387" s="14" t="s">
        <v>4136</v>
      </c>
      <c r="F2387" s="16">
        <v>911428.37</v>
      </c>
      <c r="G2387" s="14" t="s">
        <v>2237</v>
      </c>
      <c r="H2387" s="16">
        <v>911428.37</v>
      </c>
      <c r="I2387" s="14" t="s">
        <v>2237</v>
      </c>
      <c r="J2387" s="16">
        <v>0</v>
      </c>
      <c r="K2387" s="14" t="s">
        <v>2237</v>
      </c>
      <c r="L2387" s="16">
        <v>0</v>
      </c>
      <c r="M2387" s="14" t="s">
        <v>2237</v>
      </c>
      <c r="N2387" s="16">
        <v>629396.87</v>
      </c>
      <c r="O2387" s="14" t="s">
        <v>2237</v>
      </c>
      <c r="P2387" s="14" t="s">
        <v>2236</v>
      </c>
      <c r="Q2387" s="17" t="s">
        <v>2242</v>
      </c>
      <c r="R2387" s="17" t="s">
        <v>2238</v>
      </c>
      <c r="S2387" s="17" t="s">
        <v>2243</v>
      </c>
      <c r="T2387" s="17" t="s">
        <v>5604</v>
      </c>
      <c r="U238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E530-301015602-D235301</v>
      </c>
      <c r="Y238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8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7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7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8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87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7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8" spans="1:31" hidden="1" x14ac:dyDescent="0.3">
      <c r="A2388" s="14" t="s">
        <v>5678</v>
      </c>
      <c r="B2388" s="14" t="s">
        <v>30</v>
      </c>
      <c r="C2388" s="14" t="s">
        <v>737</v>
      </c>
      <c r="D2388" s="14" t="s">
        <v>738</v>
      </c>
      <c r="E2388" s="14" t="s">
        <v>4136</v>
      </c>
      <c r="F2388" s="16">
        <v>0</v>
      </c>
      <c r="G2388" s="14" t="s">
        <v>2237</v>
      </c>
      <c r="H2388" s="16">
        <v>0</v>
      </c>
      <c r="I2388" s="14" t="s">
        <v>2237</v>
      </c>
      <c r="J2388" s="16">
        <v>0</v>
      </c>
      <c r="K2388" s="14" t="s">
        <v>2237</v>
      </c>
      <c r="L2388" s="16">
        <v>0</v>
      </c>
      <c r="M2388" s="14" t="s">
        <v>2237</v>
      </c>
      <c r="N2388" s="16">
        <v>629396.87</v>
      </c>
      <c r="O2388" s="14" t="s">
        <v>2237</v>
      </c>
      <c r="P2388" s="14" t="s">
        <v>2236</v>
      </c>
      <c r="Q2388" s="17" t="s">
        <v>2242</v>
      </c>
      <c r="R2388" s="17" t="s">
        <v>2238</v>
      </c>
      <c r="S2388" s="17" t="s">
        <v>2243</v>
      </c>
      <c r="T2388" s="17" t="s">
        <v>4142</v>
      </c>
      <c r="U238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E530-301015602-D235301</v>
      </c>
      <c r="Y238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E530-30101560223-D235301</v>
      </c>
      <c r="Z238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8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8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88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2388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8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89" spans="1:31" hidden="1" x14ac:dyDescent="0.3">
      <c r="A2389" s="14" t="s">
        <v>5679</v>
      </c>
      <c r="B2389" s="14" t="s">
        <v>26</v>
      </c>
      <c r="C2389" s="14" t="s">
        <v>739</v>
      </c>
      <c r="D2389" s="14" t="s">
        <v>740</v>
      </c>
      <c r="E2389" s="14" t="s">
        <v>4136</v>
      </c>
      <c r="F2389" s="16">
        <v>911428.37</v>
      </c>
      <c r="G2389" s="14" t="s">
        <v>2237</v>
      </c>
      <c r="H2389" s="16">
        <v>911428.37</v>
      </c>
      <c r="I2389" s="14" t="s">
        <v>2237</v>
      </c>
      <c r="J2389" s="16">
        <v>0</v>
      </c>
      <c r="K2389" s="14" t="s">
        <v>2237</v>
      </c>
      <c r="L2389" s="16">
        <v>0</v>
      </c>
      <c r="M2389" s="14" t="s">
        <v>2237</v>
      </c>
      <c r="N2389" s="16">
        <v>565608.62</v>
      </c>
      <c r="O2389" s="14" t="s">
        <v>2237</v>
      </c>
      <c r="P2389" s="14" t="s">
        <v>2236</v>
      </c>
      <c r="Q2389" s="17" t="s">
        <v>2242</v>
      </c>
      <c r="R2389" s="17" t="s">
        <v>2238</v>
      </c>
      <c r="S2389" s="17" t="s">
        <v>2243</v>
      </c>
      <c r="T2389" s="17" t="s">
        <v>4137</v>
      </c>
      <c r="U238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8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8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8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E530-301015601-D235301</v>
      </c>
      <c r="Y238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8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89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89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8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89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89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90" spans="1:31" hidden="1" x14ac:dyDescent="0.3">
      <c r="A2390" s="14" t="s">
        <v>5680</v>
      </c>
      <c r="B2390" s="14" t="s">
        <v>30</v>
      </c>
      <c r="C2390" s="14" t="s">
        <v>741</v>
      </c>
      <c r="D2390" s="14" t="s">
        <v>742</v>
      </c>
      <c r="E2390" s="14" t="s">
        <v>4136</v>
      </c>
      <c r="F2390" s="16">
        <v>0</v>
      </c>
      <c r="G2390" s="14" t="s">
        <v>2237</v>
      </c>
      <c r="H2390" s="16">
        <v>0</v>
      </c>
      <c r="I2390" s="14" t="s">
        <v>2237</v>
      </c>
      <c r="J2390" s="16">
        <v>0</v>
      </c>
      <c r="K2390" s="14" t="s">
        <v>2237</v>
      </c>
      <c r="L2390" s="16">
        <v>0</v>
      </c>
      <c r="M2390" s="14" t="s">
        <v>2237</v>
      </c>
      <c r="N2390" s="16">
        <v>565608.62</v>
      </c>
      <c r="O2390" s="14" t="s">
        <v>2237</v>
      </c>
      <c r="P2390" s="14" t="s">
        <v>2236</v>
      </c>
      <c r="Q2390" s="17" t="s">
        <v>2242</v>
      </c>
      <c r="R2390" s="17" t="s">
        <v>2238</v>
      </c>
      <c r="S2390" s="17" t="s">
        <v>2243</v>
      </c>
      <c r="T2390" s="17" t="s">
        <v>4142</v>
      </c>
      <c r="U239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E530-3010156-D235301</v>
      </c>
      <c r="X239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E530-301015601-D235301</v>
      </c>
      <c r="Y239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E530-30101560123-D235301</v>
      </c>
      <c r="Z239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0" s="10" t="str">
        <f>IF(IFERROR(INDEX(WBS_Dictionary!K$2:K$1212, MATCH(Table2[[#This Row],[WBS_ID]], Table26[WBS CODE],0)), "") = "", "null", IFERROR(INDEX(WBS_Dictionary!K$2:K$1212, MATCH(Table2[[#This Row],[WBS_ID]], Table26[WBS CODE],0)), ""))</f>
        <v>Rig Move</v>
      </c>
      <c r="AB2390" s="10" t="str">
        <f>IF(IFERROR(INDEX(WBS_Dictionary!L$2:L$1212, MATCH(Table2[[#This Row],[WBS_ID]], Table26[WBS CODE],0)), "") = "", "null", IFERROR(INDEX(WBS_Dictionary!L$2:L$1212, MATCH(Table2[[#This Row],[WBS_ID]], Table26[WBS CODE],0)), ""))</f>
        <v>Rig Move</v>
      </c>
      <c r="AC2390" s="10" t="str">
        <f>IF(IFERROR(INDEX(WBS_Dictionary!M$2:M$1212, MATCH(Table2[[#This Row],[WBS_ID]], Table26[WBS CODE],0)), "") = "", "null", IFERROR(INDEX(WBS_Dictionary!M$2:M$1212, MATCH(Table2[[#This Row],[WBS_ID]], Table26[WBS CODE],0)), ""))</f>
        <v>Rig Move</v>
      </c>
      <c r="AD2390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90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91" spans="1:31" hidden="1" x14ac:dyDescent="0.3">
      <c r="A2391" s="14" t="s">
        <v>5681</v>
      </c>
      <c r="B2391" s="14" t="s">
        <v>21</v>
      </c>
      <c r="C2391" s="14" t="s">
        <v>743</v>
      </c>
      <c r="D2391" s="14" t="s">
        <v>744</v>
      </c>
      <c r="E2391" s="14" t="s">
        <v>4136</v>
      </c>
      <c r="F2391" s="16">
        <v>5040554.18</v>
      </c>
      <c r="G2391" s="14" t="s">
        <v>2237</v>
      </c>
      <c r="H2391" s="16">
        <v>5040554.18</v>
      </c>
      <c r="I2391" s="14" t="s">
        <v>2237</v>
      </c>
      <c r="J2391" s="16">
        <v>0</v>
      </c>
      <c r="K2391" s="14" t="s">
        <v>2237</v>
      </c>
      <c r="L2391" s="16">
        <v>0</v>
      </c>
      <c r="M2391" s="14" t="s">
        <v>2237</v>
      </c>
      <c r="N2391" s="16">
        <v>3485865.57</v>
      </c>
      <c r="O2391" s="14" t="s">
        <v>2237</v>
      </c>
      <c r="P2391" s="14" t="s">
        <v>2236</v>
      </c>
      <c r="Q2391" s="17" t="s">
        <v>2242</v>
      </c>
      <c r="R2391" s="17" t="s">
        <v>2238</v>
      </c>
      <c r="S2391" s="17" t="s">
        <v>2243</v>
      </c>
      <c r="T2391" s="17" t="s">
        <v>4137</v>
      </c>
      <c r="U239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E530-3010169-D235301</v>
      </c>
      <c r="X2391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39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9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1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2391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39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91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91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92" spans="1:31" hidden="1" x14ac:dyDescent="0.3">
      <c r="A2392" s="14" t="s">
        <v>5682</v>
      </c>
      <c r="B2392" s="14" t="s">
        <v>26</v>
      </c>
      <c r="C2392" s="14" t="s">
        <v>746</v>
      </c>
      <c r="D2392" s="14" t="s">
        <v>747</v>
      </c>
      <c r="E2392" s="14" t="s">
        <v>4136</v>
      </c>
      <c r="F2392" s="16">
        <v>1323838.68</v>
      </c>
      <c r="G2392" s="14" t="s">
        <v>2237</v>
      </c>
      <c r="H2392" s="16">
        <v>1323838.68</v>
      </c>
      <c r="I2392" s="14" t="s">
        <v>2237</v>
      </c>
      <c r="J2392" s="16">
        <v>0</v>
      </c>
      <c r="K2392" s="14" t="s">
        <v>2237</v>
      </c>
      <c r="L2392" s="16">
        <v>0</v>
      </c>
      <c r="M2392" s="14" t="s">
        <v>2237</v>
      </c>
      <c r="N2392" s="16">
        <v>1041966.78</v>
      </c>
      <c r="O2392" s="14" t="s">
        <v>2237</v>
      </c>
      <c r="P2392" s="14" t="s">
        <v>2236</v>
      </c>
      <c r="Q2392" s="17" t="s">
        <v>2242</v>
      </c>
      <c r="R2392" s="17" t="s">
        <v>2238</v>
      </c>
      <c r="S2392" s="17" t="s">
        <v>2243</v>
      </c>
      <c r="T2392" s="17" t="s">
        <v>5604</v>
      </c>
      <c r="U239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E530-3010169-D235301</v>
      </c>
      <c r="X239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E530-301016967-D235301</v>
      </c>
      <c r="Y2392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9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2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2392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2392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92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92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93" spans="1:31" hidden="1" x14ac:dyDescent="0.3">
      <c r="A2393" s="14" t="s">
        <v>5683</v>
      </c>
      <c r="B2393" s="14" t="s">
        <v>30</v>
      </c>
      <c r="C2393" s="14" t="s">
        <v>746</v>
      </c>
      <c r="D2393" s="14" t="s">
        <v>748</v>
      </c>
      <c r="E2393" s="14" t="s">
        <v>4136</v>
      </c>
      <c r="F2393" s="16">
        <v>0</v>
      </c>
      <c r="G2393" s="14" t="s">
        <v>2237</v>
      </c>
      <c r="H2393" s="16">
        <v>0</v>
      </c>
      <c r="I2393" s="14" t="s">
        <v>2237</v>
      </c>
      <c r="J2393" s="16">
        <v>0</v>
      </c>
      <c r="K2393" s="14" t="s">
        <v>2237</v>
      </c>
      <c r="L2393" s="16">
        <v>0</v>
      </c>
      <c r="M2393" s="14" t="s">
        <v>2237</v>
      </c>
      <c r="N2393" s="16">
        <v>1041966.78</v>
      </c>
      <c r="O2393" s="14" t="s">
        <v>2237</v>
      </c>
      <c r="P2393" s="14" t="s">
        <v>2236</v>
      </c>
      <c r="Q2393" s="17" t="s">
        <v>2242</v>
      </c>
      <c r="R2393" s="17" t="s">
        <v>2238</v>
      </c>
      <c r="S2393" s="17" t="s">
        <v>2243</v>
      </c>
      <c r="T2393" s="17" t="s">
        <v>4142</v>
      </c>
      <c r="U239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E530-3010169-D235301</v>
      </c>
      <c r="X239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E530-301016967-D235301</v>
      </c>
      <c r="Y239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E530-30101696706-D235301</v>
      </c>
      <c r="Z239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3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2393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2393" s="10" t="str">
        <f>IF(IFERROR(INDEX(WBS_Dictionary!M$2:M$1212, MATCH(Table2[[#This Row],[WBS_ID]], Table26[WBS CODE],0)), "") = "", "null", IFERROR(INDEX(WBS_Dictionary!M$2:M$1212, MATCH(Table2[[#This Row],[WBS_ID]], Table26[WBS CODE],0)), ""))</f>
        <v>Rig Mobilization</v>
      </c>
      <c r="AD2393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93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94" spans="1:31" hidden="1" x14ac:dyDescent="0.3">
      <c r="A2394" s="14" t="s">
        <v>5684</v>
      </c>
      <c r="B2394" s="14" t="s">
        <v>26</v>
      </c>
      <c r="C2394" s="14" t="s">
        <v>749</v>
      </c>
      <c r="D2394" s="14" t="s">
        <v>750</v>
      </c>
      <c r="E2394" s="14" t="s">
        <v>4136</v>
      </c>
      <c r="F2394" s="16">
        <v>3716715.5</v>
      </c>
      <c r="G2394" s="14" t="s">
        <v>2237</v>
      </c>
      <c r="H2394" s="16">
        <v>3716715.5</v>
      </c>
      <c r="I2394" s="14" t="s">
        <v>2237</v>
      </c>
      <c r="J2394" s="16">
        <v>0</v>
      </c>
      <c r="K2394" s="14" t="s">
        <v>2237</v>
      </c>
      <c r="L2394" s="16">
        <v>0</v>
      </c>
      <c r="M2394" s="14" t="s">
        <v>2237</v>
      </c>
      <c r="N2394" s="16">
        <v>2443898.79</v>
      </c>
      <c r="O2394" s="14" t="s">
        <v>2237</v>
      </c>
      <c r="P2394" s="14" t="s">
        <v>2236</v>
      </c>
      <c r="Q2394" s="17" t="s">
        <v>2242</v>
      </c>
      <c r="R2394" s="17" t="s">
        <v>2238</v>
      </c>
      <c r="S2394" s="17" t="s">
        <v>2243</v>
      </c>
      <c r="T2394" s="17" t="s">
        <v>4137</v>
      </c>
      <c r="U239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E530-3010169-D235301</v>
      </c>
      <c r="X239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E530-301016903-D235301</v>
      </c>
      <c r="Y2394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9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4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2394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2394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94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94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95" spans="1:31" hidden="1" x14ac:dyDescent="0.3">
      <c r="A2395" s="14" t="s">
        <v>5685</v>
      </c>
      <c r="B2395" s="14" t="s">
        <v>30</v>
      </c>
      <c r="C2395" s="14" t="s">
        <v>749</v>
      </c>
      <c r="D2395" s="14" t="s">
        <v>751</v>
      </c>
      <c r="E2395" s="14" t="s">
        <v>4136</v>
      </c>
      <c r="F2395" s="16">
        <v>0</v>
      </c>
      <c r="G2395" s="14" t="s">
        <v>2237</v>
      </c>
      <c r="H2395" s="16">
        <v>0</v>
      </c>
      <c r="I2395" s="14" t="s">
        <v>2237</v>
      </c>
      <c r="J2395" s="16">
        <v>0</v>
      </c>
      <c r="K2395" s="14" t="s">
        <v>2237</v>
      </c>
      <c r="L2395" s="16">
        <v>0</v>
      </c>
      <c r="M2395" s="14" t="s">
        <v>2237</v>
      </c>
      <c r="N2395" s="16">
        <v>2443898.79</v>
      </c>
      <c r="O2395" s="14" t="s">
        <v>2237</v>
      </c>
      <c r="P2395" s="14" t="s">
        <v>2236</v>
      </c>
      <c r="Q2395" s="17" t="s">
        <v>2242</v>
      </c>
      <c r="R2395" s="17" t="s">
        <v>2238</v>
      </c>
      <c r="S2395" s="17" t="s">
        <v>2243</v>
      </c>
      <c r="T2395" s="17" t="s">
        <v>4142</v>
      </c>
      <c r="U239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E530-3010169-D235301</v>
      </c>
      <c r="X239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E530-301016903-D235301</v>
      </c>
      <c r="Y239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E530-30101690306-D235301</v>
      </c>
      <c r="Z239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5" s="10" t="str">
        <f>IF(IFERROR(INDEX(WBS_Dictionary!K$2:K$1212, MATCH(Table2[[#This Row],[WBS_ID]], Table26[WBS CODE],0)), "") = "", "null", IFERROR(INDEX(WBS_Dictionary!K$2:K$1212, MATCH(Table2[[#This Row],[WBS_ID]], Table26[WBS CODE],0)), ""))</f>
        <v>Rig Mobilization</v>
      </c>
      <c r="AB2395" s="10" t="str">
        <f>IF(IFERROR(INDEX(WBS_Dictionary!L$2:L$1212, MATCH(Table2[[#This Row],[WBS_ID]], Table26[WBS CODE],0)), "") = "", "null", IFERROR(INDEX(WBS_Dictionary!L$2:L$1212, MATCH(Table2[[#This Row],[WBS_ID]], Table26[WBS CODE],0)), ""))</f>
        <v>Rig Mobilization</v>
      </c>
      <c r="AC2395" s="10" t="str">
        <f>IF(IFERROR(INDEX(WBS_Dictionary!M$2:M$1212, MATCH(Table2[[#This Row],[WBS_ID]], Table26[WBS CODE],0)), "") = "", "null", IFERROR(INDEX(WBS_Dictionary!M$2:M$1212, MATCH(Table2[[#This Row],[WBS_ID]], Table26[WBS CODE],0)), ""))</f>
        <v>Rig Mobilization</v>
      </c>
      <c r="AD2395" s="10" t="str">
        <f>IF(IFERROR(INDEX(WBS_Dictionary!N$2:N$1212, MATCH(Table2[[#This Row],[WBS_ID]], Table26[WBS CODE],0)), "") = "", "null", IFERROR(INDEX(WBS_Dictionary!N$2:N$1212, MATCH(Table2[[#This Row],[WBS_ID]], Table26[WBS CODE],0)), ""))</f>
        <v>null</v>
      </c>
      <c r="AE2395" s="10" t="str">
        <f>IF(IFERROR(INDEX(WBS_Dictionary!O$2:O$1212, MATCH(Table2[[#This Row],[WBS_ID]], Table26[WBS CODE],0)), "") = "", "null", IFERROR(INDEX(WBS_Dictionary!O$2:O$1212, MATCH(Table2[[#This Row],[WBS_ID]], Table26[WBS CODE],0)), ""))</f>
        <v>null</v>
      </c>
    </row>
    <row r="2396" spans="1:31" x14ac:dyDescent="0.3">
      <c r="A2396" s="14" t="s">
        <v>5686</v>
      </c>
      <c r="B2396" s="14" t="s">
        <v>21</v>
      </c>
      <c r="C2396" s="14" t="s">
        <v>752</v>
      </c>
      <c r="D2396" s="14" t="s">
        <v>753</v>
      </c>
      <c r="E2396" s="14" t="s">
        <v>4136</v>
      </c>
      <c r="F2396" s="16">
        <v>0</v>
      </c>
      <c r="G2396" s="14" t="s">
        <v>2237</v>
      </c>
      <c r="H2396" s="16">
        <v>0</v>
      </c>
      <c r="I2396" s="14" t="s">
        <v>2237</v>
      </c>
      <c r="J2396" s="16">
        <v>0</v>
      </c>
      <c r="K2396" s="14" t="s">
        <v>2237</v>
      </c>
      <c r="L2396" s="16">
        <v>0</v>
      </c>
      <c r="M2396" s="14" t="s">
        <v>2237</v>
      </c>
      <c r="N2396" s="16">
        <v>0</v>
      </c>
      <c r="O2396" s="14" t="s">
        <v>2237</v>
      </c>
      <c r="P2396" s="14" t="s">
        <v>2236</v>
      </c>
      <c r="Q2396" s="17" t="s">
        <v>2242</v>
      </c>
      <c r="R2396" s="17" t="s">
        <v>2238</v>
      </c>
      <c r="S2396" s="17" t="s">
        <v>2243</v>
      </c>
      <c r="T2396" s="17" t="s">
        <v>4137</v>
      </c>
      <c r="U239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396" s="10" t="str">
        <f>IF(IFERROR(INDEX(WBS_Dictionary!H$2:H$1212, MATCH(Table2[[#This Row],[WBS_ID]], Table26[WBS CODE],0)), "") = "", "null", IFERROR(INDEX(WBS_Dictionary!H$2:H$1212, MATCH(Table2[[#This Row],[WBS_ID]], Table26[WBS CODE],0)), ""))</f>
        <v>null</v>
      </c>
      <c r="Y2396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9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96" s="10" t="str">
        <f>IF(IFERROR(INDEX(WBS_Dictionary!L$2:L$1212, MATCH(Table2[[#This Row],[WBS_ID]], Table26[WBS CODE],0)), "") = "", "null", IFERROR(INDEX(WBS_Dictionary!L$2:L$1212, MATCH(Table2[[#This Row],[WBS_ID]], Table26[WBS CODE],0)), ""))</f>
        <v>null</v>
      </c>
      <c r="AC2396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9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39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97" spans="1:31" x14ac:dyDescent="0.3">
      <c r="A2397" s="14" t="s">
        <v>5687</v>
      </c>
      <c r="B2397" s="14" t="s">
        <v>26</v>
      </c>
      <c r="C2397" s="14" t="s">
        <v>754</v>
      </c>
      <c r="D2397" s="14" t="s">
        <v>755</v>
      </c>
      <c r="E2397" s="14" t="s">
        <v>4136</v>
      </c>
      <c r="F2397" s="16">
        <v>0</v>
      </c>
      <c r="G2397" s="14" t="s">
        <v>2237</v>
      </c>
      <c r="H2397" s="16">
        <v>0</v>
      </c>
      <c r="I2397" s="14" t="s">
        <v>2237</v>
      </c>
      <c r="J2397" s="16">
        <v>0</v>
      </c>
      <c r="K2397" s="14" t="s">
        <v>2237</v>
      </c>
      <c r="L2397" s="16">
        <v>0</v>
      </c>
      <c r="M2397" s="14" t="s">
        <v>2237</v>
      </c>
      <c r="N2397" s="16">
        <v>0</v>
      </c>
      <c r="O2397" s="14" t="s">
        <v>2237</v>
      </c>
      <c r="P2397" s="14" t="s">
        <v>2236</v>
      </c>
      <c r="Q2397" s="17" t="s">
        <v>2242</v>
      </c>
      <c r="R2397" s="17" t="s">
        <v>2238</v>
      </c>
      <c r="S2397" s="17" t="s">
        <v>2243</v>
      </c>
      <c r="T2397" s="17" t="s">
        <v>4137</v>
      </c>
      <c r="U239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39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397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39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9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97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39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39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98" spans="1:31" x14ac:dyDescent="0.3">
      <c r="A2398" s="14" t="s">
        <v>5688</v>
      </c>
      <c r="B2398" s="14" t="s">
        <v>30</v>
      </c>
      <c r="C2398" s="14" t="s">
        <v>5689</v>
      </c>
      <c r="D2398" s="14" t="s">
        <v>757</v>
      </c>
      <c r="E2398" s="14" t="s">
        <v>4136</v>
      </c>
      <c r="F2398" s="16">
        <v>0</v>
      </c>
      <c r="G2398" s="14" t="s">
        <v>2237</v>
      </c>
      <c r="H2398" s="16">
        <v>0</v>
      </c>
      <c r="I2398" s="14" t="s">
        <v>2237</v>
      </c>
      <c r="J2398" s="16">
        <v>0</v>
      </c>
      <c r="K2398" s="14" t="s">
        <v>2237</v>
      </c>
      <c r="L2398" s="16">
        <v>0</v>
      </c>
      <c r="M2398" s="14" t="s">
        <v>2237</v>
      </c>
      <c r="N2398" s="16">
        <v>0</v>
      </c>
      <c r="O2398" s="14" t="s">
        <v>2237</v>
      </c>
      <c r="P2398" s="14" t="s">
        <v>2236</v>
      </c>
      <c r="Q2398" s="17" t="s">
        <v>2242</v>
      </c>
      <c r="R2398" s="17" t="s">
        <v>2238</v>
      </c>
      <c r="S2398" s="17" t="s">
        <v>2243</v>
      </c>
      <c r="T2398" s="17" t="s">
        <v>4142</v>
      </c>
      <c r="U239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39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39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E530-30101010224-D235301</v>
      </c>
      <c r="Z239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9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98" s="10" t="str">
        <f>IF(IFERROR(INDEX(WBS_Dictionary!M$2:M$1212, MATCH(Table2[[#This Row],[WBS_ID]], Table26[WBS CODE],0)), "") = "", "null", IFERROR(INDEX(WBS_Dictionary!M$2:M$1212, MATCH(Table2[[#This Row],[WBS_ID]], Table26[WBS CODE],0)), ""))</f>
        <v>Explosive Handling &amp; Permitting</v>
      </c>
      <c r="AD239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39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399" spans="1:31" x14ac:dyDescent="0.3">
      <c r="A2399" s="14" t="s">
        <v>5690</v>
      </c>
      <c r="B2399" s="14" t="s">
        <v>30</v>
      </c>
      <c r="C2399" s="14" t="s">
        <v>758</v>
      </c>
      <c r="D2399" s="14" t="s">
        <v>759</v>
      </c>
      <c r="E2399" s="14" t="s">
        <v>4136</v>
      </c>
      <c r="F2399" s="16">
        <v>0</v>
      </c>
      <c r="G2399" s="14" t="s">
        <v>2237</v>
      </c>
      <c r="H2399" s="16">
        <v>0</v>
      </c>
      <c r="I2399" s="14" t="s">
        <v>2237</v>
      </c>
      <c r="J2399" s="16">
        <v>0</v>
      </c>
      <c r="K2399" s="14" t="s">
        <v>2237</v>
      </c>
      <c r="L2399" s="16">
        <v>0</v>
      </c>
      <c r="M2399" s="14" t="s">
        <v>2237</v>
      </c>
      <c r="N2399" s="16">
        <v>0</v>
      </c>
      <c r="O2399" s="14" t="s">
        <v>2237</v>
      </c>
      <c r="P2399" s="14" t="s">
        <v>2236</v>
      </c>
      <c r="Q2399" s="17" t="s">
        <v>2242</v>
      </c>
      <c r="R2399" s="17" t="s">
        <v>2238</v>
      </c>
      <c r="S2399" s="17" t="s">
        <v>2243</v>
      </c>
      <c r="T2399" s="17" t="s">
        <v>4142</v>
      </c>
      <c r="U239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39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39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39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39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E530-30101010298-D235301</v>
      </c>
      <c r="Z239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39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39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399" s="10" t="str">
        <f>IF(IFERROR(INDEX(WBS_Dictionary!M$2:M$1212, MATCH(Table2[[#This Row],[WBS_ID]], Table26[WBS CODE],0)), "") = "", "null", IFERROR(INDEX(WBS_Dictionary!M$2:M$1212, MATCH(Table2[[#This Row],[WBS_ID]], Table26[WBS CODE],0)), ""))</f>
        <v>API non API Machine Shop Service</v>
      </c>
      <c r="AD239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39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0" spans="1:31" x14ac:dyDescent="0.3">
      <c r="A2400" s="14" t="s">
        <v>5691</v>
      </c>
      <c r="B2400" s="14" t="s">
        <v>30</v>
      </c>
      <c r="C2400" s="14" t="s">
        <v>760</v>
      </c>
      <c r="D2400" s="14" t="s">
        <v>761</v>
      </c>
      <c r="E2400" s="14" t="s">
        <v>4136</v>
      </c>
      <c r="F2400" s="16">
        <v>0</v>
      </c>
      <c r="G2400" s="14" t="s">
        <v>2237</v>
      </c>
      <c r="H2400" s="16">
        <v>0</v>
      </c>
      <c r="I2400" s="14" t="s">
        <v>2237</v>
      </c>
      <c r="J2400" s="16">
        <v>0</v>
      </c>
      <c r="K2400" s="14" t="s">
        <v>2237</v>
      </c>
      <c r="L2400" s="16">
        <v>0</v>
      </c>
      <c r="M2400" s="14" t="s">
        <v>2237</v>
      </c>
      <c r="N2400" s="16">
        <v>0</v>
      </c>
      <c r="O2400" s="14" t="s">
        <v>2237</v>
      </c>
      <c r="P2400" s="14" t="s">
        <v>2236</v>
      </c>
      <c r="Q2400" s="17" t="s">
        <v>2242</v>
      </c>
      <c r="R2400" s="17" t="s">
        <v>2238</v>
      </c>
      <c r="S2400" s="17" t="s">
        <v>2243</v>
      </c>
      <c r="T2400" s="17" t="s">
        <v>4142</v>
      </c>
      <c r="U240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E530-30101010297-D235301</v>
      </c>
      <c r="Z240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0" s="10" t="str">
        <f>IF(IFERROR(INDEX(WBS_Dictionary!M$2:M$1212, MATCH(Table2[[#This Row],[WBS_ID]], Table26[WBS CODE],0)), "") = "", "null", IFERROR(INDEX(WBS_Dictionary!M$2:M$1212, MATCH(Table2[[#This Row],[WBS_ID]], Table26[WBS CODE],0)), ""))</f>
        <v>Welding Service</v>
      </c>
      <c r="AD240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1" spans="1:31" x14ac:dyDescent="0.3">
      <c r="A2401" s="14" t="s">
        <v>5692</v>
      </c>
      <c r="B2401" s="14" t="s">
        <v>30</v>
      </c>
      <c r="C2401" s="14" t="s">
        <v>762</v>
      </c>
      <c r="D2401" s="14" t="s">
        <v>763</v>
      </c>
      <c r="E2401" s="14" t="s">
        <v>4136</v>
      </c>
      <c r="F2401" s="16">
        <v>0</v>
      </c>
      <c r="G2401" s="14" t="s">
        <v>2237</v>
      </c>
      <c r="H2401" s="16">
        <v>0</v>
      </c>
      <c r="I2401" s="14" t="s">
        <v>2237</v>
      </c>
      <c r="J2401" s="16">
        <v>0</v>
      </c>
      <c r="K2401" s="14" t="s">
        <v>2237</v>
      </c>
      <c r="L2401" s="16">
        <v>0</v>
      </c>
      <c r="M2401" s="14" t="s">
        <v>2237</v>
      </c>
      <c r="N2401" s="16">
        <v>0</v>
      </c>
      <c r="O2401" s="14" t="s">
        <v>2237</v>
      </c>
      <c r="P2401" s="14" t="s">
        <v>2236</v>
      </c>
      <c r="Q2401" s="17" t="s">
        <v>2242</v>
      </c>
      <c r="R2401" s="17" t="s">
        <v>2238</v>
      </c>
      <c r="S2401" s="17" t="s">
        <v>2243</v>
      </c>
      <c r="T2401" s="17" t="s">
        <v>4142</v>
      </c>
      <c r="U240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E530-30101010296-D235301</v>
      </c>
      <c r="Z240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1" s="10" t="str">
        <f>IF(IFERROR(INDEX(WBS_Dictionary!M$2:M$1212, MATCH(Table2[[#This Row],[WBS_ID]], Table26[WBS CODE],0)), "") = "", "null", IFERROR(INDEX(WBS_Dictionary!M$2:M$1212, MATCH(Table2[[#This Row],[WBS_ID]], Table26[WBS CODE],0)), ""))</f>
        <v>Vehicle Inspection</v>
      </c>
      <c r="AD240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2" spans="1:31" x14ac:dyDescent="0.3">
      <c r="A2402" s="14" t="s">
        <v>5693</v>
      </c>
      <c r="B2402" s="14" t="s">
        <v>30</v>
      </c>
      <c r="C2402" s="14" t="s">
        <v>764</v>
      </c>
      <c r="D2402" s="14" t="s">
        <v>765</v>
      </c>
      <c r="E2402" s="14" t="s">
        <v>4136</v>
      </c>
      <c r="F2402" s="16">
        <v>0</v>
      </c>
      <c r="G2402" s="14" t="s">
        <v>2237</v>
      </c>
      <c r="H2402" s="16">
        <v>0</v>
      </c>
      <c r="I2402" s="14" t="s">
        <v>2237</v>
      </c>
      <c r="J2402" s="16">
        <v>0</v>
      </c>
      <c r="K2402" s="14" t="s">
        <v>2237</v>
      </c>
      <c r="L2402" s="16">
        <v>0</v>
      </c>
      <c r="M2402" s="14" t="s">
        <v>2237</v>
      </c>
      <c r="N2402" s="16">
        <v>0</v>
      </c>
      <c r="O2402" s="14" t="s">
        <v>2237</v>
      </c>
      <c r="P2402" s="14" t="s">
        <v>2236</v>
      </c>
      <c r="Q2402" s="17" t="s">
        <v>2242</v>
      </c>
      <c r="R2402" s="17" t="s">
        <v>2238</v>
      </c>
      <c r="S2402" s="17" t="s">
        <v>2243</v>
      </c>
      <c r="T2402" s="17" t="s">
        <v>4142</v>
      </c>
      <c r="U240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E530-30101010295-D235301</v>
      </c>
      <c r="Z240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2" s="10" t="str">
        <f>IF(IFERROR(INDEX(WBS_Dictionary!M$2:M$1212, MATCH(Table2[[#This Row],[WBS_ID]], Table26[WBS CODE],0)), "") = "", "null", IFERROR(INDEX(WBS_Dictionary!M$2:M$1212, MATCH(Table2[[#This Row],[WBS_ID]], Table26[WBS CODE],0)), ""))</f>
        <v>Rig Inspection</v>
      </c>
      <c r="AD240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3" spans="1:31" x14ac:dyDescent="0.3">
      <c r="A2403" s="14" t="s">
        <v>5694</v>
      </c>
      <c r="B2403" s="14" t="s">
        <v>30</v>
      </c>
      <c r="C2403" s="14" t="s">
        <v>766</v>
      </c>
      <c r="D2403" s="14" t="s">
        <v>767</v>
      </c>
      <c r="E2403" s="14" t="s">
        <v>4136</v>
      </c>
      <c r="F2403" s="16">
        <v>0</v>
      </c>
      <c r="G2403" s="14" t="s">
        <v>2237</v>
      </c>
      <c r="H2403" s="16">
        <v>0</v>
      </c>
      <c r="I2403" s="14" t="s">
        <v>2237</v>
      </c>
      <c r="J2403" s="16">
        <v>0</v>
      </c>
      <c r="K2403" s="14" t="s">
        <v>2237</v>
      </c>
      <c r="L2403" s="16">
        <v>0</v>
      </c>
      <c r="M2403" s="14" t="s">
        <v>2237</v>
      </c>
      <c r="N2403" s="16">
        <v>0</v>
      </c>
      <c r="O2403" s="14" t="s">
        <v>2237</v>
      </c>
      <c r="P2403" s="14" t="s">
        <v>2236</v>
      </c>
      <c r="Q2403" s="17" t="s">
        <v>2242</v>
      </c>
      <c r="R2403" s="17" t="s">
        <v>2238</v>
      </c>
      <c r="S2403" s="17" t="s">
        <v>2243</v>
      </c>
      <c r="T2403" s="17" t="s">
        <v>4142</v>
      </c>
      <c r="U240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E530-30101010294-D235301</v>
      </c>
      <c r="Z240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3" s="10" t="str">
        <f>IF(IFERROR(INDEX(WBS_Dictionary!M$2:M$1212, MATCH(Table2[[#This Row],[WBS_ID]], Table26[WBS CODE],0)), "") = "", "null", IFERROR(INDEX(WBS_Dictionary!M$2:M$1212, MATCH(Table2[[#This Row],[WBS_ID]], Table26[WBS CODE],0)), ""))</f>
        <v>NDT Inspection</v>
      </c>
      <c r="AD240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4" spans="1:31" x14ac:dyDescent="0.3">
      <c r="A2404" s="14" t="s">
        <v>5695</v>
      </c>
      <c r="B2404" s="14" t="s">
        <v>30</v>
      </c>
      <c r="C2404" s="14" t="s">
        <v>5696</v>
      </c>
      <c r="D2404" s="14" t="s">
        <v>769</v>
      </c>
      <c r="E2404" s="14" t="s">
        <v>4136</v>
      </c>
      <c r="F2404" s="16">
        <v>0</v>
      </c>
      <c r="G2404" s="14" t="s">
        <v>2237</v>
      </c>
      <c r="H2404" s="16">
        <v>0</v>
      </c>
      <c r="I2404" s="14" t="s">
        <v>2237</v>
      </c>
      <c r="J2404" s="16">
        <v>0</v>
      </c>
      <c r="K2404" s="14" t="s">
        <v>2237</v>
      </c>
      <c r="L2404" s="16">
        <v>0</v>
      </c>
      <c r="M2404" s="14" t="s">
        <v>2237</v>
      </c>
      <c r="N2404" s="16">
        <v>0</v>
      </c>
      <c r="O2404" s="14" t="s">
        <v>2237</v>
      </c>
      <c r="P2404" s="14" t="s">
        <v>2236</v>
      </c>
      <c r="Q2404" s="17" t="s">
        <v>2242</v>
      </c>
      <c r="R2404" s="17" t="s">
        <v>2238</v>
      </c>
      <c r="S2404" s="17" t="s">
        <v>2243</v>
      </c>
      <c r="T2404" s="17" t="s">
        <v>4142</v>
      </c>
      <c r="U240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E530-30101010220-D235301</v>
      </c>
      <c r="Z240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4" s="10" t="str">
        <f>IF(IFERROR(INDEX(WBS_Dictionary!M$2:M$1212, MATCH(Table2[[#This Row],[WBS_ID]], Table26[WBS CODE],0)), "") = "", "null", IFERROR(INDEX(WBS_Dictionary!M$2:M$1212, MATCH(Table2[[#This Row],[WBS_ID]], Table26[WBS CODE],0)), ""))</f>
        <v>Drilling Safety, Health &amp; Environment</v>
      </c>
      <c r="AD240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5" spans="1:31" x14ac:dyDescent="0.3">
      <c r="A2405" s="14" t="s">
        <v>5697</v>
      </c>
      <c r="B2405" s="14" t="s">
        <v>30</v>
      </c>
      <c r="C2405" s="14" t="s">
        <v>770</v>
      </c>
      <c r="D2405" s="14" t="s">
        <v>771</v>
      </c>
      <c r="E2405" s="14" t="s">
        <v>4136</v>
      </c>
      <c r="F2405" s="16">
        <v>0</v>
      </c>
      <c r="G2405" s="14" t="s">
        <v>2237</v>
      </c>
      <c r="H2405" s="16">
        <v>0</v>
      </c>
      <c r="I2405" s="14" t="s">
        <v>2237</v>
      </c>
      <c r="J2405" s="16">
        <v>0</v>
      </c>
      <c r="K2405" s="14" t="s">
        <v>2237</v>
      </c>
      <c r="L2405" s="16">
        <v>0</v>
      </c>
      <c r="M2405" s="14" t="s">
        <v>2237</v>
      </c>
      <c r="N2405" s="16">
        <v>0</v>
      </c>
      <c r="O2405" s="14" t="s">
        <v>2237</v>
      </c>
      <c r="P2405" s="14" t="s">
        <v>2236</v>
      </c>
      <c r="Q2405" s="17" t="s">
        <v>2242</v>
      </c>
      <c r="R2405" s="17" t="s">
        <v>2238</v>
      </c>
      <c r="S2405" s="17" t="s">
        <v>2243</v>
      </c>
      <c r="T2405" s="17" t="s">
        <v>4142</v>
      </c>
      <c r="U240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E530-30101010217-D235301</v>
      </c>
      <c r="Z240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5" s="10" t="str">
        <f>IF(IFERROR(INDEX(WBS_Dictionary!M$2:M$1212, MATCH(Table2[[#This Row],[WBS_ID]], Table26[WBS CODE],0)), "") = "", "null", IFERROR(INDEX(WBS_Dictionary!M$2:M$1212, MATCH(Table2[[#This Row],[WBS_ID]], Table26[WBS CODE],0)), ""))</f>
        <v>Other Transportation</v>
      </c>
      <c r="AD240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6" spans="1:31" x14ac:dyDescent="0.3">
      <c r="A2406" s="14" t="s">
        <v>5698</v>
      </c>
      <c r="B2406" s="14" t="s">
        <v>30</v>
      </c>
      <c r="C2406" s="14" t="s">
        <v>772</v>
      </c>
      <c r="D2406" s="14" t="s">
        <v>773</v>
      </c>
      <c r="E2406" s="14" t="s">
        <v>4136</v>
      </c>
      <c r="F2406" s="16">
        <v>0</v>
      </c>
      <c r="G2406" s="14" t="s">
        <v>2237</v>
      </c>
      <c r="H2406" s="16">
        <v>0</v>
      </c>
      <c r="I2406" s="14" t="s">
        <v>2237</v>
      </c>
      <c r="J2406" s="16">
        <v>0</v>
      </c>
      <c r="K2406" s="14" t="s">
        <v>2237</v>
      </c>
      <c r="L2406" s="16">
        <v>0</v>
      </c>
      <c r="M2406" s="14" t="s">
        <v>2237</v>
      </c>
      <c r="N2406" s="16">
        <v>0</v>
      </c>
      <c r="O2406" s="14" t="s">
        <v>2237</v>
      </c>
      <c r="P2406" s="14" t="s">
        <v>2236</v>
      </c>
      <c r="Q2406" s="17" t="s">
        <v>2242</v>
      </c>
      <c r="R2406" s="17" t="s">
        <v>2238</v>
      </c>
      <c r="S2406" s="17" t="s">
        <v>2243</v>
      </c>
      <c r="T2406" s="17" t="s">
        <v>4142</v>
      </c>
      <c r="U240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E530-30101010216-D235301</v>
      </c>
      <c r="Z240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6" s="10" t="str">
        <f>IF(IFERROR(INDEX(WBS_Dictionary!M$2:M$1212, MATCH(Table2[[#This Row],[WBS_ID]], Table26[WBS CODE],0)), "") = "", "null", IFERROR(INDEX(WBS_Dictionary!M$2:M$1212, MATCH(Table2[[#This Row],[WBS_ID]], Table26[WBS CODE],0)), ""))</f>
        <v>Land Transportation</v>
      </c>
      <c r="AD240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7" spans="1:31" x14ac:dyDescent="0.3">
      <c r="A2407" s="14" t="s">
        <v>5699</v>
      </c>
      <c r="B2407" s="14" t="s">
        <v>30</v>
      </c>
      <c r="C2407" s="14" t="s">
        <v>774</v>
      </c>
      <c r="D2407" s="14" t="s">
        <v>775</v>
      </c>
      <c r="E2407" s="14" t="s">
        <v>4136</v>
      </c>
      <c r="F2407" s="16">
        <v>0</v>
      </c>
      <c r="G2407" s="14" t="s">
        <v>2237</v>
      </c>
      <c r="H2407" s="16">
        <v>0</v>
      </c>
      <c r="I2407" s="14" t="s">
        <v>2237</v>
      </c>
      <c r="J2407" s="16">
        <v>0</v>
      </c>
      <c r="K2407" s="14" t="s">
        <v>2237</v>
      </c>
      <c r="L2407" s="16">
        <v>0</v>
      </c>
      <c r="M2407" s="14" t="s">
        <v>2237</v>
      </c>
      <c r="N2407" s="16">
        <v>0</v>
      </c>
      <c r="O2407" s="14" t="s">
        <v>2237</v>
      </c>
      <c r="P2407" s="14" t="s">
        <v>2236</v>
      </c>
      <c r="Q2407" s="17" t="s">
        <v>2242</v>
      </c>
      <c r="R2407" s="17" t="s">
        <v>2238</v>
      </c>
      <c r="S2407" s="17" t="s">
        <v>2243</v>
      </c>
      <c r="T2407" s="17" t="s">
        <v>4142</v>
      </c>
      <c r="U240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E530-30101010215-D235301</v>
      </c>
      <c r="Z240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7" s="10" t="str">
        <f>IF(IFERROR(INDEX(WBS_Dictionary!M$2:M$1212, MATCH(Table2[[#This Row],[WBS_ID]], Table26[WBS CODE],0)), "") = "", "null", IFERROR(INDEX(WBS_Dictionary!M$2:M$1212, MATCH(Table2[[#This Row],[WBS_ID]], Table26[WBS CODE],0)), ""))</f>
        <v>Supervision</v>
      </c>
      <c r="AD240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8" spans="1:31" x14ac:dyDescent="0.3">
      <c r="A2408" s="14" t="s">
        <v>5700</v>
      </c>
      <c r="B2408" s="14" t="s">
        <v>30</v>
      </c>
      <c r="C2408" s="14" t="s">
        <v>776</v>
      </c>
      <c r="D2408" s="14" t="s">
        <v>777</v>
      </c>
      <c r="E2408" s="14" t="s">
        <v>4136</v>
      </c>
      <c r="F2408" s="16">
        <v>0</v>
      </c>
      <c r="G2408" s="14" t="s">
        <v>2237</v>
      </c>
      <c r="H2408" s="16">
        <v>0</v>
      </c>
      <c r="I2408" s="14" t="s">
        <v>2237</v>
      </c>
      <c r="J2408" s="16">
        <v>0</v>
      </c>
      <c r="K2408" s="14" t="s">
        <v>2237</v>
      </c>
      <c r="L2408" s="16">
        <v>0</v>
      </c>
      <c r="M2408" s="14" t="s">
        <v>2237</v>
      </c>
      <c r="N2408" s="16">
        <v>0</v>
      </c>
      <c r="O2408" s="14" t="s">
        <v>2237</v>
      </c>
      <c r="P2408" s="14" t="s">
        <v>2236</v>
      </c>
      <c r="Q2408" s="17" t="s">
        <v>2242</v>
      </c>
      <c r="R2408" s="17" t="s">
        <v>2238</v>
      </c>
      <c r="S2408" s="17" t="s">
        <v>2243</v>
      </c>
      <c r="T2408" s="17" t="s">
        <v>4142</v>
      </c>
      <c r="U240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E530-30101010214-D235301</v>
      </c>
      <c r="Z240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8" s="10" t="str">
        <f>IF(IFERROR(INDEX(WBS_Dictionary!M$2:M$1212, MATCH(Table2[[#This Row],[WBS_ID]], Table26[WBS CODE],0)), "") = "", "null", IFERROR(INDEX(WBS_Dictionary!M$2:M$1212, MATCH(Table2[[#This Row],[WBS_ID]], Table26[WBS CODE],0)), ""))</f>
        <v>Open Hole Electrical Logging Service</v>
      </c>
      <c r="AD240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09" spans="1:31" x14ac:dyDescent="0.3">
      <c r="A2409" s="14" t="s">
        <v>5701</v>
      </c>
      <c r="B2409" s="14" t="s">
        <v>30</v>
      </c>
      <c r="C2409" s="14" t="s">
        <v>778</v>
      </c>
      <c r="D2409" s="14" t="s">
        <v>779</v>
      </c>
      <c r="E2409" s="14" t="s">
        <v>4136</v>
      </c>
      <c r="F2409" s="16">
        <v>0</v>
      </c>
      <c r="G2409" s="14" t="s">
        <v>2237</v>
      </c>
      <c r="H2409" s="16">
        <v>0</v>
      </c>
      <c r="I2409" s="14" t="s">
        <v>2237</v>
      </c>
      <c r="J2409" s="16">
        <v>0</v>
      </c>
      <c r="K2409" s="14" t="s">
        <v>2237</v>
      </c>
      <c r="L2409" s="16">
        <v>0</v>
      </c>
      <c r="M2409" s="14" t="s">
        <v>2237</v>
      </c>
      <c r="N2409" s="16">
        <v>0</v>
      </c>
      <c r="O2409" s="14" t="s">
        <v>2237</v>
      </c>
      <c r="P2409" s="14" t="s">
        <v>2236</v>
      </c>
      <c r="Q2409" s="17" t="s">
        <v>2242</v>
      </c>
      <c r="R2409" s="17" t="s">
        <v>2238</v>
      </c>
      <c r="S2409" s="17" t="s">
        <v>2243</v>
      </c>
      <c r="T2409" s="17" t="s">
        <v>4142</v>
      </c>
      <c r="U240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0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0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0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09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E530-30101010213-D235301</v>
      </c>
      <c r="Z240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0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09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09" s="10" t="str">
        <f>IF(IFERROR(INDEX(WBS_Dictionary!M$2:M$1212, MATCH(Table2[[#This Row],[WBS_ID]], Table26[WBS CODE],0)), "") = "", "null", IFERROR(INDEX(WBS_Dictionary!M$2:M$1212, MATCH(Table2[[#This Row],[WBS_ID]], Table26[WBS CODE],0)), ""))</f>
        <v>Mud Logging Service</v>
      </c>
      <c r="AD240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0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0" spans="1:31" x14ac:dyDescent="0.3">
      <c r="A2410" s="14" t="s">
        <v>5702</v>
      </c>
      <c r="B2410" s="14" t="s">
        <v>30</v>
      </c>
      <c r="C2410" s="14" t="s">
        <v>780</v>
      </c>
      <c r="D2410" s="14" t="s">
        <v>781</v>
      </c>
      <c r="E2410" s="14" t="s">
        <v>4136</v>
      </c>
      <c r="F2410" s="16">
        <v>0</v>
      </c>
      <c r="G2410" s="14" t="s">
        <v>2237</v>
      </c>
      <c r="H2410" s="16">
        <v>0</v>
      </c>
      <c r="I2410" s="14" t="s">
        <v>2237</v>
      </c>
      <c r="J2410" s="16">
        <v>0</v>
      </c>
      <c r="K2410" s="14" t="s">
        <v>2237</v>
      </c>
      <c r="L2410" s="16">
        <v>0</v>
      </c>
      <c r="M2410" s="14" t="s">
        <v>2237</v>
      </c>
      <c r="N2410" s="16">
        <v>0</v>
      </c>
      <c r="O2410" s="14" t="s">
        <v>2237</v>
      </c>
      <c r="P2410" s="14" t="s">
        <v>2236</v>
      </c>
      <c r="Q2410" s="17" t="s">
        <v>2242</v>
      </c>
      <c r="R2410" s="17" t="s">
        <v>2238</v>
      </c>
      <c r="S2410" s="17" t="s">
        <v>2243</v>
      </c>
      <c r="T2410" s="17" t="s">
        <v>4142</v>
      </c>
      <c r="U241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E530-30101010247-D235301</v>
      </c>
      <c r="Z241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0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0" s="10" t="str">
        <f>IF(IFERROR(INDEX(WBS_Dictionary!M$2:M$1212, MATCH(Table2[[#This Row],[WBS_ID]], Table26[WBS CODE],0)), "") = "", "null", IFERROR(INDEX(WBS_Dictionary!M$2:M$1212, MATCH(Table2[[#This Row],[WBS_ID]], Table26[WBS CODE],0)), ""))</f>
        <v>Coring</v>
      </c>
      <c r="AD241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1" spans="1:31" x14ac:dyDescent="0.3">
      <c r="A2411" s="14" t="s">
        <v>5703</v>
      </c>
      <c r="B2411" s="14" t="s">
        <v>30</v>
      </c>
      <c r="C2411" s="14" t="s">
        <v>782</v>
      </c>
      <c r="D2411" s="14" t="s">
        <v>783</v>
      </c>
      <c r="E2411" s="14" t="s">
        <v>4136</v>
      </c>
      <c r="F2411" s="16">
        <v>0</v>
      </c>
      <c r="G2411" s="14" t="s">
        <v>2237</v>
      </c>
      <c r="H2411" s="16">
        <v>0</v>
      </c>
      <c r="I2411" s="14" t="s">
        <v>2237</v>
      </c>
      <c r="J2411" s="16">
        <v>0</v>
      </c>
      <c r="K2411" s="14" t="s">
        <v>2237</v>
      </c>
      <c r="L2411" s="16">
        <v>0</v>
      </c>
      <c r="M2411" s="14" t="s">
        <v>2237</v>
      </c>
      <c r="N2411" s="16">
        <v>0</v>
      </c>
      <c r="O2411" s="14" t="s">
        <v>2237</v>
      </c>
      <c r="P2411" s="14" t="s">
        <v>2236</v>
      </c>
      <c r="Q2411" s="17" t="s">
        <v>2242</v>
      </c>
      <c r="R2411" s="17" t="s">
        <v>2238</v>
      </c>
      <c r="S2411" s="17" t="s">
        <v>2243</v>
      </c>
      <c r="T2411" s="17" t="s">
        <v>4142</v>
      </c>
      <c r="U241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1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E530-30101010212-D235301</v>
      </c>
      <c r="Z241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1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1" s="10" t="str">
        <f>IF(IFERROR(INDEX(WBS_Dictionary!M$2:M$1212, MATCH(Table2[[#This Row],[WBS_ID]], Table26[WBS CODE],0)), "") = "", "null", IFERROR(INDEX(WBS_Dictionary!M$2:M$1212, MATCH(Table2[[#This Row],[WBS_ID]], Table26[WBS CODE],0)), ""))</f>
        <v>Cement, Cementing &amp; Pump Fees</v>
      </c>
      <c r="AD241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2" spans="1:31" x14ac:dyDescent="0.3">
      <c r="A2412" s="14" t="s">
        <v>5704</v>
      </c>
      <c r="B2412" s="14" t="s">
        <v>30</v>
      </c>
      <c r="C2412" s="14" t="s">
        <v>784</v>
      </c>
      <c r="D2412" s="14" t="s">
        <v>785</v>
      </c>
      <c r="E2412" s="14" t="s">
        <v>4136</v>
      </c>
      <c r="F2412" s="16">
        <v>0</v>
      </c>
      <c r="G2412" s="14" t="s">
        <v>2237</v>
      </c>
      <c r="H2412" s="16">
        <v>0</v>
      </c>
      <c r="I2412" s="14" t="s">
        <v>2237</v>
      </c>
      <c r="J2412" s="16">
        <v>0</v>
      </c>
      <c r="K2412" s="14" t="s">
        <v>2237</v>
      </c>
      <c r="L2412" s="16">
        <v>0</v>
      </c>
      <c r="M2412" s="14" t="s">
        <v>2237</v>
      </c>
      <c r="N2412" s="16">
        <v>0</v>
      </c>
      <c r="O2412" s="14" t="s">
        <v>2237</v>
      </c>
      <c r="P2412" s="14" t="s">
        <v>2236</v>
      </c>
      <c r="Q2412" s="17" t="s">
        <v>2242</v>
      </c>
      <c r="R2412" s="17" t="s">
        <v>2238</v>
      </c>
      <c r="S2412" s="17" t="s">
        <v>2243</v>
      </c>
      <c r="T2412" s="17" t="s">
        <v>4142</v>
      </c>
      <c r="U241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E530-30101010211-D235301</v>
      </c>
      <c r="Z241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2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2" s="10" t="str">
        <f>IF(IFERROR(INDEX(WBS_Dictionary!M$2:M$1212, MATCH(Table2[[#This Row],[WBS_ID]], Table26[WBS CODE],0)), "") = "", "null", IFERROR(INDEX(WBS_Dictionary!M$2:M$1212, MATCH(Table2[[#This Row],[WBS_ID]], Table26[WBS CODE],0)), ""))</f>
        <v>Casing Installation</v>
      </c>
      <c r="AD241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3" spans="1:31" x14ac:dyDescent="0.3">
      <c r="A2413" s="14" t="s">
        <v>5705</v>
      </c>
      <c r="B2413" s="14" t="s">
        <v>30</v>
      </c>
      <c r="C2413" s="14" t="s">
        <v>786</v>
      </c>
      <c r="D2413" s="14" t="s">
        <v>787</v>
      </c>
      <c r="E2413" s="14" t="s">
        <v>4136</v>
      </c>
      <c r="F2413" s="16">
        <v>0</v>
      </c>
      <c r="G2413" s="14" t="s">
        <v>2237</v>
      </c>
      <c r="H2413" s="16">
        <v>0</v>
      </c>
      <c r="I2413" s="14" t="s">
        <v>2237</v>
      </c>
      <c r="J2413" s="16">
        <v>0</v>
      </c>
      <c r="K2413" s="14" t="s">
        <v>2237</v>
      </c>
      <c r="L2413" s="16">
        <v>0</v>
      </c>
      <c r="M2413" s="14" t="s">
        <v>2237</v>
      </c>
      <c r="N2413" s="16">
        <v>0</v>
      </c>
      <c r="O2413" s="14" t="s">
        <v>2237</v>
      </c>
      <c r="P2413" s="14" t="s">
        <v>2236</v>
      </c>
      <c r="Q2413" s="17" t="s">
        <v>2242</v>
      </c>
      <c r="R2413" s="17" t="s">
        <v>2238</v>
      </c>
      <c r="S2413" s="17" t="s">
        <v>2243</v>
      </c>
      <c r="T2413" s="17" t="s">
        <v>4142</v>
      </c>
      <c r="U241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E530-30101010210-D235301</v>
      </c>
      <c r="Z241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3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3" s="10" t="str">
        <f>IF(IFERROR(INDEX(WBS_Dictionary!M$2:M$1212, MATCH(Table2[[#This Row],[WBS_ID]], Table26[WBS CODE],0)), "") = "", "null", IFERROR(INDEX(WBS_Dictionary!M$2:M$1212, MATCH(Table2[[#This Row],[WBS_ID]], Table26[WBS CODE],0)), ""))</f>
        <v>Directional Drilling &amp; Surveys</v>
      </c>
      <c r="AD241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4" spans="1:31" x14ac:dyDescent="0.3">
      <c r="A2414" s="14" t="s">
        <v>5706</v>
      </c>
      <c r="B2414" s="14" t="s">
        <v>30</v>
      </c>
      <c r="C2414" s="14" t="s">
        <v>788</v>
      </c>
      <c r="D2414" s="14" t="s">
        <v>789</v>
      </c>
      <c r="E2414" s="14" t="s">
        <v>4136</v>
      </c>
      <c r="F2414" s="16">
        <v>0</v>
      </c>
      <c r="G2414" s="14" t="s">
        <v>2237</v>
      </c>
      <c r="H2414" s="16">
        <v>0</v>
      </c>
      <c r="I2414" s="14" t="s">
        <v>2237</v>
      </c>
      <c r="J2414" s="16">
        <v>0</v>
      </c>
      <c r="K2414" s="14" t="s">
        <v>2237</v>
      </c>
      <c r="L2414" s="16">
        <v>0</v>
      </c>
      <c r="M2414" s="14" t="s">
        <v>2237</v>
      </c>
      <c r="N2414" s="16">
        <v>0</v>
      </c>
      <c r="O2414" s="14" t="s">
        <v>2237</v>
      </c>
      <c r="P2414" s="14" t="s">
        <v>2236</v>
      </c>
      <c r="Q2414" s="17" t="s">
        <v>2242</v>
      </c>
      <c r="R2414" s="17" t="s">
        <v>2238</v>
      </c>
      <c r="S2414" s="17" t="s">
        <v>2243</v>
      </c>
      <c r="T2414" s="17" t="s">
        <v>4142</v>
      </c>
      <c r="U241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E530-30101010209-D235301</v>
      </c>
      <c r="Z241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4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4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41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5" spans="1:31" x14ac:dyDescent="0.3">
      <c r="A2415" s="14" t="s">
        <v>5707</v>
      </c>
      <c r="B2415" s="14" t="s">
        <v>30</v>
      </c>
      <c r="C2415" s="14" t="s">
        <v>790</v>
      </c>
      <c r="D2415" s="14" t="s">
        <v>791</v>
      </c>
      <c r="E2415" s="14" t="s">
        <v>4136</v>
      </c>
      <c r="F2415" s="16">
        <v>0</v>
      </c>
      <c r="G2415" s="14" t="s">
        <v>2237</v>
      </c>
      <c r="H2415" s="16">
        <v>0</v>
      </c>
      <c r="I2415" s="14" t="s">
        <v>2237</v>
      </c>
      <c r="J2415" s="16">
        <v>0</v>
      </c>
      <c r="K2415" s="14" t="s">
        <v>2237</v>
      </c>
      <c r="L2415" s="16">
        <v>0</v>
      </c>
      <c r="M2415" s="14" t="s">
        <v>2237</v>
      </c>
      <c r="N2415" s="16">
        <v>0</v>
      </c>
      <c r="O2415" s="14" t="s">
        <v>2237</v>
      </c>
      <c r="P2415" s="14" t="s">
        <v>2236</v>
      </c>
      <c r="Q2415" s="17" t="s">
        <v>2242</v>
      </c>
      <c r="R2415" s="17" t="s">
        <v>2238</v>
      </c>
      <c r="S2415" s="17" t="s">
        <v>2243</v>
      </c>
      <c r="T2415" s="17" t="s">
        <v>4142</v>
      </c>
      <c r="U241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E530-30101010208-D235301</v>
      </c>
      <c r="Z241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5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5" s="10" t="str">
        <f>IF(IFERROR(INDEX(WBS_Dictionary!M$2:M$1212, MATCH(Table2[[#This Row],[WBS_ID]], Table26[WBS CODE],0)), "") = "", "null", IFERROR(INDEX(WBS_Dictionary!M$2:M$1212, MATCH(Table2[[#This Row],[WBS_ID]], Table26[WBS CODE],0)), ""))</f>
        <v>Bits, Reamer and Core heads</v>
      </c>
      <c r="AD241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6" spans="1:31" x14ac:dyDescent="0.3">
      <c r="A2416" s="14" t="s">
        <v>5708</v>
      </c>
      <c r="B2416" s="14" t="s">
        <v>30</v>
      </c>
      <c r="C2416" s="14" t="s">
        <v>792</v>
      </c>
      <c r="D2416" s="14" t="s">
        <v>793</v>
      </c>
      <c r="E2416" s="14" t="s">
        <v>4136</v>
      </c>
      <c r="F2416" s="16">
        <v>0</v>
      </c>
      <c r="G2416" s="14" t="s">
        <v>2237</v>
      </c>
      <c r="H2416" s="16">
        <v>0</v>
      </c>
      <c r="I2416" s="14" t="s">
        <v>2237</v>
      </c>
      <c r="J2416" s="16">
        <v>0</v>
      </c>
      <c r="K2416" s="14" t="s">
        <v>2237</v>
      </c>
      <c r="L2416" s="16">
        <v>0</v>
      </c>
      <c r="M2416" s="14" t="s">
        <v>2237</v>
      </c>
      <c r="N2416" s="16">
        <v>0</v>
      </c>
      <c r="O2416" s="14" t="s">
        <v>2237</v>
      </c>
      <c r="P2416" s="14" t="s">
        <v>2236</v>
      </c>
      <c r="Q2416" s="17" t="s">
        <v>2242</v>
      </c>
      <c r="R2416" s="17" t="s">
        <v>2238</v>
      </c>
      <c r="S2416" s="17" t="s">
        <v>2243</v>
      </c>
      <c r="T2416" s="17" t="s">
        <v>4142</v>
      </c>
      <c r="U241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E530-30101010207-D235301</v>
      </c>
      <c r="Z241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6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6" s="10" t="str">
        <f>IF(IFERROR(INDEX(WBS_Dictionary!M$2:M$1212, MATCH(Table2[[#This Row],[WBS_ID]], Table26[WBS CODE],0)), "") = "", "null", IFERROR(INDEX(WBS_Dictionary!M$2:M$1212, MATCH(Table2[[#This Row],[WBS_ID]], Table26[WBS CODE],0)), ""))</f>
        <v>Mud, Chemical and Engineering Service</v>
      </c>
      <c r="AD241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7" spans="1:31" x14ac:dyDescent="0.3">
      <c r="A2417" s="14" t="s">
        <v>5709</v>
      </c>
      <c r="B2417" s="14" t="s">
        <v>30</v>
      </c>
      <c r="C2417" s="14" t="s">
        <v>794</v>
      </c>
      <c r="D2417" s="14" t="s">
        <v>795</v>
      </c>
      <c r="E2417" s="14" t="s">
        <v>4136</v>
      </c>
      <c r="F2417" s="16">
        <v>0</v>
      </c>
      <c r="G2417" s="14" t="s">
        <v>2237</v>
      </c>
      <c r="H2417" s="16">
        <v>0</v>
      </c>
      <c r="I2417" s="14" t="s">
        <v>2237</v>
      </c>
      <c r="J2417" s="16">
        <v>0</v>
      </c>
      <c r="K2417" s="14" t="s">
        <v>2237</v>
      </c>
      <c r="L2417" s="16">
        <v>0</v>
      </c>
      <c r="M2417" s="14" t="s">
        <v>2237</v>
      </c>
      <c r="N2417" s="16">
        <v>0</v>
      </c>
      <c r="O2417" s="14" t="s">
        <v>2237</v>
      </c>
      <c r="P2417" s="14" t="s">
        <v>2236</v>
      </c>
      <c r="Q2417" s="17" t="s">
        <v>2242</v>
      </c>
      <c r="R2417" s="17" t="s">
        <v>2238</v>
      </c>
      <c r="S2417" s="17" t="s">
        <v>2243</v>
      </c>
      <c r="T2417" s="17" t="s">
        <v>4142</v>
      </c>
      <c r="U2417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7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7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7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7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E530-30101010205-D235301</v>
      </c>
      <c r="Z2417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7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7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7" s="10" t="str">
        <f>IF(IFERROR(INDEX(WBS_Dictionary!M$2:M$1212, MATCH(Table2[[#This Row],[WBS_ID]], Table26[WBS CODE],0)), "") = "", "null", IFERROR(INDEX(WBS_Dictionary!M$2:M$1212, MATCH(Table2[[#This Row],[WBS_ID]], Table26[WBS CODE],0)), ""))</f>
        <v>Contract Rig</v>
      </c>
      <c r="AD2417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7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8" spans="1:31" x14ac:dyDescent="0.3">
      <c r="A2418" s="14" t="s">
        <v>5710</v>
      </c>
      <c r="B2418" s="14" t="s">
        <v>30</v>
      </c>
      <c r="C2418" s="14" t="s">
        <v>796</v>
      </c>
      <c r="D2418" s="14" t="s">
        <v>797</v>
      </c>
      <c r="E2418" s="14" t="s">
        <v>4136</v>
      </c>
      <c r="F2418" s="16">
        <v>0</v>
      </c>
      <c r="G2418" s="14" t="s">
        <v>2237</v>
      </c>
      <c r="H2418" s="16">
        <v>0</v>
      </c>
      <c r="I2418" s="14" t="s">
        <v>2237</v>
      </c>
      <c r="J2418" s="16">
        <v>0</v>
      </c>
      <c r="K2418" s="14" t="s">
        <v>2237</v>
      </c>
      <c r="L2418" s="16">
        <v>0</v>
      </c>
      <c r="M2418" s="14" t="s">
        <v>2237</v>
      </c>
      <c r="N2418" s="16">
        <v>0</v>
      </c>
      <c r="O2418" s="14" t="s">
        <v>2237</v>
      </c>
      <c r="P2418" s="14" t="s">
        <v>2236</v>
      </c>
      <c r="Q2418" s="17" t="s">
        <v>2242</v>
      </c>
      <c r="R2418" s="17" t="s">
        <v>2238</v>
      </c>
      <c r="S2418" s="17" t="s">
        <v>2243</v>
      </c>
      <c r="T2418" s="17" t="s">
        <v>4142</v>
      </c>
      <c r="U2418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8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8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8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E530-301010102-D235301</v>
      </c>
      <c r="Y2418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E530-30101010204-D235301</v>
      </c>
      <c r="Z2418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8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8" s="10" t="str">
        <f>IF(IFERROR(INDEX(WBS_Dictionary!L$2:L$1212, MATCH(Table2[[#This Row],[WBS_ID]], Table26[WBS CODE],0)), "") = "", "null", IFERROR(INDEX(WBS_Dictionary!L$2:L$1212, MATCH(Table2[[#This Row],[WBS_ID]], Table26[WBS CODE],0)), ""))</f>
        <v>Services</v>
      </c>
      <c r="AC2418" s="10" t="str">
        <f>IF(IFERROR(INDEX(WBS_Dictionary!M$2:M$1212, MATCH(Table2[[#This Row],[WBS_ID]], Table26[WBS CODE],0)), "") = "", "null", IFERROR(INDEX(WBS_Dictionary!M$2:M$1212, MATCH(Table2[[#This Row],[WBS_ID]], Table26[WBS CODE],0)), ""))</f>
        <v>Service Lines &amp; Communication</v>
      </c>
      <c r="AD2418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8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19" spans="1:31" x14ac:dyDescent="0.3">
      <c r="A2419" s="14" t="s">
        <v>5711</v>
      </c>
      <c r="B2419" s="14" t="s">
        <v>26</v>
      </c>
      <c r="C2419" s="14" t="s">
        <v>798</v>
      </c>
      <c r="D2419" s="14" t="s">
        <v>799</v>
      </c>
      <c r="E2419" s="14" t="s">
        <v>4136</v>
      </c>
      <c r="F2419" s="16">
        <v>0</v>
      </c>
      <c r="G2419" s="14" t="s">
        <v>2237</v>
      </c>
      <c r="H2419" s="16">
        <v>0</v>
      </c>
      <c r="I2419" s="14" t="s">
        <v>2237</v>
      </c>
      <c r="J2419" s="16">
        <v>0</v>
      </c>
      <c r="K2419" s="14" t="s">
        <v>2237</v>
      </c>
      <c r="L2419" s="16">
        <v>0</v>
      </c>
      <c r="M2419" s="14" t="s">
        <v>2237</v>
      </c>
      <c r="N2419" s="16">
        <v>0</v>
      </c>
      <c r="O2419" s="14" t="s">
        <v>2237</v>
      </c>
      <c r="P2419" s="14" t="s">
        <v>2236</v>
      </c>
      <c r="Q2419" s="17" t="s">
        <v>2242</v>
      </c>
      <c r="R2419" s="17" t="s">
        <v>2238</v>
      </c>
      <c r="S2419" s="17" t="s">
        <v>2243</v>
      </c>
      <c r="T2419" s="17" t="s">
        <v>4137</v>
      </c>
      <c r="U2419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19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19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19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E530-301010101-D235301</v>
      </c>
      <c r="Y2419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419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19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19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419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419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19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0" spans="1:31" x14ac:dyDescent="0.3">
      <c r="A2420" s="14" t="s">
        <v>5712</v>
      </c>
      <c r="B2420" s="14" t="s">
        <v>30</v>
      </c>
      <c r="C2420" s="14" t="s">
        <v>800</v>
      </c>
      <c r="D2420" s="14" t="s">
        <v>801</v>
      </c>
      <c r="E2420" s="14" t="s">
        <v>4136</v>
      </c>
      <c r="F2420" s="16">
        <v>0</v>
      </c>
      <c r="G2420" s="14" t="s">
        <v>2237</v>
      </c>
      <c r="H2420" s="16">
        <v>0</v>
      </c>
      <c r="I2420" s="14" t="s">
        <v>2237</v>
      </c>
      <c r="J2420" s="16">
        <v>0</v>
      </c>
      <c r="K2420" s="14" t="s">
        <v>2237</v>
      </c>
      <c r="L2420" s="16">
        <v>0</v>
      </c>
      <c r="M2420" s="14" t="s">
        <v>2237</v>
      </c>
      <c r="N2420" s="16">
        <v>0</v>
      </c>
      <c r="O2420" s="14" t="s">
        <v>2237</v>
      </c>
      <c r="P2420" s="14" t="s">
        <v>2236</v>
      </c>
      <c r="Q2420" s="17" t="s">
        <v>2242</v>
      </c>
      <c r="R2420" s="17" t="s">
        <v>2238</v>
      </c>
      <c r="S2420" s="17" t="s">
        <v>2243</v>
      </c>
      <c r="T2420" s="17" t="s">
        <v>4142</v>
      </c>
      <c r="U2420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20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20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20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E530-301010101-D235301</v>
      </c>
      <c r="Y2420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E530-30101010160-D235301</v>
      </c>
      <c r="Z2420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0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0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Non LL</v>
      </c>
      <c r="AC2420" s="10" t="str">
        <f>IF(IFERROR(INDEX(WBS_Dictionary!M$2:M$1212, MATCH(Table2[[#This Row],[WBS_ID]], Table26[WBS CODE],0)), "") = "", "null", IFERROR(INDEX(WBS_Dictionary!M$2:M$1212, MATCH(Table2[[#This Row],[WBS_ID]], Table26[WBS CODE],0)), ""))</f>
        <v>Consumables</v>
      </c>
      <c r="AD2420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20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1" spans="1:31" x14ac:dyDescent="0.3">
      <c r="A2421" s="14" t="s">
        <v>5713</v>
      </c>
      <c r="B2421" s="14" t="s">
        <v>26</v>
      </c>
      <c r="C2421" s="14" t="s">
        <v>802</v>
      </c>
      <c r="D2421" s="14" t="s">
        <v>803</v>
      </c>
      <c r="E2421" s="14" t="s">
        <v>4136</v>
      </c>
      <c r="F2421" s="16">
        <v>0</v>
      </c>
      <c r="G2421" s="14" t="s">
        <v>2237</v>
      </c>
      <c r="H2421" s="16">
        <v>0</v>
      </c>
      <c r="I2421" s="14" t="s">
        <v>2237</v>
      </c>
      <c r="J2421" s="16">
        <v>0</v>
      </c>
      <c r="K2421" s="14" t="s">
        <v>2237</v>
      </c>
      <c r="L2421" s="16">
        <v>0</v>
      </c>
      <c r="M2421" s="14" t="s">
        <v>2237</v>
      </c>
      <c r="N2421" s="16">
        <v>0</v>
      </c>
      <c r="O2421" s="14" t="s">
        <v>2237</v>
      </c>
      <c r="P2421" s="14" t="s">
        <v>2236</v>
      </c>
      <c r="Q2421" s="17" t="s">
        <v>2242</v>
      </c>
      <c r="R2421" s="17" t="s">
        <v>2238</v>
      </c>
      <c r="S2421" s="17" t="s">
        <v>2243</v>
      </c>
      <c r="T2421" s="17" t="s">
        <v>4137</v>
      </c>
      <c r="U2421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21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21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21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E530-301010161-D235301</v>
      </c>
      <c r="Y2421" s="10" t="str">
        <f>IF(IFERROR(INDEX(WBS_Dictionary!I$2:I$1212, MATCH(Table2[[#This Row],[WBS_ID]], Table26[WBS CODE],0)), "") = "", "null", IFERROR(INDEX(WBS_Dictionary!I$2:I$1212, MATCH(Table2[[#This Row],[WBS_ID]], Table26[WBS CODE],0)), ""))</f>
        <v>null</v>
      </c>
      <c r="Z2421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1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1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421" s="10" t="str">
        <f>IF(IFERROR(INDEX(WBS_Dictionary!M$2:M$1212, MATCH(Table2[[#This Row],[WBS_ID]], Table26[WBS CODE],0)), "") = "", "null", IFERROR(INDEX(WBS_Dictionary!M$2:M$1212, MATCH(Table2[[#This Row],[WBS_ID]], Table26[WBS CODE],0)), ""))</f>
        <v>null</v>
      </c>
      <c r="AD2421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21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2" spans="1:31" x14ac:dyDescent="0.3">
      <c r="A2422" s="14" t="s">
        <v>5714</v>
      </c>
      <c r="B2422" s="14" t="s">
        <v>30</v>
      </c>
      <c r="C2422" s="14" t="s">
        <v>804</v>
      </c>
      <c r="D2422" s="14" t="s">
        <v>805</v>
      </c>
      <c r="E2422" s="14" t="s">
        <v>4136</v>
      </c>
      <c r="F2422" s="16">
        <v>0</v>
      </c>
      <c r="G2422" s="14" t="s">
        <v>2237</v>
      </c>
      <c r="H2422" s="16">
        <v>0</v>
      </c>
      <c r="I2422" s="14" t="s">
        <v>2237</v>
      </c>
      <c r="J2422" s="16">
        <v>0</v>
      </c>
      <c r="K2422" s="14" t="s">
        <v>2237</v>
      </c>
      <c r="L2422" s="16">
        <v>0</v>
      </c>
      <c r="M2422" s="14" t="s">
        <v>2237</v>
      </c>
      <c r="N2422" s="16">
        <v>0</v>
      </c>
      <c r="O2422" s="14" t="s">
        <v>2237</v>
      </c>
      <c r="P2422" s="14" t="s">
        <v>2236</v>
      </c>
      <c r="Q2422" s="17" t="s">
        <v>2242</v>
      </c>
      <c r="R2422" s="17" t="s">
        <v>2238</v>
      </c>
      <c r="S2422" s="17" t="s">
        <v>2243</v>
      </c>
      <c r="T2422" s="17" t="s">
        <v>4142</v>
      </c>
      <c r="U2422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22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22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22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E530-301010161-D235301</v>
      </c>
      <c r="Y2422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E530-30101016162-D235301</v>
      </c>
      <c r="Z2422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2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2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422" s="10" t="str">
        <f>IF(IFERROR(INDEX(WBS_Dictionary!M$2:M$1212, MATCH(Table2[[#This Row],[WBS_ID]], Table26[WBS CODE],0)), "") = "", "null", IFERROR(INDEX(WBS_Dictionary!M$2:M$1212, MATCH(Table2[[#This Row],[WBS_ID]], Table26[WBS CODE],0)), ""))</f>
        <v>Casing Repair &amp; Modif</v>
      </c>
      <c r="AD2422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22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3" spans="1:31" x14ac:dyDescent="0.3">
      <c r="A2423" s="14" t="s">
        <v>5715</v>
      </c>
      <c r="B2423" s="14" t="s">
        <v>30</v>
      </c>
      <c r="C2423" s="14" t="s">
        <v>806</v>
      </c>
      <c r="D2423" s="14" t="s">
        <v>807</v>
      </c>
      <c r="E2423" s="14" t="s">
        <v>4136</v>
      </c>
      <c r="F2423" s="16">
        <v>0</v>
      </c>
      <c r="G2423" s="14" t="s">
        <v>2237</v>
      </c>
      <c r="H2423" s="16">
        <v>0</v>
      </c>
      <c r="I2423" s="14" t="s">
        <v>2237</v>
      </c>
      <c r="J2423" s="16">
        <v>0</v>
      </c>
      <c r="K2423" s="14" t="s">
        <v>2237</v>
      </c>
      <c r="L2423" s="16">
        <v>0</v>
      </c>
      <c r="M2423" s="14" t="s">
        <v>2237</v>
      </c>
      <c r="N2423" s="16">
        <v>0</v>
      </c>
      <c r="O2423" s="14" t="s">
        <v>2237</v>
      </c>
      <c r="P2423" s="14" t="s">
        <v>2236</v>
      </c>
      <c r="Q2423" s="17" t="s">
        <v>2242</v>
      </c>
      <c r="R2423" s="17" t="s">
        <v>2238</v>
      </c>
      <c r="S2423" s="17" t="s">
        <v>2243</v>
      </c>
      <c r="T2423" s="17" t="s">
        <v>4142</v>
      </c>
      <c r="U2423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23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23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23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E530-301010161-D235301</v>
      </c>
      <c r="Y2423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E530-30101016193-D235301</v>
      </c>
      <c r="Z2423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3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3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423" s="10" t="str">
        <f>IF(IFERROR(INDEX(WBS_Dictionary!M$2:M$1212, MATCH(Table2[[#This Row],[WBS_ID]], Table26[WBS CODE],0)), "") = "", "null", IFERROR(INDEX(WBS_Dictionary!M$2:M$1212, MATCH(Table2[[#This Row],[WBS_ID]], Table26[WBS CODE],0)), ""))</f>
        <v>Asset Transfer</v>
      </c>
      <c r="AD2423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23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4" spans="1:31" x14ac:dyDescent="0.3">
      <c r="A2424" s="14" t="s">
        <v>5716</v>
      </c>
      <c r="B2424" s="14" t="s">
        <v>30</v>
      </c>
      <c r="C2424" s="14" t="s">
        <v>808</v>
      </c>
      <c r="D2424" s="14" t="s">
        <v>809</v>
      </c>
      <c r="E2424" s="14" t="s">
        <v>4136</v>
      </c>
      <c r="F2424" s="16">
        <v>0</v>
      </c>
      <c r="G2424" s="14" t="s">
        <v>2237</v>
      </c>
      <c r="H2424" s="16">
        <v>0</v>
      </c>
      <c r="I2424" s="14" t="s">
        <v>2237</v>
      </c>
      <c r="J2424" s="16">
        <v>0</v>
      </c>
      <c r="K2424" s="14" t="s">
        <v>2237</v>
      </c>
      <c r="L2424" s="16">
        <v>0</v>
      </c>
      <c r="M2424" s="14" t="s">
        <v>2237</v>
      </c>
      <c r="N2424" s="16">
        <v>0</v>
      </c>
      <c r="O2424" s="14" t="s">
        <v>2237</v>
      </c>
      <c r="P2424" s="14" t="s">
        <v>2236</v>
      </c>
      <c r="Q2424" s="17" t="s">
        <v>2242</v>
      </c>
      <c r="R2424" s="17" t="s">
        <v>2238</v>
      </c>
      <c r="S2424" s="17" t="s">
        <v>2243</v>
      </c>
      <c r="T2424" s="17" t="s">
        <v>4142</v>
      </c>
      <c r="U2424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24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24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24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E530-301010161-D235301</v>
      </c>
      <c r="Y2424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E530-30101016118-D235301</v>
      </c>
      <c r="Z2424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4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4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424" s="10" t="str">
        <f>IF(IFERROR(INDEX(WBS_Dictionary!M$2:M$1212, MATCH(Table2[[#This Row],[WBS_ID]], Table26[WBS CODE],0)), "") = "", "null", IFERROR(INDEX(WBS_Dictionary!M$2:M$1212, MATCH(Table2[[#This Row],[WBS_ID]], Table26[WBS CODE],0)), ""))</f>
        <v>Fuel &amp; Lubricants</v>
      </c>
      <c r="AD2424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24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5" spans="1:31" x14ac:dyDescent="0.3">
      <c r="A2425" s="14" t="s">
        <v>5717</v>
      </c>
      <c r="B2425" s="14" t="s">
        <v>30</v>
      </c>
      <c r="C2425" s="14" t="s">
        <v>810</v>
      </c>
      <c r="D2425" s="14" t="s">
        <v>811</v>
      </c>
      <c r="E2425" s="14" t="s">
        <v>4136</v>
      </c>
      <c r="F2425" s="16">
        <v>0</v>
      </c>
      <c r="G2425" s="14" t="s">
        <v>2237</v>
      </c>
      <c r="H2425" s="16">
        <v>0</v>
      </c>
      <c r="I2425" s="14" t="s">
        <v>2237</v>
      </c>
      <c r="J2425" s="16">
        <v>0</v>
      </c>
      <c r="K2425" s="14" t="s">
        <v>2237</v>
      </c>
      <c r="L2425" s="16">
        <v>0</v>
      </c>
      <c r="M2425" s="14" t="s">
        <v>2237</v>
      </c>
      <c r="N2425" s="16">
        <v>0</v>
      </c>
      <c r="O2425" s="14" t="s">
        <v>2237</v>
      </c>
      <c r="P2425" s="14" t="s">
        <v>2236</v>
      </c>
      <c r="Q2425" s="17" t="s">
        <v>2242</v>
      </c>
      <c r="R2425" s="17" t="s">
        <v>2238</v>
      </c>
      <c r="S2425" s="17" t="s">
        <v>2243</v>
      </c>
      <c r="T2425" s="17" t="s">
        <v>4142</v>
      </c>
      <c r="U2425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25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25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25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E530-301010161-D235301</v>
      </c>
      <c r="Y2425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E530-30101016102-D235301</v>
      </c>
      <c r="Z2425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5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5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425" s="10" t="str">
        <f>IF(IFERROR(INDEX(WBS_Dictionary!M$2:M$1212, MATCH(Table2[[#This Row],[WBS_ID]], Table26[WBS CODE],0)), "") = "", "null", IFERROR(INDEX(WBS_Dictionary!M$2:M$1212, MATCH(Table2[[#This Row],[WBS_ID]], Table26[WBS CODE],0)), ""))</f>
        <v>Equipment Rental</v>
      </c>
      <c r="AD2425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25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6" spans="1:31" x14ac:dyDescent="0.3">
      <c r="A2426" s="14" t="s">
        <v>5718</v>
      </c>
      <c r="B2426" s="14" t="s">
        <v>30</v>
      </c>
      <c r="C2426" s="14" t="s">
        <v>812</v>
      </c>
      <c r="D2426" s="14" t="s">
        <v>813</v>
      </c>
      <c r="E2426" s="14" t="s">
        <v>4136</v>
      </c>
      <c r="F2426" s="16">
        <v>0</v>
      </c>
      <c r="G2426" s="14" t="s">
        <v>2237</v>
      </c>
      <c r="H2426" s="16">
        <v>0</v>
      </c>
      <c r="I2426" s="14" t="s">
        <v>2237</v>
      </c>
      <c r="J2426" s="16">
        <v>0</v>
      </c>
      <c r="K2426" s="14" t="s">
        <v>2237</v>
      </c>
      <c r="L2426" s="16">
        <v>0</v>
      </c>
      <c r="M2426" s="14" t="s">
        <v>2237</v>
      </c>
      <c r="N2426" s="16">
        <v>0</v>
      </c>
      <c r="O2426" s="14" t="s">
        <v>2237</v>
      </c>
      <c r="P2426" s="14" t="s">
        <v>2236</v>
      </c>
      <c r="Q2426" s="17" t="s">
        <v>2242</v>
      </c>
      <c r="R2426" s="17" t="s">
        <v>2238</v>
      </c>
      <c r="S2426" s="17" t="s">
        <v>2243</v>
      </c>
      <c r="T2426" s="17" t="s">
        <v>4142</v>
      </c>
      <c r="U2426" s="10" t="str">
        <f>IF(IFERROR(INDEX(WBS_Dictionary!E$2:E$1212, MATCH(Table2[[#This Row],[WBS_ID]], Table26[WBS CODE],0)), "") = "", "null", IFERROR(INDEX(WBS_Dictionary!E$2:E$1212, MATCH(Table2[[#This Row],[WBS_ID]], Table26[WBS CODE],0)), ""))</f>
        <v>E530-30-D235301</v>
      </c>
      <c r="V2426" s="10" t="str">
        <f>IF(IFERROR(INDEX(WBS_Dictionary!F$2:F$1212, MATCH(Table2[[#This Row],[WBS_ID]], Table26[WBS CODE],0)), "") = "", "null", IFERROR(INDEX(WBS_Dictionary!F$2:F$1212, MATCH(Table2[[#This Row],[WBS_ID]], Table26[WBS CODE],0)), ""))</f>
        <v>E530-30101-D235301</v>
      </c>
      <c r="W2426" s="10" t="str">
        <f>IF(IFERROR(INDEX(WBS_Dictionary!G$2:G$1212, MATCH(Table2[[#This Row],[WBS_ID]], Table26[WBS CODE],0)), "") = "", "null", IFERROR(INDEX(WBS_Dictionary!G$2:G$1212, MATCH(Table2[[#This Row],[WBS_ID]], Table26[WBS CODE],0)), ""))</f>
        <v>E530-3010101-D235301</v>
      </c>
      <c r="X2426" s="10" t="str">
        <f>IF(IFERROR(INDEX(WBS_Dictionary!H$2:H$1212, MATCH(Table2[[#This Row],[WBS_ID]], Table26[WBS CODE],0)), "") = "", "null", IFERROR(INDEX(WBS_Dictionary!H$2:H$1212, MATCH(Table2[[#This Row],[WBS_ID]], Table26[WBS CODE],0)), ""))</f>
        <v>E530-301010161-D235301</v>
      </c>
      <c r="Y2426" s="10" t="str">
        <f>IF(IFERROR(INDEX(WBS_Dictionary!I$2:I$1212, MATCH(Table2[[#This Row],[WBS_ID]], Table26[WBS CODE],0)), "") = "", "null", IFERROR(INDEX(WBS_Dictionary!I$2:I$1212, MATCH(Table2[[#This Row],[WBS_ID]], Table26[WBS CODE],0)), ""))</f>
        <v>E530-30101016101-D235301</v>
      </c>
      <c r="Z2426" s="10" t="str">
        <f>IF(IFERROR(INDEX(WBS_Dictionary!J$2:J$1212, MATCH(Table2[[#This Row],[WBS_ID]], Table26[WBS CODE],0)), "") = "", "null", IFERROR(INDEX(WBS_Dictionary!J$2:J$1212, MATCH(Table2[[#This Row],[WBS_ID]], Table26[WBS CODE],0)), ""))</f>
        <v>Drilling Cost</v>
      </c>
      <c r="AA2426" s="10" t="str">
        <f>IF(IFERROR(INDEX(WBS_Dictionary!K$2:K$1212, MATCH(Table2[[#This Row],[WBS_ID]], Table26[WBS CODE],0)), "") = "", "null", IFERROR(INDEX(WBS_Dictionary!K$2:K$1212, MATCH(Table2[[#This Row],[WBS_ID]], Table26[WBS CODE],0)), ""))</f>
        <v>Well Cost</v>
      </c>
      <c r="AB2426" s="10" t="str">
        <f>IF(IFERROR(INDEX(WBS_Dictionary!L$2:L$1212, MATCH(Table2[[#This Row],[WBS_ID]], Table26[WBS CODE],0)), "") = "", "null", IFERROR(INDEX(WBS_Dictionary!L$2:L$1212, MATCH(Table2[[#This Row],[WBS_ID]], Table26[WBS CODE],0)), ""))</f>
        <v>Material - LL</v>
      </c>
      <c r="AC2426" s="10" t="str">
        <f>IF(IFERROR(INDEX(WBS_Dictionary!M$2:M$1212, MATCH(Table2[[#This Row],[WBS_ID]], Table26[WBS CODE],0)), "") = "", "null", IFERROR(INDEX(WBS_Dictionary!M$2:M$1212, MATCH(Table2[[#This Row],[WBS_ID]], Table26[WBS CODE],0)), ""))</f>
        <v>Casing</v>
      </c>
      <c r="AD2426" s="10" t="str">
        <f>IF(IFERROR(INDEX(WBS_Dictionary!N$2:N$1212, MATCH(Table2[[#This Row],[WBS_ID]], Table26[WBS CODE],0)), "") = "", "null", IFERROR(INDEX(WBS_Dictionary!N$2:N$1212, MATCH(Table2[[#This Row],[WBS_ID]], Table26[WBS CODE],0)), ""))</f>
        <v>DRJ-Steam 1</v>
      </c>
      <c r="AE2426" s="10" t="str">
        <f>IF(IFERROR(INDEX(WBS_Dictionary!O$2:O$1212, MATCH(Table2[[#This Row],[WBS_ID]], Table26[WBS CODE],0)), "") = "", "null", IFERROR(INDEX(WBS_Dictionary!O$2:O$1212, MATCH(Table2[[#This Row],[WBS_ID]], Table26[WBS CODE],0)), ""))</f>
        <v>Well</v>
      </c>
    </row>
    <row r="2429" spans="1:31" x14ac:dyDescent="0.3">
      <c r="N2429" s="18"/>
    </row>
    <row r="2430" spans="1:31" x14ac:dyDescent="0.3">
      <c r="N2430" s="18"/>
    </row>
  </sheetData>
  <phoneticPr fontId="6" type="noConversion"/>
  <conditionalFormatting sqref="B2:B2426">
    <cfRule type="expression" dxfId="2" priority="1">
      <formula>OR($B2="00", $B2="01")</formula>
    </cfRule>
    <cfRule type="expression" dxfId="1" priority="2">
      <formula>$B2="03"</formula>
    </cfRule>
    <cfRule type="expression" dxfId="0" priority="3">
      <formula>$B2="02"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1c4f4c-6ca0-42c7-8590-3fd2c794ca4e">
      <Terms xmlns="http://schemas.microsoft.com/office/infopath/2007/PartnerControls"/>
    </lcf76f155ced4ddcb4097134ff3c332f>
    <TaxCatchAll xmlns="bf7de1ab-af5b-477c-916f-a25198a73d44" xsi:nil="true"/>
    <_Flow_SignoffStatus xmlns="eb1c4f4c-6ca0-42c7-8590-3fd2c794ca4e" xsi:nil="true"/>
    <_dlc_DocId xmlns="bf7de1ab-af5b-477c-916f-a25198a73d44">E7CRSC4TRWZ4-297197074-23137519</_dlc_DocId>
    <_dlc_DocIdUrl xmlns="bf7de1ab-af5b-477c-916f-a25198a73d44">
      <Url>https://starenergycoid.sharepoint.com/sites/STARDRIVE/_layouts/15/DocIdRedir.aspx?ID=E7CRSC4TRWZ4-297197074-23137519</Url>
      <Description>E7CRSC4TRWZ4-297197074-23137519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1D3AE2F7C52419288D3379F03EDED" ma:contentTypeVersion="20" ma:contentTypeDescription="Create a new document." ma:contentTypeScope="" ma:versionID="7ca39baa11285481dfbe7fcebc4f968e">
  <xsd:schema xmlns:xsd="http://www.w3.org/2001/XMLSchema" xmlns:xs="http://www.w3.org/2001/XMLSchema" xmlns:p="http://schemas.microsoft.com/office/2006/metadata/properties" xmlns:ns2="eb1c4f4c-6ca0-42c7-8590-3fd2c794ca4e" xmlns:ns3="bf7de1ab-af5b-477c-916f-a25198a73d44" targetNamespace="http://schemas.microsoft.com/office/2006/metadata/properties" ma:root="true" ma:fieldsID="c0306d2dd92547608f0a464ae924d07d" ns2:_="" ns3:_="">
    <xsd:import namespace="eb1c4f4c-6ca0-42c7-8590-3fd2c794ca4e"/>
    <xsd:import namespace="bf7de1ab-af5b-477c-916f-a25198a73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c4f4c-6ca0-42c7-8590-3fd2c794c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6437344-aeb3-4fef-b4bc-1e9fe9d16a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de1ab-af5b-477c-916f-a25198a73d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9df1ef2-5f09-4f54-8700-c7ac95ed4c23}" ma:internalName="TaxCatchAll" ma:showField="CatchAllData" ma:web="bf7de1ab-af5b-477c-916f-a25198a73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159689A-8E8F-4F0E-95AA-70C7A4702D6B}">
  <ds:schemaRefs>
    <ds:schemaRef ds:uri="55655e5d-6ce1-464c-9cb6-d3495394d18e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bb016868-7415-4dfa-9a31-f29cc1ac8d96"/>
  </ds:schemaRefs>
</ds:datastoreItem>
</file>

<file path=customXml/itemProps2.xml><?xml version="1.0" encoding="utf-8"?>
<ds:datastoreItem xmlns:ds="http://schemas.openxmlformats.org/officeDocument/2006/customXml" ds:itemID="{F3C4E78B-3513-442A-BF58-32F9B6A13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17D22-2E19-4108-B090-C01D159F9211}"/>
</file>

<file path=customXml/itemProps4.xml><?xml version="1.0" encoding="utf-8"?>
<ds:datastoreItem xmlns:ds="http://schemas.openxmlformats.org/officeDocument/2006/customXml" ds:itemID="{6E0AF6A8-5636-4480-851E-F86DA37EAF83}"/>
</file>

<file path=docMetadata/LabelInfo.xml><?xml version="1.0" encoding="utf-8"?>
<clbl:labelList xmlns:clbl="http://schemas.microsoft.com/office/2020/mipLabelMetadata">
  <clbl:label id="{f96ec347-11ed-45f0-a919-f49ccf47ee73}" enabled="1" method="Standard" siteId="{0ebdcb5f-b0a3-4463-8642-09eec2e9f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WBS_Dictionary</vt:lpstr>
      <vt:lpstr>WBS.structure</vt:lpstr>
      <vt:lpstr>WBS.structure!DATA1</vt:lpstr>
      <vt:lpstr>WBS.structure!DATA10</vt:lpstr>
      <vt:lpstr>WBS.structure!DATA11</vt:lpstr>
      <vt:lpstr>WBS.structure!DATA12</vt:lpstr>
      <vt:lpstr>WBS.structure!DATA13</vt:lpstr>
      <vt:lpstr>WBS.structure!DATA14</vt:lpstr>
      <vt:lpstr>WBS.structure!DATA15</vt:lpstr>
      <vt:lpstr>WBS.structure!DATA16</vt:lpstr>
      <vt:lpstr>WBS.structure!DATA17</vt:lpstr>
      <vt:lpstr>WBS.structure!DATA18</vt:lpstr>
      <vt:lpstr>WBS.structure!DATA19</vt:lpstr>
      <vt:lpstr>WBS.structure!DATA2</vt:lpstr>
      <vt:lpstr>WBS.structure!DATA21</vt:lpstr>
      <vt:lpstr>WBS.structure!DATA3</vt:lpstr>
      <vt:lpstr>WBS.structure!DATA4</vt:lpstr>
      <vt:lpstr>WBS.structure!DATA5</vt:lpstr>
      <vt:lpstr>WBS.structure!DATA6</vt:lpstr>
      <vt:lpstr>WBS.structure!DATA7</vt:lpstr>
      <vt:lpstr>WBS.structure!DATA8</vt:lpstr>
      <vt:lpstr>WBS.structure!DATA9</vt:lpstr>
      <vt:lpstr>Level_WBS_code</vt:lpstr>
      <vt:lpstr>WBS.structure!TEST1</vt:lpstr>
      <vt:lpstr>WBS.structure!TESTHKEY</vt:lpstr>
      <vt:lpstr>WBS.structure!TESTKEYS</vt:lpstr>
      <vt:lpstr>WBS.structure!TESTVKEY</vt:lpstr>
      <vt:lpstr>WBS_ACT_USD</vt:lpstr>
      <vt:lpstr>WBS_BUD_USD</vt:lpstr>
      <vt:lpstr>WBS_Desc</vt:lpstr>
      <vt:lpstr>WBS_ID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Amsal Goesmano Sihombing</dc:creator>
  <cp:lastModifiedBy>Amsal Goesmano Sihombing</cp:lastModifiedBy>
  <dcterms:created xsi:type="dcterms:W3CDTF">2026-03-18T06:25:00Z</dcterms:created>
  <dcterms:modified xsi:type="dcterms:W3CDTF">2026-03-30T06:15:51Z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0x0101005491D3AE2F7C52419288D3379F03EDED</vt:lpwstr>
  </property>
  <property fmtid="{D5CDD505-2E9C-101B-9397-08002B2CF9AE}" pid="3" name="MediaServiceImageTags">
    <vt:lpwstr/>
  </property>
  <property fmtid="{D5CDD505-2E9C-101B-9397-08002B2CF9AE}" pid="4" name="_dlc_DocIdItemGuid">
    <vt:lpwstr>524b5a4e-3240-42fd-8c53-befea0c41568</vt:lpwstr>
  </property>
</Properties>
</file>